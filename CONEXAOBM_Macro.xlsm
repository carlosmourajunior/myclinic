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namedSheetViews/namedSheetView1.xml" ContentType="application/vnd.ms-excel.namedsheetview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showInkAnnotation="0" codeName="EstaPastaDeTrabalho" autoCompressPictures="0" defaultThemeVersion="166925"/>
  <mc:AlternateContent xmlns:mc="http://schemas.openxmlformats.org/markup-compatibility/2006">
    <mc:Choice Requires="x15">
      <x15ac:absPath xmlns:x15ac="http://schemas.microsoft.com/office/spreadsheetml/2010/11/ac" url="https://d.docs.live.net/208bbfb986b14073/Documents/1 - Provedor/Comercial/"/>
    </mc:Choice>
  </mc:AlternateContent>
  <xr:revisionPtr revIDLastSave="23602" documentId="6_{9063E213-9827-49A1-A389-993F434E6D92}" xr6:coauthVersionLast="47" xr6:coauthVersionMax="47" xr10:uidLastSave="{215CBF60-8BAF-450A-8525-C2210CFADC1F}"/>
  <bookViews>
    <workbookView xWindow="28680" yWindow="-120" windowWidth="29040" windowHeight="15720" tabRatio="715" firstSheet="19" activeTab="24" xr2:uid="{00000000-000D-0000-FFFF-FFFF00000000}"/>
  </bookViews>
  <sheets>
    <sheet name="Controle de Clientes C. BM" sheetId="1" r:id="rId1"/>
    <sheet name="Planilha4" sheetId="10" r:id="rId2"/>
    <sheet name="Relação de Clientes CBM" sheetId="28" r:id="rId3"/>
    <sheet name="Planilha3" sheetId="8" r:id="rId4"/>
    <sheet name="Cliente cancelado contactado" sheetId="49" r:id="rId5"/>
    <sheet name="Cliente sem comodato cadastrado" sheetId="29" r:id="rId6"/>
    <sheet name="Clientes cancelados contactados" sheetId="23" r:id="rId7"/>
    <sheet name="Opa suite melhorias" sheetId="47" r:id="rId8"/>
    <sheet name="Indique e ganhe" sheetId="39" r:id="rId9"/>
    <sheet name="Clientes com telefone" sheetId="53" r:id="rId10"/>
    <sheet name="Contrato vigente Borda da Mata" sheetId="46" r:id="rId11"/>
    <sheet name="Leads" sheetId="38" r:id="rId12"/>
    <sheet name="Cliente contactado promoção (2)" sheetId="52" r:id="rId13"/>
    <sheet name="Resumo dos Numeros" sheetId="2" r:id="rId14"/>
    <sheet name="Clientes Via 01" sheetId="7" r:id="rId15"/>
    <sheet name="Planilha1" sheetId="59" r:id="rId16"/>
    <sheet name="Cancelamentos" sheetId="4" r:id="rId17"/>
    <sheet name="Prevenção de cancelamentos" sheetId="40" r:id="rId18"/>
    <sheet name="Telefone" sheetId="50" r:id="rId19"/>
    <sheet name="Loja Sabado" sheetId="48" r:id="rId20"/>
    <sheet name="Upgrade de Planos" sheetId="31" r:id="rId21"/>
    <sheet name="Clientes Via 01 Inconfidentes " sheetId="42" r:id="rId22"/>
    <sheet name="Cancelamentos Inconfidentes " sheetId="45" r:id="rId23"/>
    <sheet name="Contrato vigente Inconfidentes" sheetId="41" r:id="rId24"/>
    <sheet name="Upgrade Planos Inconfidentes" sheetId="44" r:id="rId25"/>
    <sheet name="Plano 200 megas  Inconfidentes" sheetId="54" r:id="rId26"/>
    <sheet name="Plano 300 mega Inconfidentes " sheetId="55" r:id="rId27"/>
    <sheet name="Plano 400 megas Inconfidentes" sheetId="56" r:id="rId28"/>
    <sheet name="Plano 500 megas Inconfidentes" sheetId="57" r:id="rId29"/>
    <sheet name="Plano 700 megas Inconfidentes" sheetId="58" r:id="rId30"/>
    <sheet name="Plano 300 megas-500 megas liber" sheetId="60" r:id="rId31"/>
    <sheet name="Atendimentos" sheetId="37" r:id="rId32"/>
    <sheet name="Rafael comissão" sheetId="32" r:id="rId33"/>
    <sheet name="Tv 200 megas pra cima" sheetId="27" r:id="rId34"/>
    <sheet name="Tv 79,90" sheetId="26" r:id="rId35"/>
    <sheet name="Plantão " sheetId="34" r:id="rId36"/>
    <sheet name="Clientes com Deco" sheetId="36" r:id="rId37"/>
    <sheet name="Copa do Mundo" sheetId="30" r:id="rId38"/>
    <sheet name="boletos Dezembro" sheetId="24" r:id="rId39"/>
    <sheet name="Indicação Premiada" sheetId="19" r:id="rId40"/>
    <sheet name="Pesquisa de Mercado" sheetId="11" r:id="rId41"/>
    <sheet name="Clientes Migração Conexão Bm" sheetId="6" r:id="rId42"/>
    <sheet name="Escolas" sheetId="12" r:id="rId43"/>
    <sheet name="Isentos" sheetId="13" r:id="rId44"/>
    <sheet name="Markenting" sheetId="14" r:id="rId45"/>
    <sheet name="Sinval" sheetId="18" r:id="rId46"/>
    <sheet name="Principais reclamações" sheetId="21" r:id="rId47"/>
    <sheet name="Recebimentos loja" sheetId="20" r:id="rId48"/>
    <sheet name="lista de cancelados" sheetId="25" r:id="rId49"/>
    <sheet name="Empresas (Prospecção)" sheetId="22" r:id="rId50"/>
  </sheets>
  <functionGroups builtInGroupCount="19"/>
  <definedNames>
    <definedName name="_xlnm._FilterDatabase" localSheetId="16" hidden="1">Cancelamentos!$A$1:$A$837</definedName>
    <definedName name="_xlnm._FilterDatabase" localSheetId="4" hidden="1">'Cliente cancelado contactado'!$A$1:$A$649</definedName>
    <definedName name="_xlnm._FilterDatabase" localSheetId="12" hidden="1">'Cliente contactado promoção (2)'!$A$1:$I$493</definedName>
    <definedName name="_xlnm._FilterDatabase" localSheetId="41" hidden="1">'Clientes Migração Conexão Bm'!$B$1:$B$539</definedName>
    <definedName name="_xlnm._FilterDatabase" localSheetId="14" hidden="1">'Clientes Via 01'!$A$1:$N$276</definedName>
    <definedName name="_xlnm._FilterDatabase" localSheetId="21" hidden="1">'Clientes Via 01 Inconfidentes '!$C$1:$I$1</definedName>
    <definedName name="_xlnm._FilterDatabase" localSheetId="10" hidden="1">'Contrato vigente Borda da Mata'!$A$1:$A$13</definedName>
    <definedName name="_xlnm._FilterDatabase" localSheetId="0" hidden="1">'Controle de Clientes C. BM'!$A$2:$J$2</definedName>
    <definedName name="_xlnm._FilterDatabase" localSheetId="11" hidden="1">Leads!$A$2:$F$139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2" i="31" l="1"/>
  <c r="K9" i="42"/>
  <c r="M29" i="31"/>
  <c r="O9" i="2"/>
  <c r="H376" i="31"/>
  <c r="G376" i="31"/>
  <c r="G346" i="31"/>
  <c r="L13" i="44"/>
  <c r="L12" i="44"/>
  <c r="L10" i="44"/>
  <c r="L9" i="44"/>
  <c r="L8" i="44"/>
  <c r="L7" i="44"/>
  <c r="L5" i="44"/>
  <c r="L6" i="44"/>
  <c r="L4" i="44"/>
  <c r="L3" i="44"/>
  <c r="N9" i="2"/>
  <c r="G433" i="31"/>
  <c r="G432" i="31"/>
  <c r="G431" i="31"/>
  <c r="G430" i="31"/>
  <c r="G429" i="31"/>
  <c r="G428" i="31"/>
  <c r="G427" i="31"/>
  <c r="G426" i="31"/>
  <c r="G425" i="31"/>
  <c r="G424" i="31"/>
  <c r="G423" i="31"/>
  <c r="G422" i="31"/>
  <c r="G421" i="31"/>
  <c r="G420" i="31"/>
  <c r="G419" i="31"/>
  <c r="G418" i="31"/>
  <c r="G417" i="31"/>
  <c r="G416" i="31"/>
  <c r="G415" i="31"/>
  <c r="G414" i="31"/>
  <c r="G413" i="31"/>
  <c r="G412" i="31"/>
  <c r="G411" i="31"/>
  <c r="G410" i="31"/>
  <c r="G409" i="31"/>
  <c r="G408" i="31"/>
  <c r="G407" i="31"/>
  <c r="G406" i="31"/>
  <c r="G405" i="31"/>
  <c r="G404" i="31"/>
  <c r="G403" i="31"/>
  <c r="G402" i="31"/>
  <c r="G401" i="31"/>
  <c r="G400" i="31"/>
  <c r="G399" i="31"/>
  <c r="G398" i="31"/>
  <c r="G397" i="31"/>
  <c r="G396" i="31"/>
  <c r="G395" i="31"/>
  <c r="G394" i="31"/>
  <c r="G393" i="31"/>
  <c r="G392" i="31"/>
  <c r="G391" i="31"/>
  <c r="G390" i="31"/>
  <c r="G389" i="31"/>
  <c r="G388" i="31"/>
  <c r="G387" i="31"/>
  <c r="G386" i="31"/>
  <c r="G385" i="31"/>
  <c r="G384" i="31"/>
  <c r="G383" i="31"/>
  <c r="M30" i="31" s="1"/>
  <c r="G382" i="31"/>
  <c r="G381" i="31"/>
  <c r="G380" i="31"/>
  <c r="G379" i="31"/>
  <c r="G378" i="31"/>
  <c r="G377" i="31"/>
  <c r="G375" i="31"/>
  <c r="G374" i="31"/>
  <c r="G373" i="31"/>
  <c r="G372" i="31"/>
  <c r="G371" i="31"/>
  <c r="G370" i="31"/>
  <c r="G369" i="31"/>
  <c r="G368" i="31"/>
  <c r="G367" i="31"/>
  <c r="G366" i="31"/>
  <c r="G365" i="31"/>
  <c r="G363" i="31"/>
  <c r="M9" i="2"/>
  <c r="L9" i="2"/>
  <c r="G327" i="31"/>
  <c r="G328" i="31"/>
  <c r="G329" i="31"/>
  <c r="G330" i="31"/>
  <c r="G331" i="31"/>
  <c r="G332" i="31"/>
  <c r="G333" i="31"/>
  <c r="G334" i="31"/>
  <c r="G335" i="31"/>
  <c r="G336" i="31"/>
  <c r="G337" i="31"/>
  <c r="G338" i="31"/>
  <c r="G339" i="31"/>
  <c r="G340" i="31"/>
  <c r="G341" i="31"/>
  <c r="G342" i="31"/>
  <c r="G343" i="31"/>
  <c r="G344" i="31"/>
  <c r="G345" i="31"/>
  <c r="G347" i="31"/>
  <c r="G348" i="31"/>
  <c r="G349" i="31"/>
  <c r="G350" i="31"/>
  <c r="G351" i="31"/>
  <c r="G352" i="31"/>
  <c r="G353" i="31"/>
  <c r="G354" i="31"/>
  <c r="G355" i="31"/>
  <c r="G356" i="31"/>
  <c r="G357" i="31"/>
  <c r="G358" i="31"/>
  <c r="G359" i="31"/>
  <c r="G360" i="31"/>
  <c r="G361" i="31"/>
  <c r="G362" i="31"/>
  <c r="G315" i="31"/>
  <c r="G316" i="31"/>
  <c r="G317" i="31"/>
  <c r="G318" i="31"/>
  <c r="G319" i="31"/>
  <c r="G320" i="31"/>
  <c r="G321" i="31"/>
  <c r="V3" i="2"/>
  <c r="U3" i="2"/>
  <c r="T3" i="2"/>
  <c r="K9" i="2"/>
  <c r="J9" i="2"/>
  <c r="I9" i="2"/>
  <c r="G294" i="31"/>
  <c r="G295" i="31"/>
  <c r="G296" i="31"/>
  <c r="G297" i="31"/>
  <c r="G298" i="31"/>
  <c r="G299" i="31"/>
  <c r="G300" i="31"/>
  <c r="G301" i="31"/>
  <c r="G305" i="31"/>
  <c r="G302" i="31"/>
  <c r="G303" i="31"/>
  <c r="G306" i="31"/>
  <c r="G307" i="31"/>
  <c r="G308" i="31"/>
  <c r="G309" i="31"/>
  <c r="G310" i="31"/>
  <c r="G311" i="31"/>
  <c r="G313" i="31"/>
  <c r="G314" i="31"/>
  <c r="G322" i="31"/>
  <c r="G323" i="31"/>
  <c r="G324" i="31"/>
  <c r="G326" i="31"/>
  <c r="G364" i="31"/>
  <c r="G291" i="31"/>
  <c r="G292" i="31"/>
  <c r="G293" i="31"/>
  <c r="K12" i="42"/>
  <c r="K13" i="42"/>
  <c r="K14" i="42"/>
  <c r="K15" i="42"/>
  <c r="N3" i="44" l="1"/>
  <c r="M28" i="31"/>
  <c r="M27" i="31"/>
  <c r="M26" i="31"/>
  <c r="G304" i="31"/>
  <c r="G325" i="31"/>
  <c r="G312" i="31"/>
  <c r="M24" i="31"/>
  <c r="M25" i="31"/>
  <c r="H9" i="2"/>
  <c r="M9" i="42"/>
  <c r="K11" i="42" s="1"/>
  <c r="G270" i="31"/>
  <c r="G9" i="2"/>
  <c r="G259" i="31"/>
  <c r="F9" i="2"/>
  <c r="G287" i="31"/>
  <c r="G286" i="31"/>
  <c r="G285" i="31"/>
  <c r="G284" i="31"/>
  <c r="G283" i="31"/>
  <c r="G282" i="31"/>
  <c r="G281" i="31"/>
  <c r="G280" i="31"/>
  <c r="G278" i="31"/>
  <c r="G277" i="31"/>
  <c r="G276" i="31"/>
  <c r="G275" i="31"/>
  <c r="G274" i="31"/>
  <c r="G273" i="31"/>
  <c r="G272" i="31"/>
  <c r="G271" i="31"/>
  <c r="G269" i="31"/>
  <c r="G268" i="31"/>
  <c r="G267" i="31"/>
  <c r="G266" i="31"/>
  <c r="G265" i="31"/>
  <c r="G264" i="31"/>
  <c r="G263" i="31"/>
  <c r="G262" i="31"/>
  <c r="G261" i="31"/>
  <c r="G258" i="31"/>
  <c r="G257" i="31"/>
  <c r="G256" i="31"/>
  <c r="G255" i="31"/>
  <c r="G254" i="31"/>
  <c r="G253" i="31"/>
  <c r="G252" i="31"/>
  <c r="G251" i="31"/>
  <c r="G250" i="31"/>
  <c r="G249" i="31"/>
  <c r="G248" i="31"/>
  <c r="G247" i="31"/>
  <c r="G246" i="31"/>
  <c r="G235" i="31"/>
  <c r="G236" i="31"/>
  <c r="G237" i="31"/>
  <c r="G238" i="31"/>
  <c r="G239" i="31"/>
  <c r="G240" i="31"/>
  <c r="G241" i="31"/>
  <c r="G242" i="31"/>
  <c r="G243" i="31"/>
  <c r="G244" i="31"/>
  <c r="G288" i="31"/>
  <c r="G289" i="31"/>
  <c r="G232" i="31"/>
  <c r="E9" i="2"/>
  <c r="G219" i="31"/>
  <c r="G216" i="31"/>
  <c r="G217" i="31"/>
  <c r="G215" i="31"/>
  <c r="G228" i="31"/>
  <c r="G227" i="31"/>
  <c r="G226" i="31"/>
  <c r="G225" i="31"/>
  <c r="G224" i="31"/>
  <c r="G223" i="31"/>
  <c r="G222" i="31"/>
  <c r="G220" i="31"/>
  <c r="G218" i="31"/>
  <c r="G231" i="31"/>
  <c r="G230" i="31"/>
  <c r="G229" i="31"/>
  <c r="G209" i="31"/>
  <c r="G210" i="31"/>
  <c r="D9" i="2"/>
  <c r="G207" i="31"/>
  <c r="L18" i="31"/>
  <c r="G234" i="31"/>
  <c r="G233" i="31"/>
  <c r="G214" i="31"/>
  <c r="G213" i="31"/>
  <c r="G212" i="31"/>
  <c r="G211" i="31"/>
  <c r="G208" i="31"/>
  <c r="G205" i="31"/>
  <c r="G204" i="31"/>
  <c r="G201" i="31"/>
  <c r="G200" i="31"/>
  <c r="G199" i="31"/>
  <c r="G198" i="31"/>
  <c r="G197" i="31"/>
  <c r="G196" i="31"/>
  <c r="G195" i="31"/>
  <c r="G194" i="31"/>
  <c r="G192" i="31"/>
  <c r="G191" i="31"/>
  <c r="G190" i="31"/>
  <c r="G189" i="31"/>
  <c r="G188" i="31"/>
  <c r="G187" i="31"/>
  <c r="G186" i="31"/>
  <c r="G185" i="31"/>
  <c r="G184" i="31"/>
  <c r="G174" i="31"/>
  <c r="AA3" i="2"/>
  <c r="G180" i="31"/>
  <c r="G181" i="31"/>
  <c r="G182" i="31"/>
  <c r="G183" i="31"/>
  <c r="G176" i="31"/>
  <c r="G177" i="31"/>
  <c r="G178" i="31"/>
  <c r="G179" i="31"/>
  <c r="G170" i="31"/>
  <c r="G171" i="31"/>
  <c r="G172" i="31"/>
  <c r="G173" i="31"/>
  <c r="G175" i="31"/>
  <c r="E2" i="40"/>
  <c r="G159" i="31"/>
  <c r="G146" i="31"/>
  <c r="G147" i="31"/>
  <c r="G260" i="31" l="1"/>
  <c r="M23" i="31"/>
  <c r="G290" i="31"/>
  <c r="M21" i="31"/>
  <c r="G279" i="31"/>
  <c r="M22" i="31"/>
  <c r="M20" i="31"/>
  <c r="M19" i="31"/>
  <c r="M17" i="31"/>
  <c r="M18" i="31"/>
  <c r="G143" i="31"/>
  <c r="G137" i="31"/>
  <c r="G138" i="31"/>
  <c r="G139" i="31"/>
  <c r="G140" i="31" l="1"/>
  <c r="G141" i="31"/>
  <c r="G142" i="31"/>
  <c r="G144" i="31"/>
  <c r="G145" i="31"/>
  <c r="G148" i="31"/>
  <c r="G149" i="31"/>
  <c r="G150" i="31"/>
  <c r="G151" i="31"/>
  <c r="G152" i="31"/>
  <c r="G153" i="31"/>
  <c r="G154" i="31"/>
  <c r="G155" i="31"/>
  <c r="G156" i="31"/>
  <c r="G157" i="31"/>
  <c r="G158" i="31"/>
  <c r="G160" i="31"/>
  <c r="G161" i="31"/>
  <c r="G162" i="31"/>
  <c r="G163" i="31"/>
  <c r="G164" i="31"/>
  <c r="G165" i="31"/>
  <c r="G166" i="31"/>
  <c r="G167" i="31"/>
  <c r="G168" i="31"/>
  <c r="G169" i="31"/>
  <c r="G136" i="31"/>
  <c r="G130" i="31"/>
  <c r="G131" i="31"/>
  <c r="G132" i="31"/>
  <c r="G133" i="31"/>
  <c r="G113" i="31"/>
  <c r="G39" i="31"/>
  <c r="O7" i="31"/>
  <c r="G88" i="31"/>
  <c r="M16" i="31" l="1"/>
  <c r="M15" i="31"/>
  <c r="G81" i="31"/>
  <c r="L9" i="31"/>
  <c r="G75" i="31"/>
  <c r="L8" i="31"/>
  <c r="G59" i="31"/>
  <c r="G60" i="31"/>
  <c r="G61" i="31"/>
  <c r="G62" i="31"/>
  <c r="G63" i="31"/>
  <c r="G64" i="31"/>
  <c r="G65" i="31"/>
  <c r="G66" i="31"/>
  <c r="G67" i="31"/>
  <c r="G68" i="31"/>
  <c r="G69" i="31"/>
  <c r="G70" i="31"/>
  <c r="G71" i="31"/>
  <c r="G72" i="31"/>
  <c r="G73" i="31"/>
  <c r="G74" i="31"/>
  <c r="G76" i="31"/>
  <c r="G77" i="31"/>
  <c r="G78" i="31"/>
  <c r="G79" i="31"/>
  <c r="G80" i="31"/>
  <c r="G58" i="31"/>
  <c r="L7" i="31"/>
  <c r="F34" i="32"/>
  <c r="F33" i="32"/>
  <c r="F32" i="32"/>
  <c r="F37" i="32" s="1"/>
  <c r="F2" i="32"/>
  <c r="G11" i="31"/>
  <c r="F4" i="32"/>
  <c r="F3" i="32"/>
  <c r="F7" i="32"/>
  <c r="G95" i="31"/>
  <c r="G96" i="31"/>
  <c r="G97" i="31"/>
  <c r="G98" i="31"/>
  <c r="G99" i="31"/>
  <c r="G100" i="31"/>
  <c r="G101" i="31"/>
  <c r="G102" i="31"/>
  <c r="G103" i="31"/>
  <c r="G104" i="31"/>
  <c r="G105" i="31"/>
  <c r="G106" i="31"/>
  <c r="G107" i="31"/>
  <c r="G108" i="31"/>
  <c r="G109" i="31"/>
  <c r="G110" i="31"/>
  <c r="G111" i="31"/>
  <c r="G114" i="31"/>
  <c r="G115" i="31"/>
  <c r="G116" i="31"/>
  <c r="G117" i="31"/>
  <c r="G118" i="31"/>
  <c r="G119" i="31"/>
  <c r="G120" i="31"/>
  <c r="G121" i="31"/>
  <c r="G122" i="31"/>
  <c r="G123" i="31"/>
  <c r="G124" i="31"/>
  <c r="G125" i="31"/>
  <c r="G126" i="31"/>
  <c r="G127" i="31"/>
  <c r="G128" i="31"/>
  <c r="G129" i="31"/>
  <c r="G134" i="31"/>
  <c r="G135" i="31"/>
  <c r="G34" i="31"/>
  <c r="G35" i="31"/>
  <c r="G37" i="31"/>
  <c r="G38" i="31"/>
  <c r="G40" i="31"/>
  <c r="G41" i="31"/>
  <c r="G42" i="31"/>
  <c r="G43" i="31"/>
  <c r="G44" i="31"/>
  <c r="G45" i="31"/>
  <c r="G46" i="31"/>
  <c r="G47" i="31"/>
  <c r="G48" i="31"/>
  <c r="G49" i="31"/>
  <c r="G50" i="31"/>
  <c r="G52" i="31"/>
  <c r="G53" i="31"/>
  <c r="G54" i="31"/>
  <c r="G55" i="31"/>
  <c r="G56" i="31"/>
  <c r="G57" i="31"/>
  <c r="G82" i="31"/>
  <c r="G83" i="31"/>
  <c r="G84" i="31"/>
  <c r="G85" i="31"/>
  <c r="G86" i="31"/>
  <c r="G87" i="31"/>
  <c r="G89" i="31"/>
  <c r="G90" i="31"/>
  <c r="G91" i="31"/>
  <c r="G92" i="31"/>
  <c r="G93" i="31"/>
  <c r="G94" i="31"/>
  <c r="G33" i="31"/>
  <c r="G32" i="31"/>
  <c r="G5" i="31"/>
  <c r="G6" i="31"/>
  <c r="G7" i="31"/>
  <c r="G8" i="31"/>
  <c r="G9" i="31"/>
  <c r="G10" i="31"/>
  <c r="G12" i="31"/>
  <c r="G13" i="31"/>
  <c r="G14" i="31"/>
  <c r="G15" i="31"/>
  <c r="G16" i="31"/>
  <c r="G17" i="31"/>
  <c r="G18" i="31"/>
  <c r="G19" i="31"/>
  <c r="G20" i="31"/>
  <c r="G21" i="31"/>
  <c r="G4" i="31"/>
  <c r="L16" i="4"/>
  <c r="K16" i="4"/>
  <c r="J16" i="4"/>
  <c r="L15" i="4"/>
  <c r="K15" i="4"/>
  <c r="J15" i="4"/>
  <c r="L14" i="4"/>
  <c r="K14" i="4"/>
  <c r="J14" i="4"/>
  <c r="J13" i="4"/>
  <c r="K13" i="4"/>
  <c r="L13" i="4"/>
  <c r="L12" i="4"/>
  <c r="K12" i="4"/>
  <c r="J12" i="4"/>
  <c r="E17" i="20"/>
  <c r="D17"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 i="20"/>
  <c r="L11" i="4"/>
  <c r="K11" i="4"/>
  <c r="J11" i="4"/>
  <c r="I2" i="31" l="1"/>
  <c r="M14" i="31"/>
  <c r="M13" i="31"/>
  <c r="M12" i="31"/>
  <c r="M11" i="31"/>
  <c r="M10" i="31"/>
  <c r="M8" i="31"/>
  <c r="M9" i="31"/>
  <c r="M7" i="31" l="1"/>
  <c r="M34" i="31" l="1"/>
  <c r="L10" i="4"/>
  <c r="K10" i="4"/>
  <c r="L9" i="4"/>
  <c r="K9" i="4"/>
  <c r="J9" i="4"/>
  <c r="J10" i="4"/>
  <c r="L8" i="4" l="1"/>
  <c r="K8" i="4"/>
  <c r="J8" i="4"/>
  <c r="L7" i="4"/>
  <c r="K7" i="4"/>
  <c r="J7" i="4"/>
  <c r="L6" i="4"/>
  <c r="K6" i="4"/>
  <c r="J6" i="4"/>
  <c r="L5" i="4"/>
  <c r="K5" i="4"/>
  <c r="J5" i="4"/>
  <c r="L4" i="4"/>
  <c r="J4" i="4"/>
  <c r="K4" i="4"/>
  <c r="C27" i="8"/>
  <c r="C26" i="8"/>
  <c r="C25" i="8"/>
  <c r="C24" i="8"/>
  <c r="C23" i="8"/>
  <c r="J583" i="1" a="1"/>
  <c r="J528" i="1" a="1"/>
  <c r="J576" i="1" a="1"/>
  <c r="J534" i="1" a="1"/>
  <c r="J571" i="1" a="1"/>
  <c r="J626" i="1" a="1"/>
  <c r="J628" i="1" a="1"/>
  <c r="J627" i="1" a="1"/>
  <c r="J534" i="1" l="1"/>
  <c r="J576" i="1"/>
  <c r="J628" i="1"/>
  <c r="J571" i="1"/>
  <c r="J627" i="1"/>
  <c r="J583" i="1"/>
  <c r="J528" i="1"/>
  <c r="C29" i="8"/>
  <c r="J626" i="1"/>
  <c r="D244" i="6"/>
  <c r="D257" i="6"/>
  <c r="D256" i="6"/>
  <c r="D255" i="6"/>
  <c r="D254" i="6"/>
  <c r="D253" i="6"/>
  <c r="D252" i="6"/>
  <c r="D251" i="6"/>
  <c r="D250" i="6"/>
  <c r="D249" i="6"/>
  <c r="D199" i="7"/>
  <c r="D198" i="7"/>
  <c r="D197" i="7"/>
  <c r="D196" i="7"/>
  <c r="D195" i="7"/>
  <c r="D194" i="7"/>
  <c r="D193" i="7"/>
  <c r="D192" i="7"/>
  <c r="D234" i="6"/>
  <c r="D235" i="6"/>
  <c r="D236" i="6"/>
  <c r="D237" i="6"/>
  <c r="D238" i="6"/>
  <c r="D239" i="6"/>
  <c r="D240" i="6"/>
  <c r="D241" i="6"/>
  <c r="D242" i="6"/>
  <c r="D243" i="6"/>
  <c r="D245" i="6"/>
  <c r="D246" i="6"/>
  <c r="D247" i="6"/>
  <c r="D210" i="6"/>
  <c r="D211" i="6"/>
  <c r="D212" i="6"/>
  <c r="D213" i="6"/>
  <c r="D214" i="6"/>
  <c r="D215" i="6"/>
  <c r="D216" i="6"/>
  <c r="D217" i="6"/>
  <c r="D218" i="6"/>
  <c r="D219" i="6"/>
  <c r="D220" i="6"/>
  <c r="D221" i="6"/>
  <c r="D222" i="6"/>
  <c r="D223" i="6"/>
  <c r="D224" i="6"/>
  <c r="D225" i="6"/>
  <c r="D226" i="6"/>
  <c r="D227" i="6"/>
  <c r="D228" i="6"/>
  <c r="D229" i="6"/>
  <c r="D230" i="6"/>
  <c r="D231" i="6"/>
  <c r="D232" i="6"/>
  <c r="D233" i="6"/>
  <c r="D186" i="6"/>
  <c r="D187" i="6"/>
  <c r="D188" i="6"/>
  <c r="D189" i="6"/>
  <c r="D190" i="6"/>
  <c r="D191" i="6"/>
  <c r="D192" i="6"/>
  <c r="D193" i="6"/>
  <c r="D194" i="6"/>
  <c r="D195" i="6"/>
  <c r="D196" i="6"/>
  <c r="D197" i="6"/>
  <c r="D198" i="6"/>
  <c r="D199" i="6"/>
  <c r="D200" i="6"/>
  <c r="D201" i="6"/>
  <c r="D202" i="6"/>
  <c r="D203" i="6"/>
  <c r="D204" i="6"/>
  <c r="D205" i="6"/>
  <c r="D206" i="6"/>
  <c r="D207" i="6"/>
  <c r="D208" i="6"/>
  <c r="D209" i="6"/>
  <c r="D185"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96" i="6"/>
  <c r="D79" i="6"/>
  <c r="D80" i="6"/>
  <c r="D81" i="6"/>
  <c r="D82" i="6"/>
  <c r="D83" i="6"/>
  <c r="D84" i="6"/>
  <c r="D85" i="6"/>
  <c r="D86" i="6"/>
  <c r="D87" i="6"/>
  <c r="D88" i="6"/>
  <c r="D89" i="6"/>
  <c r="D90" i="6"/>
  <c r="D91" i="6"/>
  <c r="D92" i="6"/>
  <c r="D93" i="6"/>
  <c r="D94" i="6"/>
  <c r="D53" i="6"/>
  <c r="D54" i="6"/>
  <c r="D55" i="6"/>
  <c r="D56" i="6"/>
  <c r="D57" i="6"/>
  <c r="D58" i="6"/>
  <c r="D59" i="6"/>
  <c r="D60" i="6"/>
  <c r="D61" i="6"/>
  <c r="D62" i="6"/>
  <c r="D63" i="6"/>
  <c r="D64" i="6"/>
  <c r="D65" i="6"/>
  <c r="D66" i="6"/>
  <c r="D67" i="6"/>
  <c r="D68" i="6"/>
  <c r="D69" i="6"/>
  <c r="D70" i="6"/>
  <c r="D71" i="6"/>
  <c r="D72" i="6"/>
  <c r="D73" i="6"/>
  <c r="D74" i="6"/>
  <c r="D75" i="6"/>
  <c r="D76" i="6"/>
  <c r="D77" i="6"/>
  <c r="D78" i="6"/>
  <c r="D27" i="6"/>
  <c r="D28" i="6"/>
  <c r="D29" i="6"/>
  <c r="D30" i="6"/>
  <c r="D31" i="6"/>
  <c r="D32" i="6"/>
  <c r="D33" i="6"/>
  <c r="D34" i="6"/>
  <c r="D35" i="6"/>
  <c r="D36" i="6"/>
  <c r="D37" i="6"/>
  <c r="D38" i="6"/>
  <c r="D39" i="6"/>
  <c r="D40" i="6"/>
  <c r="D41" i="6"/>
  <c r="D42" i="6"/>
  <c r="D43" i="6"/>
  <c r="D44" i="6"/>
  <c r="D45" i="6"/>
  <c r="D46" i="6"/>
  <c r="D47" i="6"/>
  <c r="D48" i="6"/>
  <c r="D49" i="6"/>
  <c r="D50" i="6"/>
  <c r="D51" i="6"/>
  <c r="D52" i="6"/>
  <c r="D3" i="6"/>
  <c r="D4" i="6"/>
  <c r="D5" i="6"/>
  <c r="D6" i="6"/>
  <c r="D7" i="6"/>
  <c r="D8" i="6"/>
  <c r="D9" i="6"/>
  <c r="D10" i="6"/>
  <c r="D11" i="6"/>
  <c r="D12" i="6"/>
  <c r="D13" i="6"/>
  <c r="D14" i="6"/>
  <c r="D15" i="6"/>
  <c r="D16" i="6"/>
  <c r="D17" i="6"/>
  <c r="D18" i="6"/>
  <c r="D19" i="6"/>
  <c r="D20" i="6"/>
  <c r="D21" i="6"/>
  <c r="D22" i="6"/>
  <c r="D23" i="6"/>
  <c r="D24" i="6"/>
  <c r="D25" i="6"/>
  <c r="D26" i="6"/>
  <c r="D2" i="6"/>
  <c r="D187" i="7"/>
  <c r="D188" i="7"/>
  <c r="D189" i="7"/>
  <c r="D190" i="7"/>
  <c r="D178" i="7"/>
  <c r="D179" i="7"/>
  <c r="D180" i="7"/>
  <c r="D181" i="7"/>
  <c r="D182" i="7"/>
  <c r="D183" i="7"/>
  <c r="D184" i="7"/>
  <c r="D186"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48" i="7"/>
  <c r="D141" i="7"/>
  <c r="D142" i="7"/>
  <c r="D143" i="7"/>
  <c r="D144" i="7"/>
  <c r="D145" i="7"/>
  <c r="D146"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09" i="7"/>
  <c r="D98" i="7"/>
  <c r="D99" i="7"/>
  <c r="D100" i="7"/>
  <c r="D101" i="7"/>
  <c r="D102" i="7"/>
  <c r="D103" i="7"/>
  <c r="D104" i="7"/>
  <c r="D105" i="7"/>
  <c r="D106" i="7"/>
  <c r="D107" i="7"/>
  <c r="D73" i="7"/>
  <c r="D74" i="7"/>
  <c r="D75" i="7"/>
  <c r="D76" i="7"/>
  <c r="D77" i="7"/>
  <c r="D78" i="7"/>
  <c r="D79" i="7"/>
  <c r="D80" i="7"/>
  <c r="D81" i="7"/>
  <c r="D82" i="7"/>
  <c r="D83" i="7"/>
  <c r="D84" i="7"/>
  <c r="D85" i="7"/>
  <c r="D86" i="7"/>
  <c r="D87" i="7"/>
  <c r="D88" i="7"/>
  <c r="D89" i="7"/>
  <c r="D90" i="7"/>
  <c r="D91" i="7"/>
  <c r="D92" i="7"/>
  <c r="D93" i="7"/>
  <c r="D94" i="7"/>
  <c r="D95" i="7"/>
  <c r="D96" i="7"/>
  <c r="D97" i="7"/>
  <c r="D72"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39" i="7"/>
  <c r="D35" i="7"/>
  <c r="D36" i="7"/>
  <c r="D37" i="7"/>
  <c r="D3" i="7"/>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2" i="7"/>
  <c r="C145" i="6"/>
  <c r="C146" i="6"/>
  <c r="C147" i="6"/>
  <c r="J52" i="1" a="1"/>
  <c r="J604" i="1" a="1"/>
  <c r="J189" i="1" a="1"/>
  <c r="J625" i="1" a="1"/>
  <c r="J407" i="1" a="1"/>
  <c r="J154" i="1" a="1"/>
  <c r="J49" i="1" a="1"/>
  <c r="J36" i="1" a="1"/>
  <c r="J102" i="1" a="1"/>
  <c r="J457" i="1" a="1"/>
  <c r="J598" i="1" a="1"/>
  <c r="J535" i="1" a="1"/>
  <c r="J364" i="1" a="1"/>
  <c r="J328" i="1" a="1"/>
  <c r="J256" i="1" a="1"/>
  <c r="J470" i="1" a="1"/>
  <c r="J144" i="1" a="1"/>
  <c r="J596" i="1" a="1"/>
  <c r="J589" i="1" a="1"/>
  <c r="J69" i="1" a="1"/>
  <c r="J409" i="1" a="1"/>
  <c r="J514" i="1" a="1"/>
  <c r="J50" i="1" a="1"/>
  <c r="J374" i="1" a="1"/>
  <c r="J459" i="1" a="1"/>
  <c r="J389" i="1" a="1"/>
  <c r="J195" i="1" a="1"/>
  <c r="J507" i="1" a="1"/>
  <c r="J425" i="1" a="1"/>
  <c r="J184" i="1" a="1"/>
  <c r="J219" i="1" a="1"/>
  <c r="J550" i="1" a="1"/>
  <c r="J285" i="1" a="1"/>
  <c r="J132" i="1" a="1"/>
  <c r="J18" i="1" a="1"/>
  <c r="J431" i="1" a="1"/>
  <c r="J414" i="1" a="1"/>
  <c r="J84" i="1" a="1"/>
  <c r="J357" i="1" a="1"/>
  <c r="J53" i="1" a="1"/>
  <c r="J22" i="1" a="1"/>
  <c r="J433" i="1" a="1"/>
  <c r="J188" i="1" a="1"/>
  <c r="J478" i="1" a="1"/>
  <c r="J504" i="1" a="1"/>
  <c r="J274" i="1" a="1"/>
  <c r="J179" i="1" a="1"/>
  <c r="J508" i="1" a="1"/>
  <c r="J515" i="1" a="1"/>
  <c r="J361" i="1" a="1"/>
  <c r="J307" i="1" a="1"/>
  <c r="J311" i="1" a="1"/>
  <c r="J594" i="1" a="1"/>
  <c r="J146" i="1" a="1"/>
  <c r="J612" i="1" a="1"/>
  <c r="J63" i="1" a="1"/>
  <c r="J356" i="1" a="1"/>
  <c r="J212" i="1" a="1"/>
  <c r="J156" i="1" a="1"/>
  <c r="J553" i="1" a="1"/>
  <c r="J367" i="1" a="1"/>
  <c r="J173" i="1" a="1"/>
  <c r="J238" i="1" a="1"/>
  <c r="J128" i="1" a="1"/>
  <c r="J209" i="1" a="1"/>
  <c r="J372" i="1" a="1"/>
  <c r="J309" i="1" a="1"/>
  <c r="J28" i="1" a="1"/>
  <c r="J204" i="1" a="1"/>
  <c r="J47" i="1" a="1"/>
  <c r="J276" i="1" a="1"/>
  <c r="J232" i="1" a="1"/>
  <c r="J375" i="1" a="1"/>
  <c r="J428" i="1" a="1"/>
  <c r="J403" i="1" a="1"/>
  <c r="J607" i="1" a="1"/>
  <c r="J268" i="1" a="1"/>
  <c r="J231" i="1" a="1"/>
  <c r="J106" i="1" a="1"/>
  <c r="J341" i="1" a="1"/>
  <c r="J418" i="1" a="1"/>
  <c r="J165" i="1" a="1"/>
  <c r="J579" i="1" a="1"/>
  <c r="J336" i="1" a="1"/>
  <c r="J169" i="1" a="1"/>
  <c r="J546" i="1" a="1"/>
  <c r="J327" i="1" a="1"/>
  <c r="J121" i="1" a="1"/>
  <c r="J398" i="1" a="1"/>
  <c r="J338" i="1" a="1"/>
  <c r="J465" i="1" a="1"/>
  <c r="J286" i="1" a="1"/>
  <c r="J287" i="1" a="1"/>
  <c r="J117" i="1" a="1"/>
  <c r="J134" i="1" a="1"/>
  <c r="J432" i="1" a="1"/>
  <c r="J235" i="1" a="1"/>
  <c r="J24" i="1" a="1"/>
  <c r="J521" i="1" a="1"/>
  <c r="J502" i="1" a="1"/>
  <c r="J109" i="1" a="1"/>
  <c r="J358" i="1" a="1"/>
  <c r="J517" i="1" a="1"/>
  <c r="J449" i="1" a="1"/>
  <c r="J200" i="1" a="1"/>
  <c r="J133" i="1" a="1"/>
  <c r="J230" i="1" a="1"/>
  <c r="J345" i="1" a="1"/>
  <c r="J257" i="1" a="1"/>
  <c r="J437" i="1" a="1"/>
  <c r="J265" i="1" a="1"/>
  <c r="J227" i="1" a="1"/>
  <c r="J451" i="1" a="1"/>
  <c r="J221" i="1" a="1"/>
  <c r="J429" i="1" a="1"/>
  <c r="J624" i="1" a="1"/>
  <c r="J168" i="1" a="1"/>
  <c r="J365" i="1" a="1"/>
  <c r="J112" i="1" a="1"/>
  <c r="J305" i="1" a="1"/>
  <c r="J100" i="1" a="1"/>
  <c r="J519" i="1" a="1"/>
  <c r="J178" i="1" a="1"/>
  <c r="J344" i="1" a="1"/>
  <c r="J163" i="1" a="1"/>
  <c r="J316" i="1" a="1"/>
  <c r="J613" i="1" a="1"/>
  <c r="J139" i="1" a="1"/>
  <c r="J282" i="1" a="1"/>
  <c r="J352" i="1" a="1"/>
  <c r="J312" i="1" a="1"/>
  <c r="J182" i="1" a="1"/>
  <c r="J218" i="1" a="1"/>
  <c r="J72" i="1" a="1"/>
  <c r="J383" i="1" a="1"/>
  <c r="J619" i="1" a="1"/>
  <c r="J488" i="1" a="1"/>
  <c r="J496" i="1" a="1"/>
  <c r="J108" i="1" a="1"/>
  <c r="J319" i="1" a="1"/>
  <c r="J149" i="1" a="1"/>
  <c r="J113" i="1" a="1"/>
  <c r="J616" i="1" a="1"/>
  <c r="J595" i="1" a="1"/>
  <c r="J271" i="1" a="1"/>
  <c r="J438" i="1" a="1"/>
  <c r="J332" i="1" a="1"/>
  <c r="J453" i="1" a="1"/>
  <c r="J88" i="1" a="1"/>
  <c r="J326" i="1" a="1"/>
  <c r="J136" i="1" a="1"/>
  <c r="J39" i="1" a="1"/>
  <c r="J601" i="1" a="1"/>
  <c r="J243" i="1" a="1"/>
  <c r="J16" i="1" a="1"/>
  <c r="J5" i="1" a="1"/>
  <c r="J92" i="1" a="1"/>
  <c r="J560" i="1" a="1"/>
  <c r="J445" i="1" a="1"/>
  <c r="J325" i="1" a="1"/>
  <c r="J526" i="1" a="1"/>
  <c r="J159" i="1" a="1"/>
  <c r="J247" i="1" a="1"/>
  <c r="J562" i="1" a="1"/>
  <c r="J484" i="1" a="1"/>
  <c r="J347" i="1" a="1"/>
  <c r="J587" i="1" a="1"/>
  <c r="J283" i="1" a="1"/>
  <c r="J33" i="1" a="1"/>
  <c r="J435" i="1" a="1"/>
  <c r="J302" i="1" a="1"/>
  <c r="J80" i="1" a="1"/>
  <c r="J21" i="1" a="1"/>
  <c r="J539" i="1" a="1"/>
  <c r="J530" i="1" a="1"/>
  <c r="J527" i="1" a="1"/>
  <c r="J66" i="1" a="1"/>
  <c r="J512" i="1" a="1"/>
  <c r="J197" i="1" a="1"/>
  <c r="J370" i="1" a="1"/>
  <c r="J140" i="1" a="1"/>
  <c r="J420" i="1" a="1"/>
  <c r="J77" i="1" a="1"/>
  <c r="J491" i="1" a="1"/>
  <c r="J318" i="1" a="1"/>
  <c r="J321" i="1" a="1"/>
  <c r="J406" i="1" a="1"/>
  <c r="J237" i="1" a="1"/>
  <c r="J3" i="1" a="1"/>
  <c r="J555" i="1" a="1"/>
  <c r="J379" i="1" a="1"/>
  <c r="J42" i="1" a="1"/>
  <c r="J355" i="1" a="1"/>
  <c r="J570" i="1" a="1"/>
  <c r="J198" i="1" a="1"/>
  <c r="J561" i="1" a="1"/>
  <c r="J17" i="1" a="1"/>
  <c r="J331" i="1" a="1"/>
  <c r="J436" i="1" a="1"/>
  <c r="J585" i="1" a="1"/>
  <c r="J393" i="1" a="1"/>
  <c r="J363" i="1" a="1"/>
  <c r="J253" i="1" a="1"/>
  <c r="J467" i="1" a="1"/>
  <c r="J339" i="1" a="1"/>
  <c r="J492" i="1" a="1"/>
  <c r="J301" i="1" a="1"/>
  <c r="J103" i="1" a="1"/>
  <c r="J157" i="1" a="1"/>
  <c r="J366" i="1" a="1"/>
  <c r="J373" i="1" a="1"/>
  <c r="J410" i="1" a="1"/>
  <c r="J456" i="1" a="1"/>
  <c r="J452" i="1" a="1"/>
  <c r="J419" i="1" a="1"/>
  <c r="J110" i="1" a="1"/>
  <c r="J460" i="1" a="1"/>
  <c r="J192" i="1" a="1"/>
  <c r="J593" i="1" a="1"/>
  <c r="J270" i="1" a="1"/>
  <c r="J618" i="1" a="1"/>
  <c r="J391" i="1" a="1"/>
  <c r="J359" i="1" a="1"/>
  <c r="J263" i="1" a="1"/>
  <c r="J196" i="1" a="1"/>
  <c r="J611" i="1" a="1"/>
  <c r="J284" i="1" a="1"/>
  <c r="J505" i="1" a="1"/>
  <c r="J254" i="1" a="1"/>
  <c r="J552" i="1" a="1"/>
  <c r="J346" i="1" a="1"/>
  <c r="J296" i="1" a="1"/>
  <c r="J73" i="1" a="1"/>
  <c r="J606" i="1" a="1"/>
  <c r="J568" i="1" a="1"/>
  <c r="J476" i="1" a="1"/>
  <c r="J581" i="1" a="1"/>
  <c r="J335" i="1" a="1"/>
  <c r="J350" i="1" a="1"/>
  <c r="J461" i="1" a="1"/>
  <c r="J482" i="1" a="1"/>
  <c r="J486" i="1" a="1"/>
  <c r="J64" i="1" a="1"/>
  <c r="J29" i="1" a="1"/>
  <c r="J499" i="1" a="1"/>
  <c r="J402" i="1" a="1"/>
  <c r="J267" i="1" a="1"/>
  <c r="J249" i="1" a="1"/>
  <c r="J248" i="1" a="1"/>
  <c r="J206" i="1" a="1"/>
  <c r="J487" i="1" a="1"/>
  <c r="J404" i="1" a="1"/>
  <c r="J9" i="1" a="1"/>
  <c r="J578" i="1" a="1"/>
  <c r="J304" i="1" a="1"/>
  <c r="J116" i="1" a="1"/>
  <c r="J506" i="1" a="1"/>
  <c r="J94" i="1" a="1"/>
  <c r="J303" i="1" a="1"/>
  <c r="J59" i="1" a="1"/>
  <c r="J12" i="1" a="1"/>
  <c r="J615" i="1" a="1"/>
  <c r="J306" i="1" a="1"/>
  <c r="J462" i="1" a="1"/>
  <c r="J118" i="1" a="1"/>
  <c r="J540" i="1" a="1"/>
  <c r="J572" i="1" a="1"/>
  <c r="J501" i="1" a="1"/>
  <c r="J592" i="1" a="1"/>
  <c r="J96" i="1" a="1"/>
  <c r="J90" i="1" a="1"/>
  <c r="J239" i="1" a="1"/>
  <c r="J448" i="1" a="1"/>
  <c r="J101" i="1" a="1"/>
  <c r="J67" i="1" a="1"/>
  <c r="J30" i="1" a="1"/>
  <c r="J289" i="1" a="1"/>
  <c r="J162" i="1" a="1"/>
  <c r="J240" i="1" a="1"/>
  <c r="J485" i="1" a="1"/>
  <c r="J565" i="1" a="1"/>
  <c r="J337" i="1" a="1"/>
  <c r="J89" i="1" a="1"/>
  <c r="J566" i="1" a="1"/>
  <c r="J176" i="1" a="1"/>
  <c r="J191" i="1" a="1"/>
  <c r="J104" i="1" a="1"/>
  <c r="J250" i="1" a="1"/>
  <c r="J545" i="1" a="1"/>
  <c r="J15" i="1" a="1"/>
  <c r="J74" i="1" a="1"/>
  <c r="J244" i="1" a="1"/>
  <c r="J415" i="1" a="1"/>
  <c r="J38" i="1" a="1"/>
  <c r="J525" i="1" a="1"/>
  <c r="J463" i="1" a="1"/>
  <c r="J261" i="1" a="1"/>
  <c r="J280" i="1" a="1"/>
  <c r="J60" i="1" a="1"/>
  <c r="J522" i="1" a="1"/>
  <c r="J473" i="1" a="1"/>
  <c r="J160" i="1" a="1"/>
  <c r="J584" i="1" a="1"/>
  <c r="J564" i="1" a="1"/>
  <c r="J275" i="1" a="1"/>
  <c r="J392" i="1" a="1"/>
  <c r="J416" i="1" a="1"/>
  <c r="J174" i="1" a="1"/>
  <c r="J440" i="1" a="1"/>
  <c r="J475" i="1" a="1"/>
  <c r="J447" i="1" a="1"/>
  <c r="J622" i="1" a="1"/>
  <c r="J272" i="1" a="1"/>
  <c r="J575" i="1" a="1"/>
  <c r="J510" i="1" a="1"/>
  <c r="J19" i="1" a="1"/>
  <c r="J430" i="1" a="1"/>
  <c r="J362" i="1" a="1"/>
  <c r="J620" i="1" a="1"/>
  <c r="J183" i="1" a="1"/>
  <c r="J541" i="1" a="1"/>
  <c r="J554" i="1" a="1"/>
  <c r="J81" i="1" a="1"/>
  <c r="J516" i="1" a="1"/>
  <c r="J454" i="1" a="1"/>
  <c r="J500" i="1" a="1"/>
  <c r="J623" i="1" a="1"/>
  <c r="J31" i="1" a="1"/>
  <c r="J111" i="1" a="1"/>
  <c r="J434" i="1" a="1"/>
  <c r="J293" i="1" a="1"/>
  <c r="J386" i="1" a="1"/>
  <c r="J245" i="1" a="1"/>
  <c r="J371" i="1" a="1"/>
  <c r="J120" i="1" a="1"/>
  <c r="J224" i="1" a="1"/>
  <c r="J551" i="1" a="1"/>
  <c r="J413" i="1" a="1"/>
  <c r="J152" i="1" a="1"/>
  <c r="J175" i="1" a="1"/>
  <c r="J20" i="1" a="1"/>
  <c r="J474" i="1" a="1"/>
  <c r="J314" i="1" a="1"/>
  <c r="J441" i="1" a="1"/>
  <c r="J234" i="1" a="1"/>
  <c r="J56" i="1" a="1"/>
  <c r="J427" i="1" a="1"/>
  <c r="J300" i="1" a="1"/>
  <c r="J86" i="1" a="1"/>
  <c r="J426" i="1" a="1"/>
  <c r="J423" i="1" a="1"/>
  <c r="J233" i="1" a="1"/>
  <c r="J455" i="1" a="1"/>
  <c r="J493" i="1" a="1"/>
  <c r="J342" i="1" a="1"/>
  <c r="J85" i="1" a="1"/>
  <c r="J559" i="1" a="1"/>
  <c r="J590" i="1" a="1"/>
  <c r="J186" i="1" a="1"/>
  <c r="J225" i="1" a="1"/>
  <c r="J214" i="1" a="1"/>
  <c r="J76" i="1" a="1"/>
  <c r="J444" i="1" a="1"/>
  <c r="J27" i="1" a="1"/>
  <c r="J167" i="1" a="1"/>
  <c r="J290" i="1" a="1"/>
  <c r="J442" i="1" a="1"/>
  <c r="J324" i="1" a="1"/>
  <c r="J602" i="1" a="1"/>
  <c r="J513" i="1" a="1"/>
  <c r="J532" i="1" a="1"/>
  <c r="J87" i="1" a="1"/>
  <c r="J119" i="1" a="1"/>
  <c r="J573" i="1" a="1"/>
  <c r="J241" i="1" a="1"/>
  <c r="J544" i="1" a="1"/>
  <c r="J215" i="1" a="1"/>
  <c r="J155" i="1" a="1"/>
  <c r="J281" i="1" a="1"/>
  <c r="J489" i="1" a="1"/>
  <c r="J252" i="1" a="1"/>
  <c r="J288" i="1" a="1"/>
  <c r="J400" i="1" a="1"/>
  <c r="J122" i="1" a="1"/>
  <c r="J147" i="1" a="1"/>
  <c r="J220" i="1" a="1"/>
  <c r="J480" i="1" a="1"/>
  <c r="J279" i="1" a="1"/>
  <c r="J172" i="1" a="1"/>
  <c r="J518" i="1" a="1"/>
  <c r="J181" i="1" a="1"/>
  <c r="J137" i="1" a="1"/>
  <c r="J23" i="1" a="1"/>
  <c r="J567" i="1" a="1"/>
  <c r="J145" i="1" a="1"/>
  <c r="J396" i="1" a="1"/>
  <c r="J408" i="1" a="1"/>
  <c r="J170" i="1" a="1"/>
  <c r="J236" i="1" a="1"/>
  <c r="J446" i="1" a="1"/>
  <c r="J548" i="1" a="1"/>
  <c r="J135" i="1" a="1"/>
  <c r="J143" i="1" a="1"/>
  <c r="J563" i="1" a="1"/>
  <c r="J6" i="1" a="1"/>
  <c r="J35" i="1" a="1"/>
  <c r="J333" i="1" a="1"/>
  <c r="J213" i="1" a="1"/>
  <c r="J51" i="1" a="1"/>
  <c r="J148" i="1" a="1"/>
  <c r="J217" i="1" a="1"/>
  <c r="J98" i="1" a="1"/>
  <c r="J4" i="1" a="1"/>
  <c r="J208" i="1" a="1"/>
  <c r="J343" i="1" a="1"/>
  <c r="J216" i="1" a="1"/>
  <c r="J322" i="1" a="1"/>
  <c r="J351" i="1" a="1"/>
  <c r="J177" i="1" a="1"/>
  <c r="J258" i="1" a="1"/>
  <c r="J25" i="1" a="1"/>
  <c r="J44" i="1" a="1"/>
  <c r="J55" i="1" a="1"/>
  <c r="J556" i="1" a="1"/>
  <c r="J123" i="1" a="1"/>
  <c r="J34" i="1" a="1"/>
  <c r="J246" i="1" a="1"/>
  <c r="J194" i="1" a="1"/>
  <c r="J412" i="1" a="1"/>
  <c r="J43" i="1" a="1"/>
  <c r="J340" i="1" a="1"/>
  <c r="J494" i="1" a="1"/>
  <c r="J158" i="1" a="1"/>
  <c r="J466" i="1" a="1"/>
  <c r="J68" i="1" a="1"/>
  <c r="J180" i="1" a="1"/>
  <c r="J150" i="1" a="1"/>
  <c r="J7" i="1" a="1"/>
  <c r="J399" i="1" a="1"/>
  <c r="J600" i="1" a="1"/>
  <c r="J151" i="1" a="1"/>
  <c r="J141" i="1" a="1"/>
  <c r="J603" i="1" a="1"/>
  <c r="J259" i="1" a="1"/>
  <c r="J297" i="1" a="1"/>
  <c r="J422" i="1" a="1"/>
  <c r="J591" i="1" a="1"/>
  <c r="J207" i="1" a="1"/>
  <c r="J166" i="1" a="1"/>
  <c r="J115" i="1" a="1"/>
  <c r="J294" i="1" a="1"/>
  <c r="J295" i="1" a="1"/>
  <c r="J262" i="1" a="1"/>
  <c r="J450" i="1" a="1"/>
  <c r="J185" i="1" a="1"/>
  <c r="J477" i="1" a="1"/>
  <c r="J48" i="1" a="1"/>
  <c r="J609" i="1" a="1"/>
  <c r="J308" i="1" a="1"/>
  <c r="J574" i="1" a="1"/>
  <c r="J199" i="1" a="1"/>
  <c r="J26" i="1" a="1"/>
  <c r="J278" i="1" a="1"/>
  <c r="J381" i="1" a="1"/>
  <c r="J387" i="1" a="1"/>
  <c r="J187" i="1" a="1"/>
  <c r="J292" i="1" a="1"/>
  <c r="J557" i="1" a="1"/>
  <c r="J458" i="1" a="1"/>
  <c r="J329" i="1" a="1"/>
  <c r="J376" i="1" a="1"/>
  <c r="J62" i="1" a="1"/>
  <c r="J71" i="1" a="1"/>
  <c r="J97" i="1" a="1"/>
  <c r="J464" i="1" a="1"/>
  <c r="J394" i="1" a="1"/>
  <c r="J83" i="1" a="1"/>
  <c r="J617" i="1" a="1"/>
  <c r="J127" i="1" a="1"/>
  <c r="J385" i="1" a="1"/>
  <c r="J126" i="1" a="1"/>
  <c r="J377" i="1" a="1"/>
  <c r="J266" i="1" a="1"/>
  <c r="J75" i="1" a="1"/>
  <c r="J202" i="1" a="1"/>
  <c r="J37" i="1" a="1"/>
  <c r="J190" i="1" a="1"/>
  <c r="J577" i="1" a="1"/>
  <c r="J549" i="1" a="1"/>
  <c r="J201" i="1" a="1"/>
  <c r="J354" i="1" a="1"/>
  <c r="J468" i="1" a="1"/>
  <c r="J269" i="1" a="1"/>
  <c r="J193" i="1" a="1"/>
  <c r="J138" i="1" a="1"/>
  <c r="J330" i="1" a="1"/>
  <c r="J8" i="1" a="1"/>
  <c r="J538" i="1" a="1"/>
  <c r="J472" i="1" a="1"/>
  <c r="J129" i="1" a="1"/>
  <c r="J537" i="1" a="1"/>
  <c r="J58" i="1" a="1"/>
  <c r="J291" i="1" a="1"/>
  <c r="J65" i="1" a="1"/>
  <c r="J131" i="1" a="1"/>
  <c r="J130" i="1" a="1"/>
  <c r="J32" i="1" a="1"/>
  <c r="J310" i="1" a="1"/>
  <c r="J498" i="1" a="1"/>
  <c r="J251" i="1" a="1"/>
  <c r="J542" i="1" a="1"/>
  <c r="J588" i="1" a="1"/>
  <c r="J61" i="1" a="1"/>
  <c r="J503" i="1" a="1"/>
  <c r="J124" i="1" a="1"/>
  <c r="J520" i="1" a="1"/>
  <c r="J397" i="1" a="1"/>
  <c r="J597" i="1" a="1"/>
  <c r="J317" i="1" a="1"/>
  <c r="J490" i="1" a="1"/>
  <c r="J226" i="1" a="1"/>
  <c r="J14" i="1" a="1"/>
  <c r="J610" i="1" a="1"/>
  <c r="J443" i="1" a="1"/>
  <c r="J54" i="1" a="1"/>
  <c r="J260" i="1" a="1"/>
  <c r="J421" i="1" a="1"/>
  <c r="J543" i="1" a="1"/>
  <c r="J41" i="1" a="1"/>
  <c r="J203" i="1" a="1"/>
  <c r="J13" i="1" a="1"/>
  <c r="J313" i="1" a="1"/>
  <c r="J469" i="1" a="1"/>
  <c r="J211" i="1" a="1"/>
  <c r="J264" i="1" a="1"/>
  <c r="J142" i="1" a="1"/>
  <c r="J349" i="1" a="1"/>
  <c r="J95" i="1" a="1"/>
  <c r="J417" i="1" a="1"/>
  <c r="J384" i="1" a="1"/>
  <c r="J378" i="1" a="1"/>
  <c r="J424" i="1" a="1"/>
  <c r="J299" i="1" a="1"/>
  <c r="J242" i="1" a="1"/>
  <c r="J11" i="1" a="1"/>
  <c r="J323" i="1" a="1"/>
  <c r="J105" i="1" a="1"/>
  <c r="J255" i="1" a="1"/>
  <c r="J509" i="1" a="1"/>
  <c r="J395" i="1" a="1"/>
  <c r="J582" i="1" a="1"/>
  <c r="J586" i="1" a="1"/>
  <c r="J99" i="1" a="1"/>
  <c r="J411" i="1" a="1"/>
  <c r="J273" i="1" a="1"/>
  <c r="J388" i="1" a="1"/>
  <c r="J497" i="1" a="1"/>
  <c r="J334" i="1" a="1"/>
  <c r="J405" i="1" a="1"/>
  <c r="J320" i="1" a="1"/>
  <c r="J547" i="1" a="1"/>
  <c r="J78" i="1" a="1"/>
  <c r="J171" i="1" a="1"/>
  <c r="J107" i="1" a="1"/>
  <c r="J40" i="1" a="1"/>
  <c r="J569" i="1" a="1"/>
  <c r="J523" i="1" a="1"/>
  <c r="J161" i="1" a="1"/>
  <c r="J536" i="1" a="1"/>
  <c r="J401" i="1" a="1"/>
  <c r="J390" i="1" a="1"/>
  <c r="J298" i="1" a="1"/>
  <c r="J45" i="1" a="1"/>
  <c r="J380" i="1" a="1"/>
  <c r="J614" i="1" a="1"/>
  <c r="J228" i="1" a="1"/>
  <c r="J511" i="1" a="1"/>
  <c r="J481" i="1" a="1"/>
  <c r="J368" i="1" a="1"/>
  <c r="J229" i="1" a="1"/>
  <c r="J93" i="1" a="1"/>
  <c r="J10" i="1" a="1"/>
  <c r="J153" i="1" a="1"/>
  <c r="J82" i="1" a="1"/>
  <c r="J79" i="1" a="1"/>
  <c r="J70" i="1" a="1"/>
  <c r="J533" i="1" a="1"/>
  <c r="J348" i="1" a="1"/>
  <c r="J605" i="1" a="1"/>
  <c r="J210" i="1" a="1"/>
  <c r="J164" i="1" a="1"/>
  <c r="J479" i="1" a="1"/>
  <c r="J495" i="1" a="1"/>
  <c r="J353" i="1" a="1"/>
  <c r="J608" i="1" a="1"/>
  <c r="J57" i="1" a="1"/>
  <c r="J315" i="1" a="1"/>
  <c r="J382" i="1" a="1"/>
  <c r="J531" i="1" a="1"/>
  <c r="J205" i="1" a="1"/>
  <c r="J369" i="1" a="1"/>
  <c r="J529" i="1" a="1"/>
  <c r="J558" i="1" a="1"/>
  <c r="J439" i="1" a="1"/>
  <c r="J621" i="1" a="1"/>
  <c r="J483" i="1" a="1"/>
  <c r="J360" i="1" a="1"/>
  <c r="J599" i="1" a="1"/>
  <c r="J125" i="1" a="1"/>
  <c r="J524" i="1" a="1"/>
  <c r="J580" i="1" a="1"/>
  <c r="J471" i="1" a="1"/>
  <c r="J222" i="1" a="1"/>
  <c r="J91" i="1" a="1"/>
  <c r="J223" i="1" a="1"/>
  <c r="J114" i="1" a="1"/>
  <c r="J277" i="1" a="1"/>
  <c r="J46" i="1" a="1"/>
  <c r="J46" i="1" l="1"/>
  <c r="J277" i="1"/>
  <c r="J114" i="1"/>
  <c r="J223" i="1"/>
  <c r="J91" i="1"/>
  <c r="J222" i="1"/>
  <c r="J471" i="1"/>
  <c r="J580" i="1"/>
  <c r="J524" i="1"/>
  <c r="J125" i="1"/>
  <c r="J599" i="1"/>
  <c r="J360" i="1"/>
  <c r="J483" i="1"/>
  <c r="J621" i="1"/>
  <c r="J439" i="1"/>
  <c r="J558" i="1"/>
  <c r="J529" i="1"/>
  <c r="J369" i="1"/>
  <c r="J205" i="1"/>
  <c r="J531" i="1"/>
  <c r="J382" i="1"/>
  <c r="J315" i="1"/>
  <c r="J57" i="1"/>
  <c r="J608" i="1"/>
  <c r="J353" i="1"/>
  <c r="J495" i="1"/>
  <c r="J479" i="1"/>
  <c r="J164" i="1"/>
  <c r="J210" i="1"/>
  <c r="J605" i="1"/>
  <c r="J348" i="1"/>
  <c r="J533" i="1"/>
  <c r="J70" i="1"/>
  <c r="J79" i="1"/>
  <c r="J82" i="1"/>
  <c r="J153" i="1"/>
  <c r="J10" i="1"/>
  <c r="J93" i="1"/>
  <c r="J229" i="1"/>
  <c r="J368" i="1"/>
  <c r="J481" i="1"/>
  <c r="J511" i="1"/>
  <c r="J228" i="1"/>
  <c r="J614" i="1"/>
  <c r="J380" i="1"/>
  <c r="J45" i="1"/>
  <c r="J298" i="1"/>
  <c r="J390" i="1"/>
  <c r="J401" i="1"/>
  <c r="J536" i="1"/>
  <c r="J161" i="1"/>
  <c r="J523" i="1"/>
  <c r="J569" i="1"/>
  <c r="J40" i="1"/>
  <c r="J107" i="1"/>
  <c r="J171" i="1"/>
  <c r="J78" i="1"/>
  <c r="J547" i="1"/>
  <c r="J320" i="1"/>
  <c r="J405" i="1"/>
  <c r="J334" i="1"/>
  <c r="J497" i="1"/>
  <c r="J388" i="1"/>
  <c r="J273" i="1"/>
  <c r="J411" i="1"/>
  <c r="J99" i="1"/>
  <c r="J586" i="1"/>
  <c r="J582" i="1"/>
  <c r="J395" i="1"/>
  <c r="J509" i="1"/>
  <c r="J255" i="1"/>
  <c r="J105" i="1"/>
  <c r="J323" i="1"/>
  <c r="J11" i="1"/>
  <c r="J242" i="1"/>
  <c r="J299" i="1"/>
  <c r="J424" i="1"/>
  <c r="J378" i="1"/>
  <c r="J384" i="1"/>
  <c r="J417" i="1"/>
  <c r="J95" i="1"/>
  <c r="J349" i="1"/>
  <c r="J142" i="1"/>
  <c r="J264" i="1"/>
  <c r="J211" i="1"/>
  <c r="J469" i="1"/>
  <c r="J313" i="1"/>
  <c r="J13" i="1"/>
  <c r="J203" i="1"/>
  <c r="J41" i="1"/>
  <c r="J543" i="1"/>
  <c r="J421" i="1"/>
  <c r="J260" i="1"/>
  <c r="J54" i="1"/>
  <c r="J443" i="1"/>
  <c r="J610" i="1"/>
  <c r="J14" i="1"/>
  <c r="J226" i="1"/>
  <c r="J490" i="1"/>
  <c r="J317" i="1"/>
  <c r="J597" i="1"/>
  <c r="J397" i="1"/>
  <c r="J520" i="1"/>
  <c r="J124" i="1"/>
  <c r="J503" i="1"/>
  <c r="J61" i="1"/>
  <c r="J588" i="1"/>
  <c r="J542" i="1"/>
  <c r="J251" i="1"/>
  <c r="J498" i="1"/>
  <c r="J310" i="1"/>
  <c r="J32" i="1"/>
  <c r="J130" i="1"/>
  <c r="J131" i="1"/>
  <c r="J65" i="1"/>
  <c r="J291" i="1"/>
  <c r="J58" i="1"/>
  <c r="J537" i="1"/>
  <c r="J129" i="1"/>
  <c r="J472" i="1"/>
  <c r="J538" i="1"/>
  <c r="J8" i="1"/>
  <c r="J330" i="1"/>
  <c r="J138" i="1"/>
  <c r="J193" i="1"/>
  <c r="J269" i="1"/>
  <c r="J468" i="1"/>
  <c r="J354" i="1"/>
  <c r="J201" i="1"/>
  <c r="J549" i="1"/>
  <c r="J577" i="1"/>
  <c r="J190" i="1"/>
  <c r="J37" i="1"/>
  <c r="J202" i="1"/>
  <c r="J75" i="1"/>
  <c r="J266" i="1"/>
  <c r="J377" i="1"/>
  <c r="J126" i="1"/>
  <c r="J385" i="1"/>
  <c r="J127" i="1"/>
  <c r="J617" i="1"/>
  <c r="J83" i="1"/>
  <c r="J394" i="1"/>
  <c r="J464" i="1"/>
  <c r="J97" i="1"/>
  <c r="J71" i="1"/>
  <c r="J62" i="1"/>
  <c r="J376" i="1"/>
  <c r="J329" i="1"/>
  <c r="J458" i="1"/>
  <c r="J557" i="1"/>
  <c r="J292" i="1"/>
  <c r="J187" i="1"/>
  <c r="J387" i="1"/>
  <c r="J381" i="1"/>
  <c r="J278" i="1"/>
  <c r="J26" i="1"/>
  <c r="J199" i="1"/>
  <c r="J574" i="1"/>
  <c r="J308" i="1"/>
  <c r="J609" i="1"/>
  <c r="J48" i="1"/>
  <c r="J477" i="1"/>
  <c r="J185" i="1"/>
  <c r="J450" i="1"/>
  <c r="J262" i="1"/>
  <c r="J295" i="1"/>
  <c r="J294" i="1"/>
  <c r="J115" i="1"/>
  <c r="J166" i="1"/>
  <c r="J207" i="1"/>
  <c r="J591" i="1"/>
  <c r="J422" i="1"/>
  <c r="J297" i="1"/>
  <c r="J259" i="1"/>
  <c r="J603" i="1"/>
  <c r="J141" i="1"/>
  <c r="J151" i="1"/>
  <c r="J600" i="1"/>
  <c r="J399" i="1"/>
  <c r="J7" i="1"/>
  <c r="J150" i="1"/>
  <c r="J180" i="1"/>
  <c r="J68" i="1"/>
  <c r="J466" i="1"/>
  <c r="J158" i="1"/>
  <c r="J494" i="1"/>
  <c r="J340" i="1"/>
  <c r="J43" i="1"/>
  <c r="J412" i="1"/>
  <c r="J194" i="1"/>
  <c r="J246" i="1"/>
  <c r="J34" i="1"/>
  <c r="J123" i="1"/>
  <c r="J556" i="1"/>
  <c r="J55" i="1"/>
  <c r="J44" i="1"/>
  <c r="J25" i="1"/>
  <c r="J258" i="1"/>
  <c r="J177" i="1"/>
  <c r="J351" i="1"/>
  <c r="J322" i="1"/>
  <c r="J216" i="1"/>
  <c r="J343" i="1"/>
  <c r="J208" i="1"/>
  <c r="J4" i="1"/>
  <c r="J98" i="1"/>
  <c r="J217" i="1"/>
  <c r="J148" i="1"/>
  <c r="J51" i="1"/>
  <c r="J213" i="1"/>
  <c r="J333" i="1"/>
  <c r="J35" i="1"/>
  <c r="J6" i="1"/>
  <c r="J563" i="1"/>
  <c r="J143" i="1"/>
  <c r="J135" i="1"/>
  <c r="J548" i="1"/>
  <c r="J446" i="1"/>
  <c r="J236" i="1"/>
  <c r="J170" i="1"/>
  <c r="J408" i="1"/>
  <c r="J396" i="1"/>
  <c r="J145" i="1"/>
  <c r="J567" i="1"/>
  <c r="J23" i="1"/>
  <c r="J137" i="1"/>
  <c r="J181" i="1"/>
  <c r="J518" i="1"/>
  <c r="J172" i="1"/>
  <c r="J279" i="1"/>
  <c r="J480" i="1"/>
  <c r="J220" i="1"/>
  <c r="J147" i="1"/>
  <c r="J122" i="1"/>
  <c r="J400" i="1"/>
  <c r="J288" i="1"/>
  <c r="J252" i="1"/>
  <c r="J489" i="1"/>
  <c r="J281" i="1"/>
  <c r="J155" i="1"/>
  <c r="J215" i="1"/>
  <c r="J544" i="1"/>
  <c r="J241" i="1"/>
  <c r="J573" i="1"/>
  <c r="J119" i="1"/>
  <c r="J87" i="1"/>
  <c r="J532" i="1"/>
  <c r="J513" i="1"/>
  <c r="J602" i="1"/>
  <c r="J324" i="1"/>
  <c r="J442" i="1"/>
  <c r="J290" i="1"/>
  <c r="J167" i="1"/>
  <c r="J27" i="1"/>
  <c r="J444" i="1"/>
  <c r="J76" i="1"/>
  <c r="J214" i="1"/>
  <c r="J225" i="1"/>
  <c r="J186" i="1"/>
  <c r="J590" i="1"/>
  <c r="J559" i="1"/>
  <c r="J85" i="1"/>
  <c r="J342" i="1"/>
  <c r="J493" i="1"/>
  <c r="J455" i="1"/>
  <c r="J233" i="1"/>
  <c r="J423" i="1"/>
  <c r="J426" i="1"/>
  <c r="J86" i="1"/>
  <c r="J300" i="1"/>
  <c r="J427" i="1"/>
  <c r="J56" i="1"/>
  <c r="J234" i="1"/>
  <c r="J441" i="1"/>
  <c r="J314" i="1"/>
  <c r="J474" i="1"/>
  <c r="J20" i="1"/>
  <c r="J175" i="1"/>
  <c r="J152" i="1"/>
  <c r="J413" i="1"/>
  <c r="J551" i="1"/>
  <c r="J224" i="1"/>
  <c r="J120" i="1"/>
  <c r="J371" i="1"/>
  <c r="J245" i="1"/>
  <c r="J386" i="1"/>
  <c r="J293" i="1"/>
  <c r="J434" i="1"/>
  <c r="J111" i="1"/>
  <c r="J31" i="1"/>
  <c r="J623" i="1"/>
  <c r="J500" i="1"/>
  <c r="J454" i="1"/>
  <c r="J516" i="1"/>
  <c r="J81" i="1"/>
  <c r="J554" i="1"/>
  <c r="J541" i="1"/>
  <c r="J183" i="1"/>
  <c r="J620" i="1"/>
  <c r="J362" i="1"/>
  <c r="J430" i="1"/>
  <c r="J19" i="1"/>
  <c r="J510" i="1"/>
  <c r="J575" i="1"/>
  <c r="J272" i="1"/>
  <c r="J622" i="1"/>
  <c r="J447" i="1"/>
  <c r="J475" i="1"/>
  <c r="J440" i="1"/>
  <c r="J174" i="1"/>
  <c r="J416" i="1"/>
  <c r="J392" i="1"/>
  <c r="J275" i="1"/>
  <c r="J564" i="1"/>
  <c r="J584" i="1"/>
  <c r="J160" i="1"/>
  <c r="J473" i="1"/>
  <c r="J522" i="1"/>
  <c r="J60" i="1"/>
  <c r="J280" i="1"/>
  <c r="J261" i="1"/>
  <c r="J463" i="1"/>
  <c r="J525" i="1"/>
  <c r="J38" i="1"/>
  <c r="J415" i="1"/>
  <c r="J244" i="1"/>
  <c r="J74" i="1"/>
  <c r="J15" i="1"/>
  <c r="J545" i="1"/>
  <c r="J250" i="1"/>
  <c r="J104" i="1"/>
  <c r="J191" i="1"/>
  <c r="J176" i="1"/>
  <c r="J566" i="1"/>
  <c r="J89" i="1"/>
  <c r="J337" i="1"/>
  <c r="J565" i="1"/>
  <c r="J485" i="1"/>
  <c r="J240" i="1"/>
  <c r="J162" i="1"/>
  <c r="J289" i="1"/>
  <c r="J30" i="1"/>
  <c r="J67" i="1"/>
  <c r="J101" i="1"/>
  <c r="J448" i="1"/>
  <c r="J239" i="1"/>
  <c r="J90" i="1"/>
  <c r="J96" i="1"/>
  <c r="J592" i="1"/>
  <c r="J501" i="1"/>
  <c r="J572" i="1"/>
  <c r="J540" i="1"/>
  <c r="J118" i="1"/>
  <c r="J462" i="1"/>
  <c r="J306" i="1"/>
  <c r="J615" i="1"/>
  <c r="J12" i="1"/>
  <c r="J59" i="1"/>
  <c r="J303" i="1"/>
  <c r="J94" i="1"/>
  <c r="J506" i="1"/>
  <c r="J116" i="1"/>
  <c r="J304" i="1"/>
  <c r="J578" i="1"/>
  <c r="J9" i="1"/>
  <c r="J404" i="1"/>
  <c r="J487" i="1"/>
  <c r="J206" i="1"/>
  <c r="J248" i="1"/>
  <c r="J249" i="1"/>
  <c r="J267" i="1"/>
  <c r="J402" i="1"/>
  <c r="J499" i="1"/>
  <c r="J29" i="1"/>
  <c r="J64" i="1"/>
  <c r="J486" i="1"/>
  <c r="J482" i="1"/>
  <c r="J461" i="1"/>
  <c r="J350" i="1"/>
  <c r="J335" i="1"/>
  <c r="J581" i="1"/>
  <c r="J476" i="1"/>
  <c r="J568" i="1"/>
  <c r="J606" i="1"/>
  <c r="J73" i="1"/>
  <c r="J296" i="1"/>
  <c r="J346" i="1"/>
  <c r="J552" i="1"/>
  <c r="J254" i="1"/>
  <c r="J505" i="1"/>
  <c r="J284" i="1"/>
  <c r="J611" i="1"/>
  <c r="J196" i="1"/>
  <c r="J263" i="1"/>
  <c r="J359" i="1"/>
  <c r="J391" i="1"/>
  <c r="J618" i="1"/>
  <c r="J270" i="1"/>
  <c r="J593" i="1"/>
  <c r="J192" i="1"/>
  <c r="J460" i="1"/>
  <c r="J110" i="1"/>
  <c r="J419" i="1"/>
  <c r="J452" i="1"/>
  <c r="J456" i="1"/>
  <c r="J410" i="1"/>
  <c r="J373" i="1"/>
  <c r="J366" i="1"/>
  <c r="J157" i="1"/>
  <c r="J103" i="1"/>
  <c r="J301" i="1"/>
  <c r="J492" i="1"/>
  <c r="J339" i="1"/>
  <c r="J467" i="1"/>
  <c r="J253" i="1"/>
  <c r="J363" i="1"/>
  <c r="J393" i="1"/>
  <c r="J585" i="1"/>
  <c r="J436" i="1"/>
  <c r="J331" i="1"/>
  <c r="J17" i="1"/>
  <c r="J561" i="1"/>
  <c r="J198" i="1"/>
  <c r="J570" i="1"/>
  <c r="J355" i="1"/>
  <c r="J42" i="1"/>
  <c r="J379" i="1"/>
  <c r="J555" i="1"/>
  <c r="J3" i="1"/>
  <c r="J237" i="1"/>
  <c r="J406" i="1"/>
  <c r="J321" i="1"/>
  <c r="J318" i="1"/>
  <c r="J491" i="1"/>
  <c r="J77" i="1"/>
  <c r="J420" i="1"/>
  <c r="J140" i="1"/>
  <c r="J370" i="1"/>
  <c r="J197" i="1"/>
  <c r="J512" i="1"/>
  <c r="J66" i="1"/>
  <c r="J527" i="1"/>
  <c r="J530" i="1"/>
  <c r="J539" i="1"/>
  <c r="J21" i="1"/>
  <c r="J80" i="1"/>
  <c r="J302" i="1"/>
  <c r="J435" i="1"/>
  <c r="J33" i="1"/>
  <c r="J283" i="1"/>
  <c r="J587" i="1"/>
  <c r="J347" i="1"/>
  <c r="J484" i="1"/>
  <c r="J562" i="1"/>
  <c r="J247" i="1"/>
  <c r="J159" i="1"/>
  <c r="J526" i="1"/>
  <c r="J325" i="1"/>
  <c r="J445" i="1"/>
  <c r="J560" i="1"/>
  <c r="J92" i="1"/>
  <c r="J5" i="1"/>
  <c r="J16" i="1"/>
  <c r="J243" i="1"/>
  <c r="J601" i="1"/>
  <c r="J39" i="1"/>
  <c r="J136" i="1"/>
  <c r="J326" i="1"/>
  <c r="J88" i="1"/>
  <c r="J453" i="1"/>
  <c r="J332" i="1"/>
  <c r="J438" i="1"/>
  <c r="J271" i="1"/>
  <c r="J595" i="1"/>
  <c r="J616" i="1"/>
  <c r="J113" i="1"/>
  <c r="J149" i="1"/>
  <c r="J319" i="1"/>
  <c r="J108" i="1"/>
  <c r="J496" i="1"/>
  <c r="J488" i="1"/>
  <c r="J619" i="1"/>
  <c r="J383" i="1"/>
  <c r="J72" i="1"/>
  <c r="J218" i="1"/>
  <c r="J182" i="1"/>
  <c r="J312" i="1"/>
  <c r="J352" i="1"/>
  <c r="J282" i="1"/>
  <c r="J139" i="1"/>
  <c r="J613" i="1"/>
  <c r="J316" i="1"/>
  <c r="J163" i="1"/>
  <c r="J344" i="1"/>
  <c r="J178" i="1"/>
  <c r="J519" i="1"/>
  <c r="J100" i="1"/>
  <c r="J305" i="1"/>
  <c r="J112" i="1"/>
  <c r="J365" i="1"/>
  <c r="J168" i="1"/>
  <c r="J624" i="1"/>
  <c r="J429" i="1"/>
  <c r="J221" i="1"/>
  <c r="J451" i="1"/>
  <c r="J227" i="1"/>
  <c r="J265" i="1"/>
  <c r="J437" i="1"/>
  <c r="J257" i="1"/>
  <c r="J345" i="1"/>
  <c r="J230" i="1"/>
  <c r="J133" i="1"/>
  <c r="J200" i="1"/>
  <c r="J449" i="1"/>
  <c r="J517" i="1"/>
  <c r="J358" i="1"/>
  <c r="J109" i="1"/>
  <c r="J502" i="1"/>
  <c r="J521" i="1"/>
  <c r="J24" i="1"/>
  <c r="J235" i="1"/>
  <c r="J432" i="1"/>
  <c r="J134" i="1"/>
  <c r="J117" i="1"/>
  <c r="J287" i="1"/>
  <c r="J286" i="1"/>
  <c r="J465" i="1"/>
  <c r="J338" i="1"/>
  <c r="J398" i="1"/>
  <c r="J121" i="1"/>
  <c r="J327" i="1"/>
  <c r="J546" i="1"/>
  <c r="J169" i="1"/>
  <c r="J336" i="1"/>
  <c r="J579" i="1"/>
  <c r="J165" i="1"/>
  <c r="J418" i="1"/>
  <c r="J341" i="1"/>
  <c r="J106" i="1"/>
  <c r="J231" i="1"/>
  <c r="J268" i="1"/>
  <c r="J607" i="1"/>
  <c r="J403" i="1"/>
  <c r="J428" i="1"/>
  <c r="J375" i="1"/>
  <c r="J232" i="1"/>
  <c r="J276" i="1"/>
  <c r="J47" i="1"/>
  <c r="J204" i="1"/>
  <c r="J28" i="1"/>
  <c r="J309" i="1"/>
  <c r="J372" i="1"/>
  <c r="J209" i="1"/>
  <c r="J128" i="1"/>
  <c r="J238" i="1"/>
  <c r="J173" i="1"/>
  <c r="J367" i="1"/>
  <c r="J553" i="1"/>
  <c r="J156" i="1"/>
  <c r="J212" i="1"/>
  <c r="J356" i="1"/>
  <c r="J63" i="1"/>
  <c r="J612" i="1"/>
  <c r="J146" i="1"/>
  <c r="J594" i="1"/>
  <c r="J311" i="1"/>
  <c r="J307" i="1"/>
  <c r="J361" i="1"/>
  <c r="J515" i="1"/>
  <c r="J508" i="1"/>
  <c r="J179" i="1"/>
  <c r="J274" i="1"/>
  <c r="J504" i="1"/>
  <c r="J478" i="1"/>
  <c r="J188" i="1"/>
  <c r="J433" i="1"/>
  <c r="J22" i="1"/>
  <c r="J53" i="1"/>
  <c r="J357" i="1"/>
  <c r="J84" i="1"/>
  <c r="J414" i="1"/>
  <c r="J431" i="1"/>
  <c r="J18" i="1"/>
  <c r="J132" i="1"/>
  <c r="J285" i="1"/>
  <c r="J550" i="1"/>
  <c r="J219" i="1"/>
  <c r="J184" i="1"/>
  <c r="J425" i="1"/>
  <c r="J507" i="1"/>
  <c r="J195" i="1"/>
  <c r="J389" i="1"/>
  <c r="J459" i="1"/>
  <c r="J374" i="1"/>
  <c r="J50" i="1"/>
  <c r="J514" i="1"/>
  <c r="J409" i="1"/>
  <c r="J69" i="1"/>
  <c r="J589" i="1"/>
  <c r="J596" i="1"/>
  <c r="J144" i="1"/>
  <c r="J470" i="1"/>
  <c r="J256" i="1"/>
  <c r="J328" i="1"/>
  <c r="J364" i="1"/>
  <c r="J535" i="1"/>
  <c r="J598" i="1"/>
  <c r="J457" i="1"/>
  <c r="J102" i="1"/>
  <c r="J36" i="1"/>
  <c r="J49" i="1"/>
  <c r="J154" i="1"/>
  <c r="J407" i="1"/>
  <c r="J625" i="1"/>
  <c r="J189" i="1"/>
  <c r="J604" i="1"/>
  <c r="J52" i="1"/>
  <c r="R409" i="1"/>
  <c r="R409" i="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<sst xmlns="http://schemas.openxmlformats.org/spreadsheetml/2006/main" count="46121" uniqueCount="15911">
  <si>
    <t>Dt. Cadastro</t>
  </si>
  <si>
    <t>Nome</t>
  </si>
  <si>
    <t>Rua</t>
  </si>
  <si>
    <t>Número</t>
  </si>
  <si>
    <t>Bairro</t>
  </si>
  <si>
    <t>Telefone</t>
  </si>
  <si>
    <t>Venc</t>
  </si>
  <si>
    <t>Mensalidade</t>
  </si>
  <si>
    <t>CPF/CNPJ</t>
  </si>
  <si>
    <t>Status</t>
  </si>
  <si>
    <t>23/01/2019</t>
  </si>
  <si>
    <t xml:space="preserve">JESUS DE REZENDE ARAUJO dois pontos </t>
  </si>
  <si>
    <t>AV: LUIZ CARDOSO PINTO</t>
  </si>
  <si>
    <t>SAO SEBASTIAO</t>
  </si>
  <si>
    <t>(35)9853-8855</t>
  </si>
  <si>
    <t>003.267.736-73</t>
  </si>
  <si>
    <t>27/10/2020</t>
  </si>
  <si>
    <t>CORPORATIVA TELECOMUNICACOES - EIRELI - não fazer</t>
  </si>
  <si>
    <t>AVENIDA ALVARENGA PEREIRA CINTRA</t>
  </si>
  <si>
    <t>CENTRO</t>
  </si>
  <si>
    <t>(35)34296-2003</t>
  </si>
  <si>
    <t>18.553.690/0001-71</t>
  </si>
  <si>
    <t>16/04/2020</t>
  </si>
  <si>
    <t>ALINE CORREA MARTINS</t>
  </si>
  <si>
    <t>RUA MARGINAL</t>
  </si>
  <si>
    <t>SANTA CRUZ</t>
  </si>
  <si>
    <t>(35)99855-6558</t>
  </si>
  <si>
    <t>156.570.706-07</t>
  </si>
  <si>
    <t>14/03/2017</t>
  </si>
  <si>
    <t>ADALBERTO JOSE PEREIRA</t>
  </si>
  <si>
    <t>ESTRADA DO TOCOS DO MOGI</t>
  </si>
  <si>
    <t>S/N</t>
  </si>
  <si>
    <t>NOSSA SENHORA DE FATIMA</t>
  </si>
  <si>
    <t>(35)9984-2815</t>
  </si>
  <si>
    <t>739.131.466-87</t>
  </si>
  <si>
    <t>02/04/2020</t>
  </si>
  <si>
    <t>ADRIANO ALVES PEREIRA</t>
  </si>
  <si>
    <t>RUA HONORIO BORGES</t>
  </si>
  <si>
    <t>(35)99130-8934</t>
  </si>
  <si>
    <t>046.886.456-35</t>
  </si>
  <si>
    <t>06/09/2019</t>
  </si>
  <si>
    <t>RUTH IVONE DE TOLEDO</t>
  </si>
  <si>
    <t>00</t>
  </si>
  <si>
    <t>(35)997312882</t>
  </si>
  <si>
    <t>609.884.956-00</t>
  </si>
  <si>
    <t>24/03/2019</t>
  </si>
  <si>
    <t>MARIA SALOME SILVA DE MELLO</t>
  </si>
  <si>
    <t>SITIO NOSSO REFUGIO</t>
  </si>
  <si>
    <t>TRES BARRAS</t>
  </si>
  <si>
    <t>(11)999139776</t>
  </si>
  <si>
    <t>026.362.646-63</t>
  </si>
  <si>
    <t>13/01/2016</t>
  </si>
  <si>
    <t>ANTONIO CARLOS ORNELAS</t>
  </si>
  <si>
    <t>SITIO ORNELAS</t>
  </si>
  <si>
    <t>MASCATE</t>
  </si>
  <si>
    <t>(11)98600-2175</t>
  </si>
  <si>
    <t>006.535.388-98</t>
  </si>
  <si>
    <t>ACACIA RIBEIRO DA SILVA OLIVEIRA</t>
  </si>
  <si>
    <t>CARMEM MOREIRA TOMAZOLLI</t>
  </si>
  <si>
    <t>(35)9914-8656</t>
  </si>
  <si>
    <t>030.750.789-05</t>
  </si>
  <si>
    <t>27/06/2016</t>
  </si>
  <si>
    <t>EDER LUIZ GOUVEIA</t>
  </si>
  <si>
    <t>R. RUI BARBOSA</t>
  </si>
  <si>
    <t>NOSSA SENHORA APARECIDA</t>
  </si>
  <si>
    <t>(35)9119-7440</t>
  </si>
  <si>
    <t>108.873.256-96</t>
  </si>
  <si>
    <t xml:space="preserve">Cliente  pediu para retornar Quarta feira 10/03  </t>
  </si>
  <si>
    <t>13/12/2012</t>
  </si>
  <si>
    <t>R: BENEDITO RODRIGUES</t>
  </si>
  <si>
    <t>SAO JUDAS TADEU</t>
  </si>
  <si>
    <t>07/05/2013</t>
  </si>
  <si>
    <t>ADILSON CARLOS DE MENEZES</t>
  </si>
  <si>
    <t>R: VICENTE GONÇALVES PINTO</t>
  </si>
  <si>
    <t>N.SRA DE FATIMA</t>
  </si>
  <si>
    <t>(35)9806-6413</t>
  </si>
  <si>
    <t>833.313.956-68</t>
  </si>
  <si>
    <t>05/11/2020</t>
  </si>
  <si>
    <t>ADRIANA FERREIRA DE MATTOS</t>
  </si>
  <si>
    <t>AV: LAURO MEGALE</t>
  </si>
  <si>
    <t>(35)99750-9514</t>
  </si>
  <si>
    <t>045.339.676-39</t>
  </si>
  <si>
    <t>07/11/2012</t>
  </si>
  <si>
    <t>AFONSINA MARTINS DE MELO PINTO</t>
  </si>
  <si>
    <t>DOM JOãO RESENDE COSTA</t>
  </si>
  <si>
    <t>(35)3445-1432</t>
  </si>
  <si>
    <t>882.988.176-72</t>
  </si>
  <si>
    <t>18/10/2014</t>
  </si>
  <si>
    <t>AGATTA RAMOS DA SILVA</t>
  </si>
  <si>
    <t>RUA HAYLTON JOSE PINTO</t>
  </si>
  <si>
    <t>SANTO ANTONIO</t>
  </si>
  <si>
    <t>(35)99923-4610</t>
  </si>
  <si>
    <t>128.323.206-51</t>
  </si>
  <si>
    <t>AGENCIA DE TURISMO BORDAMATENSE</t>
  </si>
  <si>
    <t>ANTONIO CAETANO JUNIOR</t>
  </si>
  <si>
    <t>(35)3445-1408</t>
  </si>
  <si>
    <t>18.597.047/0001-40</t>
  </si>
  <si>
    <t>17/09/2018</t>
  </si>
  <si>
    <t>AGENOR DE MELLO FILHO</t>
  </si>
  <si>
    <t>RUA EDUARDO AMARAL</t>
  </si>
  <si>
    <t>(32)99874436</t>
  </si>
  <si>
    <t>006.784.576-20</t>
  </si>
  <si>
    <t>22/12/2014</t>
  </si>
  <si>
    <t>GENIANI APARECIDA MOREIRA</t>
  </si>
  <si>
    <t>OSCAR GOMES DE LIMA</t>
  </si>
  <si>
    <t>SANTA TEREZINHA</t>
  </si>
  <si>
    <t>(35)9870-7974</t>
  </si>
  <si>
    <t>314.689.768-77</t>
  </si>
  <si>
    <t>a pessoa que atendeu não é o cliente trocou de numero</t>
  </si>
  <si>
    <t>13/01/2020</t>
  </si>
  <si>
    <t>ALENCAR TADEU  SILVA</t>
  </si>
  <si>
    <t>RUA ANA TEREZA DOS SANTOS</t>
  </si>
  <si>
    <t>(11)97531-8142</t>
  </si>
  <si>
    <t>171.961.596-91</t>
  </si>
  <si>
    <t>21/06/2014</t>
  </si>
  <si>
    <t>ALENIRE DA SILVA</t>
  </si>
  <si>
    <t>R.OSCAR GOMES DE LIMA</t>
  </si>
  <si>
    <t>(35)9 9731-6831</t>
  </si>
  <si>
    <t>890.419.926-34</t>
  </si>
  <si>
    <t>07/08/2014</t>
  </si>
  <si>
    <t>ALESSANDRA ELOIZA MAXIMO</t>
  </si>
  <si>
    <t>RUA MANOEL LUIZ GOUVEIA</t>
  </si>
  <si>
    <t>(35)99706-4412</t>
  </si>
  <si>
    <t>063.564.886-54</t>
  </si>
  <si>
    <t>07/05/2016</t>
  </si>
  <si>
    <t>ALESSANDRO FRANCISCO CELESTINO</t>
  </si>
  <si>
    <t>R. FRANCISCO MARQUES DA COSTA  CASA 4</t>
  </si>
  <si>
    <t>SANTA RITA</t>
  </si>
  <si>
    <t>(35)9996-3677</t>
  </si>
  <si>
    <t>028.879.936-40</t>
  </si>
  <si>
    <t>06/11/2012</t>
  </si>
  <si>
    <t>ALESSANDRO SERGIO TEIXEIRA</t>
  </si>
  <si>
    <t>(35)9916-1146</t>
  </si>
  <si>
    <t>030.172.016-94</t>
  </si>
  <si>
    <t>23/11/2012</t>
  </si>
  <si>
    <t>ALEXANDRA SILMARA PEREIRA SILVA</t>
  </si>
  <si>
    <t>RUA CARLOS PEREIRA DE TOLEDO</t>
  </si>
  <si>
    <t>(35)99842-0386</t>
  </si>
  <si>
    <t>082.465.446-32</t>
  </si>
  <si>
    <t>28/07/2015</t>
  </si>
  <si>
    <t>RODOLFO DE MELO</t>
  </si>
  <si>
    <t>R. SALVADOR JOSE DE MELO</t>
  </si>
  <si>
    <t>SANTA EDWIRGENS</t>
  </si>
  <si>
    <t>(35)9848-2353</t>
  </si>
  <si>
    <t>376.684.126-20</t>
  </si>
  <si>
    <t>26/08/2014</t>
  </si>
  <si>
    <t>ALEXSSANDRO DA SILVA</t>
  </si>
  <si>
    <t>R:  JOSE FRANCISCO DO CARMO</t>
  </si>
  <si>
    <t>(35)8416-8211</t>
  </si>
  <si>
    <t>082.914.516-80</t>
  </si>
  <si>
    <t>07/08/2013</t>
  </si>
  <si>
    <t>ALINE CECILIA SILVA AMARO</t>
  </si>
  <si>
    <t>BENEDITO RODRIGUES</t>
  </si>
  <si>
    <t>(35)9722-8328</t>
  </si>
  <si>
    <t>057.904.406-81</t>
  </si>
  <si>
    <t>26/10/2020</t>
  </si>
  <si>
    <t>AIDE TOLEDO TAVARES</t>
  </si>
  <si>
    <t>RUA HERCULANO COBRA</t>
  </si>
  <si>
    <t>(35)98405-0961</t>
  </si>
  <si>
    <t>006.623.386-00</t>
  </si>
  <si>
    <t>não conectado</t>
  </si>
  <si>
    <t>ALTIELE MARINELLE MOREIRA</t>
  </si>
  <si>
    <t>EOLINO JOSE MACHADO</t>
  </si>
  <si>
    <t>(35)8462-4479</t>
  </si>
  <si>
    <t>100.510.866-89</t>
  </si>
  <si>
    <t>14/03/2018</t>
  </si>
  <si>
    <t>ALUISIO GOMES DE OLIVEIRA</t>
  </si>
  <si>
    <t>RUA CAPITAO CIPRIANO DE CASTRO</t>
  </si>
  <si>
    <t>35 9 9921 0152</t>
  </si>
  <si>
    <t>799.605.296-49</t>
  </si>
  <si>
    <t>29/08/2018</t>
  </si>
  <si>
    <t>AMANDA GRAZIELA MESSIAS SANTOS</t>
  </si>
  <si>
    <t>RUA DUQUE DE CAXIAS</t>
  </si>
  <si>
    <t>(35)998934722</t>
  </si>
  <si>
    <t>089.315.396-65</t>
  </si>
  <si>
    <t>VERA LUCIA PINTO DE SOUZA</t>
  </si>
  <si>
    <t>FRANCISCO MARQUES DA COSTA</t>
  </si>
  <si>
    <t>(35)9804-7071</t>
  </si>
  <si>
    <t>005.813.356-94</t>
  </si>
  <si>
    <t>cliente insegura não quis trocar ficou de falat com o Julio antes de aceitar</t>
  </si>
  <si>
    <t>07/05/2019</t>
  </si>
  <si>
    <t>ANA CAROLINE HENRIQUE</t>
  </si>
  <si>
    <t>AV ANTONIO MARQUES DA SILVA</t>
  </si>
  <si>
    <t>(35)998061681</t>
  </si>
  <si>
    <t>114.399.176-12</t>
  </si>
  <si>
    <t>17/06/2014</t>
  </si>
  <si>
    <t>ANA MARIA DE ALMEIDA</t>
  </si>
  <si>
    <t>SA NARCISA</t>
  </si>
  <si>
    <t>NOVA BORDA</t>
  </si>
  <si>
    <t>(35)3445-2430</t>
  </si>
  <si>
    <t>071.517.916-07</t>
  </si>
  <si>
    <t>23/03/2017</t>
  </si>
  <si>
    <t>ANA MARIA MOREIRA</t>
  </si>
  <si>
    <t>ARTUR BERNARDES</t>
  </si>
  <si>
    <t>35-9 99</t>
  </si>
  <si>
    <t>571.320.116-34</t>
  </si>
  <si>
    <t>11/11/2015</t>
  </si>
  <si>
    <t>ANA MARIA TEODORO</t>
  </si>
  <si>
    <t>RUA LUCINDA CATELLI</t>
  </si>
  <si>
    <t>(35)98521-277_</t>
  </si>
  <si>
    <t>077.445.776-71</t>
  </si>
  <si>
    <t>02/01/2018</t>
  </si>
  <si>
    <t>ANA PAULA DE ANDRADE</t>
  </si>
  <si>
    <t>RUA BUENO BRANDAO</t>
  </si>
  <si>
    <t>35 9 9916 8344</t>
  </si>
  <si>
    <t>058.436.606-05</t>
  </si>
  <si>
    <t>retornar para cliente dia 11/02 verificar com a mãe primeiro</t>
  </si>
  <si>
    <t>27/09/2017</t>
  </si>
  <si>
    <t>ANACLETO PORTUGAL GONÇALVES</t>
  </si>
  <si>
    <t>ARTHUR BERNARDES</t>
  </si>
  <si>
    <t>(35)34451-344_</t>
  </si>
  <si>
    <t>71.347.991/0001-21</t>
  </si>
  <si>
    <t>23/08/2017</t>
  </si>
  <si>
    <t>ANDERSON HENRIQUE DE SOUZA</t>
  </si>
  <si>
    <t>RUA VICENTE GONÇALVES PINTO</t>
  </si>
  <si>
    <t>35 34452032</t>
  </si>
  <si>
    <t>081.722.016-05</t>
  </si>
  <si>
    <t>14/09/2016</t>
  </si>
  <si>
    <t>ANDERSON LUIZ DA SILVA</t>
  </si>
  <si>
    <t>RUA PROFESSOR ALFEU DUARTE</t>
  </si>
  <si>
    <t>SAO JUDAS</t>
  </si>
  <si>
    <t>35-99853-6100</t>
  </si>
  <si>
    <t>105.875.546-30</t>
  </si>
  <si>
    <t>24/12/2014</t>
  </si>
  <si>
    <t>TOMAZ PAIVA</t>
  </si>
  <si>
    <t>(35)9901-2307</t>
  </si>
  <si>
    <t>044.851.516-46</t>
  </si>
  <si>
    <t>26/05/2014</t>
  </si>
  <si>
    <t>ROSENEIA MOREIRA XAVIER</t>
  </si>
  <si>
    <t>R:PLEGARIO MACIEL</t>
  </si>
  <si>
    <t>(35)99136-1869</t>
  </si>
  <si>
    <t>029.011.726-79</t>
  </si>
  <si>
    <t>07/01/2015</t>
  </si>
  <si>
    <t>ANDRE LUIS DE PAULO</t>
  </si>
  <si>
    <t>AV. LAURO MEGALE  CS 5</t>
  </si>
  <si>
    <t>(35)9725-8209</t>
  </si>
  <si>
    <t>096.423.626-51</t>
  </si>
  <si>
    <t>01/03/2018</t>
  </si>
  <si>
    <t>ANDRE ROBERTO DE LIMA BRAGA</t>
  </si>
  <si>
    <t>AV:JOAO OLIVIO MEGALE</t>
  </si>
  <si>
    <t>(35)99853-5816</t>
  </si>
  <si>
    <t>128.130.766-19</t>
  </si>
  <si>
    <t>14/07/2015</t>
  </si>
  <si>
    <t>ANDREA MARCIA ROSA DA SILVA</t>
  </si>
  <si>
    <t>DUQUE DE CAXIAS</t>
  </si>
  <si>
    <t>(35)9926-2277</t>
  </si>
  <si>
    <t>043.014.406-74</t>
  </si>
  <si>
    <t>30/06/2020</t>
  </si>
  <si>
    <t>ANDREZA ALVES</t>
  </si>
  <si>
    <t>RUA MARIANA MARTINS MOREIRA</t>
  </si>
  <si>
    <t>(11)94137-8791</t>
  </si>
  <si>
    <t>336.634.098-30</t>
  </si>
  <si>
    <t>12/03/2020</t>
  </si>
  <si>
    <t>ANTONIO VITOR PEREIRA REZENDE</t>
  </si>
  <si>
    <t>RUA JUVENAL FABRICIO DA ROSA</t>
  </si>
  <si>
    <t>(35)99866-4557</t>
  </si>
  <si>
    <t>071.142.606-60</t>
  </si>
  <si>
    <t>01/11/2012</t>
  </si>
  <si>
    <t>ANA PAULA SANTOS</t>
  </si>
  <si>
    <t>HERCULANO COBRA</t>
  </si>
  <si>
    <t>(35)9992-4832</t>
  </si>
  <si>
    <t>868.302.526-87</t>
  </si>
  <si>
    <t>10/12/2014</t>
  </si>
  <si>
    <t>ANIZIA FLORIANO DE SOUZA</t>
  </si>
  <si>
    <t>R.PADRE JOSE ORIOLO</t>
  </si>
  <si>
    <t>(35)3445-1556</t>
  </si>
  <si>
    <t>441.305.626-49</t>
  </si>
  <si>
    <t>14/02/2018</t>
  </si>
  <si>
    <t>ANJANIL BRANDINO</t>
  </si>
  <si>
    <t>JOSE LUIZ BRANDAO</t>
  </si>
  <si>
    <t>SAO FRANCISCO</t>
  </si>
  <si>
    <t>(35)9 9859-4083</t>
  </si>
  <si>
    <t>663.197.226-49</t>
  </si>
  <si>
    <t>11/10/2018</t>
  </si>
  <si>
    <t>APARECIDA FRANCISCA DE CARVALHO</t>
  </si>
  <si>
    <t>RUA RUI BARBOSA</t>
  </si>
  <si>
    <t>(35)999126112</t>
  </si>
  <si>
    <t>041.743.106-61</t>
  </si>
  <si>
    <t>Brucio</t>
  </si>
  <si>
    <t>24/08/2016</t>
  </si>
  <si>
    <t>COMUNIDADE EVANGELICA SARA NOSSA TERRA DE POUSO AL</t>
  </si>
  <si>
    <t>PEREGRINO FRANCHI</t>
  </si>
  <si>
    <t>(35)9.9996-3677</t>
  </si>
  <si>
    <t>41.884.651.0001-79</t>
  </si>
  <si>
    <t>03/04/2019</t>
  </si>
  <si>
    <t>ANTONIO CLARET DE AGUIAR (NICOLA)</t>
  </si>
  <si>
    <t>RUA JOSE LUIZ MOREIRA</t>
  </si>
  <si>
    <t>(35)997682471</t>
  </si>
  <si>
    <t>395.292.316-87</t>
  </si>
  <si>
    <t>ANTONIO CLARET MEGALE DE FREITAS</t>
  </si>
  <si>
    <t>PÇA. MONSENHOR PEDRO CINTRA</t>
  </si>
  <si>
    <t>(35)3445-1306</t>
  </si>
  <si>
    <t>479.821.018-87</t>
  </si>
  <si>
    <t>24/04/2019</t>
  </si>
  <si>
    <t>ANTONIO PEDRO DA SILVA</t>
  </si>
  <si>
    <t>RUA ADOLFO ALVES PINHEIRO</t>
  </si>
  <si>
    <t>(35)997565178</t>
  </si>
  <si>
    <t>354.189.236-68</t>
  </si>
  <si>
    <t>ANTONIO PEREIRA DE TOLEDO</t>
  </si>
  <si>
    <t>FRANCISO ALVARO SOBREIRO</t>
  </si>
  <si>
    <t>073.419.036-00</t>
  </si>
  <si>
    <t>08/01/2016</t>
  </si>
  <si>
    <t>AUGUSTO NOGUEIRA DE PADUA</t>
  </si>
  <si>
    <t>RUA JOSE CESARIO DOS SANTOS</t>
  </si>
  <si>
    <t>(35)99967-4647</t>
  </si>
  <si>
    <t>172.976.646-34</t>
  </si>
  <si>
    <t>06/07/2016</t>
  </si>
  <si>
    <t>HOSANA DE ALMEIDA SILVA</t>
  </si>
  <si>
    <t>R: JOSE PINTO DE FREITAS,  SALA 01</t>
  </si>
  <si>
    <t>(35)9992-4157</t>
  </si>
  <si>
    <t>164.973.168-09</t>
  </si>
  <si>
    <t>14/11/2019</t>
  </si>
  <si>
    <t>APARECIDA DE SOUZA GALDENCIO</t>
  </si>
  <si>
    <t>RUA FRANCISCO DA CRUZ BRASIL</t>
  </si>
  <si>
    <t>SANTA EDWIRGES</t>
  </si>
  <si>
    <t>(35)99714-1972</t>
  </si>
  <si>
    <t>045.756.628-01</t>
  </si>
  <si>
    <t>03/06/2019</t>
  </si>
  <si>
    <t>MARCIO APARECIDO SILVA</t>
  </si>
  <si>
    <t>RUA ERASTO PEREIRA DE TOLEDO</t>
  </si>
  <si>
    <t>AMOREIRAS</t>
  </si>
  <si>
    <t>(35)99960-4470</t>
  </si>
  <si>
    <t>084.129.136-55</t>
  </si>
  <si>
    <t>APARECIDA MESSIAS P. SILVA</t>
  </si>
  <si>
    <t>VITOR BRANDANI</t>
  </si>
  <si>
    <t>NSA APARECIDA</t>
  </si>
  <si>
    <t>(35)9868-9233</t>
  </si>
  <si>
    <t>044.892.306-80</t>
  </si>
  <si>
    <t xml:space="preserve">numero não existe </t>
  </si>
  <si>
    <t>30/01/2017</t>
  </si>
  <si>
    <t>ANTONIO SEVERIANO DA SILVA</t>
  </si>
  <si>
    <t>RAQUEL GOUVEIA</t>
  </si>
  <si>
    <t>9,9882-5313</t>
  </si>
  <si>
    <t>591.077.076-49</t>
  </si>
  <si>
    <t>28/02/2013</t>
  </si>
  <si>
    <t>ASSOCIAÇÃO MORADORES B.MATA {RADIO ATIVA} CORTESIA</t>
  </si>
  <si>
    <t>GALERIA PAIVA - SALA 08</t>
  </si>
  <si>
    <t>(35)3445-1837</t>
  </si>
  <si>
    <t>02.282.667/0001-50</t>
  </si>
  <si>
    <t>22/11/2012</t>
  </si>
  <si>
    <t>BENEDITO ADRIANO NAPOLEAO</t>
  </si>
  <si>
    <t>CAPITAO CIPRIANO DE CASTRO</t>
  </si>
  <si>
    <t>(35)99158-406_</t>
  </si>
  <si>
    <t>055.755.726-76</t>
  </si>
  <si>
    <t>04/08/2015</t>
  </si>
  <si>
    <t>AURELIZA MARIA ALVES LIMA</t>
  </si>
  <si>
    <t>R. CANDIDO LAMY</t>
  </si>
  <si>
    <t>(35)9829-7193</t>
  </si>
  <si>
    <t>237.566.086-20</t>
  </si>
  <si>
    <t>07/05/2020</t>
  </si>
  <si>
    <t>AYRTON APARECIDO FERREIRA</t>
  </si>
  <si>
    <t>RUA PEDRO MOREIRA DO COUTO</t>
  </si>
  <si>
    <t>(11)96185-2986</t>
  </si>
  <si>
    <t>111.928.648-40</t>
  </si>
  <si>
    <t>28/01/2013</t>
  </si>
  <si>
    <t>BENEDITA APARECIDA DA SILVA</t>
  </si>
  <si>
    <t>JOSE RODRIGUES BORBA</t>
  </si>
  <si>
    <t>NOSSA Sª APARECIDA</t>
  </si>
  <si>
    <t>847.792.176-87</t>
  </si>
  <si>
    <t>16/07/2019</t>
  </si>
  <si>
    <t>BENEDITA MARIA BRANDINA</t>
  </si>
  <si>
    <t>SEBASTIAO GONCALVES PINTO</t>
  </si>
  <si>
    <t>(35)998298795</t>
  </si>
  <si>
    <t>486.177.416-00</t>
  </si>
  <si>
    <t>09/03/2015</t>
  </si>
  <si>
    <t>BENEDITO AMARO( TORRE IGREJA PRESBITERIANA CORTESI</t>
  </si>
  <si>
    <t>HERCULANO COBRA 705</t>
  </si>
  <si>
    <t>(35)3445-1219</t>
  </si>
  <si>
    <t>354.293.486-00</t>
  </si>
  <si>
    <t>19/08/2015</t>
  </si>
  <si>
    <t>ANTONIO CLARET DA SILVA</t>
  </si>
  <si>
    <t>R OSCAR GOMES DE LIMA</t>
  </si>
  <si>
    <t>(35)9206-9270</t>
  </si>
  <si>
    <t>061.142.028-72</t>
  </si>
  <si>
    <t>23/05/2016</t>
  </si>
  <si>
    <t>LUCIMAR MARIA DA SILVEIRA PEREIRA</t>
  </si>
  <si>
    <t>RUA LAURO MEGALE</t>
  </si>
  <si>
    <t>(35)9743-1310</t>
  </si>
  <si>
    <t>052.272.176-10</t>
  </si>
  <si>
    <t>BENEDITO VIEIRA DA COSTA</t>
  </si>
  <si>
    <t>RAUL COBRA</t>
  </si>
  <si>
    <t>(35)3445-1790</t>
  </si>
  <si>
    <t>857.460.298-15</t>
  </si>
  <si>
    <t>19/03/2020</t>
  </si>
  <si>
    <t>BRENDA MARCELINO SILVA</t>
  </si>
  <si>
    <t>(35)99923-0787</t>
  </si>
  <si>
    <t>142.961.516-81</t>
  </si>
  <si>
    <t>26/09/2017</t>
  </si>
  <si>
    <t>BRENO ALVES SILVA</t>
  </si>
  <si>
    <t>JOSE FELICIANO</t>
  </si>
  <si>
    <t>(35)9,9750-5448</t>
  </si>
  <si>
    <t>141.038.216-80</t>
  </si>
  <si>
    <t>24/03/2017</t>
  </si>
  <si>
    <t>BRUNO HENRIQUE DE FREITAS</t>
  </si>
  <si>
    <t>093.007.276-64</t>
  </si>
  <si>
    <t>27/01/2015</t>
  </si>
  <si>
    <t>CAIO GABRILLI RIBEIRO DE OLIVEIRA</t>
  </si>
  <si>
    <t>RUA RAUL COBRA</t>
  </si>
  <si>
    <t>(35)99114-4499</t>
  </si>
  <si>
    <t>099.121.616-45</t>
  </si>
  <si>
    <t>retornar para o cliente dia 02/03 para agendar o dia da instalação</t>
  </si>
  <si>
    <t>21/11/2012</t>
  </si>
  <si>
    <t>CAMARA MUNICIPAL DE BORDA DA MATA  - Licitação</t>
  </si>
  <si>
    <t>AV WILSON MEGALE  3º PISO DE RODOVIARIA</t>
  </si>
  <si>
    <t>(35)3445-1647</t>
  </si>
  <si>
    <t>74.068.982/0001-90</t>
  </si>
  <si>
    <t>14/07/2020</t>
  </si>
  <si>
    <t>MARIA JOSE AUGUSTO SANTOS</t>
  </si>
  <si>
    <t>RUA DARIO NOGUEIRA</t>
  </si>
  <si>
    <t>(35)99825-2020</t>
  </si>
  <si>
    <t>271.495.606-87</t>
  </si>
  <si>
    <t>NÃO QUIS NO MOMENTO MAS FICOU DE RETORNAR 04/02</t>
  </si>
  <si>
    <t>18/07/2014</t>
  </si>
  <si>
    <t>CARLOS RAFAEL DE FREITAS</t>
  </si>
  <si>
    <t>CANDIDO LAMY</t>
  </si>
  <si>
    <t>(35)3445-2385</t>
  </si>
  <si>
    <t>067.519.266-85</t>
  </si>
  <si>
    <t>09/07/2016</t>
  </si>
  <si>
    <t>CARLOS ROBERTO DA COSTA</t>
  </si>
  <si>
    <t>R: ADELIA LOPES DA SILVA</t>
  </si>
  <si>
    <t>(35)9868-6912</t>
  </si>
  <si>
    <t>027.386.126-36</t>
  </si>
  <si>
    <t>06/09/2014</t>
  </si>
  <si>
    <t>CARLOS ROBERTO DA ROSA</t>
  </si>
  <si>
    <t>R:EDUARDO AMARAL</t>
  </si>
  <si>
    <t>(35)3445-2780</t>
  </si>
  <si>
    <t>397.000.116-15</t>
  </si>
  <si>
    <t>01/02/2017</t>
  </si>
  <si>
    <t>CARMENCITA GORET NASCIMENTO</t>
  </si>
  <si>
    <t>(35)34452-971_</t>
  </si>
  <si>
    <t>041.912.896-40</t>
  </si>
  <si>
    <t>30/01/2019</t>
  </si>
  <si>
    <t>CAROLINA APARECIDA FERREIRA GONCALVES</t>
  </si>
  <si>
    <t>RUA ANTONIO RIBEIRO DE ALMEIDA</t>
  </si>
  <si>
    <t>(35)99178-0109</t>
  </si>
  <si>
    <t>089.460.506-24</t>
  </si>
  <si>
    <t>29/03/2017</t>
  </si>
  <si>
    <t>CAROLINE BARBOSA DE OLIVEIRA</t>
  </si>
  <si>
    <t>RUA ALFREDO BORGES TEIXEIRA</t>
  </si>
  <si>
    <t>060.075.346-85</t>
  </si>
  <si>
    <t>CASA DE CONSTRUÇAO GOMES E ALMEIDA LTDA</t>
  </si>
  <si>
    <t>PRAÇA NOSSA SENHORA DO CARMO</t>
  </si>
  <si>
    <t>35  3445 1622</t>
  </si>
  <si>
    <t>12.273.612/0001-37</t>
  </si>
  <si>
    <t>27/12/2016</t>
  </si>
  <si>
    <t>CASA DE CONSTRUÇAO GOMES E ALMEIDA LTDA dois pontos</t>
  </si>
  <si>
    <t>WILSON MEGALE</t>
  </si>
  <si>
    <t>04/02/2013</t>
  </si>
  <si>
    <t>CASSIO ALEXANDRE RIBEIRO DE MORAES</t>
  </si>
  <si>
    <t>R:RIO BRANCO</t>
  </si>
  <si>
    <t>070.308.396-17</t>
  </si>
  <si>
    <t>26/11/2012</t>
  </si>
  <si>
    <t>BENEDITO INACIO BORGES</t>
  </si>
  <si>
    <t>ALAMEDA JK</t>
  </si>
  <si>
    <t>622.619.916-49</t>
  </si>
  <si>
    <t>19/08/2017</t>
  </si>
  <si>
    <t>BRUNO CRISTIANO DA COSTA</t>
  </si>
  <si>
    <t>ANTONIO RIBEIRO DE ALMEIDA</t>
  </si>
  <si>
    <t>(35)99828-8229</t>
  </si>
  <si>
    <t>132.081.076-41</t>
  </si>
  <si>
    <t>25/08/2017</t>
  </si>
  <si>
    <t>CELIO AMAURI PEREIRA</t>
  </si>
  <si>
    <t>35 99961 5054</t>
  </si>
  <si>
    <t>844.134.336-53</t>
  </si>
  <si>
    <t>27/01/2016</t>
  </si>
  <si>
    <t>WANESSA FREITAS DE LIMA (CIA&amp;ARTE)</t>
  </si>
  <si>
    <t>R: JOSE PINTO DE FREITAS</t>
  </si>
  <si>
    <t>(35)3445-3219</t>
  </si>
  <si>
    <t>17.241.764/0001-71</t>
  </si>
  <si>
    <t>04/08/2016</t>
  </si>
  <si>
    <t>VERANY BARBARA DE OLIVEIRA</t>
  </si>
  <si>
    <t>R. IRMAS DOMINICANAS</t>
  </si>
  <si>
    <t>085.875.456-80</t>
  </si>
  <si>
    <t>26/08/2017</t>
  </si>
  <si>
    <t>CELIO ROBERTO ALVES</t>
  </si>
  <si>
    <t>FRANCISCO SOUZA COSTA</t>
  </si>
  <si>
    <t>(35)9,9747-9478</t>
  </si>
  <si>
    <t>067.901.456-05</t>
  </si>
  <si>
    <t>26/01/2017</t>
  </si>
  <si>
    <t>CELSO CARDOSO ARRUDA  (REST.E RES.)</t>
  </si>
  <si>
    <t>LUIZ CARLOS CARDOSO</t>
  </si>
  <si>
    <t>(35)3445-2472</t>
  </si>
  <si>
    <t>842.317.660-61</t>
  </si>
  <si>
    <t>19/08/2014</t>
  </si>
  <si>
    <t>PRAÇA N.SRA DO CARMO</t>
  </si>
  <si>
    <t>09/12/2019</t>
  </si>
  <si>
    <t>CIBELI MARIA BRENTEGANI MOREIRA</t>
  </si>
  <si>
    <t>RUA JOSE ARLINDO SANTOS SOBRINHO</t>
  </si>
  <si>
    <t>(35)99950-9299</t>
  </si>
  <si>
    <t>136.652.836-04</t>
  </si>
  <si>
    <t>02/02/2019</t>
  </si>
  <si>
    <t>CIELE CRISTINA DA SILVA ARAUJO</t>
  </si>
  <si>
    <t>RUA JOAO FERREIRA</t>
  </si>
  <si>
    <t>(35)99858-4046</t>
  </si>
  <si>
    <t>154.708.866-46</t>
  </si>
  <si>
    <t>26/08/2020</t>
  </si>
  <si>
    <t>JOSE BENEDITO FERREIRA-ME</t>
  </si>
  <si>
    <t>RUA DELAMARE PIRES RIBEIRO</t>
  </si>
  <si>
    <t>(35)9717-1066</t>
  </si>
  <si>
    <t>02.772.591/0001-40</t>
  </si>
  <si>
    <t>08/01/2015</t>
  </si>
  <si>
    <t>CLEIDE MARIA DA SILVA</t>
  </si>
  <si>
    <t>R:  MARIA JOSE DURVAL</t>
  </si>
  <si>
    <t>(35)9858-9397</t>
  </si>
  <si>
    <t>116.978.266-36</t>
  </si>
  <si>
    <t>16/09/2016</t>
  </si>
  <si>
    <t>CLEUSA MIRA PEREIRA</t>
  </si>
  <si>
    <t>LUPERCIO BARBOSA DO COUTO</t>
  </si>
  <si>
    <t>35-9 9898-7020</t>
  </si>
  <si>
    <t>890.230.216-49</t>
  </si>
  <si>
    <t>CONSTRUCOES BORDA LTDA</t>
  </si>
  <si>
    <t>AV: JOAO OLIVIO MEGALE</t>
  </si>
  <si>
    <t>(35)99968-0558</t>
  </si>
  <si>
    <t>26.645.139/0001-86</t>
  </si>
  <si>
    <t>27/04/2016</t>
  </si>
  <si>
    <t>CRISTINA TEREZA DA SILVA</t>
  </si>
  <si>
    <t>RUA EVA PEREIRA DA CRUZ</t>
  </si>
  <si>
    <t>(35)99889-5409</t>
  </si>
  <si>
    <t>089.138.476-63</t>
  </si>
  <si>
    <t>25/02/2016</t>
  </si>
  <si>
    <t>DANIEL DA SILVA NASCIMENTO</t>
  </si>
  <si>
    <t>R: SEVERIANO FRANCISCO DOS SANTOS</t>
  </si>
  <si>
    <t>(35)8433-0425</t>
  </si>
  <si>
    <t>059.021.996-03</t>
  </si>
  <si>
    <t>DANIEL DE JESUS ROSA</t>
  </si>
  <si>
    <t>RUA RAQUEL GOUVEIA</t>
  </si>
  <si>
    <t>(35)9850-9303</t>
  </si>
  <si>
    <t>061.021.106-41</t>
  </si>
  <si>
    <t>00/00/0000</t>
  </si>
  <si>
    <t>DANILO RUFINO DE FREITAS</t>
  </si>
  <si>
    <t>ORLANDO DOMINGUES DOS SANTOS</t>
  </si>
  <si>
    <t>(35)9 9859-8908</t>
  </si>
  <si>
    <t>071.128.136-03</t>
  </si>
  <si>
    <t>09/02/2017</t>
  </si>
  <si>
    <t>DARLENE SANDRI BARBOSA</t>
  </si>
  <si>
    <t>(35)99958-9656</t>
  </si>
  <si>
    <t>061.950.438-26</t>
  </si>
  <si>
    <t>22/06/2017</t>
  </si>
  <si>
    <t>DEISE CARVALHO DOS SANTOS</t>
  </si>
  <si>
    <t>PADRE BERNARDES LEITE FERREIRA</t>
  </si>
  <si>
    <t>SAO BENEDITO</t>
  </si>
  <si>
    <t>9 8438 8490</t>
  </si>
  <si>
    <t>297.603.388-90</t>
  </si>
  <si>
    <t>Numero errado operadora informa numero errado</t>
  </si>
  <si>
    <t>DENER WILLIAM PEREIRA</t>
  </si>
  <si>
    <t>(11)98243-6562</t>
  </si>
  <si>
    <t>074.472.076-16</t>
  </si>
  <si>
    <t>07/04/2020</t>
  </si>
  <si>
    <t>DENIEL APARECIDO GOUVÊA  CHAGAS</t>
  </si>
  <si>
    <t>(35)99818-0227</t>
  </si>
  <si>
    <t>124.054.136-80</t>
  </si>
  <si>
    <t>29/08/2017</t>
  </si>
  <si>
    <t>DENILSON DE MORAES PEREIRA</t>
  </si>
  <si>
    <t>BENEDITO COBRA</t>
  </si>
  <si>
    <t>(35)99808-8810</t>
  </si>
  <si>
    <t>138.363.426-26</t>
  </si>
  <si>
    <t>DIOGO DA SILVA BRANDAO</t>
  </si>
  <si>
    <t>RUA JOSE PINTO DE FREITAS</t>
  </si>
  <si>
    <t>Centro</t>
  </si>
  <si>
    <t>35 999103161</t>
  </si>
  <si>
    <t>077.526.506-33</t>
  </si>
  <si>
    <t>27/03/2020</t>
  </si>
  <si>
    <t>DIOLINDA DOS SANTOS</t>
  </si>
  <si>
    <t>230B</t>
  </si>
  <si>
    <t>(35)99724-9615</t>
  </si>
  <si>
    <t>551.856.576-34</t>
  </si>
  <si>
    <t>05/09/2017</t>
  </si>
  <si>
    <t>MARIA JOSE FIGUEREDO</t>
  </si>
  <si>
    <t>(35)9,9829-4033</t>
  </si>
  <si>
    <t>026.127.726-00</t>
  </si>
  <si>
    <t>DIRLEI CANDEIAS DE BRITO</t>
  </si>
  <si>
    <t>01/09/2020</t>
  </si>
  <si>
    <t>AVENIDA WILSON MEGALE</t>
  </si>
  <si>
    <t>(35)35920-720_</t>
  </si>
  <si>
    <t>36.242.991/0001-66</t>
  </si>
  <si>
    <t>10/03/2018</t>
  </si>
  <si>
    <t>DONIZETE APARECIDO DA SILVA</t>
  </si>
  <si>
    <t>RUA BENEDITO RUFINO XAVIER</t>
  </si>
  <si>
    <t>005.710.786-64</t>
  </si>
  <si>
    <t>12/01/2017</t>
  </si>
  <si>
    <t>DORIS PEREIRA DE REZENDE SANTANA</t>
  </si>
  <si>
    <t>WILSO MEGALE</t>
  </si>
  <si>
    <t>35-3445-1725</t>
  </si>
  <si>
    <t>027.871.506-08</t>
  </si>
  <si>
    <t>DORIVAL APARECIDO LOPES</t>
  </si>
  <si>
    <t>R: SEBASTIAO DE MOURA</t>
  </si>
  <si>
    <t>(35)3445-2646</t>
  </si>
  <si>
    <t>663.205.776-49</t>
  </si>
  <si>
    <t>DORIVAL CARVALHO</t>
  </si>
  <si>
    <t>JOAO PORFIRIO DA SILVA</t>
  </si>
  <si>
    <t>(35)3445-3022</t>
  </si>
  <si>
    <t>763.982.698-53</t>
  </si>
  <si>
    <t>21/01/2020</t>
  </si>
  <si>
    <t>DOUGLAS HENRIQUE PEREIRA</t>
  </si>
  <si>
    <t>RUA ROQUE BENTO</t>
  </si>
  <si>
    <t>(35)99965-5210</t>
  </si>
  <si>
    <t>112.472.686-16</t>
  </si>
  <si>
    <t>10/03/2016</t>
  </si>
  <si>
    <t>MARIA DIRCE DA SILVA CARDOSO</t>
  </si>
  <si>
    <t>R.HONORIO BORGES</t>
  </si>
  <si>
    <t>(35)9994-9621</t>
  </si>
  <si>
    <t>833.312.556-53</t>
  </si>
  <si>
    <t>23/02/2015</t>
  </si>
  <si>
    <t>EDELAINE MARIA DA SILVA PEREIRA</t>
  </si>
  <si>
    <t>JOSE LEOPOLDINO GONCALVES</t>
  </si>
  <si>
    <t>(35)91916-503_</t>
  </si>
  <si>
    <t>214.116.148-79</t>
  </si>
  <si>
    <t>04/08/2020</t>
  </si>
  <si>
    <t>ROSANGELA MARIA LEOPOLDINO</t>
  </si>
  <si>
    <t>RUA SERGIO LUCAS MENDES</t>
  </si>
  <si>
    <t>(35)99862-9594</t>
  </si>
  <si>
    <t>029.010.826-88</t>
  </si>
  <si>
    <t>04/12/2012</t>
  </si>
  <si>
    <t>ANDRE FABIANO DE SOUZA</t>
  </si>
  <si>
    <t>R: FRANCISCO M.DA COSTA</t>
  </si>
  <si>
    <t>(35)9973-9172</t>
  </si>
  <si>
    <t>053.962.226-54</t>
  </si>
  <si>
    <t>09/08/2017</t>
  </si>
  <si>
    <t>EDICARLOS SOARES LEITE</t>
  </si>
  <si>
    <t>MANUEL LUIZ GOUVEIA</t>
  </si>
  <si>
    <t>9,9802-6500</t>
  </si>
  <si>
    <t>057.011.496-92</t>
  </si>
  <si>
    <t>08/11/2012</t>
  </si>
  <si>
    <t>EDILAINE MARIA PEREIRA DE SOUSA SANTOS (SERRALHERIA)</t>
  </si>
  <si>
    <t>EDUARDO AMARAL</t>
  </si>
  <si>
    <t>(35)3445-1845</t>
  </si>
  <si>
    <t>318.591.132-65</t>
  </si>
  <si>
    <t>14/01/2017</t>
  </si>
  <si>
    <t>EDIMEIA FERREIRA SANTOS</t>
  </si>
  <si>
    <t>RUA VICENTE XAVIER REZENDE</t>
  </si>
  <si>
    <t>(35)99875-7013</t>
  </si>
  <si>
    <t>076.328.176-03</t>
  </si>
  <si>
    <t>EDIVALDO JOSE MACHADO</t>
  </si>
  <si>
    <t>FELICIANO GONÇALVES MARTINS</t>
  </si>
  <si>
    <t>N S APARECIDA</t>
  </si>
  <si>
    <t>(35)9920-4930</t>
  </si>
  <si>
    <t>441.704.086-91</t>
  </si>
  <si>
    <t>09/01/2017</t>
  </si>
  <si>
    <t>EDNA MARIA DE ANDRADE REIS</t>
  </si>
  <si>
    <t>OSVALDO BARBOSA DIAS</t>
  </si>
  <si>
    <t>(35)99855-6764</t>
  </si>
  <si>
    <t>870.013.656-53</t>
  </si>
  <si>
    <t>29/03/2014</t>
  </si>
  <si>
    <t>EDUARDO AP.DE LIMA</t>
  </si>
  <si>
    <t>R:FRANCISCO ALVÁRO SOBREIRO</t>
  </si>
  <si>
    <t>(35)9953-6433</t>
  </si>
  <si>
    <t>114.399.066-88</t>
  </si>
  <si>
    <t>19/02/2020</t>
  </si>
  <si>
    <t>WALTER ANDERSON CORREA</t>
  </si>
  <si>
    <t>RUA DUQUE DE CAXIAS  (CHACARA)</t>
  </si>
  <si>
    <t>(35)99979-5344</t>
  </si>
  <si>
    <t>068.435.346-60</t>
  </si>
  <si>
    <t>14/11/2012</t>
  </si>
  <si>
    <t>ELAINE CRISTINA MENDES TAVARES</t>
  </si>
  <si>
    <t>JOSé XAVIER DA CRUZ</t>
  </si>
  <si>
    <t>(35)9825-7497</t>
  </si>
  <si>
    <t>028.286.226-90</t>
  </si>
  <si>
    <t>04/03/2020</t>
  </si>
  <si>
    <t>ELIANE GOUVEA VAN DER HEYDE</t>
  </si>
  <si>
    <t>RUA JOAO XXIII</t>
  </si>
  <si>
    <t>(35)99972-5904</t>
  </si>
  <si>
    <t>351.511.358-48</t>
  </si>
  <si>
    <t>21/05/2018</t>
  </si>
  <si>
    <t>ELISA GISELE FERREIRA</t>
  </si>
  <si>
    <t>(35)9 92077202</t>
  </si>
  <si>
    <t>123.149.756-42</t>
  </si>
  <si>
    <t>09/04/2018</t>
  </si>
  <si>
    <t>MG. 290</t>
  </si>
  <si>
    <t>03/11/2017</t>
  </si>
  <si>
    <t>ELIZANDRA APARECIDA DA SILVA</t>
  </si>
  <si>
    <t>NOSSA  SENHORA APARECIDA</t>
  </si>
  <si>
    <t>(35)99805-6162</t>
  </si>
  <si>
    <t>069.670.976-79</t>
  </si>
  <si>
    <t>31/03/2017</t>
  </si>
  <si>
    <t>EMELINA APARECIDA DOS SANTOS</t>
  </si>
  <si>
    <t>ALVARINA PEREIRA CINTRA</t>
  </si>
  <si>
    <t>(35)9,9939-0185</t>
  </si>
  <si>
    <t>059.246.046-08</t>
  </si>
  <si>
    <t>06/04/2020</t>
  </si>
  <si>
    <t>EMERSON HENRIQUE CARDOSO DA SILVA</t>
  </si>
  <si>
    <t>RUA DELFINO TEODORO BORGES</t>
  </si>
  <si>
    <t>(19)99860-2435</t>
  </si>
  <si>
    <t>485.495.408-62</t>
  </si>
  <si>
    <t>EMILDA MARIA DA SILVA</t>
  </si>
  <si>
    <t>IRMAS DOMINICANAS</t>
  </si>
  <si>
    <t>(35)9915-8406</t>
  </si>
  <si>
    <t>029.574.016-73</t>
  </si>
  <si>
    <t>08/12/2017</t>
  </si>
  <si>
    <t>EONICE MOREIRA DA COSTA</t>
  </si>
  <si>
    <t>(35)3445-2431</t>
  </si>
  <si>
    <t>972.980.856-20</t>
  </si>
  <si>
    <t>06/05/2015</t>
  </si>
  <si>
    <t>ERICA BENEDITA LEITE DO PRADO</t>
  </si>
  <si>
    <t>RUA AMELIA GOUVEIA</t>
  </si>
  <si>
    <t>(35)99190-6993</t>
  </si>
  <si>
    <t>044.833.926-97</t>
  </si>
  <si>
    <t>22/09/2020</t>
  </si>
  <si>
    <t>ERICA MARIA CARNEIRO MOREIRA</t>
  </si>
  <si>
    <t>R SALVADOR ORLANDI</t>
  </si>
  <si>
    <t>(35)98405-0911</t>
  </si>
  <si>
    <t>12.090.580/0001-34</t>
  </si>
  <si>
    <t>23/08/2019</t>
  </si>
  <si>
    <t>ERIKA APARECIDA PONCIANI ZAROTTI</t>
  </si>
  <si>
    <t>RUA OTAVIO ORIOLO</t>
  </si>
  <si>
    <t>99931-5365</t>
  </si>
  <si>
    <t>095.127.826-69</t>
  </si>
  <si>
    <t>24/07/2015</t>
  </si>
  <si>
    <t>EUCRECIO CAETANO DE CAMARGO</t>
  </si>
  <si>
    <t>R. SANTA TEREZINHA</t>
  </si>
  <si>
    <t>(35)3445-1572</t>
  </si>
  <si>
    <t>854.637.106-78</t>
  </si>
  <si>
    <t>13/03/2017</t>
  </si>
  <si>
    <t>RUA DAS ROSAS</t>
  </si>
  <si>
    <t>Programado para não receber chamada</t>
  </si>
  <si>
    <t>23/06/2016</t>
  </si>
  <si>
    <t>EVILASIA DO CARMO DOS SANTOS SOUZA</t>
  </si>
  <si>
    <t>R: FRANCISCO FAGUNDES</t>
  </si>
  <si>
    <t>(35)3445-1677</t>
  </si>
  <si>
    <t>015.501.826-41</t>
  </si>
  <si>
    <t>14/10/2014</t>
  </si>
  <si>
    <t>R CAPITAO CIPRIANO DE CASTRO</t>
  </si>
  <si>
    <t>Evandro de Rezende Caetano</t>
  </si>
  <si>
    <t>Rua José Benjamim de Oliveira, 100</t>
  </si>
  <si>
    <t>35 99963-6868</t>
  </si>
  <si>
    <t>028294756-66</t>
  </si>
  <si>
    <t>16/04/2018</t>
  </si>
  <si>
    <t>EVERTON SILVESTRE TOSTA</t>
  </si>
  <si>
    <t>(35)9842-53482</t>
  </si>
  <si>
    <t>308.724.548-86</t>
  </si>
  <si>
    <t>27/09/2014</t>
  </si>
  <si>
    <t>EVILANE OLIVEIRA SILVA</t>
  </si>
  <si>
    <t>R:  ANTENOR RODRIGUES</t>
  </si>
  <si>
    <t>(35)9216-5075</t>
  </si>
  <si>
    <t>081.735.534-08</t>
  </si>
  <si>
    <t>01/11/2019</t>
  </si>
  <si>
    <t>DIEGO DE MIRA SIQUEIRA</t>
  </si>
  <si>
    <t>(35)99870-5465</t>
  </si>
  <si>
    <t>100.193.206-47</t>
  </si>
  <si>
    <t>numero impossibilitado de receber chamada</t>
  </si>
  <si>
    <t>EVILASIO CORREA DA CRUZ OLIVEIRA(PIO)</t>
  </si>
  <si>
    <t>BENEDITA COBRA Comercial Textil</t>
  </si>
  <si>
    <t>742.146.084-53</t>
  </si>
  <si>
    <t>FABIANA SILVA SANTOS VASCONCELOS</t>
  </si>
  <si>
    <t>AV LAURO MEGALE</t>
  </si>
  <si>
    <t>049.565.656-90</t>
  </si>
  <si>
    <t>07/11/2014</t>
  </si>
  <si>
    <t>FABIO MACHADO DE ALMEIDA (REI DO SOFA) garagem</t>
  </si>
  <si>
    <t>SIMPLICIANO DE OLIVEIRA</t>
  </si>
  <si>
    <t>(35)3445-2454</t>
  </si>
  <si>
    <t>048.042.376-82</t>
  </si>
  <si>
    <t>10/11/2012</t>
  </si>
  <si>
    <t>LUCIANA APARECIDA SIMÕES SILVA</t>
  </si>
  <si>
    <t>ANTONIO ELIZARDO DA SILVA</t>
  </si>
  <si>
    <t>SãO JUDAS TADEU</t>
  </si>
  <si>
    <t>35 9957-5159</t>
  </si>
  <si>
    <t>049.591.276-00</t>
  </si>
  <si>
    <t>FELIPE JOSE ALVES PINTO</t>
  </si>
  <si>
    <t>TIRADENTES</t>
  </si>
  <si>
    <t>(35)9,99847949</t>
  </si>
  <si>
    <t>070.147.506-40</t>
  </si>
  <si>
    <t>04/03/2019</t>
  </si>
  <si>
    <t>FLAVIO JOSE MENDES</t>
  </si>
  <si>
    <t>RUA JOSE ALVES DE GUSMAO</t>
  </si>
  <si>
    <t>(35)99152-0335</t>
  </si>
  <si>
    <t>040.289.206-20</t>
  </si>
  <si>
    <t>06/11/2019</t>
  </si>
  <si>
    <t>RUA BIASE PAOLIELO</t>
  </si>
  <si>
    <t>12/06/2014</t>
  </si>
  <si>
    <t>MARCOS ANTONIO DE SOUZA</t>
  </si>
  <si>
    <t>R: JOSE DANIEL DA COSTA</t>
  </si>
  <si>
    <t>(35)9803-9978</t>
  </si>
  <si>
    <t>012.405.806-06</t>
  </si>
  <si>
    <t>23/08/2016</t>
  </si>
  <si>
    <t>VANILDA ALBANO VALENTE</t>
  </si>
  <si>
    <t>FRANCISCO COUTINHO DE REZENDE</t>
  </si>
  <si>
    <t>35-9.9996-1766</t>
  </si>
  <si>
    <t>100.707.448-58</t>
  </si>
  <si>
    <t>05/12/2015</t>
  </si>
  <si>
    <t>FRANCISCO NUNES DUARTE</t>
  </si>
  <si>
    <t>R. FRANCISCO ALVARO SOBREIRO</t>
  </si>
  <si>
    <t>(35)9191-0365</t>
  </si>
  <si>
    <t>60631153829-</t>
  </si>
  <si>
    <t>29/04/2020</t>
  </si>
  <si>
    <t>FRANCISCO CARLOS DE OLIVEIRA</t>
  </si>
  <si>
    <t>RUA VITOR ANTONIO BRANDANI</t>
  </si>
  <si>
    <t>(35)99754-0307</t>
  </si>
  <si>
    <t>071.212.016-58</t>
  </si>
  <si>
    <t>02/05/2017</t>
  </si>
  <si>
    <t>FRANCISLAINE MARIA RAIMUNDO RIBEIRO</t>
  </si>
  <si>
    <t>AVENIDA LAURO MEGALE</t>
  </si>
  <si>
    <t>35 99907 8326</t>
  </si>
  <si>
    <t>098.973.966-08</t>
  </si>
  <si>
    <t>12/10/2014</t>
  </si>
  <si>
    <t>JOAO ROBERTO LOPES</t>
  </si>
  <si>
    <t>R:  OLEGARIO MACIEL,  169</t>
  </si>
  <si>
    <t>(35)9721-7928</t>
  </si>
  <si>
    <t>571.257.246-04</t>
  </si>
  <si>
    <t>30/01/2013</t>
  </si>
  <si>
    <t>FRANCISCO PAULO DOS REIS</t>
  </si>
  <si>
    <t>RUA HAILTON JOSé PINTO</t>
  </si>
  <si>
    <t>ST° ANTONIO</t>
  </si>
  <si>
    <t>(35)9838-7636</t>
  </si>
  <si>
    <t>514.268.896-15</t>
  </si>
  <si>
    <t>Impossibiltado de receber chamada nesse momento</t>
  </si>
  <si>
    <t>15/08/2017</t>
  </si>
  <si>
    <t>GERALDO LUCAS CORREA</t>
  </si>
  <si>
    <t>RUI BARBOSA</t>
  </si>
  <si>
    <t>(35)9,9838-6926</t>
  </si>
  <si>
    <t>066.557.946-25</t>
  </si>
  <si>
    <t>23/07/2015</t>
  </si>
  <si>
    <t>GERALDO RODRIGUES CORREA</t>
  </si>
  <si>
    <t>PROFESSOR AFONSO ANTONIO FRORENCIANO</t>
  </si>
  <si>
    <t>(35)3445-2907</t>
  </si>
  <si>
    <t>313.876.166-68</t>
  </si>
  <si>
    <t>09/03/2017</t>
  </si>
  <si>
    <t>05/08/2015</t>
  </si>
  <si>
    <t>GERALDO VITOR DE SOUZA</t>
  </si>
  <si>
    <t>SALVADOR JOSE DE MELO</t>
  </si>
  <si>
    <t>(35)3445-1067</t>
  </si>
  <si>
    <t>265.119.978-80</t>
  </si>
  <si>
    <t>GERMANO JOSE RIBEIRO</t>
  </si>
  <si>
    <t>SÁ NARCISA</t>
  </si>
  <si>
    <t>922.171.766-68</t>
  </si>
  <si>
    <t>06/09/2018</t>
  </si>
  <si>
    <t>GEYSLA HELISSA DA SILVA FABRICIO</t>
  </si>
  <si>
    <t>SEVERIANO FRANCISCO DOS SANTOS</t>
  </si>
  <si>
    <t>(35)999070897</t>
  </si>
  <si>
    <t>113.109.866-81</t>
  </si>
  <si>
    <t>R: OSCAR GOMES DE LIMA</t>
  </si>
  <si>
    <t>04/02/2019</t>
  </si>
  <si>
    <t>GILCEMAR RODRIGUES ARAUJO</t>
  </si>
  <si>
    <t>SILVIO MONTEIRO DE CARVALHO</t>
  </si>
  <si>
    <t>(35)998235532</t>
  </si>
  <si>
    <t>036.199.506-79</t>
  </si>
  <si>
    <t>20/11/2012</t>
  </si>
  <si>
    <t>GILMAR PEREIRA LEMES</t>
  </si>
  <si>
    <t>MARIO MESSIAS DE PADUA</t>
  </si>
  <si>
    <t>NSA DE FATIMA</t>
  </si>
  <si>
    <t>35-9853-4397</t>
  </si>
  <si>
    <t>461.746.726-20</t>
  </si>
  <si>
    <t>GILSON BENEDITO DE SOUZA</t>
  </si>
  <si>
    <t>R: AVELINO NUNES DE ALMEIDA</t>
  </si>
  <si>
    <t>(35)9727-2585</t>
  </si>
  <si>
    <t>050.234.016-93</t>
  </si>
  <si>
    <t>18/12/2014</t>
  </si>
  <si>
    <t>GILSON HENRIQUE PAIVA</t>
  </si>
  <si>
    <t>(35)9734-8597</t>
  </si>
  <si>
    <t>117.413.326-05</t>
  </si>
  <si>
    <t>05/12/2014</t>
  </si>
  <si>
    <t>GIOVANA APARECIDA DA SILVA</t>
  </si>
  <si>
    <t>RUA: GERSON BRANDAO</t>
  </si>
  <si>
    <t>(35)99956-5909</t>
  </si>
  <si>
    <t>036.199.946-17</t>
  </si>
  <si>
    <t>14/01/2016</t>
  </si>
  <si>
    <t>GIOVANE GALVAO DE MIRA</t>
  </si>
  <si>
    <t>R. ANTONIO ELIZARDO DA SILVA</t>
  </si>
  <si>
    <t>35 9887-8803</t>
  </si>
  <si>
    <t>099.168.356-08</t>
  </si>
  <si>
    <t>04/02/2017</t>
  </si>
  <si>
    <t>GIOVANNA SANTOS SOARES DE LIMA</t>
  </si>
  <si>
    <t>020.633.966-63</t>
  </si>
  <si>
    <t>11/06/2015</t>
  </si>
  <si>
    <t>GIZELE MARIA PEREIRA</t>
  </si>
  <si>
    <t>RUA MARIO MESSIAS DE PADUA</t>
  </si>
  <si>
    <t>(35)99213-1325</t>
  </si>
  <si>
    <t>799.613.986-53</t>
  </si>
  <si>
    <t>09/12/2015</t>
  </si>
  <si>
    <t>GUILHERME DONIZETE PEREIRA</t>
  </si>
  <si>
    <t>R. RAUL COBRA FILHO</t>
  </si>
  <si>
    <t>(35)9971-7949</t>
  </si>
  <si>
    <t>068.868.656-76</t>
  </si>
  <si>
    <t>04/01/2015</t>
  </si>
  <si>
    <t>HELEN JULIANA GUIMARAES</t>
  </si>
  <si>
    <t>RUA SEBASTIAO DE FREITAS</t>
  </si>
  <si>
    <t>(35)99932-2611</t>
  </si>
  <si>
    <t>082.945.146-32</t>
  </si>
  <si>
    <t>HELOIZA NOGUEIRA DE OLIVEIRA</t>
  </si>
  <si>
    <t>RUA JOSE ALVARO PINHEIRO JUNIOR</t>
  </si>
  <si>
    <t>(35)999906455</t>
  </si>
  <si>
    <t>125.147.086-64</t>
  </si>
  <si>
    <t>28/12/2016</t>
  </si>
  <si>
    <t>RODOVIA MG 290</t>
  </si>
  <si>
    <t>ISABEL CRISTINA PLACINDINO</t>
  </si>
  <si>
    <t>RUA SANTA RITA DE CASSIA</t>
  </si>
  <si>
    <t>(35)99763-7435</t>
  </si>
  <si>
    <t>052.985.386-81</t>
  </si>
  <si>
    <t>12/08/2015</t>
  </si>
  <si>
    <t>ILDO DONIZETE DO COUTO</t>
  </si>
  <si>
    <t>(35)9958-8248</t>
  </si>
  <si>
    <t>026.536.636-43</t>
  </si>
  <si>
    <t>IND E COM ART MADEIRAS, PLASTICO ADRIANA LTDA</t>
  </si>
  <si>
    <t>(35)3445-1450</t>
  </si>
  <si>
    <t>01.836.539/0001-48</t>
  </si>
  <si>
    <t>26/12/2016</t>
  </si>
  <si>
    <t>IND E COM ART MADEIRAS, PLASTICO ADRIANA LTDA dois pontos</t>
  </si>
  <si>
    <t>03/03/2018</t>
  </si>
  <si>
    <t>IRACEMA RITA DA SILVA ROCHA</t>
  </si>
  <si>
    <t>(35)99156-5965</t>
  </si>
  <si>
    <t>179.119.208-42</t>
  </si>
  <si>
    <t>20/06/2015</t>
  </si>
  <si>
    <t>MARIA DE LOURDES ANTUNES GOMES DE COUTO</t>
  </si>
  <si>
    <t>R. JOSE LUIZ BRANDAO</t>
  </si>
  <si>
    <t>(35)9718-6353</t>
  </si>
  <si>
    <t>178.532.048-33</t>
  </si>
  <si>
    <t>15/08/2018</t>
  </si>
  <si>
    <t>ISABELA DE ALMEIDA MAXIMIANO</t>
  </si>
  <si>
    <t>CHACARA SAO JOSE</t>
  </si>
  <si>
    <t>(11)953710149</t>
  </si>
  <si>
    <t>097.055.076-60</t>
  </si>
  <si>
    <t>24/09/2020</t>
  </si>
  <si>
    <t>RUA CORONEL JOSE INACIO</t>
  </si>
  <si>
    <t>04/07/2020</t>
  </si>
  <si>
    <t>ISAC CARLOS MOREIRA</t>
  </si>
  <si>
    <t>ANTENOR RODRIGUES DA SILVA</t>
  </si>
  <si>
    <t>(35)99981-6969</t>
  </si>
  <si>
    <t>105.640.956-80</t>
  </si>
  <si>
    <t>08/02/2018</t>
  </si>
  <si>
    <t>IVONE CLARETH DUARTE GUIMARAES</t>
  </si>
  <si>
    <t>35 9 98411078</t>
  </si>
  <si>
    <t>882.289.246-15</t>
  </si>
  <si>
    <t>05/06/2018</t>
  </si>
  <si>
    <t>IZABEL CRISTINA CRUZ</t>
  </si>
  <si>
    <t>045.389.976-50</t>
  </si>
  <si>
    <t>04/02/2015</t>
  </si>
  <si>
    <t>IZABEL CRISTINA RODRIGUES</t>
  </si>
  <si>
    <t>R: JOSE PINTO BRANDAO</t>
  </si>
  <si>
    <t>(35)9841-8890</t>
  </si>
  <si>
    <t>663.201.946-34</t>
  </si>
  <si>
    <t>12/09/2018</t>
  </si>
  <si>
    <t>IZAIAS BARBOZA LIMA</t>
  </si>
  <si>
    <t>RUA JOSE FELICIANO</t>
  </si>
  <si>
    <t>(35)99742-5699</t>
  </si>
  <si>
    <t>772.630.578-91</t>
  </si>
  <si>
    <t>20/12/2014</t>
  </si>
  <si>
    <t>IZILDA DE FATIMA SILVA</t>
  </si>
  <si>
    <t>R. FRANCISCO DE ALVARO SOBREIRO</t>
  </si>
  <si>
    <t>(35)98058-837_</t>
  </si>
  <si>
    <t>475.715.516-68</t>
  </si>
  <si>
    <t>01/08/2018</t>
  </si>
  <si>
    <t>IZILDA REGINA MARIANO TOMAZOLLI</t>
  </si>
  <si>
    <t>PEREGRINO FRANKLIM</t>
  </si>
  <si>
    <t>NSRA APARECIDA</t>
  </si>
  <si>
    <t>(35)99900-2518</t>
  </si>
  <si>
    <t>116.743.948-10</t>
  </si>
  <si>
    <t>JAIR ELIAS ALVES</t>
  </si>
  <si>
    <t>R.JOSE BENJAMIM DE OLIVEIRA</t>
  </si>
  <si>
    <t>35-9-9703-5626</t>
  </si>
  <si>
    <t>985.106.226-04</t>
  </si>
  <si>
    <t>19/12/2017</t>
  </si>
  <si>
    <t>JANAINA DANIELI  DO PRADO FARIA</t>
  </si>
  <si>
    <t>35 9 99901893</t>
  </si>
  <si>
    <t>076.784.226-01</t>
  </si>
  <si>
    <t>JOAO GERALDO RIBEIRO (COPASA)</t>
  </si>
  <si>
    <t>(35)3445-2808</t>
  </si>
  <si>
    <t>532.709.676-91</t>
  </si>
  <si>
    <t>16/11/2012</t>
  </si>
  <si>
    <t>JAQUELINE BORGES PEREIRA</t>
  </si>
  <si>
    <t>STA TEREZINHA</t>
  </si>
  <si>
    <t>(35)3445-1750</t>
  </si>
  <si>
    <t>085.315.686-76</t>
  </si>
  <si>
    <t>JAQUELINE VALERIA GOMES (RES)</t>
  </si>
  <si>
    <t>R: EDUARDO AMARAL</t>
  </si>
  <si>
    <t>(35)34452-566_</t>
  </si>
  <si>
    <t>075.481.876-45</t>
  </si>
  <si>
    <t>19/06/2018</t>
  </si>
  <si>
    <t>JASIEL PEREIRA DOS SANTOS</t>
  </si>
  <si>
    <t>(35)3445 1285</t>
  </si>
  <si>
    <t>772.420.766-68</t>
  </si>
  <si>
    <t>JEANE EMILIA DOS SANTOS PADUA</t>
  </si>
  <si>
    <t>HAYLTON JOSE PINTO</t>
  </si>
  <si>
    <t>(35)9810-0022</t>
  </si>
  <si>
    <t>009.925.806-41</t>
  </si>
  <si>
    <t>14/12/2012</t>
  </si>
  <si>
    <t>JEANE JOB MOREIRA DA COSTA</t>
  </si>
  <si>
    <t>R MARCELO GERALDO RIBEIRO</t>
  </si>
  <si>
    <t>JARDIM DOS BARBOSAS</t>
  </si>
  <si>
    <t>(35)3445-2088</t>
  </si>
  <si>
    <t>013.087.236-95</t>
  </si>
  <si>
    <t>23/01/2018</t>
  </si>
  <si>
    <t>JEFFERSON MORAES ARAUJO</t>
  </si>
  <si>
    <t>RUA JOSE FELICIO DE REZENDE</t>
  </si>
  <si>
    <t>(35)99888-3854</t>
  </si>
  <si>
    <t>136.264.176-62</t>
  </si>
  <si>
    <t>29/04/2014</t>
  </si>
  <si>
    <t>JEFFERSON WELLINTON DA SILVA PACHECO</t>
  </si>
  <si>
    <t>R: ORLANDO DOMINGUES DOS SANTOS</t>
  </si>
  <si>
    <t>(35)9830-2203</t>
  </si>
  <si>
    <t>089.022.026-31</t>
  </si>
  <si>
    <t>22/08/2020</t>
  </si>
  <si>
    <t>JESSICA DE MEIRELES OLIVEIRA ROSA</t>
  </si>
  <si>
    <t>RUA JUSCELINO KUBITSCHEK</t>
  </si>
  <si>
    <t>(35)99851-9997</t>
  </si>
  <si>
    <t>414.099.708-76</t>
  </si>
  <si>
    <t>13/04/2020</t>
  </si>
  <si>
    <t>JESSICA PEREIRA DA SILVA</t>
  </si>
  <si>
    <t>RUA GETULIO VARGAS</t>
  </si>
  <si>
    <t>(35)99837-9274</t>
  </si>
  <si>
    <t>109.735.316-81</t>
  </si>
  <si>
    <t>17/11/2014</t>
  </si>
  <si>
    <t>JESUS DE REZENDE ARAUJO</t>
  </si>
  <si>
    <t>R. BENEDITO MARCONDES DE SOUZA</t>
  </si>
  <si>
    <t>27/11/2012</t>
  </si>
  <si>
    <t>ROSANGELA AP MOREIRA</t>
  </si>
  <si>
    <t>PELEGRINO FLANKLIN</t>
  </si>
  <si>
    <t>(35)9803-4694</t>
  </si>
  <si>
    <t>842.020.336-04</t>
  </si>
  <si>
    <t>26/12/2012</t>
  </si>
  <si>
    <t>KELIANE MARÇAL DE MIRA</t>
  </si>
  <si>
    <t>R:BENEDITO RUFINO XAVIER</t>
  </si>
  <si>
    <t>(35)3445-2038</t>
  </si>
  <si>
    <t>112.638.046-67</t>
  </si>
  <si>
    <t>não foi possivel completar a chamada</t>
  </si>
  <si>
    <t>23/05/2017</t>
  </si>
  <si>
    <t>JOAO BATISTA RAIMUNDO DE MELO</t>
  </si>
  <si>
    <t>AV. ALVARINA PEREIRA CINTRA</t>
  </si>
  <si>
    <t>046.027.196-27</t>
  </si>
  <si>
    <t>JOAO BRAZ DO COUTO</t>
  </si>
  <si>
    <t>(35)998868120</t>
  </si>
  <si>
    <t>184.147.376-68</t>
  </si>
  <si>
    <t>FATIMA APARECIDA COSTA PRESTES</t>
  </si>
  <si>
    <t>N.SRA APARECIDA</t>
  </si>
  <si>
    <t>35-9 9882-8287</t>
  </si>
  <si>
    <t>024.274.066-94</t>
  </si>
  <si>
    <t>18/02/2019</t>
  </si>
  <si>
    <t>JOAO DONIZETE DA SILVA</t>
  </si>
  <si>
    <t>ANA LUIZA MOREIRA</t>
  </si>
  <si>
    <t>(35)99856-0993</t>
  </si>
  <si>
    <t>731.228.406-00</t>
  </si>
  <si>
    <t>07/06/2017</t>
  </si>
  <si>
    <t>NUBIA DONIZETE TAVARES</t>
  </si>
  <si>
    <t>35-9 9901-0033</t>
  </si>
  <si>
    <t>051.245.516-31</t>
  </si>
  <si>
    <t>reforma em casa, cliente pediu para aguardar na média de 25 dias   ligar em 16/03</t>
  </si>
  <si>
    <t>JOAO NORBERTO DO COUTO</t>
  </si>
  <si>
    <t>R: CAPITAO CIPRIANO DE CASTRO</t>
  </si>
  <si>
    <t>(35)998332091</t>
  </si>
  <si>
    <t>263.208.946-87</t>
  </si>
  <si>
    <t>08/08/2019</t>
  </si>
  <si>
    <t>JOAO PAULO DA COSTA</t>
  </si>
  <si>
    <t>AV EDNA MARIA RIBEIRO DA SILVA</t>
  </si>
  <si>
    <t>(35)997155969</t>
  </si>
  <si>
    <t>092.560.056-38</t>
  </si>
  <si>
    <t>JOAO PAULO DELFINO</t>
  </si>
  <si>
    <t>WALLACE GABRILLI</t>
  </si>
  <si>
    <t>(35) 9878-7119</t>
  </si>
  <si>
    <t>043.696.556-92</t>
  </si>
  <si>
    <t>10/01/2015</t>
  </si>
  <si>
    <t>LEONARDO RAIMUNDO DA SILVA</t>
  </si>
  <si>
    <t>R. JOSE LUIZ MOREIRA</t>
  </si>
  <si>
    <t>(35)9819-3737</t>
  </si>
  <si>
    <t>586.777.556-91</t>
  </si>
  <si>
    <t>20/04/2017</t>
  </si>
  <si>
    <t>LINDALVA DA CRUZ MARTINELI DOS SANTOS</t>
  </si>
  <si>
    <t>RUA FRANCISCO COUTINHO DE REZENDE</t>
  </si>
  <si>
    <t>113.586.326-18</t>
  </si>
  <si>
    <t>caixa postal direto</t>
  </si>
  <si>
    <t>03/10/2018</t>
  </si>
  <si>
    <t>JOELMA BENTO DE FIGUEIREDO</t>
  </si>
  <si>
    <t>(35)999611639</t>
  </si>
  <si>
    <t>002.851.626-59</t>
  </si>
  <si>
    <t xml:space="preserve">Jorge  Donizete Ferreira </t>
  </si>
  <si>
    <t xml:space="preserve">Rua Walce Gabrili  </t>
  </si>
  <si>
    <t>(35)998310405</t>
  </si>
  <si>
    <t>412.019.906-10</t>
  </si>
  <si>
    <t>09/07/2019</t>
  </si>
  <si>
    <t>JOSE APARECIDO DA SILVA</t>
  </si>
  <si>
    <t>(35)991707617</t>
  </si>
  <si>
    <t>555.864.229-72</t>
  </si>
  <si>
    <t>28/06/2016</t>
  </si>
  <si>
    <t>JOSE AUGUSTO DA ROSA SILVA</t>
  </si>
  <si>
    <t>RUA JOAQUIM FLORIANO BARBOSA</t>
  </si>
  <si>
    <t>(35)9950-1834</t>
  </si>
  <si>
    <t>085.428.666-73</t>
  </si>
  <si>
    <t>07/06/2016</t>
  </si>
  <si>
    <t>JOSE AUGUSTO SOUZA COUTO</t>
  </si>
  <si>
    <t>R: BENEDITO RUFINO XAVIER</t>
  </si>
  <si>
    <t>124.315.886-70</t>
  </si>
  <si>
    <t>10/09/2018</t>
  </si>
  <si>
    <t>CELIO DE ALMEIDA CUSTODIO</t>
  </si>
  <si>
    <t>RUA MARCELO GERALDO RIBEIRO</t>
  </si>
  <si>
    <t>(35)99725-0111</t>
  </si>
  <si>
    <t>799.600.146-49</t>
  </si>
  <si>
    <t>14/04/2016</t>
  </si>
  <si>
    <t>ALESSANDRO RODRIGUES DA SILVA</t>
  </si>
  <si>
    <t>R: PROFESSOR ALFEU DUARTE</t>
  </si>
  <si>
    <t>071.257.066-73</t>
  </si>
  <si>
    <t>07/03/2013</t>
  </si>
  <si>
    <t>JOSE CARLOS DA SILVA</t>
  </si>
  <si>
    <t>STª EDWIRGES</t>
  </si>
  <si>
    <t>(35)9835-4991</t>
  </si>
  <si>
    <t>051.389.956-18</t>
  </si>
  <si>
    <t>25/08/2020</t>
  </si>
  <si>
    <t>JOSE CARLOS DE LIMA</t>
  </si>
  <si>
    <t>RUA FRANCISCO SOUZA COSTA</t>
  </si>
  <si>
    <t>(35)99936-8393</t>
  </si>
  <si>
    <t>026.990.346-14</t>
  </si>
  <si>
    <t>JOSE CARLOS DE SOUZA (KATATAU)</t>
  </si>
  <si>
    <t>922.171.176-53</t>
  </si>
  <si>
    <t>15/03/2018</t>
  </si>
  <si>
    <t>CLAUNI BATISTA CEZAR</t>
  </si>
  <si>
    <t>RUA JORDINO MARQUES DA COSTA</t>
  </si>
  <si>
    <t>35 9 97392908</t>
  </si>
  <si>
    <t>854.638.506-82</t>
  </si>
  <si>
    <t>17/03/2018</t>
  </si>
  <si>
    <t>JOSE DE FATIMA PEREIRA</t>
  </si>
  <si>
    <t>35 9 8445 2458</t>
  </si>
  <si>
    <t>309.682.246-87</t>
  </si>
  <si>
    <t>22/10/2020</t>
  </si>
  <si>
    <t>JOSE DE MIRA</t>
  </si>
  <si>
    <t>AV: MAGALHAES PINTO</t>
  </si>
  <si>
    <t>(35)99995-8621</t>
  </si>
  <si>
    <t>152.607.716-72</t>
  </si>
  <si>
    <t>28/09/2015</t>
  </si>
  <si>
    <t>JOSE DE OLIVEIRA MENDONÇA  (COPASA)</t>
  </si>
  <si>
    <t>R. CORONEL JOSE INACIO  AP 21</t>
  </si>
  <si>
    <t>(35)9913-6968</t>
  </si>
  <si>
    <t>035.635.946-86</t>
  </si>
  <si>
    <t>13/09/2018</t>
  </si>
  <si>
    <t>JOSE DO CARMO PINTO</t>
  </si>
  <si>
    <t>PRA MONSENHOR PEDRO CINTRA</t>
  </si>
  <si>
    <t>(35)991689086</t>
  </si>
  <si>
    <t>847.797.996-00</t>
  </si>
  <si>
    <t>18/10/2018</t>
  </si>
  <si>
    <t>JOSE DO CARMO PINTO dois pontos</t>
  </si>
  <si>
    <t>TRAVESSA JOSE LUIZ BRANDAO</t>
  </si>
  <si>
    <t>28/03/2014</t>
  </si>
  <si>
    <t>JOSE FRANCISCO DOS SANTOS</t>
  </si>
  <si>
    <t>R:MARIA JOSE COUTINHO</t>
  </si>
  <si>
    <t>(35)3445-1107</t>
  </si>
  <si>
    <t>847.796.916-72</t>
  </si>
  <si>
    <t>28/12/2017</t>
  </si>
  <si>
    <t>DANIELA DE PAULA MARTINS</t>
  </si>
  <si>
    <t>FRANCISCO JOSE RENNA</t>
  </si>
  <si>
    <t>35-9 9803-7204</t>
  </si>
  <si>
    <t>069.282.966-07</t>
  </si>
  <si>
    <t>30/08/2016</t>
  </si>
  <si>
    <t>JOSE JOAO DOS SANTOS</t>
  </si>
  <si>
    <t>R:  ANTONIO FIRMIANO GONÇALVES</t>
  </si>
  <si>
    <t>35-9 91932263</t>
  </si>
  <si>
    <t>346.598.546-04</t>
  </si>
  <si>
    <t>02/01/2017</t>
  </si>
  <si>
    <t>CELIO HONORIO DA SILVEIRA</t>
  </si>
  <si>
    <t>JOSE FIRMO WERNECK</t>
  </si>
  <si>
    <t>(35)9,9809-7384</t>
  </si>
  <si>
    <t>073.006.346-13</t>
  </si>
  <si>
    <t>04/11/2013</t>
  </si>
  <si>
    <t>FLAVIA APARECIDA BENTO</t>
  </si>
  <si>
    <t>FELICIO GONçALVES MARTINS</t>
  </si>
  <si>
    <t>(35)9922-1901</t>
  </si>
  <si>
    <t>105.725.146-11</t>
  </si>
  <si>
    <t>JOSE LAURO RIBEIRO</t>
  </si>
  <si>
    <t>RUA ANTONIO MARQUES DA SILVA</t>
  </si>
  <si>
    <t>(35)99719-1760</t>
  </si>
  <si>
    <t>016.725.516-92</t>
  </si>
  <si>
    <t>31/07/2016</t>
  </si>
  <si>
    <t>LUANA CAROL DE MEIRELES OLIVEIRA</t>
  </si>
  <si>
    <t>RUA BENEDITO RODRIGUES</t>
  </si>
  <si>
    <t>35 999455374</t>
  </si>
  <si>
    <t>090.369.026-81</t>
  </si>
  <si>
    <t>19/05/2017</t>
  </si>
  <si>
    <t>LUCAS HENRIQUE GOUVEIA</t>
  </si>
  <si>
    <t>35  983281650</t>
  </si>
  <si>
    <t>127.995.686-02</t>
  </si>
  <si>
    <t>Telefone não existe</t>
  </si>
  <si>
    <t>JOSE MARINELLI MOREIRA</t>
  </si>
  <si>
    <t>FRANCISCO ALVARO SOBREIRO</t>
  </si>
  <si>
    <t>(35)3445-3287</t>
  </si>
  <si>
    <t>122.203.966-49</t>
  </si>
  <si>
    <t>nossa Senhora Aparecida</t>
  </si>
  <si>
    <t>JOSE NOGUEIRA DE PADUA</t>
  </si>
  <si>
    <t>RUA SANTA TEREZINHA</t>
  </si>
  <si>
    <t>(35)998623233</t>
  </si>
  <si>
    <t>285.646.266-91</t>
  </si>
  <si>
    <t>04/10/2020</t>
  </si>
  <si>
    <t>JOSE RAIMUNDO BARBOSA/ Maristela Coutinho</t>
  </si>
  <si>
    <t>RUA JOSE MARQUES DE OLIVEIRA</t>
  </si>
  <si>
    <t>(35)99722-1457</t>
  </si>
  <si>
    <t>531.411.056-34</t>
  </si>
  <si>
    <t>27/08/2014</t>
  </si>
  <si>
    <t>JOSE ROBERTO DA COSTA (BARBEIRO)</t>
  </si>
  <si>
    <t>R: DUQUE DE CAXIAS</t>
  </si>
  <si>
    <t>(35)9144-6518</t>
  </si>
  <si>
    <t>772.914.926-53</t>
  </si>
  <si>
    <t>19/07/2019</t>
  </si>
  <si>
    <t>JOSE ROBERTO DOS SANTOS (ZAMBIRO)</t>
  </si>
  <si>
    <t>CANDIDO LAMI</t>
  </si>
  <si>
    <t>(35)998121791</t>
  </si>
  <si>
    <t>972.837.036-91</t>
  </si>
  <si>
    <t>19/11/2016</t>
  </si>
  <si>
    <t>JOSE RODRIGUES DA SILVA</t>
  </si>
  <si>
    <t>R. JOSE PINTO BRANDAO</t>
  </si>
  <si>
    <t>(35)9,99286162</t>
  </si>
  <si>
    <t>007.104.456-60</t>
  </si>
  <si>
    <t>20/03/2017</t>
  </si>
  <si>
    <t>JOSEFINA MARIA PINTO GUISTO</t>
  </si>
  <si>
    <t>060.537.286-16</t>
  </si>
  <si>
    <t>17/03/2015</t>
  </si>
  <si>
    <t>JOSEVANIA PEREIRA</t>
  </si>
  <si>
    <t>AMELIA GOUVEIA</t>
  </si>
  <si>
    <t>(35)9918-8248</t>
  </si>
  <si>
    <t>048.881.266-66</t>
  </si>
  <si>
    <t>27/03/2013</t>
  </si>
  <si>
    <t>MANTOVANI DE SOUZA TOLEDO</t>
  </si>
  <si>
    <t>RUA FRANCISCO FAGUNDES</t>
  </si>
  <si>
    <t>(35)3445-2152</t>
  </si>
  <si>
    <t>663.197.146-20</t>
  </si>
  <si>
    <t>05/09/2020</t>
  </si>
  <si>
    <t>JOSIANE MARIA SILVA</t>
  </si>
  <si>
    <t>CARLOS PEREIRA DE TOLEDO</t>
  </si>
  <si>
    <t>(35)99885-8909</t>
  </si>
  <si>
    <t>074.919.496-06</t>
  </si>
  <si>
    <t>JOSY CRISTIANE DOS SANTOS</t>
  </si>
  <si>
    <t>(35)3445-1069</t>
  </si>
  <si>
    <t>042.222.086-80</t>
  </si>
  <si>
    <t>LUCELIA AP. MARIANO PEREIRA</t>
  </si>
  <si>
    <t>HERCULANO COBRA  (AP.01)</t>
  </si>
  <si>
    <t>(35)9814-2718</t>
  </si>
  <si>
    <t>051.231.916-23</t>
  </si>
  <si>
    <t>18/08/2015</t>
  </si>
  <si>
    <t>JULIANA ALVES RAMOS</t>
  </si>
  <si>
    <t>R. PROF ALFEU DUARTE</t>
  </si>
  <si>
    <t>(35)97455142</t>
  </si>
  <si>
    <t>014.368.636-43</t>
  </si>
  <si>
    <t>ANEDINA MARIA DA SILVA</t>
  </si>
  <si>
    <t>RUA FRANCISCO MARQUES DA COSTA</t>
  </si>
  <si>
    <t>Santa Rita</t>
  </si>
  <si>
    <t>(35) 99812-6758</t>
  </si>
  <si>
    <t>748.518.104-15</t>
  </si>
  <si>
    <t>13/11/2017</t>
  </si>
  <si>
    <t>JULIO AUGUSTO DA COSTA</t>
  </si>
  <si>
    <t>073.424.036-87</t>
  </si>
  <si>
    <t>30/10/2012</t>
  </si>
  <si>
    <t>JULIO CESAR DOS SANTOS</t>
  </si>
  <si>
    <t>R:ERASTO PEREIRA DE TOLEDO</t>
  </si>
  <si>
    <t>044.223.678-62</t>
  </si>
  <si>
    <t>JULIO CESAR MARQUES</t>
  </si>
  <si>
    <t>(35)9173-3752</t>
  </si>
  <si>
    <t>833.311.666-34</t>
  </si>
  <si>
    <t>18/08/2016</t>
  </si>
  <si>
    <t>JULIO PEREIRA DE TOLEDO</t>
  </si>
  <si>
    <t>R.RIO BRANCO</t>
  </si>
  <si>
    <t>(35)3445-2777</t>
  </si>
  <si>
    <t>172.669.396-15</t>
  </si>
  <si>
    <t>JUSSARA CASSIA DA SILVA</t>
  </si>
  <si>
    <t>R. FRANCISCO MARQUES DA COSTA</t>
  </si>
  <si>
    <t>(35)9 9883-0088</t>
  </si>
  <si>
    <t>890.227.506-04</t>
  </si>
  <si>
    <t>09/05/2019</t>
  </si>
  <si>
    <t>KAIQUE ANTUNES DA ROCHA MORO</t>
  </si>
  <si>
    <t>(35)998455971</t>
  </si>
  <si>
    <t>164.938.486-60</t>
  </si>
  <si>
    <t>29/10/2020</t>
  </si>
  <si>
    <t>KARLA APARECIDA RODRIGUES ALMEIDA</t>
  </si>
  <si>
    <t>(35)99898-4328</t>
  </si>
  <si>
    <t>074.803.116-21</t>
  </si>
  <si>
    <t>26/08/2016</t>
  </si>
  <si>
    <t>KEILA CRISTINA DA SILVA SIQUEIRA</t>
  </si>
  <si>
    <t>STA RITA</t>
  </si>
  <si>
    <t>015.196.826-89</t>
  </si>
  <si>
    <t>MAURO SERGIO DE MORAES</t>
  </si>
  <si>
    <t>RUA JOSE BENJAMIM DE OLIVEIRA</t>
  </si>
  <si>
    <t>(35)99859-9078</t>
  </si>
  <si>
    <t>040.031.696-03</t>
  </si>
  <si>
    <t>02/01/2020</t>
  </si>
  <si>
    <t>LARISSA REZENDE DOS SANTOS</t>
  </si>
  <si>
    <t>RUA BENEDITO SANTOS</t>
  </si>
  <si>
    <t>(35)99904-9650</t>
  </si>
  <si>
    <t>086.840.566-39</t>
  </si>
  <si>
    <t>25/04/2016</t>
  </si>
  <si>
    <t>LAZARA DA COSTA</t>
  </si>
  <si>
    <t>R: MARIA TEREZA DE OLIVEIRA</t>
  </si>
  <si>
    <t>882.290.256-49</t>
  </si>
  <si>
    <t>05/05/2016</t>
  </si>
  <si>
    <t>LEANDRO DE SOUZA SILVA</t>
  </si>
  <si>
    <t>R. ANA TEREZA DOS SANTOS</t>
  </si>
  <si>
    <t>(35)9966-0018</t>
  </si>
  <si>
    <t>107.485.276-13</t>
  </si>
  <si>
    <t>05/08/2016</t>
  </si>
  <si>
    <t>LEANDRO JOSE DE MELO</t>
  </si>
  <si>
    <t>(35) 99747-3754</t>
  </si>
  <si>
    <t>145.507.946-40</t>
  </si>
  <si>
    <t>16/01/2020</t>
  </si>
  <si>
    <t>LEILA MICHELE PEREIRA</t>
  </si>
  <si>
    <t>(35)99996-8869</t>
  </si>
  <si>
    <t>053.390.296-70</t>
  </si>
  <si>
    <t>RICARDO CORREA SILVA</t>
  </si>
  <si>
    <t>RUA ALFEU DUARTE</t>
  </si>
  <si>
    <t>(35)9997-4830</t>
  </si>
  <si>
    <t>034.217.446-02</t>
  </si>
  <si>
    <t>04/11/2014</t>
  </si>
  <si>
    <t>LEONI MARCELINO DOS SANTOS</t>
  </si>
  <si>
    <t>(35)9950-7161</t>
  </si>
  <si>
    <t>118.043.976-79</t>
  </si>
  <si>
    <t>23/01/2020</t>
  </si>
  <si>
    <t>LUANA APARECIDA DA COSTA</t>
  </si>
  <si>
    <t>RUA VICENTINA ZAMPONI COSTA</t>
  </si>
  <si>
    <t>(35)99821-2728</t>
  </si>
  <si>
    <t>124.233.746-66</t>
  </si>
  <si>
    <t>24/01/2018</t>
  </si>
  <si>
    <t>LUCAS DE CASSIO LIMA</t>
  </si>
  <si>
    <t>RUA AMELIA GOUVEA</t>
  </si>
  <si>
    <t>35 9 9812 5334</t>
  </si>
  <si>
    <t>101.683.866-23</t>
  </si>
  <si>
    <t>25/09/2018</t>
  </si>
  <si>
    <t>LUCIANO MANOEL BARBOSA</t>
  </si>
  <si>
    <t>RUA JUVENAL RODRIGUES DE ALMEIDA</t>
  </si>
  <si>
    <t>(35)98456-6268</t>
  </si>
  <si>
    <t>247.464.768-61</t>
  </si>
  <si>
    <t>LUCIENE DO COUTO LEMMES ZUCARELLI</t>
  </si>
  <si>
    <t>(35)3445-2174</t>
  </si>
  <si>
    <t>475.711.016-20</t>
  </si>
  <si>
    <t>21/12/2012</t>
  </si>
  <si>
    <t>LUCIANA ADELAIDE DA SILVA</t>
  </si>
  <si>
    <t>RUA FRANCISCO DE SOUZA COSTA</t>
  </si>
  <si>
    <t>(35)9927-1185</t>
  </si>
  <si>
    <t>939.797.466-15</t>
  </si>
  <si>
    <t>10/08/2020</t>
  </si>
  <si>
    <t>LUCILENE DIAS OLIVEIRA</t>
  </si>
  <si>
    <t>(35)99919-5217</t>
  </si>
  <si>
    <t>161.497.948-06</t>
  </si>
  <si>
    <t>22/01/2020</t>
  </si>
  <si>
    <t>LUCIANA CRISTINA DA SILVA</t>
  </si>
  <si>
    <t>(35)99710-6805</t>
  </si>
  <si>
    <t>073.188.426-41</t>
  </si>
  <si>
    <t>29/02/2016</t>
  </si>
  <si>
    <t>LUCIANA SIMOES ALVES</t>
  </si>
  <si>
    <t>R. HERCULANO COBRA</t>
  </si>
  <si>
    <t>(35)9969-8989</t>
  </si>
  <si>
    <t>693.476.116-20</t>
  </si>
  <si>
    <t>15/10/2014</t>
  </si>
  <si>
    <t>LUCIANE PEREIRA DE TOLEDO   (WIZARD)</t>
  </si>
  <si>
    <t>R: JOAO BERALDO</t>
  </si>
  <si>
    <t>(35)3445-3144</t>
  </si>
  <si>
    <t>028.521.076-94</t>
  </si>
  <si>
    <t>29/12/2016</t>
  </si>
  <si>
    <t>LUCIANE PEREIRA DE TOLEDO   (WIZARD) dois pontos</t>
  </si>
  <si>
    <t>23/07/2019</t>
  </si>
  <si>
    <t>ELIANE RAIMUNDA DOS SANTOS</t>
  </si>
  <si>
    <t>AV LUIZ CARDOSO PINTO</t>
  </si>
  <si>
    <t>(35)999725904</t>
  </si>
  <si>
    <t>19.439.364/0001-09</t>
  </si>
  <si>
    <t>fora da area de cbertura ou desligado</t>
  </si>
  <si>
    <t>06/01/2017</t>
  </si>
  <si>
    <t>HARLEY COBRA</t>
  </si>
  <si>
    <t>(35)3445-1323</t>
  </si>
  <si>
    <t>028.803.856-87</t>
  </si>
  <si>
    <t>EVA MARLI DA SILVA/João Pedro Silva</t>
  </si>
  <si>
    <t>Nossa Senhora Aparecida</t>
  </si>
  <si>
    <t>(35)99915-6971</t>
  </si>
  <si>
    <t>562.904.979-87</t>
  </si>
  <si>
    <t>LUIZ MIGUEL DOS SANTOS</t>
  </si>
  <si>
    <t>DARIO NOGUEIRA</t>
  </si>
  <si>
    <t>(35)3445-1534</t>
  </si>
  <si>
    <t>107.764.836-76</t>
  </si>
  <si>
    <t>LUCIMARA APARECIDA SANTOS</t>
  </si>
  <si>
    <t>(35)99995-6260</t>
  </si>
  <si>
    <t>031.029.336-70</t>
  </si>
  <si>
    <t>17/06/2020</t>
  </si>
  <si>
    <t>LUIZ ANTONIO CARDOSO ARRUDA</t>
  </si>
  <si>
    <t>RUA MARIA JOSE COUTINHO</t>
  </si>
  <si>
    <t>004.583.106-89</t>
  </si>
  <si>
    <t>31/05/2019</t>
  </si>
  <si>
    <t>LUIZ CARLOS ANDRADE DA SILVA</t>
  </si>
  <si>
    <t>RUA PRESIDENTE GETULIO VARGAS</t>
  </si>
  <si>
    <t>(35)999662807</t>
  </si>
  <si>
    <t>005.710.846-30</t>
  </si>
  <si>
    <t>07/04/2016</t>
  </si>
  <si>
    <t>LUIZ CARLOS MOREIRA</t>
  </si>
  <si>
    <t>R: JOSE LUIZ BRANDAO</t>
  </si>
  <si>
    <t>574.670.646-91</t>
  </si>
  <si>
    <t>05/11/2014</t>
  </si>
  <si>
    <t>LUIZ CARLOS PINHEIRO</t>
  </si>
  <si>
    <t>R. FRANCISCO COUTINHO DE REZENDE</t>
  </si>
  <si>
    <t>N. SENHORA APARECIDA</t>
  </si>
  <si>
    <t>(35)3445-1945</t>
  </si>
  <si>
    <t>475.721.086-87</t>
  </si>
  <si>
    <t>21/11/2016</t>
  </si>
  <si>
    <t>LUIZ CARLOS TOMAZOLLI</t>
  </si>
  <si>
    <t>R:SEVERIANO FRANCISCO DOS SANTOS</t>
  </si>
  <si>
    <t>310.416.688-99</t>
  </si>
  <si>
    <t>09/03/2020</t>
  </si>
  <si>
    <t>LUIZ FERNANDO ADAMI DOS REIS</t>
  </si>
  <si>
    <t>(35)99892-6875</t>
  </si>
  <si>
    <t>147.522.726-44</t>
  </si>
  <si>
    <t>12/12/2016</t>
  </si>
  <si>
    <t>LUIZ FILIPE SATIRO PEREIRA</t>
  </si>
  <si>
    <t>RUA ONOFRE MARQUES DA COSTA</t>
  </si>
  <si>
    <t>(35)99841-1978</t>
  </si>
  <si>
    <t>134.838.156-60</t>
  </si>
  <si>
    <t>11/05/2019</t>
  </si>
  <si>
    <t>MARCIO ESTELO DE MORAIS</t>
  </si>
  <si>
    <t>RUA JOSE ARLINDO DOS SANTOS SOBRINHO</t>
  </si>
  <si>
    <t>(35)997474057</t>
  </si>
  <si>
    <t>663.204.536-72</t>
  </si>
  <si>
    <t>16/01/2016</t>
  </si>
  <si>
    <t>LUIZ RAFAEL DA SILVA</t>
  </si>
  <si>
    <t>(35)9967-4365</t>
  </si>
  <si>
    <t>044.313.206-28</t>
  </si>
  <si>
    <t>17/01/2019</t>
  </si>
  <si>
    <t>LUIZ RAFAEL DA SILVA (Angela)</t>
  </si>
  <si>
    <t>R: JOAO PORFIRIO DA SILVA</t>
  </si>
  <si>
    <t>05/04/2018</t>
  </si>
  <si>
    <t>LUZIA APARECIDA MENDES COUTO</t>
  </si>
  <si>
    <t>RUA VEREADOR JOSE DE CARVALHO</t>
  </si>
  <si>
    <t>(35)9992-70811</t>
  </si>
  <si>
    <t>057.618.556-66</t>
  </si>
  <si>
    <t>07/10/2019</t>
  </si>
  <si>
    <t>MACIEL LUIZ PEREIRA</t>
  </si>
  <si>
    <t>RUA ALFREDO GOMES DE LIMA</t>
  </si>
  <si>
    <t>(35)99912-9253</t>
  </si>
  <si>
    <t>671.622.406-82</t>
  </si>
  <si>
    <t>01/05/2019</t>
  </si>
  <si>
    <t>CARLOS AUGUSTO PEREIRA</t>
  </si>
  <si>
    <t>(35)998965571</t>
  </si>
  <si>
    <t>093.564.646-93</t>
  </si>
  <si>
    <t>Impossibilitado de receber chamada</t>
  </si>
  <si>
    <t>19/04/2016</t>
  </si>
  <si>
    <t>MADAIL COUTO NASCIMENTO</t>
  </si>
  <si>
    <t>RUA ARLINDO DOMINGO DOS SANTOS</t>
  </si>
  <si>
    <t>126.521.908-73</t>
  </si>
  <si>
    <t>23/02/2019</t>
  </si>
  <si>
    <t>MAGALI DAS GRAÇAS RIBEIRO</t>
  </si>
  <si>
    <t>ANTONIO MARQUES DA SILVA</t>
  </si>
  <si>
    <t>032.975.296-01</t>
  </si>
  <si>
    <t>30/10/2015</t>
  </si>
  <si>
    <t>MAGDA MARIA SILVEIRA DE MEDEIROS</t>
  </si>
  <si>
    <t>PRACA ANTONIO MEGALE</t>
  </si>
  <si>
    <t>(35)9913-1590</t>
  </si>
  <si>
    <t>542.334.026-87</t>
  </si>
  <si>
    <t>09/07/2018</t>
  </si>
  <si>
    <t>JOSE MARIA DOS SANTOS</t>
  </si>
  <si>
    <t>FRANCISCO FLORIANO BARBOSA</t>
  </si>
  <si>
    <t>09</t>
  </si>
  <si>
    <t>(35)984373106</t>
  </si>
  <si>
    <t>462.005.256-68</t>
  </si>
  <si>
    <t>25/07/2014</t>
  </si>
  <si>
    <t>MAIRA CRISTINA DE ARAUJO</t>
  </si>
  <si>
    <t>R DUQUE DE CAXIAS</t>
  </si>
  <si>
    <t>(35)9908-2865</t>
  </si>
  <si>
    <t>077.382.156-23</t>
  </si>
  <si>
    <t>02/03/2019</t>
  </si>
  <si>
    <t>MAISA REZENDE DE PADUA</t>
  </si>
  <si>
    <t>(35)998387449</t>
  </si>
  <si>
    <t>091.192.756-50</t>
  </si>
  <si>
    <t>JOSE RONALDO DA SILVA</t>
  </si>
  <si>
    <t>056.343.446-54</t>
  </si>
  <si>
    <t>15/07/2014</t>
  </si>
  <si>
    <t>MARIA JOSE DA SILVA PEREIRA</t>
  </si>
  <si>
    <t>OLEGARIO MACIEL</t>
  </si>
  <si>
    <t>(35)9950-6161</t>
  </si>
  <si>
    <t>271.482.976-72</t>
  </si>
  <si>
    <t>09/01/2014</t>
  </si>
  <si>
    <t>MARCELO JOSÉ SOUZA</t>
  </si>
  <si>
    <t>R. ALFEU DUARTE</t>
  </si>
  <si>
    <t>(35)9807-2076</t>
  </si>
  <si>
    <t>068.435.366-03</t>
  </si>
  <si>
    <t>MARCIA HELENA BRANDAO TEODORO</t>
  </si>
  <si>
    <t>VICENTE GONÇALVES PINTO</t>
  </si>
  <si>
    <t>(35)9954-2725</t>
  </si>
  <si>
    <t>073.144.406-03</t>
  </si>
  <si>
    <t>04/10/2013</t>
  </si>
  <si>
    <t>MARCIA ROSA RIBEIRO COUTINHO</t>
  </si>
  <si>
    <t>R:AGRICOLA MONTEIRO DE CARVALHO</t>
  </si>
  <si>
    <t>(35)9875-7517</t>
  </si>
  <si>
    <t>034.038.036-51</t>
  </si>
  <si>
    <t>16/11/2016</t>
  </si>
  <si>
    <t>MARCIO APARECIDO MARINS ALMEIDA</t>
  </si>
  <si>
    <t>R. ALFERES JOSE LOPES DA SILVA</t>
  </si>
  <si>
    <t>(35)9,9964-8518</t>
  </si>
  <si>
    <t>994.394.686-53</t>
  </si>
  <si>
    <t>CELIA DO CARMO NAVES</t>
  </si>
  <si>
    <t>RUA JOAO MARTINHO DE MORAES</t>
  </si>
  <si>
    <t>35 9 9918 9164</t>
  </si>
  <si>
    <t>024.916.698-46</t>
  </si>
  <si>
    <t>12/04/2017</t>
  </si>
  <si>
    <t>MARIA JOSE MOREIRA SIQUEIRA</t>
  </si>
  <si>
    <t>9 9813 6155</t>
  </si>
  <si>
    <t>591.562.286-00</t>
  </si>
  <si>
    <t>Não existe o telefone</t>
  </si>
  <si>
    <t>26/08/2015</t>
  </si>
  <si>
    <t>MARCIO HENRIQUE PEREIRA</t>
  </si>
  <si>
    <t>JOSE PINTO BRANDAO</t>
  </si>
  <si>
    <t>(35)9934-9551</t>
  </si>
  <si>
    <t>063.157.566-97</t>
  </si>
  <si>
    <t>MARCIO JOSÉ DA SILVA</t>
  </si>
  <si>
    <t>R: BUENO BRANDAO</t>
  </si>
  <si>
    <t>(35)9936-7278</t>
  </si>
  <si>
    <t>017.012.956-01</t>
  </si>
  <si>
    <t>MARCIO TROTA</t>
  </si>
  <si>
    <t>(35)3445-1946</t>
  </si>
  <si>
    <t>031.084.406-16</t>
  </si>
  <si>
    <t>MARCO ANTONIO FLORIANO MELLO</t>
  </si>
  <si>
    <t>R: JOSE ALVES DE GUSMAO</t>
  </si>
  <si>
    <t>(35)9912-3001</t>
  </si>
  <si>
    <t>339.523.376-68</t>
  </si>
  <si>
    <t>telefone errado a pessoa que atendeu não era o cliente</t>
  </si>
  <si>
    <t>22/07/2019</t>
  </si>
  <si>
    <t>MARCO AURELIO MEIRA</t>
  </si>
  <si>
    <t>(35)999865486</t>
  </si>
  <si>
    <t>054.803.846-51</t>
  </si>
  <si>
    <t>MARCOS ANTONIO DA SILVA   (MARQUINHO)</t>
  </si>
  <si>
    <t>ADOLFO CABRAL BUENO</t>
  </si>
  <si>
    <t>(35)99713-4049</t>
  </si>
  <si>
    <t>055.097.326-52</t>
  </si>
  <si>
    <t>31/07/2018</t>
  </si>
  <si>
    <t>SIMPLICIANO DIAS DE OLIVEIRA</t>
  </si>
  <si>
    <t>06/10/2015</t>
  </si>
  <si>
    <t>JOAO DA SILVA</t>
  </si>
  <si>
    <t>R. CAPITAO CIPRIANO DE CASTRO N°1040</t>
  </si>
  <si>
    <t>(35)9868-8394</t>
  </si>
  <si>
    <t>004.860.368-63</t>
  </si>
  <si>
    <t>imposiblitado de receber chamada</t>
  </si>
  <si>
    <t>MARIA AFONSINA DA SILVA BASTOS</t>
  </si>
  <si>
    <t>ESTRADA SANTA CRUZ PONTE DE ZINCO  (CHACARA CANTINHO DA PAZ)</t>
  </si>
  <si>
    <t>(35)99903-4561</t>
  </si>
  <si>
    <t>258.201.416-87</t>
  </si>
  <si>
    <t>06/06/2018</t>
  </si>
  <si>
    <t>MARIA LUCIA DA ROSA</t>
  </si>
  <si>
    <t>VEREADOR JOSE DE CARVALHO</t>
  </si>
  <si>
    <t>sao judas tadeu</t>
  </si>
  <si>
    <t>(35)999469610</t>
  </si>
  <si>
    <t>053.369.156-70</t>
  </si>
  <si>
    <t>11/04/2014</t>
  </si>
  <si>
    <t>MARIA APARECIDA DA SILVA</t>
  </si>
  <si>
    <t>(35)9926-9131</t>
  </si>
  <si>
    <t>017.273.816-45</t>
  </si>
  <si>
    <t>MARIA APARECIDA DA SILVA  (CENTRO)</t>
  </si>
  <si>
    <t>HECULANO COBRA</t>
  </si>
  <si>
    <t>(35)3445-1346</t>
  </si>
  <si>
    <t>550.169.526-04</t>
  </si>
  <si>
    <t>MARIA APARECIDA DE ANDRADE</t>
  </si>
  <si>
    <t>FELICIO GONCALVES MARTINS</t>
  </si>
  <si>
    <t>(35)9963-7576</t>
  </si>
  <si>
    <t>030.015.196-90</t>
  </si>
  <si>
    <t>19/10/2017</t>
  </si>
  <si>
    <t>MARIA APARECIDA DE CAMARGO GONÇALVES ALCEBIADES</t>
  </si>
  <si>
    <t>35 3445 3104</t>
  </si>
  <si>
    <t>031.867.106-93</t>
  </si>
  <si>
    <t>06/12/2016</t>
  </si>
  <si>
    <t>MARIA APARECIDA SILVA ATANAZIO</t>
  </si>
  <si>
    <t>RUA MARIANA ARANTES SOBREIRO</t>
  </si>
  <si>
    <t>MORADA DO SOL</t>
  </si>
  <si>
    <t>(35)9,97630340</t>
  </si>
  <si>
    <t>093.506.028-65</t>
  </si>
  <si>
    <t>Maria Aparecida Silva Melo</t>
  </si>
  <si>
    <t>MARIA AUXILIADORA FURTADO DOS SANTOS</t>
  </si>
  <si>
    <t>RUA GERALDO MARCONDES DE SOUZA</t>
  </si>
  <si>
    <t>(35)9955-2091</t>
  </si>
  <si>
    <t>117.003.998-70</t>
  </si>
  <si>
    <t>27/12/2018</t>
  </si>
  <si>
    <t>MARIA AUXILIADORA LEITE FERREIRA</t>
  </si>
  <si>
    <t>(11)966481136</t>
  </si>
  <si>
    <t>055.564.468-57</t>
  </si>
  <si>
    <t>16/02/2020</t>
  </si>
  <si>
    <t>MARIA BENEDITA LEITE DO PRADO</t>
  </si>
  <si>
    <t>(35)99865-2676</t>
  </si>
  <si>
    <t>899.589.936-00</t>
  </si>
  <si>
    <t>04/07/2017</t>
  </si>
  <si>
    <t>MARIA TEREZA FERREIRA</t>
  </si>
  <si>
    <t>JOAQUIM GABRIEL DA SILVA</t>
  </si>
  <si>
    <t>35-3445-1734</t>
  </si>
  <si>
    <t>005.714.686-16</t>
  </si>
  <si>
    <t>17/04/2013</t>
  </si>
  <si>
    <t>MARIA SILVANETE DA SILVEIRA MORAES</t>
  </si>
  <si>
    <t>(35)9876-0672</t>
  </si>
  <si>
    <t>071.864.296-10</t>
  </si>
  <si>
    <t>11/08/2018</t>
  </si>
  <si>
    <t>MARIA CONCEICAO SOARES</t>
  </si>
  <si>
    <t>(35)997510264</t>
  </si>
  <si>
    <t>069.201.556-64</t>
  </si>
  <si>
    <t>20/01/2016</t>
  </si>
  <si>
    <t>JOSE JULIO RODRIGUES</t>
  </si>
  <si>
    <t>CORONEL JOSE INACIO</t>
  </si>
  <si>
    <t>(35)3445-1369</t>
  </si>
  <si>
    <t>395.303.296-87</t>
  </si>
  <si>
    <t>14/08/2018</t>
  </si>
  <si>
    <t>MARIA DA GLORIA CAMARGO</t>
  </si>
  <si>
    <t>(35)998850062</t>
  </si>
  <si>
    <t>442.168.746-49</t>
  </si>
  <si>
    <t>12/05/2014</t>
  </si>
  <si>
    <t>JOSE JUVENTINO DA CRUZ</t>
  </si>
  <si>
    <t>R:ARLINDO DOMIGOS SANTOS</t>
  </si>
  <si>
    <t>031.734.636-92</t>
  </si>
  <si>
    <t>MARIA IRACI PEREIRA TAVARES</t>
  </si>
  <si>
    <t>(35)99749-2906</t>
  </si>
  <si>
    <t>195.133.133-87</t>
  </si>
  <si>
    <t>10/01/2017</t>
  </si>
  <si>
    <t>MARIA HELENA DE FATIMA RIBEIRO</t>
  </si>
  <si>
    <t>R: BENEDITO COBRA,</t>
  </si>
  <si>
    <t>(35)99872-3330</t>
  </si>
  <si>
    <t>124.199.988-04</t>
  </si>
  <si>
    <t>02/07/2016</t>
  </si>
  <si>
    <t>MARIA ILZA DIAS ALVES</t>
  </si>
  <si>
    <t>RUA FRANCISCO DE ALMEIDA</t>
  </si>
  <si>
    <t>(35)99969-7129</t>
  </si>
  <si>
    <t>035.323.466-48</t>
  </si>
  <si>
    <t>MARIA ISABEL MIRA DO COUTO</t>
  </si>
  <si>
    <t>LUCINDA CATELLI MEGALE</t>
  </si>
  <si>
    <t>(35)9995-8621</t>
  </si>
  <si>
    <t>116.729.286-30</t>
  </si>
  <si>
    <t>09/05/2016</t>
  </si>
  <si>
    <t>MARINA DE FATIMA SILVA</t>
  </si>
  <si>
    <t>R:  VITOR BRANDANI</t>
  </si>
  <si>
    <t>(35)9848-4241</t>
  </si>
  <si>
    <t>059.323.336-00</t>
  </si>
  <si>
    <t>EDILAINE MARIA PEREIRA SOUZA SANTOS (RES)</t>
  </si>
  <si>
    <t>663.199.006-87</t>
  </si>
  <si>
    <t>29/10/2014</t>
  </si>
  <si>
    <t>ANARDINA MARIA DE SIQUEIRA</t>
  </si>
  <si>
    <t>(35)98934203</t>
  </si>
  <si>
    <t>006.639.626-33</t>
  </si>
  <si>
    <t>21/11/2017</t>
  </si>
  <si>
    <t>MARIA LUCIA VILLELA</t>
  </si>
  <si>
    <t>SEBASTIAO GONÇALVES PINTO</t>
  </si>
  <si>
    <t>06</t>
  </si>
  <si>
    <t>(35)9 9735-1137</t>
  </si>
  <si>
    <t>591.439.406-68</t>
  </si>
  <si>
    <t>17/05/2017</t>
  </si>
  <si>
    <t>MARISA HELENA BRANDAO</t>
  </si>
  <si>
    <t>RUA JOSE LEOPOLDINO GONÇALVES</t>
  </si>
  <si>
    <t>35 999966652</t>
  </si>
  <si>
    <t>882.957.886-04</t>
  </si>
  <si>
    <t>o numero não existe</t>
  </si>
  <si>
    <t>MARIA NAZARE DE LIMA MEGALE</t>
  </si>
  <si>
    <t>AMADEU BERTOLACINE</t>
  </si>
  <si>
    <t>35 997575194</t>
  </si>
  <si>
    <t>345.455.306-72</t>
  </si>
  <si>
    <t>25/01/2015</t>
  </si>
  <si>
    <t>AMADEU BERTOLACINI</t>
  </si>
  <si>
    <t>18/04/2015</t>
  </si>
  <si>
    <t>RAFAEL JOSE DE SOUZA</t>
  </si>
  <si>
    <t>R. ADOLFO CABRAL BUENO</t>
  </si>
  <si>
    <t>(35) 99930-3627</t>
  </si>
  <si>
    <t>085.052.746-52</t>
  </si>
  <si>
    <t>15/01/2020</t>
  </si>
  <si>
    <t>MARIA VERONICA SANTOS SILVA</t>
  </si>
  <si>
    <t>RUA MARIA GOMES DE LIMA MARTINS</t>
  </si>
  <si>
    <t>(35)99897-6409</t>
  </si>
  <si>
    <t>847.792.686-72</t>
  </si>
  <si>
    <t>29/12/2017</t>
  </si>
  <si>
    <t>MARIANA DE CASSIA MARTINS MARINELLI</t>
  </si>
  <si>
    <t>35-9977-7416</t>
  </si>
  <si>
    <t>106.981.716-32</t>
  </si>
  <si>
    <t xml:space="preserve"> </t>
  </si>
  <si>
    <t>MARIANA MARTA SANTANA</t>
  </si>
  <si>
    <t>R: PADRE BERNARDES LEITE FERREIRA</t>
  </si>
  <si>
    <t>(35)3445-2131</t>
  </si>
  <si>
    <t>003.267.746-45</t>
  </si>
  <si>
    <t>27/07/2020</t>
  </si>
  <si>
    <t>MARIANA VIANNA DE PAIVA</t>
  </si>
  <si>
    <t>RUA JOAO BERALDO</t>
  </si>
  <si>
    <t>(35)99919-8648</t>
  </si>
  <si>
    <t>088.118.726-77</t>
  </si>
  <si>
    <t>27/12/2012</t>
  </si>
  <si>
    <t>MARILENE DE FREITAS DANTAS</t>
  </si>
  <si>
    <t>R:CAP. CIPRIANO DE CASTRO</t>
  </si>
  <si>
    <t>(35)3445-1561</t>
  </si>
  <si>
    <t>183.618.466-20</t>
  </si>
  <si>
    <t>03/01/2018</t>
  </si>
  <si>
    <t>MARILENE PEREIRA COLTRI</t>
  </si>
  <si>
    <t>(35)99735-6397</t>
  </si>
  <si>
    <t>315.167.258-24</t>
  </si>
  <si>
    <t>18/03/2015</t>
  </si>
  <si>
    <t>SONIA MARIA DE OLIVEIRA SILVA</t>
  </si>
  <si>
    <t>R: ANTONIO RIBEIRO DE ALMEIDA</t>
  </si>
  <si>
    <t>(35)3445-3206</t>
  </si>
  <si>
    <t>056.167.296-20</t>
  </si>
  <si>
    <t>MARINA DE OLIVEIRA DE PAULA MARTINS</t>
  </si>
  <si>
    <t>JOãO MARTINHO DE MORAES</t>
  </si>
  <si>
    <t>918.475.676-49</t>
  </si>
  <si>
    <t>02/07/2019</t>
  </si>
  <si>
    <t>MARTA PEREIRA DE TOLEDO GOMES</t>
  </si>
  <si>
    <t>(35)34451679</t>
  </si>
  <si>
    <t>935.398.866-72</t>
  </si>
  <si>
    <t>25/11/2013</t>
  </si>
  <si>
    <t>MARIO APARECIDO CABESTRE</t>
  </si>
  <si>
    <t>(35)9179-8231</t>
  </si>
  <si>
    <t>056.448.449-00</t>
  </si>
  <si>
    <t>23/09/2020</t>
  </si>
  <si>
    <t>MARLI RAQUEL ROSA LORENÇO</t>
  </si>
  <si>
    <t>RUA JUVENAL MONTEIRO  AP:01</t>
  </si>
  <si>
    <t>(11)96873-0348</t>
  </si>
  <si>
    <t>043.762.748-95</t>
  </si>
  <si>
    <t>01/11/2017</t>
  </si>
  <si>
    <t>MARTA BENTO DE FIGUEIREDO NASCIMENTO</t>
  </si>
  <si>
    <t>RUA CARMEM MOREIRA TOMAZOLI</t>
  </si>
  <si>
    <t>35 9 9928 3431</t>
  </si>
  <si>
    <t>772.244.006-10</t>
  </si>
  <si>
    <t>04/01/2018</t>
  </si>
  <si>
    <t>NATALIA DOS REIS REZENDE</t>
  </si>
  <si>
    <t>RUA JOSE PINTO BRANDAO</t>
  </si>
  <si>
    <t>096.040.746-44</t>
  </si>
  <si>
    <t>14/10/2016</t>
  </si>
  <si>
    <t>MARTA MARIA DA ROSA LOPES</t>
  </si>
  <si>
    <t>RUA SAO JUDAS TADEU</t>
  </si>
  <si>
    <t>(35)9,9978-5012</t>
  </si>
  <si>
    <t>047.197.676-80</t>
  </si>
  <si>
    <t>31/10/2012</t>
  </si>
  <si>
    <t>PEDRO ZAROTTI MOREIRA</t>
  </si>
  <si>
    <t>RUA BENEDITO P DE FREITAS</t>
  </si>
  <si>
    <t>NOSSA SENHORA DA APARECIDA</t>
  </si>
  <si>
    <t>(35)9905-6246</t>
  </si>
  <si>
    <t>066.773.736-73</t>
  </si>
  <si>
    <t>MATEUS DE REZENDE ARAUJO</t>
  </si>
  <si>
    <t>R. OLEGARIO MACIEL</t>
  </si>
  <si>
    <t>(35)9967-1018</t>
  </si>
  <si>
    <t>061.743.276-71</t>
  </si>
  <si>
    <t>10/05/2016</t>
  </si>
  <si>
    <t>MATEUS LUCAS DE SOUZA</t>
  </si>
  <si>
    <t>R. BENEDITO RODRIGUES</t>
  </si>
  <si>
    <t>SAO JU7DAS TADEU</t>
  </si>
  <si>
    <t>(35)9847-9374</t>
  </si>
  <si>
    <t>114.430.706-61</t>
  </si>
  <si>
    <t>MATHEUS PRADO DE OLIVEIRA</t>
  </si>
  <si>
    <t>SERGIO LUCAS MENDES</t>
  </si>
  <si>
    <t>(35)3445-1040</t>
  </si>
  <si>
    <t>117.090.636-29</t>
  </si>
  <si>
    <t>25/03/2015</t>
  </si>
  <si>
    <t>MERCIA SCALLE MINISTRO</t>
  </si>
  <si>
    <t>(35)9990-9153</t>
  </si>
  <si>
    <t>726.418.196-00</t>
  </si>
  <si>
    <t>MIGUEL JOSE CARDOSO</t>
  </si>
  <si>
    <t>(35)9955-7246</t>
  </si>
  <si>
    <t>059.959.266-40</t>
  </si>
  <si>
    <t>23/03/2019</t>
  </si>
  <si>
    <t>MILENE DA SILVA ALENCAR</t>
  </si>
  <si>
    <t>RUA PADRE BERNARDES LEITE FERREIRA</t>
  </si>
  <si>
    <t>(35)997566537</t>
  </si>
  <si>
    <t>125.768.646-19</t>
  </si>
  <si>
    <t>03/08/2017</t>
  </si>
  <si>
    <t>NATALI CRISTINA DA COSTA</t>
  </si>
  <si>
    <t>MARIA BARBOSA PAIVA</t>
  </si>
  <si>
    <t>056.497.386-61</t>
  </si>
  <si>
    <t>16/03/2016</t>
  </si>
  <si>
    <t>NATALIA APARECIDA LOPES</t>
  </si>
  <si>
    <t>R. CAPITAO CIPRIANO DE CASTRO</t>
  </si>
  <si>
    <t>(35)9803-3816</t>
  </si>
  <si>
    <t>136.111.486-01</t>
  </si>
  <si>
    <t>ANGELA MARIA SOBREIRO</t>
  </si>
  <si>
    <t>(35)998181435</t>
  </si>
  <si>
    <t>027.382.936-03</t>
  </si>
  <si>
    <t>NEIDE RODRIGUES DA SILVA OLIVEIRA</t>
  </si>
  <si>
    <t>BAIRRO PONTILHãO</t>
  </si>
  <si>
    <t>PONTILHãO</t>
  </si>
  <si>
    <t>(35)9917-7839</t>
  </si>
  <si>
    <t>060.352.006-56</t>
  </si>
  <si>
    <t>26/02/2015</t>
  </si>
  <si>
    <t>NILCEIA APARECIDA FERREIRA</t>
  </si>
  <si>
    <t>NS APARECIDA</t>
  </si>
  <si>
    <t>(35)9232-9013</t>
  </si>
  <si>
    <t>847.796.246-49</t>
  </si>
  <si>
    <t>20/01/2018</t>
  </si>
  <si>
    <t>NILTON JORGE DA SILVA</t>
  </si>
  <si>
    <t>RUA VICENTE GONCALVES PINTO</t>
  </si>
  <si>
    <t>35 9 9888 5590</t>
  </si>
  <si>
    <t>031.880.666-51</t>
  </si>
  <si>
    <t>29/11/2016</t>
  </si>
  <si>
    <t>NIVALDO FERNANDO DA SILVA</t>
  </si>
  <si>
    <t>R. JOSE XAVIER DA CRUZ</t>
  </si>
  <si>
    <t>(35)9,9706-2314</t>
  </si>
  <si>
    <t>027.652.556-60</t>
  </si>
  <si>
    <t>27/10/2017</t>
  </si>
  <si>
    <t>NOELY FERNANDA DA SILVA</t>
  </si>
  <si>
    <t>35 99731 6831</t>
  </si>
  <si>
    <t>131.188.056-92</t>
  </si>
  <si>
    <t>27/01/2017</t>
  </si>
  <si>
    <t>ORAZILHA DALILA DA SILVA</t>
  </si>
  <si>
    <t>TRAVESSA FRANCISCO MARQUES DA COSTA</t>
  </si>
  <si>
    <t>(35)99885-0848</t>
  </si>
  <si>
    <t>074.133.466-64</t>
  </si>
  <si>
    <t>17/11/2017</t>
  </si>
  <si>
    <t>OTAVIO LIMA DE FREITAS</t>
  </si>
  <si>
    <t>35 9 9879 0782</t>
  </si>
  <si>
    <t>100.047.556-50</t>
  </si>
  <si>
    <t>05/11/2019</t>
  </si>
  <si>
    <t>PAMELA NATHALIA SANTOS</t>
  </si>
  <si>
    <t>RUA MILTA MOREIRA RODRIGUES</t>
  </si>
  <si>
    <t>(35)99934-0937</t>
  </si>
  <si>
    <t>092.636.746-39</t>
  </si>
  <si>
    <t>PATRICIA ALVES MACHADO HOMEM</t>
  </si>
  <si>
    <t>R:  FRANCISCO ALVARO SOBREIRO</t>
  </si>
  <si>
    <t>(35)3445-1391</t>
  </si>
  <si>
    <t>089.828.156-35</t>
  </si>
  <si>
    <t>PATRICIA CARLA FERREIRA</t>
  </si>
  <si>
    <t>R.FRANCISCO JOSE RENA</t>
  </si>
  <si>
    <t>(35)9 9720-8239</t>
  </si>
  <si>
    <t>024.415.566-65</t>
  </si>
  <si>
    <t>29/05/2020</t>
  </si>
  <si>
    <t>PATRICIA HELENA DE SOUSA</t>
  </si>
  <si>
    <t>RUA ANTONIO VIEIRA</t>
  </si>
  <si>
    <t>(35)99979-3224</t>
  </si>
  <si>
    <t>130.039.936-82</t>
  </si>
  <si>
    <t>PATRICIA HELENA LEMES</t>
  </si>
  <si>
    <t>BENEDITO COSTA BRANDAO</t>
  </si>
  <si>
    <t>041 11 977414215</t>
  </si>
  <si>
    <t>076.924.196-47</t>
  </si>
  <si>
    <t>PATRICIA RIBEIRO MENDES</t>
  </si>
  <si>
    <t>35-9 9803-2343</t>
  </si>
  <si>
    <t>105.184.416-95</t>
  </si>
  <si>
    <t>08/07/2014</t>
  </si>
  <si>
    <t>PAULA GONCALVES (OTICA)</t>
  </si>
  <si>
    <t>35 9887-5630</t>
  </si>
  <si>
    <t>290.134.188-80</t>
  </si>
  <si>
    <t>PAULO CEZAR DA SILVA</t>
  </si>
  <si>
    <t>PAULO DONIZETE DA SILVA</t>
  </si>
  <si>
    <t>PAULO EDUARDO DE MEDEIROS</t>
  </si>
  <si>
    <t>R:  CORONEL JOSE INACIO</t>
  </si>
  <si>
    <t>682.038.296-00</t>
  </si>
  <si>
    <t>07/12/2016</t>
  </si>
  <si>
    <t>PAULO HENRIQUE DE SOUZA</t>
  </si>
  <si>
    <t>BARNABE LOPES</t>
  </si>
  <si>
    <t>(35)9,9890-6624</t>
  </si>
  <si>
    <t>102.998.026-80</t>
  </si>
  <si>
    <t>12/11/2012</t>
  </si>
  <si>
    <t>PAULO HENRIQUE DE TOLEDO GOMES</t>
  </si>
  <si>
    <t>AV MAGALHAES PINTO</t>
  </si>
  <si>
    <t>(35)9817-8070</t>
  </si>
  <si>
    <t>065.844.016-00</t>
  </si>
  <si>
    <t>09/01/2016</t>
  </si>
  <si>
    <t>PEDRO MELO SABINO</t>
  </si>
  <si>
    <t>N. SENHORA DE FATIMA</t>
  </si>
  <si>
    <t>(35</t>
  </si>
  <si>
    <t>574.667.266-15</t>
  </si>
  <si>
    <t>13/06/2017</t>
  </si>
  <si>
    <t>GENIVAL RODRIGO DELPHINO</t>
  </si>
  <si>
    <t>BENEDITO RUFINO XAVIER</t>
  </si>
  <si>
    <t>9 8414 6621</t>
  </si>
  <si>
    <t>025.431.656-57</t>
  </si>
  <si>
    <t>PERCIVAL MARQUES</t>
  </si>
  <si>
    <t>R. ADELIA LOPES DA SILVA</t>
  </si>
  <si>
    <t>(35)9916-2213</t>
  </si>
  <si>
    <t>057.281.706-17</t>
  </si>
  <si>
    <t>10/10/2014</t>
  </si>
  <si>
    <t>PETRUS ALVES DE PAIVA</t>
  </si>
  <si>
    <t>(35)9944-5859</t>
  </si>
  <si>
    <t>800.305.806-68</t>
  </si>
  <si>
    <t>06/12/2019</t>
  </si>
  <si>
    <t>PRISCILA CAROLINA ROSA</t>
  </si>
  <si>
    <t>(35)99983-9508</t>
  </si>
  <si>
    <t>074.077.906-04</t>
  </si>
  <si>
    <t>28/11/2012</t>
  </si>
  <si>
    <t>RAFAELY ALVARENGA DOS SANTOS</t>
  </si>
  <si>
    <t>R. DELAMARES PIRES RIBEIRO</t>
  </si>
  <si>
    <t>(35)9144-1269</t>
  </si>
  <si>
    <t>127.365.246-08</t>
  </si>
  <si>
    <t>RAQUEL MARLI ROSA</t>
  </si>
  <si>
    <t>(35)9872-6055</t>
  </si>
  <si>
    <t>023.166.608-00</t>
  </si>
  <si>
    <t>12/01/2019</t>
  </si>
  <si>
    <t>REGINA CELIA PEREIRA</t>
  </si>
  <si>
    <t>RUA JOSE LUIZ BRANDAO</t>
  </si>
  <si>
    <t>(35)999569370</t>
  </si>
  <si>
    <t>030.387.376-07</t>
  </si>
  <si>
    <t>10/09/2016</t>
  </si>
  <si>
    <t>REGINA MARIA MEGALE</t>
  </si>
  <si>
    <t>35-3445-1461</t>
  </si>
  <si>
    <t>441.698.506-10</t>
  </si>
  <si>
    <t>Não foi possivel completar sua chamada</t>
  </si>
  <si>
    <t>RENATA CRISTINE MACHADO</t>
  </si>
  <si>
    <t>JOÃO P. DA SILVA</t>
  </si>
  <si>
    <t>05</t>
  </si>
  <si>
    <t>049.107.796-39</t>
  </si>
  <si>
    <t>RENER MACHADO HOMEM</t>
  </si>
  <si>
    <t>(35)99867-9990</t>
  </si>
  <si>
    <t>062.216.976-97</t>
  </si>
  <si>
    <t>RICARDO ABRAHAO DE CARVALHO</t>
  </si>
  <si>
    <t>35 99934-6760</t>
  </si>
  <si>
    <t>031.270.866-10</t>
  </si>
  <si>
    <t>29/11/2012</t>
  </si>
  <si>
    <t>RICARDO REZENDE PEREIRA-ME</t>
  </si>
  <si>
    <t>140/A</t>
  </si>
  <si>
    <t>(35)3445-2075</t>
  </si>
  <si>
    <t>05.644.063/0001-02</t>
  </si>
  <si>
    <t>30/12/2019</t>
  </si>
  <si>
    <t>RIDIGER PATRICIO</t>
  </si>
  <si>
    <t>(35)99926-8040</t>
  </si>
  <si>
    <t>055.489.176-09</t>
  </si>
  <si>
    <t>20/01/2014</t>
  </si>
  <si>
    <t>05/04/2017</t>
  </si>
  <si>
    <t>RITA DE CASSIA NASCIMENTO</t>
  </si>
  <si>
    <t>35-9 9834-0002</t>
  </si>
  <si>
    <t>001.809.026-52</t>
  </si>
  <si>
    <t>RITA DE CASSIA RODRIQUES</t>
  </si>
  <si>
    <t>CAPITÃO CIPRIANO DE CASTRO</t>
  </si>
  <si>
    <t>(35)9842-7890</t>
  </si>
  <si>
    <t>064.968.206-86</t>
  </si>
  <si>
    <t>RITA DE CASSIA SANTOS</t>
  </si>
  <si>
    <t>JOSE PINTO DE FREITAS</t>
  </si>
  <si>
    <t>(35)9175-8796</t>
  </si>
  <si>
    <t>089.978.786-03</t>
  </si>
  <si>
    <t>ROBERTA APARECIDA DE SOUZA</t>
  </si>
  <si>
    <t>(35)3445-2338</t>
  </si>
  <si>
    <t>089.978.776-23</t>
  </si>
  <si>
    <t>ROBERTO RIBEIRO DOS SANTOS</t>
  </si>
  <si>
    <t>DIRCEU DOS SANTOS</t>
  </si>
  <si>
    <t>35 9 9913 0298</t>
  </si>
  <si>
    <t>698.235.616-72</t>
  </si>
  <si>
    <t>24/02/2019</t>
  </si>
  <si>
    <t>RODRIGO MONTEIRO SILVA</t>
  </si>
  <si>
    <t>JUVENAL MONTEIRO</t>
  </si>
  <si>
    <t>(35)997098228</t>
  </si>
  <si>
    <t>074.651.446-80</t>
  </si>
  <si>
    <t>20/06/2017</t>
  </si>
  <si>
    <t>RONALDO BATISTA DA COSTA</t>
  </si>
  <si>
    <t>9 9907 2389</t>
  </si>
  <si>
    <t>075.461.716-52</t>
  </si>
  <si>
    <t>RONALDO ROBERTO DA ROSA</t>
  </si>
  <si>
    <t>RUA JOAO PORFIRIO DA SILVA</t>
  </si>
  <si>
    <t>(35)99987-6110</t>
  </si>
  <si>
    <t>542.335.186-34</t>
  </si>
  <si>
    <t>08/04/2015</t>
  </si>
  <si>
    <t>ROSA MONICA RIBEIRO</t>
  </si>
  <si>
    <t>(35)97290-364_</t>
  </si>
  <si>
    <t>090.779.766-04</t>
  </si>
  <si>
    <t>09/12/2017</t>
  </si>
  <si>
    <t>ROSANA DE FATIMA COUTO</t>
  </si>
  <si>
    <t>35 998692670</t>
  </si>
  <si>
    <t>045.880.826-12</t>
  </si>
  <si>
    <t>14/02/2020</t>
  </si>
  <si>
    <t>ROSANA DOMICIANO TEODORO</t>
  </si>
  <si>
    <t>(35)34451-835_</t>
  </si>
  <si>
    <t>057.774.986-20</t>
  </si>
  <si>
    <t>ROSANA DOMICIANO TEODORO dois pontos</t>
  </si>
  <si>
    <t>RUA MANUEL DE ABREU</t>
  </si>
  <si>
    <t>12/09/2020</t>
  </si>
  <si>
    <t>SEBASTIAO BATISTA DA SILVA</t>
  </si>
  <si>
    <t>RUA ANTONIO FIRMIANO GONCALVES</t>
  </si>
  <si>
    <t>(35)99816-3199</t>
  </si>
  <si>
    <t>324.182.056-49</t>
  </si>
  <si>
    <t>JOSE CARLOS DE TOLEDO JUNIOR</t>
  </si>
  <si>
    <t>RUA JULIO CAPONY</t>
  </si>
  <si>
    <t>(35)99849-0313</t>
  </si>
  <si>
    <t>067.271.986-08</t>
  </si>
  <si>
    <t>ficou de retornar 16/04</t>
  </si>
  <si>
    <t>ROSANGELA SIMãO GOMES</t>
  </si>
  <si>
    <t>AV:LAURO MEGALE</t>
  </si>
  <si>
    <t>NOSSA SENHORA DE FáTIMA</t>
  </si>
  <si>
    <t>292.423.628-24</t>
  </si>
  <si>
    <t>22/10/2019</t>
  </si>
  <si>
    <t>ROSEMARA RODRIGUES MOREIRA</t>
  </si>
  <si>
    <t>RUA JULIO FRANCISCO DE ALMEIDA</t>
  </si>
  <si>
    <t>(35)99864-2083</t>
  </si>
  <si>
    <t>023.684.676-02</t>
  </si>
  <si>
    <t>ROSEMARY CONCEIÇAO DA SILVA</t>
  </si>
  <si>
    <t>(35) 8437-3060</t>
  </si>
  <si>
    <t>994.397.276-91</t>
  </si>
  <si>
    <t>15/08/2019</t>
  </si>
  <si>
    <t>ROSILEIA FERNANDES SILVA SANTOS</t>
  </si>
  <si>
    <t>(35)998834863</t>
  </si>
  <si>
    <t>089.282.756-44</t>
  </si>
  <si>
    <t>06/01/2016</t>
  </si>
  <si>
    <t>ROSILENE DE OLIVEIRA ROSA</t>
  </si>
  <si>
    <t>R:BARNABE LOPES</t>
  </si>
  <si>
    <t>(35)9871-8368</t>
  </si>
  <si>
    <t>312.570.338-75</t>
  </si>
  <si>
    <t>21/05/2019</t>
  </si>
  <si>
    <t>ROSIMARY DA SILVA</t>
  </si>
  <si>
    <t>JOSE CESARIO DOS SANTOS</t>
  </si>
  <si>
    <t>(35)998828018</t>
  </si>
  <si>
    <t>681.880.486-15</t>
  </si>
  <si>
    <t>Cliente de chacara tem interesse mas ainda não temos disponibilidade</t>
  </si>
  <si>
    <t>21/06/2013</t>
  </si>
  <si>
    <t>ROSIMIRIS NEVES DE PAULA SANTOS</t>
  </si>
  <si>
    <t>R:PADRE BERNARDES LEITE FERREIRA</t>
  </si>
  <si>
    <t>(35)99974-253_</t>
  </si>
  <si>
    <t>079.552.176-67</t>
  </si>
  <si>
    <t>12/06/2017</t>
  </si>
  <si>
    <t>SUELI MOREIRA DE MOURA</t>
  </si>
  <si>
    <t>9 98147996</t>
  </si>
  <si>
    <t>450.840.506-10</t>
  </si>
  <si>
    <t>13/04/2015</t>
  </si>
  <si>
    <t>ROSLY CARNEIRO JULIDORI</t>
  </si>
  <si>
    <t>RUA LUIZ SILVEIRA</t>
  </si>
  <si>
    <t>(35)99627-196_</t>
  </si>
  <si>
    <t>419.714.426-15</t>
  </si>
  <si>
    <t>ROZIANE AParecida DA SILVA</t>
  </si>
  <si>
    <t>26/10/2014</t>
  </si>
  <si>
    <t>RUBERLEY JOSE DA SILVA JUNIOR</t>
  </si>
  <si>
    <t>R: DARCI DOS REIS SANTOS</t>
  </si>
  <si>
    <t>(35)9922-3253</t>
  </si>
  <si>
    <t>147.589.615-81</t>
  </si>
  <si>
    <t>12/09/2019</t>
  </si>
  <si>
    <t>24/07/2018</t>
  </si>
  <si>
    <t>TATIANA FERREIRA</t>
  </si>
  <si>
    <t>RUA BENEDITO COBRA</t>
  </si>
  <si>
    <t>(35)9887-8116</t>
  </si>
  <si>
    <t>105.902.436-59</t>
  </si>
  <si>
    <t>fora de area de cobertura ou desligado</t>
  </si>
  <si>
    <t>24/12/2012</t>
  </si>
  <si>
    <t>THALITA RODRIGUES DA SILVA (IVONE)</t>
  </si>
  <si>
    <t>(35)99856-1725</t>
  </si>
  <si>
    <t>076.050.256-02</t>
  </si>
  <si>
    <t>SEBASTIAO N.PADUA</t>
  </si>
  <si>
    <t>SEBASTIAO PIRES RIBEIRO</t>
  </si>
  <si>
    <t>183.641.016-68</t>
  </si>
  <si>
    <t>12/12/2018</t>
  </si>
  <si>
    <t>JOSE MOREIRA</t>
  </si>
  <si>
    <t>16/12/2017</t>
  </si>
  <si>
    <t>SEBASTIAO PEREIRA SIMOES</t>
  </si>
  <si>
    <t>RUA JOSE ARLINDO SOBRINHO DOS SANTOS</t>
  </si>
  <si>
    <t>35 998955351</t>
  </si>
  <si>
    <t>171.519.616-34</t>
  </si>
  <si>
    <t>19/02/2013</t>
  </si>
  <si>
    <t>SIDNEI MACIEL DE SOUZA</t>
  </si>
  <si>
    <t>R.CARLOS PEREIRA DETOLEDO</t>
  </si>
  <si>
    <t>(35)9938-5662</t>
  </si>
  <si>
    <t>160.665.688-09</t>
  </si>
  <si>
    <t>22/10/2016</t>
  </si>
  <si>
    <t>SILMARA APARECIDA DOS SANTOS</t>
  </si>
  <si>
    <t>R. JOAO FERREIRA</t>
  </si>
  <si>
    <t>(35)9,9848-0544</t>
  </si>
  <si>
    <t>060.760.136-13</t>
  </si>
  <si>
    <t>02/01/2015</t>
  </si>
  <si>
    <t>SILVANDER AFFONSO AMBROSIO</t>
  </si>
  <si>
    <t>R: EMILIANA COBRA</t>
  </si>
  <si>
    <t>(35)9941-8300</t>
  </si>
  <si>
    <t>723.360.806-72</t>
  </si>
  <si>
    <t>SILVIA BRANDAO RIBEIRO</t>
  </si>
  <si>
    <t>SIMONE AP. DA SILVA MELO</t>
  </si>
  <si>
    <t>RUA GERALDO SOUZA MEGALE</t>
  </si>
  <si>
    <t>006.634.206-60</t>
  </si>
  <si>
    <t>05/09/2018</t>
  </si>
  <si>
    <t>SIMONE MARIA FERREIRA BRENTEGANI</t>
  </si>
  <si>
    <t>(35)991030006</t>
  </si>
  <si>
    <t>038.971.126-80</t>
  </si>
  <si>
    <t>08/07/2015</t>
  </si>
  <si>
    <t>SINARA MARIA MACHADO</t>
  </si>
  <si>
    <t>(35)9958-6667</t>
  </si>
  <si>
    <t>475.712.336-15</t>
  </si>
  <si>
    <t>VALDECI GENIVAL MACHADO</t>
  </si>
  <si>
    <t>(35)3445-2701</t>
  </si>
  <si>
    <t>583.203.006-06</t>
  </si>
  <si>
    <t>Não completa a chamada</t>
  </si>
  <si>
    <t>SONIA MARIA MONTESINO</t>
  </si>
  <si>
    <t>R:JUNENAL MONTEIRO</t>
  </si>
  <si>
    <t>(35)99990-7671</t>
  </si>
  <si>
    <t>050.407.688-42</t>
  </si>
  <si>
    <t>SONIA SIMOES DO COUTO</t>
  </si>
  <si>
    <t>28/03/2016</t>
  </si>
  <si>
    <t>STEFANIA LETICIA DO COUTO</t>
  </si>
  <si>
    <t>ADELIA LOPES DA SILVA</t>
  </si>
  <si>
    <t>(35)9928-5262</t>
  </si>
  <si>
    <t>109.224.556-19</t>
  </si>
  <si>
    <t>11/03/2016</t>
  </si>
  <si>
    <t>STEFANY MARIANA NUNES DA ROSA</t>
  </si>
  <si>
    <t>(35)99813-5782</t>
  </si>
  <si>
    <t>149.558.326-01</t>
  </si>
  <si>
    <t>03/07/2015</t>
  </si>
  <si>
    <t>SUELI APARECIDA MATOS</t>
  </si>
  <si>
    <t>R. JOSE ARLINDO DOS SANTOS SOBRINHO</t>
  </si>
  <si>
    <t>(35)9901-4627</t>
  </si>
  <si>
    <t>610.136.846-72</t>
  </si>
  <si>
    <t>SUELI DE FATIMA BRANDANI</t>
  </si>
  <si>
    <t>(35)99971-1762</t>
  </si>
  <si>
    <t>072.385.276-69</t>
  </si>
  <si>
    <t>MARIA CELMA DE PAIVA</t>
  </si>
  <si>
    <t>(35)99989-3010</t>
  </si>
  <si>
    <t>521.700.636-68</t>
  </si>
  <si>
    <t>SUELY DOS SANTOS</t>
  </si>
  <si>
    <t>005.856.286-96</t>
  </si>
  <si>
    <t>21/05/2015</t>
  </si>
  <si>
    <t>TAILA CRISTINA DOS SANTOS DA COSTA</t>
  </si>
  <si>
    <t>CHACARA LE CHALE</t>
  </si>
  <si>
    <t>02</t>
  </si>
  <si>
    <t>(35)98039-552_</t>
  </si>
  <si>
    <t>089.363.756-44</t>
  </si>
  <si>
    <t>JOSIANE APARECIDA SIQUEIRA</t>
  </si>
  <si>
    <t>R. JOSE FIRMO WERNECK</t>
  </si>
  <si>
    <t>35-9-9745-4074</t>
  </si>
  <si>
    <t>015.882.256-07</t>
  </si>
  <si>
    <t>27/08/2019</t>
  </si>
  <si>
    <t>ROSINEI APARECIDA DA SILVA</t>
  </si>
  <si>
    <t>NOSSSA SENHORA DE FATIMA</t>
  </si>
  <si>
    <t>(35)999474720</t>
  </si>
  <si>
    <t>250.639.508-33</t>
  </si>
  <si>
    <t>TASSIANA RUGONI DE CAMPOS</t>
  </si>
  <si>
    <t>RUA OLEGARIO MACIEL</t>
  </si>
  <si>
    <t>(11)96737-1569</t>
  </si>
  <si>
    <t>325.414.518-65</t>
  </si>
  <si>
    <t>05/03/2015</t>
  </si>
  <si>
    <t>AV: EDNA MARIA DA SILVA RIBEIRO</t>
  </si>
  <si>
    <t>VANESSA CARLA LEANDRO</t>
  </si>
  <si>
    <t>R. MILTA MOREIRA RODRIGUES</t>
  </si>
  <si>
    <t>(35)9941-9739</t>
  </si>
  <si>
    <t>077.960.986-77</t>
  </si>
  <si>
    <t>TEOFILO BENTO DE PADUA</t>
  </si>
  <si>
    <t>(35)984129712</t>
  </si>
  <si>
    <t>340.466.586-49</t>
  </si>
  <si>
    <t>TEREZINHA AUXILIADORA DA SILVA FARIA</t>
  </si>
  <si>
    <t>AFONSO ANTONIO FLORENCIANO</t>
  </si>
  <si>
    <t>609.885.336-34</t>
  </si>
  <si>
    <t>12/02/2015</t>
  </si>
  <si>
    <t>TEREZINHA ROSA PEREIRA</t>
  </si>
  <si>
    <t>R:  FELICIO GONçALVES MARTINS</t>
  </si>
  <si>
    <t>(35)9994-4181</t>
  </si>
  <si>
    <t>854.642.106-44</t>
  </si>
  <si>
    <t>THALINE DOS SANTOS PRADO</t>
  </si>
  <si>
    <t>(35)99940-5930</t>
  </si>
  <si>
    <t>117.006.136-26</t>
  </si>
  <si>
    <t>22/12/2016</t>
  </si>
  <si>
    <t>FABIOLA CRISTINA DO COUTO</t>
  </si>
  <si>
    <t>AV. LUIZ CARDOSOPINTO</t>
  </si>
  <si>
    <t>(35)9,9874-1896</t>
  </si>
  <si>
    <t>093.469.726-45</t>
  </si>
  <si>
    <t>telefone não é da cliente . É de bruno ao qual não conhece a cliente</t>
  </si>
  <si>
    <t>20/11/2017</t>
  </si>
  <si>
    <t>THIAGO COUTO LIMA</t>
  </si>
  <si>
    <t>35 9 98781359</t>
  </si>
  <si>
    <t>097.073.746-75</t>
  </si>
  <si>
    <t>31/01/2020</t>
  </si>
  <si>
    <t>THIAGO GUILHERME SILVA EIRELI</t>
  </si>
  <si>
    <t>SANTA EDWIGES</t>
  </si>
  <si>
    <t>(35)99955-6249</t>
  </si>
  <si>
    <t>13.622.914/0001-36</t>
  </si>
  <si>
    <t>30/07/2016</t>
  </si>
  <si>
    <t>TIAGO PIO DE SOUZA</t>
  </si>
  <si>
    <t>R. PROF. ALFEU DUARTE</t>
  </si>
  <si>
    <t>074.565.706-04</t>
  </si>
  <si>
    <t>VALDETE MACHADO DE LIMA</t>
  </si>
  <si>
    <t>30/05/2017</t>
  </si>
  <si>
    <t>VALDIR RAMOS DA SILVA</t>
  </si>
  <si>
    <t>JUVENAL FABRICIO DA ROSA</t>
  </si>
  <si>
    <t>9 9896 8113</t>
  </si>
  <si>
    <t>156.035.628-62</t>
  </si>
  <si>
    <t>31/01/2018</t>
  </si>
  <si>
    <t>VALDIRENE DE MORAIS BARBOZA GODOI SANTOS</t>
  </si>
  <si>
    <t>RUA ROQUE BENTO DA SILVA</t>
  </si>
  <si>
    <t>35 9 97194544</t>
  </si>
  <si>
    <t>20.462.476/0001-51</t>
  </si>
  <si>
    <t>19/07/2013</t>
  </si>
  <si>
    <t>VALERIA APARECIDA DE MATOS</t>
  </si>
  <si>
    <t>VIVALDE JOSÉ RIBEIRO</t>
  </si>
  <si>
    <t>N. SENHORA DE FÁTIMA</t>
  </si>
  <si>
    <t>(35)9841-7174</t>
  </si>
  <si>
    <t>069.628.776-50</t>
  </si>
  <si>
    <t>VALFRIDO LEMOS VASCONCELOS SOBRINHO</t>
  </si>
  <si>
    <t>(35)9957-2619</t>
  </si>
  <si>
    <t>927.614.538-91</t>
  </si>
  <si>
    <t>11/06/2020</t>
  </si>
  <si>
    <t>VALNICEIA MARA DE ABREU MIRA</t>
  </si>
  <si>
    <t>RUA MARIA LUIZA BRANDAO</t>
  </si>
  <si>
    <t>(35)99746-1499</t>
  </si>
  <si>
    <t>037.635.546-88</t>
  </si>
  <si>
    <t>VANDA CRISTINA SOARES DUARTE</t>
  </si>
  <si>
    <t>RODOVIA MG 290 - KM 29</t>
  </si>
  <si>
    <t>33.440.716/0001-69</t>
  </si>
  <si>
    <t>27/09/2019</t>
  </si>
  <si>
    <t>RUA BERNADETE MEGALE</t>
  </si>
  <si>
    <t>22/11/2016</t>
  </si>
  <si>
    <t>VANDERLEIA ANA DE ANDRADE</t>
  </si>
  <si>
    <t>9 9940-5190</t>
  </si>
  <si>
    <t>027.011.476-97</t>
  </si>
  <si>
    <t>06/04/2013</t>
  </si>
  <si>
    <t>VERA LUCIA MARINELLI</t>
  </si>
  <si>
    <t>R:ALAMEDA J.K</t>
  </si>
  <si>
    <t>(35)9172-9451</t>
  </si>
  <si>
    <t>739.132.006-49</t>
  </si>
  <si>
    <t>03/03/2020</t>
  </si>
  <si>
    <t>VANIA DE SOUSA RIBEIRO</t>
  </si>
  <si>
    <t>RUA MARIA BARBOSA PAIVA</t>
  </si>
  <si>
    <t>(35)99988-8935</t>
  </si>
  <si>
    <t>094.899.996-95</t>
  </si>
  <si>
    <t>04/08/2018</t>
  </si>
  <si>
    <t>MARIA DO CARMO SILVA RODRIGUES</t>
  </si>
  <si>
    <t>(35)998671393</t>
  </si>
  <si>
    <t>574.669.986-15</t>
  </si>
  <si>
    <t>28/01/2015</t>
  </si>
  <si>
    <t>VERA LUCIA GONÇALVES ALMEIDA</t>
  </si>
  <si>
    <t>SALVADOR ORLANDI</t>
  </si>
  <si>
    <t>306.511.746-00</t>
  </si>
  <si>
    <t>cliente pediu para fazer após a pandemia</t>
  </si>
  <si>
    <t>03/01/2017</t>
  </si>
  <si>
    <t>VERA LUCIA MACHADO</t>
  </si>
  <si>
    <t>R: JOAO PORFIRIO</t>
  </si>
  <si>
    <t>35-9 9878-7460</t>
  </si>
  <si>
    <t>486.477.306-82</t>
  </si>
  <si>
    <t>WALQUIRIA CARVALHO OLIVEIRA  (LINDA)</t>
  </si>
  <si>
    <t>R:  DELFINO TEODORO BORGES</t>
  </si>
  <si>
    <t>N.SRA. DE FATIMA</t>
  </si>
  <si>
    <t>(35)99066-008_</t>
  </si>
  <si>
    <t>663.198.206-59</t>
  </si>
  <si>
    <t>WALTON BERNARDINO PEREIRA</t>
  </si>
  <si>
    <t>19 99194-5691</t>
  </si>
  <si>
    <t>036.753.008-20</t>
  </si>
  <si>
    <t>Cliente esta em São Paulo avisará para verificar sobre a migração assim que retornarem</t>
  </si>
  <si>
    <t>26/05/2020</t>
  </si>
  <si>
    <t>WANDERLEY LUIZ SILVA</t>
  </si>
  <si>
    <t>056.517.566-12</t>
  </si>
  <si>
    <t>01/04/2019</t>
  </si>
  <si>
    <t>VIRGINIA DANIELI DOS SANTOS</t>
  </si>
  <si>
    <t>VEREADOR JOSE CARVALHO</t>
  </si>
  <si>
    <t>(35)999380678</t>
  </si>
  <si>
    <t>117.224.126-07</t>
  </si>
  <si>
    <t>26/10/2018</t>
  </si>
  <si>
    <t>VITOR EDUARDO RESENDE FRANCHIN</t>
  </si>
  <si>
    <t>(19)99956-1987</t>
  </si>
  <si>
    <t>363.556.038-32</t>
  </si>
  <si>
    <t>VITOR VIEIRA MARINS JUNIOR</t>
  </si>
  <si>
    <t>R: HERCULANO COBRA</t>
  </si>
  <si>
    <t>(35)9956-1876</t>
  </si>
  <si>
    <t>698.237.236-72</t>
  </si>
  <si>
    <t>13/09/2014</t>
  </si>
  <si>
    <t>WAGNER NUNES POVEDA  (RESIDENCIA)</t>
  </si>
  <si>
    <t>(35)9 9916-5004</t>
  </si>
  <si>
    <t>216.820.178-18</t>
  </si>
  <si>
    <t>.</t>
  </si>
  <si>
    <t>NATALIA RIBEIRO HAMADA</t>
  </si>
  <si>
    <t>R: VERGO DIVINO,   AP 21/A TORRE 3  SAO PAULO</t>
  </si>
  <si>
    <t>CHACARA SANTO ANTONIO</t>
  </si>
  <si>
    <t>35 9811-2318</t>
  </si>
  <si>
    <t>328.060.228-94</t>
  </si>
  <si>
    <t>27/07/2018</t>
  </si>
  <si>
    <t>WALMIRIA DO CARMO ARRUDA</t>
  </si>
  <si>
    <t>RUA FRANCISCO ALVARO SOBREIRO</t>
  </si>
  <si>
    <t>(35)999028192</t>
  </si>
  <si>
    <t>001.804.966-46</t>
  </si>
  <si>
    <t>Covid</t>
  </si>
  <si>
    <t>EDER LUIZ GOUVEIA dois pontos</t>
  </si>
  <si>
    <t>RUA HAILTON JOSE</t>
  </si>
  <si>
    <t>29/04/2015</t>
  </si>
  <si>
    <t>WALQUIRIA DE CASSIA ARRUDA</t>
  </si>
  <si>
    <t>SEBASTIÂO GONÇALVES PINTO</t>
  </si>
  <si>
    <t>07</t>
  </si>
  <si>
    <t>(35)9970-4712</t>
  </si>
  <si>
    <t>984.994.326-20</t>
  </si>
  <si>
    <t>ISABEL CRISTINA MARçAL (REPETIDOR CURA)</t>
  </si>
  <si>
    <t>PELEGRINO FRANCHI 510</t>
  </si>
  <si>
    <t>(35)3445-3713</t>
  </si>
  <si>
    <t>006.628.096-61</t>
  </si>
  <si>
    <t>13/07/2017</t>
  </si>
  <si>
    <t>WANDERLEY BATISTA DOS SANTOS</t>
  </si>
  <si>
    <t>35-9 9709-7417</t>
  </si>
  <si>
    <t>004.582.966-78</t>
  </si>
  <si>
    <t>03/07/2014</t>
  </si>
  <si>
    <t>WELLINGTON ALVES DE LIMA</t>
  </si>
  <si>
    <t>OTAVIO ORIOLO</t>
  </si>
  <si>
    <t>N° SENHORA DE FATIMA</t>
  </si>
  <si>
    <t>127.747.806-67</t>
  </si>
  <si>
    <t>WELLINGTON JEAN DOS SANTOS MARQUES</t>
  </si>
  <si>
    <t>(19)98227-0534</t>
  </si>
  <si>
    <t>403.360.278-00</t>
  </si>
  <si>
    <t>não chama</t>
  </si>
  <si>
    <t>WILMA DE FATIMA GOMES</t>
  </si>
  <si>
    <t>AV:  LAURO MEGALE</t>
  </si>
  <si>
    <t>(35)9981-7963</t>
  </si>
  <si>
    <t>065.252.766-32</t>
  </si>
  <si>
    <t>10/02/2018</t>
  </si>
  <si>
    <t>WILSON DONIZETE COUTINHO cliente faleciso (esposa Maria)</t>
  </si>
  <si>
    <t>AV JOAO OLIVO MEGALE</t>
  </si>
  <si>
    <t>35 999313821</t>
  </si>
  <si>
    <t>799.884.588-00</t>
  </si>
  <si>
    <t>22/05/2016</t>
  </si>
  <si>
    <t>WIVIANA VALERIA DO NASCIMENTO (CASA)</t>
  </si>
  <si>
    <t>(35)99752-3491</t>
  </si>
  <si>
    <t>091.016.186-01</t>
  </si>
  <si>
    <t>10/02/2020</t>
  </si>
  <si>
    <t>YRAMAIA LETICIA DO PRADO</t>
  </si>
  <si>
    <t>(35)99887-0148</t>
  </si>
  <si>
    <t>113.109.846-38</t>
  </si>
  <si>
    <t>23/03/2015</t>
  </si>
  <si>
    <t>ZELIA MARIA SILVA</t>
  </si>
  <si>
    <t>(35)9931-1751</t>
  </si>
  <si>
    <t>772.429.396-15</t>
  </si>
  <si>
    <t>09/06/2016</t>
  </si>
  <si>
    <t>BENEDITO BRENTEGANI</t>
  </si>
  <si>
    <t>R: FRANCISCO MARQUES DA COSTA</t>
  </si>
  <si>
    <t>031.942.026-42</t>
  </si>
  <si>
    <t>DANIEL FERNANDO FERREIRA</t>
  </si>
  <si>
    <t>05/06/2017</t>
  </si>
  <si>
    <t>EDER PEREIRA SIMOES</t>
  </si>
  <si>
    <t>PRAÇA ANTONIO MEGALE</t>
  </si>
  <si>
    <t>(35)9807 - 1990</t>
  </si>
  <si>
    <t>058.267.496-44</t>
  </si>
  <si>
    <t>GUILHERME JOSE DA SILVA (FUNERARIA)</t>
  </si>
  <si>
    <t>03/11/2020</t>
  </si>
  <si>
    <t>JOSE MARCIO CARDOSO</t>
  </si>
  <si>
    <t>TRAVESSA OSCAR GOMES DE LIMA</t>
  </si>
  <si>
    <t>(35)99986-6077</t>
  </si>
  <si>
    <t>272.139.196-87</t>
  </si>
  <si>
    <t>23/12/2014</t>
  </si>
  <si>
    <t>LUIZ CARLOS DOS SANTOS</t>
  </si>
  <si>
    <t>(35)9975 - 6866</t>
  </si>
  <si>
    <t>890.420.856-49</t>
  </si>
  <si>
    <t>11/09/2020</t>
  </si>
  <si>
    <t>MARTA MADALENA MOREIRA</t>
  </si>
  <si>
    <t>(35)99902-0112</t>
  </si>
  <si>
    <t>681.889.516-68</t>
  </si>
  <si>
    <t>SINVAL DE PAULA</t>
  </si>
  <si>
    <t>18/04/2020</t>
  </si>
  <si>
    <t>EUDILANDIA PEREIRA SILVA</t>
  </si>
  <si>
    <t>RUA:SARGENTO EUSEBIO MORAES  AP 02</t>
  </si>
  <si>
    <t>(35)99191-3549</t>
  </si>
  <si>
    <t>152.358.808-03</t>
  </si>
  <si>
    <t>MACIEL REZENDE DA SILVA</t>
  </si>
  <si>
    <t>(35)3445-2182</t>
  </si>
  <si>
    <t>623.126.776-87</t>
  </si>
  <si>
    <t>12/06/2013</t>
  </si>
  <si>
    <t>ADRIANA VANUZA MOREIRA LOPES</t>
  </si>
  <si>
    <t>R:VITOR ANTONIO BRANDANI</t>
  </si>
  <si>
    <t>(35)3445-1628</t>
  </si>
  <si>
    <t>905.559.109-20</t>
  </si>
  <si>
    <t>09/02/2018</t>
  </si>
  <si>
    <t>ACACIO BRAZ DO COUTO</t>
  </si>
  <si>
    <t>CHACARA  SAO SEBASTIAO</t>
  </si>
  <si>
    <t>35 9 99222660</t>
  </si>
  <si>
    <t>542.330.386-91</t>
  </si>
  <si>
    <t xml:space="preserve">não conectado </t>
  </si>
  <si>
    <t>30/12/2016</t>
  </si>
  <si>
    <t>FRANCIELE CIBELE DA CUNHA</t>
  </si>
  <si>
    <t>(35)99911-5607</t>
  </si>
  <si>
    <t>137.528.286-76</t>
  </si>
  <si>
    <t>DULCENEIA CANTUARIO DA SILVA</t>
  </si>
  <si>
    <t>(35)9,9880-8596</t>
  </si>
  <si>
    <t>090.804.096-26</t>
  </si>
  <si>
    <t>16/04/2015</t>
  </si>
  <si>
    <t>JOAQUIM JOAO DA SILVA</t>
  </si>
  <si>
    <t>(35)9722-7219</t>
  </si>
  <si>
    <t>519.737.156-00</t>
  </si>
  <si>
    <t>04/07/2013</t>
  </si>
  <si>
    <t>ALTAIR MARIANO MARTINS (CORTESIA) Repetidor</t>
  </si>
  <si>
    <t>R:LAURO MENDONçA,203</t>
  </si>
  <si>
    <t>(35)9930-2826</t>
  </si>
  <si>
    <t>100.950.156-98</t>
  </si>
  <si>
    <t>17/07/2019</t>
  </si>
  <si>
    <t>ANA LUCIA COSTA DA ROSA</t>
  </si>
  <si>
    <t>(35)999936160</t>
  </si>
  <si>
    <t>092.786.666-88</t>
  </si>
  <si>
    <t>14/09/2013</t>
  </si>
  <si>
    <t>ALEXANDRE DA SILVA</t>
  </si>
  <si>
    <t>RAQUEL GOUVEA</t>
  </si>
  <si>
    <t>(35)998885679</t>
  </si>
  <si>
    <t>003.261.546-98</t>
  </si>
  <si>
    <t>21/09/2019</t>
  </si>
  <si>
    <t>ANGELICA CAETANO DE ALMEIDA</t>
  </si>
  <si>
    <t>RUA ANTONIO PEREIRA SIMOES</t>
  </si>
  <si>
    <t>(35)998565844</t>
  </si>
  <si>
    <t>083.951.216-36</t>
  </si>
  <si>
    <t>02/06/2016</t>
  </si>
  <si>
    <t>ANTONIO JOSE DE FARIA</t>
  </si>
  <si>
    <t>RUA WILSON MEGALE</t>
  </si>
  <si>
    <t>99892-5379</t>
  </si>
  <si>
    <t>486.176.956-68</t>
  </si>
  <si>
    <t>23/05/2018</t>
  </si>
  <si>
    <t>BENEDITA DE FATIMA RIBEIRO</t>
  </si>
  <si>
    <t>(35)998982403</t>
  </si>
  <si>
    <t>994.397.866-04</t>
  </si>
  <si>
    <t>MARIA CRISTINA DE CASSIA MOREIRA COBRA DE CARVALHO</t>
  </si>
  <si>
    <t>(35)3445-1223</t>
  </si>
  <si>
    <t>462.006.226-04</t>
  </si>
  <si>
    <t xml:space="preserve">ligar de manhã 11/03 </t>
  </si>
  <si>
    <t>05/02/2018</t>
  </si>
  <si>
    <t>BRUNA APARECIDA DE MATOS</t>
  </si>
  <si>
    <t>RUA JOSE FIRMO WERNECK</t>
  </si>
  <si>
    <t>(35)99750-9926</t>
  </si>
  <si>
    <t>015.627.936-32</t>
  </si>
  <si>
    <t>19/08/2020</t>
  </si>
  <si>
    <t>MATHEUS BARBOSA MENDES</t>
  </si>
  <si>
    <t>RUA ADOLFO CABRAL BUENO</t>
  </si>
  <si>
    <t>(35)99767-3460</t>
  </si>
  <si>
    <t>133.041.586-85</t>
  </si>
  <si>
    <t>22/12/2017</t>
  </si>
  <si>
    <t>EGNALDO SOARES DOS SANTOS</t>
  </si>
  <si>
    <t>RUA MANOEL DE ABREU</t>
  </si>
  <si>
    <t>(35)99927-0383</t>
  </si>
  <si>
    <t>268.948.665-20</t>
  </si>
  <si>
    <t>CLAUDIO OLIVEIRA</t>
  </si>
  <si>
    <t>(35)9 9143-1176</t>
  </si>
  <si>
    <t>029.094.678-64</t>
  </si>
  <si>
    <t>22/10/2018</t>
  </si>
  <si>
    <t>LUCIA HELENA CUSTODIO</t>
  </si>
  <si>
    <t>(35)999004151</t>
  </si>
  <si>
    <t>090.917.716-31</t>
  </si>
  <si>
    <t>31/01/2013</t>
  </si>
  <si>
    <t>CLETO ANTONIO PEREIRA</t>
  </si>
  <si>
    <t>R. MANUEL PEREIRA DE MORAIS</t>
  </si>
  <si>
    <t>(35)8422-0025</t>
  </si>
  <si>
    <t>996.911.756-49</t>
  </si>
  <si>
    <t>CLEUSA MARIA DA ROSA</t>
  </si>
  <si>
    <t>FELICIO GONÇALVES MARTINS</t>
  </si>
  <si>
    <t>663.201.606-59</t>
  </si>
  <si>
    <t>02/09/2020</t>
  </si>
  <si>
    <t>03/04/2014</t>
  </si>
  <si>
    <t>DANIEL FELIX MOREIRA</t>
  </si>
  <si>
    <t>AV:ANTONIO MARQUES DA SILVA</t>
  </si>
  <si>
    <t>(35)9842-9725</t>
  </si>
  <si>
    <t>998.234.706-34</t>
  </si>
  <si>
    <t>06/11/2014</t>
  </si>
  <si>
    <t>DANIELA SANTANA DA COSTA</t>
  </si>
  <si>
    <t>SITIO JOAO ALBANO</t>
  </si>
  <si>
    <t>(35)9 9124-8996</t>
  </si>
  <si>
    <t>212.611.968-80</t>
  </si>
  <si>
    <t>08/07/2020</t>
  </si>
  <si>
    <t>CEZAR EDUARDO COUTINHO</t>
  </si>
  <si>
    <t>(35)99964-6884</t>
  </si>
  <si>
    <t>046.899.476-94</t>
  </si>
  <si>
    <t>22/03/2019</t>
  </si>
  <si>
    <t>DANUZIA PEREIRA SIMOES DE TOLEDO</t>
  </si>
  <si>
    <t>(35)9 9821-1028</t>
  </si>
  <si>
    <t>994.396.626-20</t>
  </si>
  <si>
    <t>06/06/2016</t>
  </si>
  <si>
    <t>DENIS VIEIRA DOS SANTOS</t>
  </si>
  <si>
    <t>AV ALVARINA PEREIRA CINTRA</t>
  </si>
  <si>
    <t>(35)97689-571_</t>
  </si>
  <si>
    <t>302.789.738-17</t>
  </si>
  <si>
    <t>25/04/2018</t>
  </si>
  <si>
    <t>DIEGO CEZAR HENRIQUE</t>
  </si>
  <si>
    <t>AVENIDA ANTONIO MARQUES DA SILVA</t>
  </si>
  <si>
    <t>(35)9 9862-8212</t>
  </si>
  <si>
    <t>082.132.846-82</t>
  </si>
  <si>
    <t>31/07/2020</t>
  </si>
  <si>
    <t>MARIA CECILIA PARECIDA SOGLIA DE CASTRO</t>
  </si>
  <si>
    <t>R: PROF: ALFEU DUARTE</t>
  </si>
  <si>
    <t>(35)91490-449_</t>
  </si>
  <si>
    <t>073.848.536-56</t>
  </si>
  <si>
    <t>03/03/2016</t>
  </si>
  <si>
    <t>WAGNER DOS SANTOS TAVARES</t>
  </si>
  <si>
    <t>R. PELEGRINO FRANCHIBairro Palma</t>
  </si>
  <si>
    <t>(35)9926-1985</t>
  </si>
  <si>
    <t>061.976.016-80</t>
  </si>
  <si>
    <t>08/07/2016</t>
  </si>
  <si>
    <t>EDINILSON PIAI</t>
  </si>
  <si>
    <t>(35)9862-7145</t>
  </si>
  <si>
    <t>055.383.926-86</t>
  </si>
  <si>
    <t>28/04/2017</t>
  </si>
  <si>
    <t>ELIANA GOUVEIA</t>
  </si>
  <si>
    <t>RUA NARCISO FERREIRA DOS SANTOS</t>
  </si>
  <si>
    <t>(35)99899-5951</t>
  </si>
  <si>
    <t>847.798.376-34</t>
  </si>
  <si>
    <t>21/07/2016</t>
  </si>
  <si>
    <t>ADINAN WILIAN HENRIQUE</t>
  </si>
  <si>
    <t>R. JOSE FELICIANO</t>
  </si>
  <si>
    <t>083.671.996-42</t>
  </si>
  <si>
    <t>ELIEZER HONORIO COELHO</t>
  </si>
  <si>
    <t>RUA BENEDITO MARCONDES DE SOUZA</t>
  </si>
  <si>
    <t>(35)99853-7538</t>
  </si>
  <si>
    <t>093.962.908-90</t>
  </si>
  <si>
    <t>31/08/2020</t>
  </si>
  <si>
    <t>15/02/2017</t>
  </si>
  <si>
    <t>ELIEZER RODRIGUES DA SILVA CAZAL</t>
  </si>
  <si>
    <t>514.267.736-68</t>
  </si>
  <si>
    <t>ELISANGELA DA CUNHA JANEZI</t>
  </si>
  <si>
    <t>(35)99767-7816</t>
  </si>
  <si>
    <t>057.703.686-67</t>
  </si>
  <si>
    <t>07/02/2020</t>
  </si>
  <si>
    <t>AV: WILSON MEGALE</t>
  </si>
  <si>
    <t>05/05/2017</t>
  </si>
  <si>
    <t>EVELYN DE TOLEDO CAVALCANTE</t>
  </si>
  <si>
    <t>AMELIA GOUVEA</t>
  </si>
  <si>
    <t>35 999214151</t>
  </si>
  <si>
    <t>113.524.106-64</t>
  </si>
  <si>
    <t>16/02/2015</t>
  </si>
  <si>
    <t>LUCIANE BRANDANI ARRUDA SILVA</t>
  </si>
  <si>
    <t>R: PELEGRINO FRANCHI</t>
  </si>
  <si>
    <t>(35)9 9209-2730</t>
  </si>
  <si>
    <t>623.126.346-00</t>
  </si>
  <si>
    <t>FRANCINE DOS SANTOS</t>
  </si>
  <si>
    <t>AVELINO NUNES DE ALMEIDA</t>
  </si>
  <si>
    <t>(35)99152-3184</t>
  </si>
  <si>
    <t>115.356.916-70</t>
  </si>
  <si>
    <t>GEISIMARA SIMOES CANDIDO</t>
  </si>
  <si>
    <t>NARCISIO FERREIRA DOS SANTOS</t>
  </si>
  <si>
    <t>(35)9176-3224</t>
  </si>
  <si>
    <t>088.990.956-39</t>
  </si>
  <si>
    <t>18/06/2019</t>
  </si>
  <si>
    <t>GISLAINE CAROLINA BRANDANI</t>
  </si>
  <si>
    <t>(35)999128049</t>
  </si>
  <si>
    <t>054.803.946-14</t>
  </si>
  <si>
    <t>GUARDA MIRIM IRMA MARTHA</t>
  </si>
  <si>
    <t>JOSé FRANCISCO DOS SANTOS JUNIOR</t>
  </si>
  <si>
    <t>(35)3445-1194</t>
  </si>
  <si>
    <t>25.653.544/0001-83</t>
  </si>
  <si>
    <t>JOYCE DE CASSIA SILVA ALMEIDA</t>
  </si>
  <si>
    <t>N. S. APARECIDA</t>
  </si>
  <si>
    <t>(35)999260014</t>
  </si>
  <si>
    <t>129.122.906-00</t>
  </si>
  <si>
    <t>IGREJA CRISTA PENTECOSTAL RENOVADA DE BORDA DA MATA</t>
  </si>
  <si>
    <t>RUA FRANCISCO SOUSA COSTA</t>
  </si>
  <si>
    <t>(35)99904-8049</t>
  </si>
  <si>
    <t>00.646.149/0001-42</t>
  </si>
  <si>
    <t>22/10/2015</t>
  </si>
  <si>
    <t>JANE DUARTE FERREIRA SANTOS</t>
  </si>
  <si>
    <t>R. JOSE LEOPOLDINO GONçALVES</t>
  </si>
  <si>
    <t>(35)9951-6575</t>
  </si>
  <si>
    <t>070.048.836-71</t>
  </si>
  <si>
    <t>08/05/2018</t>
  </si>
  <si>
    <t>JOAO ANTONIO DE CAMARGO</t>
  </si>
  <si>
    <t>(35)998479580</t>
  </si>
  <si>
    <t>040.685.828-40</t>
  </si>
  <si>
    <t>ISABEL PINTO MENDES SANTOS</t>
  </si>
  <si>
    <t>069.504.208-46</t>
  </si>
  <si>
    <t>16/08/2019</t>
  </si>
  <si>
    <t>JOSE LAZARO DE MELO</t>
  </si>
  <si>
    <t>(35)998847066</t>
  </si>
  <si>
    <t>461.743.546-87</t>
  </si>
  <si>
    <t>28/08/2017</t>
  </si>
  <si>
    <t>JOSE LUIZ PEREIRA</t>
  </si>
  <si>
    <t>340.151.759-72</t>
  </si>
  <si>
    <t>26/01/2018</t>
  </si>
  <si>
    <t>ELIZABETE FERREIRA DA SILVA</t>
  </si>
  <si>
    <t>35 9 9885 5092</t>
  </si>
  <si>
    <t>090.639.296-92</t>
  </si>
  <si>
    <t>14/01/2014</t>
  </si>
  <si>
    <t>JOSE AUGUSTO DA COSTA (CORTESIA)</t>
  </si>
  <si>
    <t>R. EDUARDO AMARAL</t>
  </si>
  <si>
    <t>(35)9968-3966</t>
  </si>
  <si>
    <t>049.899.838-07</t>
  </si>
  <si>
    <t>JOSE CLAUDIO PARADELLO (CORTESIA)</t>
  </si>
  <si>
    <t>RUA JOSE PINTO DE FREITAS - 54</t>
  </si>
  <si>
    <t>(35)9839-4089</t>
  </si>
  <si>
    <t>681.889.946-34</t>
  </si>
  <si>
    <t>LEONARDO JOSE DOS SANTOS</t>
  </si>
  <si>
    <t>FRANCISCO FAGUNDES</t>
  </si>
  <si>
    <t>(35)8456-1225</t>
  </si>
  <si>
    <t>094.637.276-47</t>
  </si>
  <si>
    <t>ISABEL CRISTINA RIBEIRO</t>
  </si>
  <si>
    <t>SITIO NOSSO RECANTO</t>
  </si>
  <si>
    <t>(35)99822-5571</t>
  </si>
  <si>
    <t>906.881.806-63</t>
  </si>
  <si>
    <t>01/08/2014</t>
  </si>
  <si>
    <t>JOSE UBIRAJARA COBRA DE CARVALHO</t>
  </si>
  <si>
    <t>(11)99981-5290</t>
  </si>
  <si>
    <t>183.633.936-49</t>
  </si>
  <si>
    <t>07/07/2020</t>
  </si>
  <si>
    <t>JOEL FERMIANO DA SILVA</t>
  </si>
  <si>
    <t>RUA JOSE FRANCISCO SANTOS JUNIOR</t>
  </si>
  <si>
    <t>(35)99169-3623</t>
  </si>
  <si>
    <t>001.804.896-07</t>
  </si>
  <si>
    <t>ARMANDO ANDRADE PEREIRA</t>
  </si>
  <si>
    <t>(35)9992-4697</t>
  </si>
  <si>
    <t>550.166.186-15</t>
  </si>
  <si>
    <t>TARCISIO FERREIRA DOS SANTOS</t>
  </si>
  <si>
    <t>441.695.586-34</t>
  </si>
  <si>
    <t>VIVIANE DE GODOI COUTO</t>
  </si>
  <si>
    <t>(35)99934-3669</t>
  </si>
  <si>
    <t>057.618.746-10</t>
  </si>
  <si>
    <t>ESTRADA DO BOGARI</t>
  </si>
  <si>
    <t>BOGARI</t>
  </si>
  <si>
    <t>MARCELO APARECIDO DE OLIVEIRA</t>
  </si>
  <si>
    <t>35 9 9993 8298</t>
  </si>
  <si>
    <t>054.215.976-79</t>
  </si>
  <si>
    <t>Tefone não existe</t>
  </si>
  <si>
    <t>05/04/2016</t>
  </si>
  <si>
    <t>LUIS CLAUDIO RIBEIRO</t>
  </si>
  <si>
    <t>R. ALICE MOREIRA BRASIL</t>
  </si>
  <si>
    <t>(35)9740-7622</t>
  </si>
  <si>
    <t>876.159.756-20</t>
  </si>
  <si>
    <t>RUA PADRE JOSE  ORIOLO</t>
  </si>
  <si>
    <t>25/03/2019</t>
  </si>
  <si>
    <t>AFONSO CAETANO DE FARIA</t>
  </si>
  <si>
    <t>PONTE DE ZINCO</t>
  </si>
  <si>
    <t>(35)984298950</t>
  </si>
  <si>
    <t>188.818.906-15</t>
  </si>
  <si>
    <t>11/01/2018</t>
  </si>
  <si>
    <t>DANILO JUVENAL DA SILVA</t>
  </si>
  <si>
    <t>RUA VITOR BRANDANI</t>
  </si>
  <si>
    <t>35-9 9870-8631</t>
  </si>
  <si>
    <t>084.402.606-95</t>
  </si>
  <si>
    <t>27/02/2019</t>
  </si>
  <si>
    <t>JEAN MESSIAS SOUSA</t>
  </si>
  <si>
    <t>(35)99748-4154</t>
  </si>
  <si>
    <t>398.641.788-57</t>
  </si>
  <si>
    <t>05/12/2016</t>
  </si>
  <si>
    <t>MARCOS ROBERTO DE FIGUEIREDO</t>
  </si>
  <si>
    <t>9 9719-1217</t>
  </si>
  <si>
    <t>984.996.886-91</t>
  </si>
  <si>
    <t>26/02/2020</t>
  </si>
  <si>
    <t>MARIA APARECIDA BORGES</t>
  </si>
  <si>
    <t>SITIO BOM SUCESSO PALMA</t>
  </si>
  <si>
    <t>PALMA</t>
  </si>
  <si>
    <t>(35)99936-7162</t>
  </si>
  <si>
    <t>882.976.326-87</t>
  </si>
  <si>
    <t>15/07/2017</t>
  </si>
  <si>
    <t>MARIA INEZ DO NASCIMENTO SOUZA</t>
  </si>
  <si>
    <t>AV. LAURO MEGALE</t>
  </si>
  <si>
    <t>35-3445-1718</t>
  </si>
  <si>
    <t>498.932.116-20</t>
  </si>
  <si>
    <t>JULIANO CESAR DA COSTA</t>
  </si>
  <si>
    <t>JOSE DANIEL DA COSTA</t>
  </si>
  <si>
    <t>(35)9893-4733</t>
  </si>
  <si>
    <t>076.584.256-48</t>
  </si>
  <si>
    <t>28/08/2013</t>
  </si>
  <si>
    <t>MARIA MARGARIDA SOUZA DE FREITAS</t>
  </si>
  <si>
    <t>BERNADETE MEGALE</t>
  </si>
  <si>
    <t>(35)9720-7144</t>
  </si>
  <si>
    <t>499.030.806-97</t>
  </si>
  <si>
    <t>31/08/2016</t>
  </si>
  <si>
    <t>MARINEI DO CARMO SANTOS</t>
  </si>
  <si>
    <t>R. SALVADOR ORLANDI</t>
  </si>
  <si>
    <t>Nº151</t>
  </si>
  <si>
    <t>35-9-98317015</t>
  </si>
  <si>
    <t>065.979.086-60</t>
  </si>
  <si>
    <t>SILVANA DO COUTO LIMA</t>
  </si>
  <si>
    <t>114.202.036-30</t>
  </si>
  <si>
    <t>MARLISE ALVES FLORIANO</t>
  </si>
  <si>
    <t>RIO BRANCO</t>
  </si>
  <si>
    <t>(35)999086821</t>
  </si>
  <si>
    <t>882.959.076-20</t>
  </si>
  <si>
    <t>12/12/2015</t>
  </si>
  <si>
    <t>THIAGO BENITO SANTOS SIQUEIRA</t>
  </si>
  <si>
    <t>(35)9 9884-8112</t>
  </si>
  <si>
    <t>059.247.176-40</t>
  </si>
  <si>
    <t>MILEIDE PEREIRA SANTOS</t>
  </si>
  <si>
    <t>(35)9955-6207</t>
  </si>
  <si>
    <t>068.868.636-22</t>
  </si>
  <si>
    <t>27/01/2014</t>
  </si>
  <si>
    <t>MULTITORRES SOLUÇOES ESTRUTURAIS PARA TELECOM LTD-</t>
  </si>
  <si>
    <t>R JOAO FERREIRA DA SILVA</t>
  </si>
  <si>
    <t>(35)8433-2801</t>
  </si>
  <si>
    <t>18.956.559/0001-55</t>
  </si>
  <si>
    <t>19/04/2017</t>
  </si>
  <si>
    <t>NOEMIA RIBEIRO GOMES MOREIRA</t>
  </si>
  <si>
    <t>(35)99901-1508</t>
  </si>
  <si>
    <t>395.288.806-06</t>
  </si>
  <si>
    <t>24/11/2012</t>
  </si>
  <si>
    <t>AIRTON DOS SANTOS (LOJA)</t>
  </si>
  <si>
    <t>AV:WILSON MEGALE</t>
  </si>
  <si>
    <t>(35)9953-8981</t>
  </si>
  <si>
    <t>671.622.666-49</t>
  </si>
  <si>
    <t>PAULO RICARDO TROBETONI</t>
  </si>
  <si>
    <t>(35)9898-7214</t>
  </si>
  <si>
    <t>633.520.016-34</t>
  </si>
  <si>
    <t>18/05/2014</t>
  </si>
  <si>
    <t>PAULO ROBERTO VIEIRA DOS SANTOS (BUIA)</t>
  </si>
  <si>
    <t>(35)9928-0348</t>
  </si>
  <si>
    <t>698.232.356-00</t>
  </si>
  <si>
    <t>07/12/2019</t>
  </si>
  <si>
    <t>PEDRO GOMES MOREIRA ME</t>
  </si>
  <si>
    <t>AV EDNA MARIA DA SILVA RIBEIRO</t>
  </si>
  <si>
    <t>(35)34453-44__</t>
  </si>
  <si>
    <t>12.621.720/0001-53</t>
  </si>
  <si>
    <t>05/09/2016</t>
  </si>
  <si>
    <t>RAQUEL DOS SANTOS</t>
  </si>
  <si>
    <t>(35)99814-9889</t>
  </si>
  <si>
    <t>337.136.468-21</t>
  </si>
  <si>
    <t>RAYRA DIAS ALONSO</t>
  </si>
  <si>
    <t>9 97316228</t>
  </si>
  <si>
    <t>096.146.536-04</t>
  </si>
  <si>
    <t>22/05/2019</t>
  </si>
  <si>
    <t>ROGERIO PEREIRA SANTOS</t>
  </si>
  <si>
    <t>JOSE ALVARO PINHEIRO JUNIOR</t>
  </si>
  <si>
    <t>058.249.006-55</t>
  </si>
  <si>
    <t>ROMILDO DONIZETE NOGUEIRA</t>
  </si>
  <si>
    <t>VITOR ANTONIO BRANDANI</t>
  </si>
  <si>
    <t>(35)9,9906-4344</t>
  </si>
  <si>
    <t>045.119.626-00</t>
  </si>
  <si>
    <t>29/06/2019</t>
  </si>
  <si>
    <t>ROSELI MOTTA DE FREITAS</t>
  </si>
  <si>
    <t>(19)38795549</t>
  </si>
  <si>
    <t>retornar para a cliente na proxima semana do dia 22/02</t>
  </si>
  <si>
    <t>JESSICA TAVARES TEODORO</t>
  </si>
  <si>
    <t>(35)9,9757-8297</t>
  </si>
  <si>
    <t>121.249.106-80</t>
  </si>
  <si>
    <t>Cliente trocou denumero/ apessoa que atendeu não seria a cliente</t>
  </si>
  <si>
    <t>27/01/2020</t>
  </si>
  <si>
    <t>SAULO MARIO MATOS</t>
  </si>
  <si>
    <t>RUA VIVALDE JOSE RIBEIRO</t>
  </si>
  <si>
    <t>(35)99936-1622</t>
  </si>
  <si>
    <t>129.520.866-05</t>
  </si>
  <si>
    <t>06/07/2019</t>
  </si>
  <si>
    <t>MARCIA REGINA BARBIERI</t>
  </si>
  <si>
    <t>(11)992308407</t>
  </si>
  <si>
    <t>041.189.778-00</t>
  </si>
  <si>
    <t xml:space="preserve">Cliente mora fora de borda </t>
  </si>
  <si>
    <t>10/10/2018</t>
  </si>
  <si>
    <t>STEFANI SILVA REZENDE DE LIMA</t>
  </si>
  <si>
    <t>(35)99754-853_</t>
  </si>
  <si>
    <t>132.148.436-48</t>
  </si>
  <si>
    <t>13/05/2016</t>
  </si>
  <si>
    <t>TANIA DE MORAIS COSTA</t>
  </si>
  <si>
    <t>R. JOSE FLORIANO BARBOSA</t>
  </si>
  <si>
    <t>(35)9854-2993</t>
  </si>
  <si>
    <t>089.669.886-60</t>
  </si>
  <si>
    <t>WALDECY JOSE RIBEIRO</t>
  </si>
  <si>
    <t>807.762.308-59</t>
  </si>
  <si>
    <t>11/02/2013</t>
  </si>
  <si>
    <t>VICTOR CAMPOS BRANDANI</t>
  </si>
  <si>
    <t>Nª SENHORA APARECIDA</t>
  </si>
  <si>
    <t>(35)3445-1427</t>
  </si>
  <si>
    <t>306.528.126-00</t>
  </si>
  <si>
    <t>EUDILANDIA PEREIRA SILVA dois pontos</t>
  </si>
  <si>
    <t>MACIEL REZENDE DA SILVA dois pontos</t>
  </si>
  <si>
    <t>MARCELO GERALDO RIBEIRO</t>
  </si>
  <si>
    <t>JOSE GASPAR MARQUES (CORTESIA)</t>
  </si>
  <si>
    <t>PRAçA ANTONIO MEGALE- 23</t>
  </si>
  <si>
    <t>ariel</t>
  </si>
  <si>
    <t>(35)3445-1301</t>
  </si>
  <si>
    <t>441.311.866-91</t>
  </si>
  <si>
    <t>MAGUINOLHA RIBEIRO DE MENEZES GAMARRA (CORTESIA)</t>
  </si>
  <si>
    <t>MARIA NOGUEIRA GOUVEIA</t>
  </si>
  <si>
    <t>SãO JUDAS</t>
  </si>
  <si>
    <t>3445-3063</t>
  </si>
  <si>
    <t>167.852.518-93</t>
  </si>
  <si>
    <t>08/07/2017</t>
  </si>
  <si>
    <t>ANA CAROLINA CORDEIRO</t>
  </si>
  <si>
    <t>ONOFRE MARQUES DA COSTA</t>
  </si>
  <si>
    <t>9 9804 2761</t>
  </si>
  <si>
    <t>117.505.406-22</t>
  </si>
  <si>
    <t>SANDRO EVANTUIR DA SILVA</t>
  </si>
  <si>
    <t>ALBERTO CAPONE</t>
  </si>
  <si>
    <t>(35)999419843</t>
  </si>
  <si>
    <t>007.127.586-07</t>
  </si>
  <si>
    <t>Cliente está com corona Virus</t>
  </si>
  <si>
    <t>iza</t>
  </si>
  <si>
    <t>RUA MESSIAS GONCALVES DA SILVA</t>
  </si>
  <si>
    <t>Telefone errado</t>
  </si>
  <si>
    <t>Clientes aceitaram a migração</t>
  </si>
  <si>
    <t>Clientes que não atenderam a ligação</t>
  </si>
  <si>
    <t>Telefone Caixa postal</t>
  </si>
  <si>
    <t>Retornar para o cliente</t>
  </si>
  <si>
    <t>Não aceitaram a migração</t>
  </si>
  <si>
    <t>retornar a noite</t>
  </si>
  <si>
    <t>Cliente indeciso</t>
  </si>
  <si>
    <t>Cliente mudará de casa</t>
  </si>
  <si>
    <t>Cancelado</t>
  </si>
  <si>
    <t>Via Radio</t>
  </si>
  <si>
    <t>Maio</t>
  </si>
  <si>
    <t xml:space="preserve">Alexandro Luiz da Cruz </t>
  </si>
  <si>
    <t>Ariana Pereira de Godoy</t>
  </si>
  <si>
    <t>Anderson Antonio Veiga Barbos</t>
  </si>
  <si>
    <t>Vitor francisco Santos Pimenta</t>
  </si>
  <si>
    <t>Diego Antonio Toledo</t>
  </si>
  <si>
    <t>Maria José dos Santos</t>
  </si>
  <si>
    <t>Antonio Fernandes dos Santos</t>
  </si>
  <si>
    <t>Cássio Rafael Silva Rezende de Lima</t>
  </si>
  <si>
    <t>Santa Rita Tintas</t>
  </si>
  <si>
    <t>Lúcio Carlos Meirelles</t>
  </si>
  <si>
    <t>Diego Tadeu da Silva</t>
  </si>
  <si>
    <t>Jeferson Guilherme da Silva Melo</t>
  </si>
  <si>
    <t xml:space="preserve">Elza Fátima dos Santos Barbosa </t>
  </si>
  <si>
    <t>Vicente Amaro da Silva</t>
  </si>
  <si>
    <t>Gilliard Rodrigues Coelho</t>
  </si>
  <si>
    <t xml:space="preserve">Agripina da Costa Silva </t>
  </si>
  <si>
    <t>Carolina Vianna de Paiva</t>
  </si>
  <si>
    <t>Igor Alexandre Costa Feitosa</t>
  </si>
  <si>
    <t>Migração</t>
  </si>
  <si>
    <t>Márcio Aparecido Silva</t>
  </si>
  <si>
    <t> Alessandro Rodrigues da Silva</t>
  </si>
  <si>
    <t>João Pedro Silva</t>
  </si>
  <si>
    <t>Junho</t>
  </si>
  <si>
    <t>Roberto Barbato</t>
  </si>
  <si>
    <t>José Benedito Gomes</t>
  </si>
  <si>
    <t xml:space="preserve">Ruan natan da silva </t>
  </si>
  <si>
    <t xml:space="preserve">Lucas Gabrili Cortez </t>
  </si>
  <si>
    <t>Carlos Augusto Representações Ltda</t>
  </si>
  <si>
    <t>Célia Maria Leopoldino</t>
  </si>
  <si>
    <t xml:space="preserve">Karine de Azevedo Deniz </t>
  </si>
  <si>
    <t>Toretta e Furlan Tratores e Peças Ltda</t>
  </si>
  <si>
    <t>Danielle de Souza Alves</t>
  </si>
  <si>
    <t>Jacinta Maria da Silva Rosa - ME</t>
  </si>
  <si>
    <t xml:space="preserve">Diego Raimundo dos Santos Silva </t>
  </si>
  <si>
    <t>Maria Ines Moreira de Oliveira</t>
  </si>
  <si>
    <t>Maria Tereza Ferreira</t>
  </si>
  <si>
    <t>Francisco Carlos de Oliveira</t>
  </si>
  <si>
    <t xml:space="preserve">Rosinei Aparecida da Silva </t>
  </si>
  <si>
    <t>c</t>
  </si>
  <si>
    <t>Julho</t>
  </si>
  <si>
    <t>Cliente</t>
  </si>
  <si>
    <t>Indicação</t>
  </si>
  <si>
    <t>Adalgisa Brandão</t>
  </si>
  <si>
    <t>1 Cliente</t>
  </si>
  <si>
    <t>Joelma Rodrigues Correa Varisco</t>
  </si>
  <si>
    <t>Alessandra Eloiza Maximo</t>
  </si>
  <si>
    <t>Gabriela Máximo da Silva Andrade</t>
  </si>
  <si>
    <t>TALITA LAIS DO CARMO SILVA 11398934674</t>
  </si>
  <si>
    <t>Marcel Pereira dos Reis</t>
  </si>
  <si>
    <t>Fernando Melo de Oliveira</t>
  </si>
  <si>
    <t>1 cliente</t>
  </si>
  <si>
    <t>Gabrielle Andrade Ribeiro</t>
  </si>
  <si>
    <t>Rita de Cassia Pereira</t>
  </si>
  <si>
    <t>Higor Augusto Dominguês Da Costa</t>
  </si>
  <si>
    <t>2 Cliente</t>
  </si>
  <si>
    <t xml:space="preserve"> Larissa Fonseca Alves</t>
  </si>
  <si>
    <t>Brindado</t>
  </si>
  <si>
    <t>Claudete  de Freitas</t>
  </si>
  <si>
    <t>Luciene Imobiliaria</t>
  </si>
  <si>
    <t>1Cliente</t>
  </si>
  <si>
    <t>Luiz Fernando dos Santos Bianchi</t>
  </si>
  <si>
    <t>Karine de Azevedo Deniz</t>
  </si>
  <si>
    <t xml:space="preserve">Camila dos Santos </t>
  </si>
  <si>
    <t>Jéssica Moraes Araújo</t>
  </si>
  <si>
    <t>Danilo Augusto Joia silva</t>
  </si>
  <si>
    <t>Regina Maria Joia de Melo</t>
  </si>
  <si>
    <t>Renata Maria Joia de Melo</t>
  </si>
  <si>
    <t>Valeria Figueiredo Pereira</t>
  </si>
  <si>
    <t>Claudia Ramalho Favero</t>
  </si>
  <si>
    <t>Joao paulo</t>
  </si>
  <si>
    <t xml:space="preserve">1Cliente </t>
  </si>
  <si>
    <t>Renato</t>
  </si>
  <si>
    <t>Jair Elias Alves</t>
  </si>
  <si>
    <t>Guilherme Henrique Claro</t>
  </si>
  <si>
    <t xml:space="preserve">2 Cliente </t>
  </si>
  <si>
    <t>Edilaine Aparecida Mariano</t>
  </si>
  <si>
    <t>Artsul Decoracoes</t>
  </si>
  <si>
    <t>Ruan cnpj (casa do pai)</t>
  </si>
  <si>
    <t>Carla Roberta Tadeu Ferreira</t>
  </si>
  <si>
    <t>Gráfica Tiradentes</t>
  </si>
  <si>
    <t>Adeilton do Couto</t>
  </si>
  <si>
    <t>Marcia Helena Silva Mota</t>
  </si>
  <si>
    <t>Wesley Borges Ambar</t>
  </si>
  <si>
    <t>Alessandra Serapião Brandão</t>
  </si>
  <si>
    <t>Valeria Figueiredo  Pereira</t>
  </si>
  <si>
    <t>Jussara Bento Figueiredo</t>
  </si>
  <si>
    <t>Joao Benedito Passos da Silva Sobrinho</t>
  </si>
  <si>
    <t>Luiz Gustavo do Prado Santana</t>
  </si>
  <si>
    <t>Luiz Gustavo do Prado Santana empresa</t>
  </si>
  <si>
    <t>Soutex Artesanatos LTda me</t>
  </si>
  <si>
    <t>Edilaine Aprecida Mariano Casa</t>
  </si>
  <si>
    <t>Edilaine Aprecida Mariano Salão</t>
  </si>
  <si>
    <t>Lucas Benedito Santos Couto</t>
  </si>
  <si>
    <t>Fabiana Valeriano</t>
  </si>
  <si>
    <t>Cristiane Cibele Faria Dias</t>
  </si>
  <si>
    <t>Zenilda Maria Silveira de Moraes</t>
  </si>
  <si>
    <t>Maria Claudia Goncalves Joia</t>
  </si>
  <si>
    <t xml:space="preserve">Maria Goreti </t>
  </si>
  <si>
    <t>Rodrigo Sobreiro de Padua Gomes</t>
  </si>
  <si>
    <t>Fernando Barbosa de Almeida</t>
  </si>
  <si>
    <t>Rodnei Araujo de Almeida</t>
  </si>
  <si>
    <t>Roseleny Dantas Coutinho Moreira</t>
  </si>
  <si>
    <t>Murilo Alves Anchieta</t>
  </si>
  <si>
    <t>Onelio Thiago Pereira</t>
  </si>
  <si>
    <t>Guilherme Vitorino de Figueiredo</t>
  </si>
  <si>
    <t>Valeria Maria dos Santos Freitas</t>
  </si>
  <si>
    <t>Mariane Couto Silva</t>
  </si>
  <si>
    <t xml:space="preserve">Paulo Marques Casa </t>
  </si>
  <si>
    <t>Paulo Marques Empresa</t>
  </si>
  <si>
    <t>Helia Aparecida Nogueira de Melo</t>
  </si>
  <si>
    <t>Decore Cortinas</t>
  </si>
  <si>
    <t>João carlos Nogueira de Melo</t>
  </si>
  <si>
    <t>Geremias Pereira Lopes</t>
  </si>
  <si>
    <t>Daniely de Cassia Santos</t>
  </si>
  <si>
    <t>Raissa Aparecida Santos Armando</t>
  </si>
  <si>
    <t>CLIENTES</t>
  </si>
  <si>
    <t>ENDEREÇO</t>
  </si>
  <si>
    <t>N°</t>
  </si>
  <si>
    <t>BAIRRO</t>
  </si>
  <si>
    <t>TELEFONE</t>
  </si>
  <si>
    <t>VENC</t>
  </si>
  <si>
    <t>R$</t>
  </si>
  <si>
    <t>(35)3445-1508</t>
  </si>
  <si>
    <t xml:space="preserve">Cliente  </t>
  </si>
  <si>
    <t>data de contato</t>
  </si>
  <si>
    <t>Welton Maicon dos Santos</t>
  </si>
  <si>
    <t>31/07 - sem retorno pelo Whatsapp</t>
  </si>
  <si>
    <t>Lucas Almeida Vallim</t>
  </si>
  <si>
    <t>telefone não existe</t>
  </si>
  <si>
    <t>Noemia Ribeiro Gomes Moreira</t>
  </si>
  <si>
    <t>Sandro Henrique da Silva</t>
  </si>
  <si>
    <t>Sergio Henriquez Pena Lopes</t>
  </si>
  <si>
    <t>ANTONIO CLARET DE AGUIAR (conexão)</t>
  </si>
  <si>
    <t>Cliente mudou de numero 02/08</t>
  </si>
  <si>
    <t>Cleberson Joaquim Araujo Silva</t>
  </si>
  <si>
    <t>2/8/2024 cliente contactado pelo whats</t>
  </si>
  <si>
    <t>Elias da Silva Rodrigues</t>
  </si>
  <si>
    <t>2/8/2024 telefone não existe</t>
  </si>
  <si>
    <t>Dayana Priscila Silva Mendonça</t>
  </si>
  <si>
    <t>05/08/2024 cliente contactado pelo whats</t>
  </si>
  <si>
    <t>Maria Veronica Santos SIlva</t>
  </si>
  <si>
    <t>Valmir Fernando Batista</t>
  </si>
  <si>
    <t xml:space="preserve">Claudinei de Aguiar Souza </t>
  </si>
  <si>
    <t>Roberta de Cassia Siqueira Escotom</t>
  </si>
  <si>
    <t>06/08/2024 cliente contactado pelo whats</t>
  </si>
  <si>
    <t>Juliana Aparecida Pereira</t>
  </si>
  <si>
    <t>Eliaquim Cesar Oliveira Andrade</t>
  </si>
  <si>
    <t>Ana Larah Brandao Godoi</t>
  </si>
  <si>
    <t>Fernanda Santos de Souza</t>
  </si>
  <si>
    <t>Janete Quintale</t>
  </si>
  <si>
    <t>João Olivo Megale Portugal Goncalves</t>
  </si>
  <si>
    <t>Mauro Henrique Bauch</t>
  </si>
  <si>
    <t>Peterson Andrade Teodoro</t>
  </si>
  <si>
    <t>Luiz Fernando Campos Freire Correa</t>
  </si>
  <si>
    <t>05/08/2024 Telefone não existe</t>
  </si>
  <si>
    <t>Eliana Aparecida Euzébio</t>
  </si>
  <si>
    <t>Clientes Via 01 NOVEMBRO</t>
  </si>
  <si>
    <t>Fabiano Souza Lima</t>
  </si>
  <si>
    <t>Luiz Fernando Goulart</t>
  </si>
  <si>
    <t>Kamila Franciele de Mira</t>
  </si>
  <si>
    <t>Hewandro Phillip Meneses dos Santos</t>
  </si>
  <si>
    <t>Marco Meirelles</t>
  </si>
  <si>
    <t>Douglas Mazuco</t>
  </si>
  <si>
    <t>Gabriel Martins Martinoti</t>
  </si>
  <si>
    <t>Heliton Oliveira Meneses</t>
  </si>
  <si>
    <t>Luan Fernando Cardoso</t>
  </si>
  <si>
    <t>Victória Cristina Desiderio Martins</t>
  </si>
  <si>
    <t>Roberto Carlos dos Santos</t>
  </si>
  <si>
    <t>Rafael Henrique de Melo Batista</t>
  </si>
  <si>
    <t>Maria do Carmo Santos</t>
  </si>
  <si>
    <t>Kelly Zanardi Moreira</t>
  </si>
  <si>
    <t>Clientes Via 01 DEZEMBRO</t>
  </si>
  <si>
    <t>Alexandre Pereira Tonetto</t>
  </si>
  <si>
    <t>Castorino Acacio de Padua</t>
  </si>
  <si>
    <t>Sonia Cristina Couto Silva</t>
  </si>
  <si>
    <t>Higor Augusto Domingues da Costa</t>
  </si>
  <si>
    <t>Joao Pedro Dantas</t>
  </si>
  <si>
    <t>Marcelo Antonio Ribeiro</t>
  </si>
  <si>
    <t>Vanessa Arlindo Gregório</t>
  </si>
  <si>
    <t>Jennyfer Siqueira</t>
  </si>
  <si>
    <t>Luciana Rodrigues Pereira da Silva</t>
  </si>
  <si>
    <t>Ailton Antonio da Fonseca</t>
  </si>
  <si>
    <t>Bonieck honorato pereira</t>
  </si>
  <si>
    <t>Karolaine Aparecida Godinho Alves</t>
  </si>
  <si>
    <t>Valeria Aparecida De Matos</t>
  </si>
  <si>
    <t>Joao Paulo Delfino</t>
  </si>
  <si>
    <t>Clientes Via 01 Janeiro</t>
  </si>
  <si>
    <t>Danielle Cristina dos Reis</t>
  </si>
  <si>
    <t>Daniela Cristina Aparecida Euzebio do Couto</t>
  </si>
  <si>
    <t>Alisson Lincon Marques Andrade</t>
  </si>
  <si>
    <t>Carolina Aparecida Ferreira Goncalves</t>
  </si>
  <si>
    <t>Arielli Cauvilla</t>
  </si>
  <si>
    <t>Camila do Carmo Rodrigues</t>
  </si>
  <si>
    <t>Alexia Helena Santos</t>
  </si>
  <si>
    <t>Clientes Via 01 Fevereiro</t>
  </si>
  <si>
    <t>Carlos Eduardo Sabino</t>
  </si>
  <si>
    <t>Jessica Aparecida Cezar</t>
  </si>
  <si>
    <t>Bruno Pereira dos Santos</t>
  </si>
  <si>
    <t>Alecsandra Maria Collogni</t>
  </si>
  <si>
    <t>José Carlos Toledo Júnior</t>
  </si>
  <si>
    <t>Josiel Alves Lima</t>
  </si>
  <si>
    <t>Maria Benedita Leite Do Prado</t>
  </si>
  <si>
    <t>Ana Carolina Silva Teodoro</t>
  </si>
  <si>
    <t>Percival Marques</t>
  </si>
  <si>
    <t>João Paulo de Moraes</t>
  </si>
  <si>
    <t>Paulo Sérgio Lima</t>
  </si>
  <si>
    <t>Rosemary Maria Paulino</t>
  </si>
  <si>
    <t>Pâmela da Silva Gomes</t>
  </si>
  <si>
    <t>JOSE BENEDITO FERREIRA-ME(Padaria Lider)</t>
  </si>
  <si>
    <t>Leandro do Nascimento Santos</t>
  </si>
  <si>
    <t>Rafaela da Silva Lopes</t>
  </si>
  <si>
    <t>Rubens Domingos do Couto</t>
  </si>
  <si>
    <t>Mauro Sergio Lopes</t>
  </si>
  <si>
    <t>Michael Douglas de Godoi dos Santos</t>
  </si>
  <si>
    <t>Norival Honório dos Santos</t>
  </si>
  <si>
    <t>José Manoel Rennó Moreira</t>
  </si>
  <si>
    <t>Sidnei Santos</t>
  </si>
  <si>
    <t>Victor Gabriel Moreira Figueiredo</t>
  </si>
  <si>
    <t>Jennifer Cristina Quintale Felippe</t>
  </si>
  <si>
    <t>Werick Aparecido Borges Arlindo</t>
  </si>
  <si>
    <t>Leandro Luiz Rafael</t>
  </si>
  <si>
    <t>Clara Geraldini Pereira</t>
  </si>
  <si>
    <t>Lara Moreira Meirelles</t>
  </si>
  <si>
    <t xml:space="preserve">Orivaldo Porfirio da Silva </t>
  </si>
  <si>
    <t>Orivaldo Porfirio da Silva</t>
  </si>
  <si>
    <t>Clientes Via 01 Março</t>
  </si>
  <si>
    <t>Rita De Cassia Rodriques</t>
  </si>
  <si>
    <t>Francisco Ayres de Oliveira Neto</t>
  </si>
  <si>
    <t>André Luiz Rodrigues Silva</t>
  </si>
  <si>
    <t>Antonio Trota</t>
  </si>
  <si>
    <t>José Lazaro de Melo</t>
  </si>
  <si>
    <t xml:space="preserve">Igor Alexandre Costa Feitosa </t>
  </si>
  <si>
    <t>Luiz Henrique Silva Funchal</t>
  </si>
  <si>
    <t>Nivaldo Gomes Hernandes</t>
  </si>
  <si>
    <t>Rodrigo Bruschi Hernandes</t>
  </si>
  <si>
    <t>Isabel Aparecida Cardoso</t>
  </si>
  <si>
    <t xml:space="preserve">Silvio da Fonseca Junior </t>
  </si>
  <si>
    <t>Jesus Fabiano de Almeida</t>
  </si>
  <si>
    <t>A Mineira Decorações Ltda</t>
  </si>
  <si>
    <t>Joao Roberto Lopes</t>
  </si>
  <si>
    <t>Divino Aurelio de Faria</t>
  </si>
  <si>
    <t>Marta Madalena Moreira</t>
  </si>
  <si>
    <t>Ubirajara Portela Campos</t>
  </si>
  <si>
    <t>Juliano Silva Ribeiro</t>
  </si>
  <si>
    <t>Jose Celino dos Santos</t>
  </si>
  <si>
    <t>Francine dos Santos Silva</t>
  </si>
  <si>
    <t>Clientes Via 01 Abril</t>
  </si>
  <si>
    <t>Higor Luiz dos Santos</t>
  </si>
  <si>
    <t>Adriana Aparecida Silva do Prado</t>
  </si>
  <si>
    <t>João Paulo Bernardes de Oliveira</t>
  </si>
  <si>
    <t>Edivaldo Ribeiro do Santos</t>
  </si>
  <si>
    <t>Elimar Lima de Medeiros Santos</t>
  </si>
  <si>
    <t>Adnan de Sousa Freitas</t>
  </si>
  <si>
    <t xml:space="preserve">Sara Silva Soldani </t>
  </si>
  <si>
    <t>Lucilene Felix da Cunha</t>
  </si>
  <si>
    <t xml:space="preserve">Maria Lucia Vilela </t>
  </si>
  <si>
    <t>Roberto Ribeiro Dos Santos</t>
  </si>
  <si>
    <t>Joel Carlos Pereira de Toledo</t>
  </si>
  <si>
    <t>Alexandre Coutinho da Glória</t>
  </si>
  <si>
    <t>Afonso Caetano de Faria</t>
  </si>
  <si>
    <t xml:space="preserve"> Francisco Pedro da Silva</t>
  </si>
  <si>
    <t>0605/2022</t>
  </si>
  <si>
    <t>Vanessa Carla Leandro</t>
  </si>
  <si>
    <t>Pedro Carvalho de Arruda</t>
  </si>
  <si>
    <t>Breno Moreira de Souza</t>
  </si>
  <si>
    <t>Nathália Pedroso do Carmo</t>
  </si>
  <si>
    <t>Ilda de Moraes</t>
  </si>
  <si>
    <t>sem telefone</t>
  </si>
  <si>
    <t>Mônica aparecida de melo</t>
  </si>
  <si>
    <t>Amanda Cristina da Costa</t>
  </si>
  <si>
    <t>muito financeiro em atraso</t>
  </si>
  <si>
    <t xml:space="preserve">Bruna de Cassia Dalo </t>
  </si>
  <si>
    <t>Maria Aparecida de Andrade</t>
  </si>
  <si>
    <t>Fatima Martins Saraiva Martinoti</t>
  </si>
  <si>
    <t>Lucimara Brega</t>
  </si>
  <si>
    <t>Luiz Carlos da Silva</t>
  </si>
  <si>
    <t xml:space="preserve">Francis Kelly Rezende </t>
  </si>
  <si>
    <t>Amanda Cândida Silva Martins</t>
  </si>
  <si>
    <t>Casarao do Pijama</t>
  </si>
  <si>
    <t>Thiago Palmeira de Senna Lima</t>
  </si>
  <si>
    <t>Eliane Araujo</t>
  </si>
  <si>
    <t>Jorge Donizete Ferreira</t>
  </si>
  <si>
    <t>Joabe Ribeiro Braz</t>
  </si>
  <si>
    <t>Natanael de Sousa Ferreira</t>
  </si>
  <si>
    <t>Joao Carlos Nogueira de Melo</t>
  </si>
  <si>
    <t xml:space="preserve">Julio Cesar Borges Flauzino </t>
  </si>
  <si>
    <t>Regina Celia de lima</t>
  </si>
  <si>
    <t>Bruna Barroso Monteiro</t>
  </si>
  <si>
    <t>Phablo Roger Dias dos Santos</t>
  </si>
  <si>
    <t>Ducimeire Tavares de Tavares</t>
  </si>
  <si>
    <t>Victor José dos Santos Araújo</t>
  </si>
  <si>
    <t>Alexsandro da Silva</t>
  </si>
  <si>
    <t>Giliarde Moreira da Silva Vieira</t>
  </si>
  <si>
    <t xml:space="preserve">Diogo galvao de Souza </t>
  </si>
  <si>
    <t xml:space="preserve">Deise Carvalho dos Santos </t>
  </si>
  <si>
    <t>Marcio heleno de Assis</t>
  </si>
  <si>
    <t>Daniel Ribeiro Braz</t>
  </si>
  <si>
    <t>Marcio Jose da Silva</t>
  </si>
  <si>
    <t>Sirley Brandao de Souza</t>
  </si>
  <si>
    <t>Jorge Luiz Pereira de Souza</t>
  </si>
  <si>
    <t>Juliano Piedade Silva</t>
  </si>
  <si>
    <t>Vera Lúcia Martinez Grilo</t>
  </si>
  <si>
    <t>Maria Aparecida Ribeiro</t>
  </si>
  <si>
    <t>Marine Aparecida Reis Carvalho</t>
  </si>
  <si>
    <t>Joyce Vieira Dias da Silva</t>
  </si>
  <si>
    <t>Sandra Lucia de souza</t>
  </si>
  <si>
    <t>07/08/2024 cliente contactado pelo whats/ fechou dia 12/08</t>
  </si>
  <si>
    <t>José Francisco dos Santos</t>
  </si>
  <si>
    <t>07/08/2024 cliente contactado pelo whats</t>
  </si>
  <si>
    <t>CORPORATIVA CARRIER LTDA</t>
  </si>
  <si>
    <t>Andreza Alves</t>
  </si>
  <si>
    <t>Thaiany Heloisa Moreira Maximo</t>
  </si>
  <si>
    <t>Rita de Cassia Silva</t>
  </si>
  <si>
    <t>Ana Paula de Oliveira  Souza</t>
  </si>
  <si>
    <t>Taynara Machado Apolinario</t>
  </si>
  <si>
    <t>Débora de Oliveira Couto</t>
  </si>
  <si>
    <t>luiz Henrique Funchal</t>
  </si>
  <si>
    <t>Franciele Sibele da Cunha</t>
  </si>
  <si>
    <t>Leticia Neres de Souza</t>
  </si>
  <si>
    <t>Isabela Macario de Sousa</t>
  </si>
  <si>
    <t>Amour Pet Confecções e Comercio Ltda</t>
  </si>
  <si>
    <t>Jailson Batista Xavier dos Santos</t>
  </si>
  <si>
    <t>Matheus Da Silva Vieira</t>
  </si>
  <si>
    <t>13/08/2024 cliente contactado pelo whats</t>
  </si>
  <si>
    <t>Marcos Henrique de Oliveira</t>
  </si>
  <si>
    <t>Wadson Prado Pedreira</t>
  </si>
  <si>
    <t>Sirlene Aparecida Brandão</t>
  </si>
  <si>
    <t>Silvia de Almeida Silva</t>
  </si>
  <si>
    <t>Renato Lima Oliveira</t>
  </si>
  <si>
    <t>Fernando Jose de Souza</t>
  </si>
  <si>
    <t>Thalisson Bruno</t>
  </si>
  <si>
    <t>Stefany Mariana Nunes Da Rosa</t>
  </si>
  <si>
    <t>Jose Paulo da Costa</t>
  </si>
  <si>
    <t>Lucas Gabrili Cortez</t>
  </si>
  <si>
    <t>Admilson José da Silva</t>
  </si>
  <si>
    <t>Amanda Aparecida Teodoro Oliveira</t>
  </si>
  <si>
    <t>Diego de Oliveira Carvalho</t>
  </si>
  <si>
    <t>Patricia de Paula Conceição</t>
  </si>
  <si>
    <t>Leticia Brolezi Silva</t>
  </si>
  <si>
    <t>Fabieli Delfino Sobreiro</t>
  </si>
  <si>
    <t>Maria Celia de Paiva</t>
  </si>
  <si>
    <t>Jose Aparecido da Silva</t>
  </si>
  <si>
    <t>Tatiana di Russo</t>
  </si>
  <si>
    <t>Sonia Maria Montesino</t>
  </si>
  <si>
    <t>David Willian Rocha dos Santos</t>
  </si>
  <si>
    <t>Eriane Conceição Silva</t>
  </si>
  <si>
    <t>Douglas José Nunes</t>
  </si>
  <si>
    <t xml:space="preserve">Isabel Cristina Placindino </t>
  </si>
  <si>
    <t xml:space="preserve">Flávio Ismael Elias Silva </t>
  </si>
  <si>
    <t xml:space="preserve">Jesuel Caetano </t>
  </si>
  <si>
    <t>João da Silva</t>
  </si>
  <si>
    <t>Marcelo Henrique Domingos</t>
  </si>
  <si>
    <t xml:space="preserve">Selma Andrade Teodoro </t>
  </si>
  <si>
    <t>Suzana Aparecida Souza</t>
  </si>
  <si>
    <t>Wendy Fernando Quinol de Oliveira</t>
  </si>
  <si>
    <t>Claudio Arruda</t>
  </si>
  <si>
    <t xml:space="preserve">Alessandra Costa </t>
  </si>
  <si>
    <t>Maria de Fatima Souza</t>
  </si>
  <si>
    <t>Jansen Jean dos Santos Costa</t>
  </si>
  <si>
    <t>Ana Maria Teodoro</t>
  </si>
  <si>
    <t>Michely Cristina da Costa</t>
  </si>
  <si>
    <t>Caroline de Souza Borges</t>
  </si>
  <si>
    <t>Katia Simone Pereira Moraes</t>
  </si>
  <si>
    <t>Maira Cristina de Araujo</t>
  </si>
  <si>
    <t>Caroline Vilalva de Oliveira</t>
  </si>
  <si>
    <t>FRANCISLAINE MARIA RAIMUNDO</t>
  </si>
  <si>
    <t>Ricardo Abrao de Carvalho</t>
  </si>
  <si>
    <t>João Mariano da Silva</t>
  </si>
  <si>
    <t>Daniel junqueira Herculano</t>
  </si>
  <si>
    <t>Josy Rodrigues de Almeida</t>
  </si>
  <si>
    <t>Giovanni Campos Martini</t>
  </si>
  <si>
    <t>Alexandre Moreira da Fonseca</t>
  </si>
  <si>
    <t>João Felício da Silva Neto</t>
  </si>
  <si>
    <t>Felipe Agapito de Souza</t>
  </si>
  <si>
    <t>Thabata Vitoria Canadas De Souza</t>
  </si>
  <si>
    <t>Ernani Celso de Souza</t>
  </si>
  <si>
    <t>Tatiane Lopes Chaves</t>
  </si>
  <si>
    <t>debora sabino de freitas</t>
  </si>
  <si>
    <t>Ideberto Vali Junior</t>
  </si>
  <si>
    <t>Marli de Souza Ribeiro</t>
  </si>
  <si>
    <t>Elias da Silva Nascimento Junior</t>
  </si>
  <si>
    <t>Jacques Fabiano Constantini</t>
  </si>
  <si>
    <t>14/08/2024 cliente contactado pelo whats</t>
  </si>
  <si>
    <t>Jorge Luiz da Silva</t>
  </si>
  <si>
    <t>Jurandir dos Santos Gomes</t>
  </si>
  <si>
    <t>Lucas Benedito dos Santos Couto</t>
  </si>
  <si>
    <t xml:space="preserve">Matheus de Sousa Ribeiro </t>
  </si>
  <si>
    <t>Paulo Henrique Conceição Silva</t>
  </si>
  <si>
    <t>Vera Amaral de Pinho</t>
  </si>
  <si>
    <t>William de Castro Santos</t>
  </si>
  <si>
    <t>Augusto de Oliveira Adriano</t>
  </si>
  <si>
    <t xml:space="preserve">Daniel Ribeiro Braz </t>
  </si>
  <si>
    <t xml:space="preserve">Marcio de Assis Honório dos Santos </t>
  </si>
  <si>
    <t>Financeiro em atraso</t>
  </si>
  <si>
    <t>Vanessa de Souza Silva</t>
  </si>
  <si>
    <t>Denilson de Moraes Pereira</t>
  </si>
  <si>
    <t>19/08/2024 cliente contactado pelo whats</t>
  </si>
  <si>
    <t xml:space="preserve">Maria do Carmo Moreira </t>
  </si>
  <si>
    <t>Lauziane Raquel Borges</t>
  </si>
  <si>
    <t>Douglas de Souza Felipe</t>
  </si>
  <si>
    <t>Francielly de Cassia Silva</t>
  </si>
  <si>
    <t xml:space="preserve">Antonio de Melo Ribeiro </t>
  </si>
  <si>
    <t>Rodrigo Almeida de Oliveira</t>
  </si>
  <si>
    <t>Maria Fatima Almeida</t>
  </si>
  <si>
    <t>Jose Audeci</t>
  </si>
  <si>
    <t xml:space="preserve">Richard Kawan Chamarelli de Lima </t>
  </si>
  <si>
    <t>Sidnei Julio</t>
  </si>
  <si>
    <t>Pedro Jose Dias Pereira</t>
  </si>
  <si>
    <t>Guilherme Silva do Couto</t>
  </si>
  <si>
    <t>Carlos Roberto Da Rosa</t>
  </si>
  <si>
    <t xml:space="preserve">João Cláudio Teodoro </t>
  </si>
  <si>
    <t>Eides Duarte de Sousa</t>
  </si>
  <si>
    <t>Camila Cassia Leopoldino Ferreira</t>
  </si>
  <si>
    <t xml:space="preserve">Mônica Alves da Silva </t>
  </si>
  <si>
    <t>Márcio Paulo dos Santos</t>
  </si>
  <si>
    <t xml:space="preserve">Yasmin Cristina Bandeira </t>
  </si>
  <si>
    <t xml:space="preserve">Thalita Apoliana </t>
  </si>
  <si>
    <t>Marlene Lopes Barbosa</t>
  </si>
  <si>
    <t>Márcia Mavilda da Silva</t>
  </si>
  <si>
    <t>Francisco Maesso</t>
  </si>
  <si>
    <t>Edna Maria Carneiro Moreira</t>
  </si>
  <si>
    <t>Ivair jose Ribeiro</t>
  </si>
  <si>
    <t>Maria Luisa Dias</t>
  </si>
  <si>
    <t xml:space="preserve">Ricardo Jose Coelho </t>
  </si>
  <si>
    <t>Carla Roberta Tadeu Ferreira Penteado Barbosa</t>
  </si>
  <si>
    <t>Carlos Eduardo Rocha</t>
  </si>
  <si>
    <t>Brenda marcelino Silva Brentegani</t>
  </si>
  <si>
    <t xml:space="preserve">Maria Aparecida Alves </t>
  </si>
  <si>
    <t>Brenda mikaely Brito</t>
  </si>
  <si>
    <t>Cassiane Nogueira</t>
  </si>
  <si>
    <t>Jorge Luiz Oliveira dos Santos</t>
  </si>
  <si>
    <t>Aide Toledo Tavares</t>
  </si>
  <si>
    <t xml:space="preserve">Jhansem Ralph </t>
  </si>
  <si>
    <t>Erika Tavares Escotom</t>
  </si>
  <si>
    <t>Maria de Fátima Santana Raimundo</t>
  </si>
  <si>
    <t>Robson Solano de Arandas</t>
  </si>
  <si>
    <t xml:space="preserve">Luiz Carlos Moreira </t>
  </si>
  <si>
    <t>Rita de Cassia da Silva Santos</t>
  </si>
  <si>
    <t>Patricia de Fatima Silva</t>
  </si>
  <si>
    <t>Elisama Lima Norberto</t>
  </si>
  <si>
    <t>Financeiro em atraso e não conseguimos retirar roteador</t>
  </si>
  <si>
    <t>Vinicius Franco Borella</t>
  </si>
  <si>
    <t>22/08/2024 cliente contactado pelo whats</t>
  </si>
  <si>
    <t>Ruth da Silva Marques</t>
  </si>
  <si>
    <t>Marco Aparecido de Souza</t>
  </si>
  <si>
    <t>Veridiane Gamenha de Oliveira</t>
  </si>
  <si>
    <t>Pedro Daniel Moreira</t>
  </si>
  <si>
    <t>William Peter Mayer</t>
  </si>
  <si>
    <t>Willian Rodolfo dos  Santos</t>
  </si>
  <si>
    <t>Graciela Cristina de Almeida Costa</t>
  </si>
  <si>
    <t>Camila Luciana da Silva</t>
  </si>
  <si>
    <t>Aureliano Pereira da Silva</t>
  </si>
  <si>
    <t>Haroldo Brandani de Carvalho</t>
  </si>
  <si>
    <t>Acácio Braz do Couto</t>
  </si>
  <si>
    <t>Kleyton do Couto</t>
  </si>
  <si>
    <t xml:space="preserve">Thiago Oliveira Caetano </t>
  </si>
  <si>
    <t xml:space="preserve">Franciele Apª Ribeiro </t>
  </si>
  <si>
    <t>Amanda Heloisa do Prado Rodrigues</t>
  </si>
  <si>
    <t>Dartagnan Jose</t>
  </si>
  <si>
    <t xml:space="preserve">Marcos Paulo de Castro </t>
  </si>
  <si>
    <t>Hélio Teodoro</t>
  </si>
  <si>
    <t>Mateus Henrique Flauzino</t>
  </si>
  <si>
    <t>Raul Augusto Cobra Neto</t>
  </si>
  <si>
    <t>Tatiane Santos Amorim</t>
  </si>
  <si>
    <t>Thais Santos Boche</t>
  </si>
  <si>
    <t>Adriano Alves Pereira</t>
  </si>
  <si>
    <t>Iago Henrique da Silva</t>
  </si>
  <si>
    <t>Regiane Cristina Siqueira</t>
  </si>
  <si>
    <t>Lucas Fernando Rodrigues Braga</t>
  </si>
  <si>
    <t>Prata Cerealista e Agropecuária Ltda</t>
  </si>
  <si>
    <t>Gabriel Rodrigues Braga</t>
  </si>
  <si>
    <t>Olinda Importação e Comércio Ltda</t>
  </si>
  <si>
    <t>Silvia Helena de Sousa.</t>
  </si>
  <si>
    <t>Deane Helena Santos de Andrade</t>
  </si>
  <si>
    <t>Zelia Augusta Brandina</t>
  </si>
  <si>
    <t>Juliana de Almeida de Moraes</t>
  </si>
  <si>
    <t>WILIAN ROBERTO LEITE RIGOLON</t>
  </si>
  <si>
    <t>Rita de Cassia Felipe</t>
  </si>
  <si>
    <t>Luzia de paulo da silva</t>
  </si>
  <si>
    <t>Carlos Moreira de Assis</t>
  </si>
  <si>
    <t>Maria Aparecida De Camargo Gonçalves Alcebiades</t>
  </si>
  <si>
    <t>Cooperativa Soolar Cred</t>
  </si>
  <si>
    <t>Rodrigo Pereira santos</t>
  </si>
  <si>
    <t xml:space="preserve">Juliana Aparecida Silva </t>
  </si>
  <si>
    <t>Pedro Baltazar Vieira dos Santos</t>
  </si>
  <si>
    <t>Ramiro Frugoli Franco</t>
  </si>
  <si>
    <t>Reinaldo Lima de Oliveira</t>
  </si>
  <si>
    <t>Osvaldo Silva de Alvarenga</t>
  </si>
  <si>
    <t>Isabela Cristina Cardoso Zanzoti de Souza</t>
  </si>
  <si>
    <t>Jair Vicente de Lima Filho</t>
  </si>
  <si>
    <t>Leny Camargo Ribeiro</t>
  </si>
  <si>
    <t xml:space="preserve">Taciane Monique dos Santos </t>
  </si>
  <si>
    <t>Cátia Claret Pereira</t>
  </si>
  <si>
    <t>Ellen Paradelo</t>
  </si>
  <si>
    <t xml:space="preserve">Amanda Maria da Silva </t>
  </si>
  <si>
    <t>Gabriel Henrique de Abreu Moreira</t>
  </si>
  <si>
    <t>Deivit Vicente dos Santos</t>
  </si>
  <si>
    <t>26/08/2024 cliente contactadopelo whats</t>
  </si>
  <si>
    <t xml:space="preserve">Lindaura Rosa de Oliveira </t>
  </si>
  <si>
    <t>Eugênio de Carvalho</t>
  </si>
  <si>
    <t>Andreia Regina Pereira</t>
  </si>
  <si>
    <t>Rita de Cássia Santana Silva</t>
  </si>
  <si>
    <t xml:space="preserve">Jose Galvão </t>
  </si>
  <si>
    <t>Everton Luiz Brandão</t>
  </si>
  <si>
    <t>Maria de Fátima Silva</t>
  </si>
  <si>
    <t>27/08/2024 cliente contactadopelo whats</t>
  </si>
  <si>
    <t>Rosa Mônica Ribeiro</t>
  </si>
  <si>
    <t>Bianca Amaro de Souza</t>
  </si>
  <si>
    <t>Nathan da Silva Rocha</t>
  </si>
  <si>
    <t>Eucrecio Caetano de Camargo</t>
  </si>
  <si>
    <t>Itamara Ferreira de Oliveira Souza</t>
  </si>
  <si>
    <t>Ana Keila Rodrigues da Silva</t>
  </si>
  <si>
    <t>Pauline Ariane De Souza</t>
  </si>
  <si>
    <t>Thainara Heloisa Sales Moreira</t>
  </si>
  <si>
    <t>Marlene Lopes Barbosa melo</t>
  </si>
  <si>
    <t>Victoria Cristina Desiderio Martins</t>
  </si>
  <si>
    <t>Manoela Canadas de Souza</t>
  </si>
  <si>
    <t>Maria aparecida do Nascimento Vieira</t>
  </si>
  <si>
    <t>Marineide Vitoriano</t>
  </si>
  <si>
    <t>Gilmar Pereira dos Santos</t>
  </si>
  <si>
    <t>Marcelo Mario Matos</t>
  </si>
  <si>
    <t>Sem telefone</t>
  </si>
  <si>
    <t>José Maria dos Santos</t>
  </si>
  <si>
    <t>28/08/2024 cliente contactado pelo whats</t>
  </si>
  <si>
    <t>Breno Oliveira Galindo</t>
  </si>
  <si>
    <t>Adinevia Paula Brandina</t>
  </si>
  <si>
    <t>Rosana Domiciano Teodoro</t>
  </si>
  <si>
    <t>Benedita Nogueira de Lima</t>
  </si>
  <si>
    <t>Felippe Lemes Paulino</t>
  </si>
  <si>
    <t>Maria Aparecida de Jesus Pinheiro</t>
  </si>
  <si>
    <t>Josiane Amélia Silva</t>
  </si>
  <si>
    <t>Luiz Gonzaga Dias</t>
  </si>
  <si>
    <t>Pedro Henrique Monteiro</t>
  </si>
  <si>
    <t>Fábio de Cássio Oliveira</t>
  </si>
  <si>
    <t>Josicleide Maria da Silva Franco</t>
  </si>
  <si>
    <t>Fabiano Brandão Majorana</t>
  </si>
  <si>
    <t>29/08/2024 cliente contactado pelo whats</t>
  </si>
  <si>
    <t>Lorane Marilia Fermino Rodrigues</t>
  </si>
  <si>
    <t>MArli de Freitas</t>
  </si>
  <si>
    <t xml:space="preserve">Carlos Gabriel Serapião da Silva - </t>
  </si>
  <si>
    <t>02/09/2024 cliente contactado pelo whats</t>
  </si>
  <si>
    <t>Marcelo MArio Matos</t>
  </si>
  <si>
    <t>Sem contato</t>
  </si>
  <si>
    <t xml:space="preserve">Matheus Escotom </t>
  </si>
  <si>
    <t>Tassiane Adelaide</t>
  </si>
  <si>
    <t xml:space="preserve">Bruna Ruana </t>
  </si>
  <si>
    <t xml:space="preserve">Valda Helena </t>
  </si>
  <si>
    <t>03/09/2024 cliente contactado pelo whats</t>
  </si>
  <si>
    <t xml:space="preserve">Antonio Simões de Almeida </t>
  </si>
  <si>
    <t>Marcelo Leopoldo Alves da Silva</t>
  </si>
  <si>
    <t>Valeria Maria Barbosa Rodrigues</t>
  </si>
  <si>
    <t>Henrique Jose Santos Silva</t>
  </si>
  <si>
    <t>João Agripino - zona rural</t>
  </si>
  <si>
    <t>Maria CAroline Alves da Silva - nã oconsegui contato</t>
  </si>
  <si>
    <t xml:space="preserve">Paulo Cezar dos Santos </t>
  </si>
  <si>
    <t>Pedro Henrique Ribeiro Silva</t>
  </si>
  <si>
    <t>Rodrigo Henrique Oliveira Caetano</t>
  </si>
  <si>
    <t>Vera Gomes da Cunha</t>
  </si>
  <si>
    <t>Alessandra Serapião - pediu pra ser cancelada</t>
  </si>
  <si>
    <t>Bruna Lilian Domingos - não consegui contato</t>
  </si>
  <si>
    <t>Jociane Job Silva - pediu cancelamento</t>
  </si>
  <si>
    <t>Jose CArlos da Silva - não consegui contato</t>
  </si>
  <si>
    <t xml:space="preserve">Lidia Fabieli Silva </t>
  </si>
  <si>
    <t>04/09/2024 cliente contactado pelo whats</t>
  </si>
  <si>
    <t>Maria Jose dos Santos - não consegui contato</t>
  </si>
  <si>
    <t>Mariana Ferreira - não consegui contato</t>
  </si>
  <si>
    <t>Matheus Mario MAtos - nunca pagou, não consegui contato</t>
  </si>
  <si>
    <t>Nivaldo SAntos Morais</t>
  </si>
  <si>
    <t>Amanda heloisa do Prado Rodrigues</t>
  </si>
  <si>
    <t>JAcqueline Cristina da Silva Lopes - pediu pra avisar quando vai pq não fica sempre no endereço</t>
  </si>
  <si>
    <t>MArcelo Gomes - pediu cancelamento esta com problemas financeiros</t>
  </si>
  <si>
    <t>Patricia Moreira Bastos</t>
  </si>
  <si>
    <t> Wesley Borges Ambar</t>
  </si>
  <si>
    <t>Alencar Tadeu Silva</t>
  </si>
  <si>
    <t>Angela Maria da Silva</t>
  </si>
  <si>
    <t>Isadora Andrade de Oliveira</t>
  </si>
  <si>
    <t>Karina Ferreira dos Santos</t>
  </si>
  <si>
    <t>Milene Santos Moreira</t>
  </si>
  <si>
    <t>Roberley José Napoleão</t>
  </si>
  <si>
    <t>Lucas Bento Pereira</t>
  </si>
  <si>
    <t>Andre luiz Rodrigues Silva</t>
  </si>
  <si>
    <t>Cliente faleceu</t>
  </si>
  <si>
    <t>Maria Rosa dos Santos</t>
  </si>
  <si>
    <t>Maria Auxiliadora |Leite Ferreira</t>
  </si>
  <si>
    <t>Elaine da Silva Teixeira</t>
  </si>
  <si>
    <t>Gabriela Cambusano dos Santos</t>
  </si>
  <si>
    <t>Odete Rodrigues Machado</t>
  </si>
  <si>
    <t> Antonio Galvao Nogueira</t>
  </si>
  <si>
    <t>Luiz Félix da Silva</t>
  </si>
  <si>
    <t>Danuzia de Meireles</t>
  </si>
  <si>
    <t>Elter Eduardo de Paula Silva</t>
  </si>
  <si>
    <t>Fernando Aparecido Martins</t>
  </si>
  <si>
    <t>Gilberto Carlos da Silva</t>
  </si>
  <si>
    <t>Willian Cosme do Couto</t>
  </si>
  <si>
    <t>Marcos Guilherme Domingues Cruz</t>
  </si>
  <si>
    <t xml:space="preserve"> Paloma Oliveira Saturno</t>
  </si>
  <si>
    <t>Alcina Galvao dos Santos</t>
  </si>
  <si>
    <t>Emily da Silveira Jacinto</t>
  </si>
  <si>
    <t> ANGELA MARIA SOBREIRO</t>
  </si>
  <si>
    <t>Renata da Conceição Almeida Reis</t>
  </si>
  <si>
    <t>Ana Carolina Silva da Costa</t>
  </si>
  <si>
    <t>Alexandra Soares Silva</t>
  </si>
  <si>
    <t>Joel Rodrigues da Silva</t>
  </si>
  <si>
    <t>Gabriel Tadeu Cirineu Goncalves</t>
  </si>
  <si>
    <t>Ricardo dos Santos</t>
  </si>
  <si>
    <t>Claudia Ramalho favero</t>
  </si>
  <si>
    <t>Fernanda Simoes da Silva Brito</t>
  </si>
  <si>
    <t>Andressa Carvalho Machado</t>
  </si>
  <si>
    <t xml:space="preserve">Jessica Ramos da Silva </t>
  </si>
  <si>
    <t>Tiago Pereira dos Santos</t>
  </si>
  <si>
    <t>Alexandre de Oliveira</t>
  </si>
  <si>
    <t>Wilson de Vera Cruz</t>
  </si>
  <si>
    <t>Jonathan Ferreira da Silva</t>
  </si>
  <si>
    <t xml:space="preserve">Sem telefone </t>
  </si>
  <si>
    <t>Mariana Caroline Neres de Souza</t>
  </si>
  <si>
    <t> Higor Augusto Dominguês Da Costa</t>
  </si>
  <si>
    <t>Guilherme Augusto Costa de Jesus</t>
  </si>
  <si>
    <t>Rosilene Fernandes Silva</t>
  </si>
  <si>
    <t>Davi Cervantes da Silva do Monte</t>
  </si>
  <si>
    <t xml:space="preserve">Evilane Oliveira Rosa </t>
  </si>
  <si>
    <t>Magali Rodrigues</t>
  </si>
  <si>
    <t>05/09/2024 cliente contactado pelo whats</t>
  </si>
  <si>
    <t>Mariana Dirce de Moraes</t>
  </si>
  <si>
    <t>Yara Sthefanny Cordeiro</t>
  </si>
  <si>
    <t xml:space="preserve">Matheus Scarone dos Santos </t>
  </si>
  <si>
    <t>Lucas Ramon Lopes</t>
  </si>
  <si>
    <t>Maria Lucia da Silva Tacunduva</t>
  </si>
  <si>
    <t xml:space="preserve">Darlene Sandri Barbosa </t>
  </si>
  <si>
    <t>Jonas Paulino Rodrigues Junior</t>
  </si>
  <si>
    <t>Angelica Cristina da Silva</t>
  </si>
  <si>
    <t>Ataíza Anália Rodrigues</t>
  </si>
  <si>
    <t>Daniela Aparecida Nunes</t>
  </si>
  <si>
    <t>Francieli Aparecida Raimundo</t>
  </si>
  <si>
    <t xml:space="preserve"> MARIO APARECIDO CABESTRE</t>
  </si>
  <si>
    <t>Celso Marmo dos Santos Gonçalves</t>
  </si>
  <si>
    <t xml:space="preserve">Jeissimara Karen Brandani </t>
  </si>
  <si>
    <t>Carlos Gilberto Brandão - sem tel</t>
  </si>
  <si>
    <t>Cristiano Fernandes Santos - sem tel</t>
  </si>
  <si>
    <t>Felipe Siqueira Santos - sem tel</t>
  </si>
  <si>
    <t>Gabriela Magagnini Brandão</t>
  </si>
  <si>
    <t>Ilson dos Santos</t>
  </si>
  <si>
    <t>Regina Maria Megale</t>
  </si>
  <si>
    <t>Leonardo Pedro da Silva - o pai vai falar q paga uma pra assistir futebol, orienta os técnicos que naõ tem jeito tem q retirar.</t>
  </si>
  <si>
    <t>Luan de Freitas Antonio</t>
  </si>
  <si>
    <t xml:space="preserve"> Telefone não existe </t>
  </si>
  <si>
    <t>Maciel Luiz Pereira - esse corno nunca atende telefone, nem responde. Aí vc vai fazer a retirada ele fala q vai pagar e continuar a usar.</t>
  </si>
  <si>
    <t>Marcos Paulo Honorio</t>
  </si>
  <si>
    <t>Mario Dias da Silva - sem telefone em sistema</t>
  </si>
  <si>
    <t>Sem telefone cadastrado</t>
  </si>
  <si>
    <t xml:space="preserve">Kelly Iolanda - não mora mais na borda disse q ia pedir para o pai trazer. Cobrar ela denovo. </t>
  </si>
  <si>
    <t>Ryan Willian / Sem telefone</t>
  </si>
  <si>
    <t>Silvio Cezar - sem tel</t>
  </si>
  <si>
    <t xml:space="preserve">William de Paula Santos </t>
  </si>
  <si>
    <t xml:space="preserve">Alessandro Augusto Machado para retirar somente parte da tarde. </t>
  </si>
  <si>
    <t>Anderson Jose de Melo -  / sem telefone</t>
  </si>
  <si>
    <t>Benedito Megale Junior</t>
  </si>
  <si>
    <t xml:space="preserve">Benedito Oliveira </t>
  </si>
  <si>
    <t xml:space="preserve">Jose Wilson Caetano </t>
  </si>
  <si>
    <t>Maria de Fatima Cardoso</t>
  </si>
  <si>
    <t xml:space="preserve">Natany Roberta </t>
  </si>
  <si>
    <t>Shirley Lima Norberto</t>
  </si>
  <si>
    <t>Wellington Resende</t>
  </si>
  <si>
    <t>Wendrey Martins</t>
  </si>
  <si>
    <t>Rute Rosa da Silva</t>
  </si>
  <si>
    <t>Thiago Leandro Sitelli - número que tem no sistema nem chama</t>
  </si>
  <si>
    <t>Ademir Roberto Rodrigues</t>
  </si>
  <si>
    <t>Rosa Maria Cirineu</t>
  </si>
  <si>
    <t>Marcio Costa Tranqueira</t>
  </si>
  <si>
    <t>Carla Tatiane de Gusmão Cândido</t>
  </si>
  <si>
    <t xml:space="preserve">Ana Lucia Azevedo Raymundo </t>
  </si>
  <si>
    <t>Maria Ilda Ferreira</t>
  </si>
  <si>
    <t>Denice Maria Ramos</t>
  </si>
  <si>
    <t>12/09/2024 cliente contactado pelo whats</t>
  </si>
  <si>
    <t>Vania Maria Mata Machado</t>
  </si>
  <si>
    <t>Amanda Candida da Silva</t>
  </si>
  <si>
    <t xml:space="preserve">Cinira Bueno Rodrigues </t>
  </si>
  <si>
    <t>Silvio Mauro da Silveira</t>
  </si>
  <si>
    <t>Sandy Ferreira Marcelino</t>
  </si>
  <si>
    <t xml:space="preserve">Joao paulo rodrigue </t>
  </si>
  <si>
    <t xml:space="preserve">Celio Ferreira de Almeida </t>
  </si>
  <si>
    <t xml:space="preserve">John Erick Ortiz da Costa </t>
  </si>
  <si>
    <t>Laura Helena Santos Silva</t>
  </si>
  <si>
    <t>Natacha Moraes Silva</t>
  </si>
  <si>
    <t>Patrcia Sobreiro de Oliveira</t>
  </si>
  <si>
    <t>Voltou ser cliente</t>
  </si>
  <si>
    <t>Wilton Ferreira Campos</t>
  </si>
  <si>
    <t>Ikerson Gabriel SAbino</t>
  </si>
  <si>
    <t>Maria do Carmo Gomes Machado</t>
  </si>
  <si>
    <t>Maria de Lourdes Antunes Gomes do Couto</t>
  </si>
  <si>
    <t xml:space="preserve">Maria Aparecida Espindola </t>
  </si>
  <si>
    <t>Eudilandia Pereira</t>
  </si>
  <si>
    <t>Rita de Cassia Almeida</t>
  </si>
  <si>
    <t>Jose Roberto dos Santos</t>
  </si>
  <si>
    <t>Gilberto Alves de Andrade</t>
  </si>
  <si>
    <t>Henrique Cézar Meschiatti</t>
  </si>
  <si>
    <t>Jose Vitor Velozo de Mello</t>
  </si>
  <si>
    <t>Maria do Carmo de Castro</t>
  </si>
  <si>
    <t>Rian Augusto Piedade</t>
  </si>
  <si>
    <t>Voltou a ser cliente</t>
  </si>
  <si>
    <t xml:space="preserve">João Paulo Mariano </t>
  </si>
  <si>
    <t>13/09/2024 cliente contactado pelo whats</t>
  </si>
  <si>
    <t xml:space="preserve">Lisdalva Aparecida Toledo Lemes </t>
  </si>
  <si>
    <t>Claudia Benedita Chaves</t>
  </si>
  <si>
    <t xml:space="preserve">Julio Cezar Marques </t>
  </si>
  <si>
    <t>Egrerton Aparecido Constantino</t>
  </si>
  <si>
    <t>Ana Claudia Cordeiro</t>
  </si>
  <si>
    <t>Carlos Alberto da Silva</t>
  </si>
  <si>
    <t>Moacir Donizete de Carvalho</t>
  </si>
  <si>
    <t>Maura Soares do Couto Moreira</t>
  </si>
  <si>
    <t xml:space="preserve">Eric Gabriel de Lima </t>
  </si>
  <si>
    <t xml:space="preserve">Paulo Rogerio de Brito </t>
  </si>
  <si>
    <t>Méthodos Laboratório, Análises Clínicas e Hematologia Ltda</t>
  </si>
  <si>
    <t>sem contato whatsapp</t>
  </si>
  <si>
    <t>Joao Paulo do Couto Pecanha</t>
  </si>
  <si>
    <t>Jardiel de Brito Santos</t>
  </si>
  <si>
    <t>Douglas Tredicci Rezende de Padua</t>
  </si>
  <si>
    <t>Gustavo Wellyngthon Brentegani</t>
  </si>
  <si>
    <t>Shirlei Aparecida Esteves</t>
  </si>
  <si>
    <t>Maria de Lourdes Moreira</t>
  </si>
  <si>
    <t>Laisnara Gabrieli de Godoi</t>
  </si>
  <si>
    <t>Silvia Maris De Oliveira</t>
  </si>
  <si>
    <t>Fabrycio Maia de Paiva</t>
  </si>
  <si>
    <t>Cleber José Pereira</t>
  </si>
  <si>
    <t>ID cliente</t>
  </si>
  <si>
    <t>Razão social/Nome</t>
  </si>
  <si>
    <t>ID contrato</t>
  </si>
  <si>
    <t>Status contrato</t>
  </si>
  <si>
    <t>Marca</t>
  </si>
  <si>
    <t>Mensagem</t>
  </si>
  <si>
    <t>Rosemary Cardoso Arruda Moreira</t>
  </si>
  <si>
    <t>Ativo</t>
  </si>
  <si>
    <t>(a Instalar)</t>
  </si>
  <si>
    <t>Jhansem Ralph Mozer de Souza</t>
  </si>
  <si>
    <t>Raisecon</t>
  </si>
  <si>
    <t>ONU não cadastrada</t>
  </si>
  <si>
    <t>Matheus Escotom Brandani</t>
  </si>
  <si>
    <t>Nokia</t>
  </si>
  <si>
    <t>Valeriana Ribeiro Dias Nascimento</t>
  </si>
  <si>
    <t>Sueli de Fátima Candida</t>
  </si>
  <si>
    <t>(Mensagem pedindo foto)</t>
  </si>
  <si>
    <t>Gabriela Vieira Coutinho</t>
  </si>
  <si>
    <t>Adriano Fernandes Silva</t>
  </si>
  <si>
    <t>Ricardo José Coelho</t>
  </si>
  <si>
    <t>Fabrício Augusto da Silva Rosa</t>
  </si>
  <si>
    <t>Tplink</t>
  </si>
  <si>
    <t>Elizabete Faustino de Oliveira Frederico</t>
  </si>
  <si>
    <t>Marcio Dantas</t>
  </si>
  <si>
    <t>Felipe Ribeiro do Carmo</t>
  </si>
  <si>
    <t>Andreia Afonso Loureiro Machado</t>
  </si>
  <si>
    <t>Benedita de Moraes Teodoro</t>
  </si>
  <si>
    <t>Milena Andrade de Moraes</t>
  </si>
  <si>
    <t>Nilza Aparecida Leite</t>
  </si>
  <si>
    <t>Francini de Cássia Souza marinelli</t>
  </si>
  <si>
    <t>Marcos Eduardo Pereira</t>
  </si>
  <si>
    <t>Jose Wilson Caetano</t>
  </si>
  <si>
    <t>(Ligar não tem whats)</t>
  </si>
  <si>
    <t>Selma Andrade Teodoro</t>
  </si>
  <si>
    <t>Jéssica Aparecida do Couto</t>
  </si>
  <si>
    <t>Bridge</t>
  </si>
  <si>
    <t>Jeysa Gabrielly Silva</t>
  </si>
  <si>
    <t>Cliente off line</t>
  </si>
  <si>
    <t>Marly dos Santos</t>
  </si>
  <si>
    <t>Flávio Ismael Elias silva</t>
  </si>
  <si>
    <t>Denis Ruben Candeias</t>
  </si>
  <si>
    <t>Magali Coimbra Martins</t>
  </si>
  <si>
    <t>Patricia Ferreira de Almeida</t>
  </si>
  <si>
    <t>Vicentina Ferreira Da Silva</t>
  </si>
  <si>
    <t>Elton Dione Melquiades</t>
  </si>
  <si>
    <t>Isabela Joia Santos</t>
  </si>
  <si>
    <t>Alessandro Augusto Machado</t>
  </si>
  <si>
    <t>Taciane Monique dos Santos</t>
  </si>
  <si>
    <t>Amanda Maria da Silva</t>
  </si>
  <si>
    <t>Marcos Rogério da Silva</t>
  </si>
  <si>
    <t>Tassiane Adelaide Silva</t>
  </si>
  <si>
    <t>Janaina Coutinho</t>
  </si>
  <si>
    <t>Ariana Leonel dos Santos</t>
  </si>
  <si>
    <t>Rafaela Costa do Nascimento</t>
  </si>
  <si>
    <t>Joana Angelica da Silva Godoi</t>
  </si>
  <si>
    <t>Felipe Augusto Ferreira Ferraz</t>
  </si>
  <si>
    <t>Rafael Leite Paiva</t>
  </si>
  <si>
    <t>Maria Angelica Moreno Bazoli</t>
  </si>
  <si>
    <t>Valeria Tavares Simão</t>
  </si>
  <si>
    <t>Angélica Erbenia da Silva</t>
  </si>
  <si>
    <t>Tatiane Cristina Fernandes Bueno Barbosa</t>
  </si>
  <si>
    <t>Walisson José Aparecido Costa</t>
  </si>
  <si>
    <t>Wanessa Carvalho Mesquita Correa de Lima</t>
  </si>
  <si>
    <t>Jose Audeci Pereira</t>
  </si>
  <si>
    <t>Brenda Aparecida Silveira</t>
  </si>
  <si>
    <t>Silvana Vieira dos Santos</t>
  </si>
  <si>
    <t>clienteparateste</t>
  </si>
  <si>
    <t>Lia Nara Tretel Sansone</t>
  </si>
  <si>
    <t>Mariana dos Santos Couto</t>
  </si>
  <si>
    <t>Donizeti da Silva</t>
  </si>
  <si>
    <t>Marieli Vitoriano</t>
  </si>
  <si>
    <t>Lucilene Santos Borges</t>
  </si>
  <si>
    <t>Guido José Faria Junior</t>
  </si>
  <si>
    <t>Otávio Policarpo se Souza</t>
  </si>
  <si>
    <t>Itina Aparecida Paulino</t>
  </si>
  <si>
    <t>William de Paula Santos</t>
  </si>
  <si>
    <t>Silvio Feltran</t>
  </si>
  <si>
    <t>Maria de Jesus da Silva</t>
  </si>
  <si>
    <t>Flavia Elias Viana</t>
  </si>
  <si>
    <t>Antonio Vicente Martins</t>
  </si>
  <si>
    <t>Thalisson Bruno Batista Honorio</t>
  </si>
  <si>
    <t>Luciana Caroline Silva</t>
  </si>
  <si>
    <t>Daphine Elisa da Silva</t>
  </si>
  <si>
    <t>Joyce do Couto Martins Moreira</t>
  </si>
  <si>
    <t>Osmar Ferreira dos Santos</t>
  </si>
  <si>
    <t>Taciane Silva Rodrigues</t>
  </si>
  <si>
    <t>Lucas Barbosa de Oliveira</t>
  </si>
  <si>
    <t>Gerson Raul Vilas Boas Dos Santos</t>
  </si>
  <si>
    <t>Marlene Floriano Giraldini</t>
  </si>
  <si>
    <t>Ivair Jose Ribeiro</t>
  </si>
  <si>
    <t>Carlos Augusto dos Santos</t>
  </si>
  <si>
    <t>José Epaminondas da Silva</t>
  </si>
  <si>
    <t>Maria Vicentina de Oliveira Nogueira</t>
  </si>
  <si>
    <t>Ronei Costa Soares</t>
  </si>
  <si>
    <t>Luzia de Paulo da Silva</t>
  </si>
  <si>
    <t>Larissa Carolina Gouvea de Moura Carvalho</t>
  </si>
  <si>
    <t>Ana Claudia do Couto</t>
  </si>
  <si>
    <t>Vera Lucia do Couto</t>
  </si>
  <si>
    <t>Maria de Lourdes Rezende</t>
  </si>
  <si>
    <t>Maria Tereza de Melo Silva</t>
  </si>
  <si>
    <t>Pré-contrato</t>
  </si>
  <si>
    <t>Não instalado</t>
  </si>
  <si>
    <t>Otavio Gomes de Lima</t>
  </si>
  <si>
    <t>Antonio Galvao Cobra de Carvalho</t>
  </si>
  <si>
    <t>Dorival Pereira dos Santos</t>
  </si>
  <si>
    <t>Tp link</t>
  </si>
  <si>
    <t>Maria Aparecida da Costa</t>
  </si>
  <si>
    <t>Lazara Helena de Lima Pereira</t>
  </si>
  <si>
    <t>Júlia de Souza Pereira</t>
  </si>
  <si>
    <t>Luana Ribeiro Eloi</t>
  </si>
  <si>
    <t>Jose Vicente de Oliveira</t>
  </si>
  <si>
    <t>Izabella Andrade Godoy</t>
  </si>
  <si>
    <t>Telma Pereira Santos Souza</t>
  </si>
  <si>
    <t>(mensagem pedindo foto)</t>
  </si>
  <si>
    <t>Kalil Altiele Moraes Ltda</t>
  </si>
  <si>
    <t>Veronica Paiva Gouvea</t>
  </si>
  <si>
    <t>Bridge/Nokia</t>
  </si>
  <si>
    <t>Deco</t>
  </si>
  <si>
    <t>Brenda Mikaeley Brito</t>
  </si>
  <si>
    <t>Anderson José Carneiro Meneses</t>
  </si>
  <si>
    <t>Waldemir Vilas Boas</t>
  </si>
  <si>
    <t>Andre Durval Handan Figueiredo</t>
  </si>
  <si>
    <t>Isabel Cristina dos Santos</t>
  </si>
  <si>
    <t>Beatriz de Fatima Rodrigues</t>
  </si>
  <si>
    <t>Alex Eduardo da Silva</t>
  </si>
  <si>
    <t>Organização Contabil &amp; Imobiliaria Simac Ltda</t>
  </si>
  <si>
    <t>Maria Aparecida de Moraes</t>
  </si>
  <si>
    <t>João Cláudio Teodoro</t>
  </si>
  <si>
    <t>Thiago Oliveira Caetano</t>
  </si>
  <si>
    <t>Unidade Executora Olivia Maria Megale Cobra e Silva</t>
  </si>
  <si>
    <t>Rosa Maria Coutinho</t>
  </si>
  <si>
    <t>Alexssandro Ferreira da Silva</t>
  </si>
  <si>
    <t>Adriano de Freitas</t>
  </si>
  <si>
    <t>Antonio Domiciano Silva</t>
  </si>
  <si>
    <t>Leonardo Benedito de Almeida</t>
  </si>
  <si>
    <t>Andreia Heloisa Maximo Alfredo</t>
  </si>
  <si>
    <t>Maura Rezende da Silva Brandão</t>
  </si>
  <si>
    <t>Rodrigo Eliseu Openheimer Megale de Freitas</t>
  </si>
  <si>
    <t>Michelsson Bento Padua Silva</t>
  </si>
  <si>
    <t>Ana Claudia dos Santos Moreira</t>
  </si>
  <si>
    <t>Mauricio Ribas Lied</t>
  </si>
  <si>
    <t>Elizabet Cardoso Gonçalves</t>
  </si>
  <si>
    <t>sem acesso</t>
  </si>
  <si>
    <t>Leonardo Fabrício da Rosa</t>
  </si>
  <si>
    <t>Juliano Claret dos Santos</t>
  </si>
  <si>
    <t>Fernando José de Souza</t>
  </si>
  <si>
    <t>Maria Angela Rusinol Vezzani</t>
  </si>
  <si>
    <t>Helton Batista dos Reis Silva</t>
  </si>
  <si>
    <t>Paulo Antonio Durval Marques</t>
  </si>
  <si>
    <t>Alexandre Marques Ferreira</t>
  </si>
  <si>
    <t>Jaime Brandão Silva Junior</t>
  </si>
  <si>
    <t>Archer 50</t>
  </si>
  <si>
    <t>Erica Silva</t>
  </si>
  <si>
    <t>Higor Estevão Toledo</t>
  </si>
  <si>
    <t>José Ribeiro</t>
  </si>
  <si>
    <t>Jamir Donizetti Rodrigues</t>
  </si>
  <si>
    <t>Lucas Benedito do Santos Couto</t>
  </si>
  <si>
    <t>Amilton Gonçalves</t>
  </si>
  <si>
    <t>Willian Alisson Mianti</t>
  </si>
  <si>
    <t>Soutex Artesanatos Ltda ME</t>
  </si>
  <si>
    <t>Silvio Cézar de Lima Megale</t>
  </si>
  <si>
    <t>João Salvador da Silva</t>
  </si>
  <si>
    <t>Rezende e Vilas Boas Ltda</t>
  </si>
  <si>
    <t>Camila dos Santos</t>
  </si>
  <si>
    <t>Danilo Augusto Joia Silva</t>
  </si>
  <si>
    <t>Larissa Fonseca Alves</t>
  </si>
  <si>
    <t>Tiago Feri Ferreira</t>
  </si>
  <si>
    <t>Diego Santana Raimundo</t>
  </si>
  <si>
    <t>Grafica Tiradentes Ltda</t>
  </si>
  <si>
    <t>José luiz Santos Oliveira</t>
  </si>
  <si>
    <t>Valdira Pereira da Silva</t>
  </si>
  <si>
    <t>roteador proprio</t>
  </si>
  <si>
    <t>Claudete de Freitas</t>
  </si>
  <si>
    <t>Claudia Fernanda Pedroso</t>
  </si>
  <si>
    <t>Daniel Aparecido da Silva</t>
  </si>
  <si>
    <t>Pino José Soldani</t>
  </si>
  <si>
    <t>Mateus Expedito Domingos</t>
  </si>
  <si>
    <t>Daniel da Silva Pereira</t>
  </si>
  <si>
    <t>Maria de Oliveira Coutinho</t>
  </si>
  <si>
    <t>Kesia dos Santos Caetano</t>
  </si>
  <si>
    <t>Adriano Antonio Pereira</t>
  </si>
  <si>
    <t>Ana Paula dos Santos</t>
  </si>
  <si>
    <t>Sebastião dos Santos Cogue</t>
  </si>
  <si>
    <t>Estéfano Galvão Ribeiro</t>
  </si>
  <si>
    <t>Jose Luis Nunes</t>
  </si>
  <si>
    <t>Elide Vitorino Troyse Sarmento</t>
  </si>
  <si>
    <t>Luiz Rafael dos Santos</t>
  </si>
  <si>
    <t>Bruno Barreto de Mello</t>
  </si>
  <si>
    <t>Adriana Carmem Brandani</t>
  </si>
  <si>
    <t>Joaquim de Castro Brentegani</t>
  </si>
  <si>
    <t>Cicero Guimarães Paes</t>
  </si>
  <si>
    <t>Fabio Graciano Luz</t>
  </si>
  <si>
    <t>Beraniza de Fatima de Andrade</t>
  </si>
  <si>
    <t>Bruna Ruana da Silva</t>
  </si>
  <si>
    <t>Sueli Floriano de Almeida</t>
  </si>
  <si>
    <t>Monica Ezequiel do Couto Costa</t>
  </si>
  <si>
    <t>Município de Borda da Mata</t>
  </si>
  <si>
    <t>Amanda Anatarie dos Reis</t>
  </si>
  <si>
    <t>Angela Goreti de Souza Medeiros</t>
  </si>
  <si>
    <t>Dartagnan José da Silva Ferreira</t>
  </si>
  <si>
    <t>Diego Raimundo dos Santos Silva</t>
  </si>
  <si>
    <t>Rodrigo do Couto Pereira</t>
  </si>
  <si>
    <t>Gideoni da Silva Santos</t>
  </si>
  <si>
    <t>Juliano Paulino Valente</t>
  </si>
  <si>
    <t>Adalgisa Conceição Silva Couto</t>
  </si>
  <si>
    <t>Maria Aparecida da Silva Santos</t>
  </si>
  <si>
    <t>Fernanda Aparecida Domingues</t>
  </si>
  <si>
    <t>Suelen Aparecida Romualdo Brandani</t>
  </si>
  <si>
    <t>Selma da Costa Goncalves</t>
  </si>
  <si>
    <t>Willian Rodolfo dos Santos</t>
  </si>
  <si>
    <t>Kleyton do Couto Santos</t>
  </si>
  <si>
    <t>Associação Comercial e Industrial de Borda da Mata</t>
  </si>
  <si>
    <t>Sara Silva Soldani</t>
  </si>
  <si>
    <t>Jose Donizete Ribeiro</t>
  </si>
  <si>
    <t>Lucio Flavio de Toledo</t>
  </si>
  <si>
    <t>Ruan Natan da Silva</t>
  </si>
  <si>
    <t>Maria Aparecida da Costa Mariano</t>
  </si>
  <si>
    <t>Dulcineia Maria Correa Candido</t>
  </si>
  <si>
    <t>Luciane Aparecida Veloso Torres e Souza</t>
  </si>
  <si>
    <t>Maria Madalena Mesquita de Brito</t>
  </si>
  <si>
    <t>Andreia Aparecida Forchito</t>
  </si>
  <si>
    <t>Antônio Carlos da Rocha</t>
  </si>
  <si>
    <t>Rudney krist da silva</t>
  </si>
  <si>
    <t>Kristiane Elen Pereira</t>
  </si>
  <si>
    <t>Agripina da Costa Silva</t>
  </si>
  <si>
    <t>Maria Luiza França Dos Santos</t>
  </si>
  <si>
    <t>Marcio Dantas Junior</t>
  </si>
  <si>
    <t>Maria do Rosario de Paula Morais</t>
  </si>
  <si>
    <t>Adjane Trevis Ferreira Nicioli</t>
  </si>
  <si>
    <t>Elza Fátima dos Santos Barbosa</t>
  </si>
  <si>
    <t>Juliano Sousa Albano</t>
  </si>
  <si>
    <t>Miltes Francisca dos Santos</t>
  </si>
  <si>
    <t>Poliana Andressa Rodrigues Melo</t>
  </si>
  <si>
    <t>Lucas Fernandes Rodrigues Braga</t>
  </si>
  <si>
    <t>Marcos Antonio Dallaqua Junior</t>
  </si>
  <si>
    <t>Alexandre Coutinho Gloria</t>
  </si>
  <si>
    <t>Anderson Julio Mendes dos Santos</t>
  </si>
  <si>
    <t>Flavia Nara de Souza</t>
  </si>
  <si>
    <t>Cibele Ayo Schmiedecke</t>
  </si>
  <si>
    <t>Anderson Antonio Veiga Barbosa</t>
  </si>
  <si>
    <t>Associação de Pais e Amigos dos Excepcionais</t>
  </si>
  <si>
    <t>Daniel Junqueira Herculano</t>
  </si>
  <si>
    <t>Thamires Jesus de Araujo Sitelli</t>
  </si>
  <si>
    <t>Alexandro Luiz da Cruz</t>
  </si>
  <si>
    <t>Joao Batista da Silva</t>
  </si>
  <si>
    <t>Anderson Amorim Machado</t>
  </si>
  <si>
    <t>Ailton Fabiano Cabral Joia</t>
  </si>
  <si>
    <t>Fabiany de Souza Pereira</t>
  </si>
  <si>
    <t>Luiz Humberto Silveira Filho</t>
  </si>
  <si>
    <t>Ronian Alves Marçal</t>
  </si>
  <si>
    <t>Gracieli Aparecida Couto Araújo</t>
  </si>
  <si>
    <t>Joany Lopes Pereira</t>
  </si>
  <si>
    <t>Sandra Madalena Coltes Melo</t>
  </si>
  <si>
    <t>José Roberto de Oliveira</t>
  </si>
  <si>
    <t>Éder José Cogue</t>
  </si>
  <si>
    <t>Aurinete de Souza Pimentel</t>
  </si>
  <si>
    <t>Bruno Tironi Borges de Carvalho</t>
  </si>
  <si>
    <t>Manoel Antenor de Araujo</t>
  </si>
  <si>
    <t>Ana Paula Heloisa Maximo</t>
  </si>
  <si>
    <t>Ana Maria Henrique Nunes</t>
  </si>
  <si>
    <t>Ediene Maria Henrique Nunes</t>
  </si>
  <si>
    <t>Maria Tereza Claret de Mello Anchieta</t>
  </si>
  <si>
    <t>Victor Campos Brandani Junior</t>
  </si>
  <si>
    <t>Tiago Henrique Fabricio Lopes</t>
  </si>
  <si>
    <t>Douglas José da Silva</t>
  </si>
  <si>
    <t>Silmara Sirene Coltes Caetano</t>
  </si>
  <si>
    <t>Farmácia Estrela da Mata</t>
  </si>
  <si>
    <t>Antônio José de Oliveira Salgado</t>
  </si>
  <si>
    <t>Cássia Gabriela de Souza</t>
  </si>
  <si>
    <t>Michael Marcelino de Oliveira</t>
  </si>
  <si>
    <t>Andréa Aparecida de Matos</t>
  </si>
  <si>
    <t>Cesário Marques da Costa Neto</t>
  </si>
  <si>
    <t>Renato de Assis Piedade</t>
  </si>
  <si>
    <t>Isamara Pereira de Siqueira</t>
  </si>
  <si>
    <t>Ivana Helena Delfino Henrique</t>
  </si>
  <si>
    <t>André Benedetti Toda</t>
  </si>
  <si>
    <t>Ana Carolina Poinha</t>
  </si>
  <si>
    <t>Beni Siqueira Luiz</t>
  </si>
  <si>
    <t>Jonathas Galvão Romualdo da Silva</t>
  </si>
  <si>
    <t>Sérgio Roberto de Oliveira</t>
  </si>
  <si>
    <t>Rafael Marques Da Costa Junior</t>
  </si>
  <si>
    <t>José Carlos da Silva</t>
  </si>
  <si>
    <t>Paulo Sérgio da Silva</t>
  </si>
  <si>
    <t>Patricia Moreira Bastos Maximo</t>
  </si>
  <si>
    <t>Raquel Alves Arruda Dalló Pereira</t>
  </si>
  <si>
    <t>Tácito Serapião Moreira</t>
  </si>
  <si>
    <t>Rodolfo Aparecido do Couto</t>
  </si>
  <si>
    <t>Thaís Rezende Pereira</t>
  </si>
  <si>
    <t>Renato Amaro</t>
  </si>
  <si>
    <t>Tavares Comercio Digital Ltda</t>
  </si>
  <si>
    <t>Francisco de Assis da Silva</t>
  </si>
  <si>
    <t>Márcia de Cassia Cordeiro Silva</t>
  </si>
  <si>
    <t>Renan Barbosa Machado</t>
  </si>
  <si>
    <t>Wesley Naian Coutinho Freitas</t>
  </si>
  <si>
    <t>Gustavo Thomaz Abreu Silva</t>
  </si>
  <si>
    <t>Maria do Carmo Moreira</t>
  </si>
  <si>
    <t>Amanda Luiza Cobra Brandão</t>
  </si>
  <si>
    <t>Cláudia Priscila da Silva</t>
  </si>
  <si>
    <t>Rosana Albano Martins</t>
  </si>
  <si>
    <t>Maria Izabel de Lima Cobra Amaral</t>
  </si>
  <si>
    <t>Eterciana dos Santos Rodrigues Paiva</t>
  </si>
  <si>
    <t>Jesus Miranda</t>
  </si>
  <si>
    <t>Selma Cesário dos Santos Almeida</t>
  </si>
  <si>
    <t>Flávio Henrique Xavier de Sousa</t>
  </si>
  <si>
    <t>Silvia Helena Aparecida de Melo</t>
  </si>
  <si>
    <t>Leila A Feliciano Moreira</t>
  </si>
  <si>
    <t>Bruna Lilian Domingos</t>
  </si>
  <si>
    <t>Maria do Carmo Monteiro Rosa</t>
  </si>
  <si>
    <t>Aparecido Ribeiro da Costa</t>
  </si>
  <si>
    <t>Fragance Perfumaria Ltda</t>
  </si>
  <si>
    <t>Ideberto Valli Junior</t>
  </si>
  <si>
    <t>Silvio da Fonseca Junior</t>
  </si>
  <si>
    <t>Nathanael Nalbert de Souza Siqueira</t>
  </si>
  <si>
    <t>João Roberto da Costa</t>
  </si>
  <si>
    <t>Carlos Henrique Mota de Souza</t>
  </si>
  <si>
    <t>Paulo Sergio Oliveira</t>
  </si>
  <si>
    <t>Etercidio da Costa Rodrigues Filho</t>
  </si>
  <si>
    <t>Sonia Aparecida da Costa</t>
  </si>
  <si>
    <t>Paloma Oliveira Saturno</t>
  </si>
  <si>
    <t>Jesuel Caetano</t>
  </si>
  <si>
    <t>Giovana de Cassia Pereira</t>
  </si>
  <si>
    <t>Diego Junior Barreiro Moreira</t>
  </si>
  <si>
    <t>Lucas Benedito da Silva</t>
  </si>
  <si>
    <t>Darci Dalva Caetano Patta</t>
  </si>
  <si>
    <t>J &amp; F PET SHOP E VETERINARIA LTDA</t>
  </si>
  <si>
    <t>José Augusto da Rosa Silva</t>
  </si>
  <si>
    <t>Roselainy Aparecida Ribeiro Francisco de Pádua</t>
  </si>
  <si>
    <t>Maria Angela Mariano</t>
  </si>
  <si>
    <t>Reginaldo Barbosa Martins</t>
  </si>
  <si>
    <t>Rodrigo de Camargo Vieira</t>
  </si>
  <si>
    <t>Joao Donizetti Batista de Souza</t>
  </si>
  <si>
    <t>Humberto Nogueira Oriolo</t>
  </si>
  <si>
    <t>Cícero Gustavo Silva</t>
  </si>
  <si>
    <t>Alcides Albano Martins</t>
  </si>
  <si>
    <t>Pedro Henrique Goulart Silva</t>
  </si>
  <si>
    <t>Harleston Fernando Junqueira Cobra</t>
  </si>
  <si>
    <t>Giselda Aparecida da Silva</t>
  </si>
  <si>
    <t>MARIANGELA GOUVEA POSSA SALLES</t>
  </si>
  <si>
    <t>Isabela Leticia Napoleao Inácio</t>
  </si>
  <si>
    <t>Milena Maria da Silva</t>
  </si>
  <si>
    <t>Leticia Aparecida Godinho</t>
  </si>
  <si>
    <t>Matheus Maximo da Silva Cunha</t>
  </si>
  <si>
    <t>Rita de Cassia Ribeiro</t>
  </si>
  <si>
    <t>Romilda Maria da Silva</t>
  </si>
  <si>
    <t>Alcides Albano Martins -Me</t>
  </si>
  <si>
    <t>Jaime Bertolaccini Costa</t>
  </si>
  <si>
    <t>Diego Silva Alves Ferreira</t>
  </si>
  <si>
    <t>José Rafael Cantuária</t>
  </si>
  <si>
    <t>Jizele costa de Oliveira Rezende</t>
  </si>
  <si>
    <t>Igreja Evangélica Assembleia de Deus Ministério de Cubatão</t>
  </si>
  <si>
    <t>Guiomar Martins dos Santos</t>
  </si>
  <si>
    <t>Silvio Amaral Gomes junior</t>
  </si>
  <si>
    <t>Loterica Monsenhor Pedro Cintra</t>
  </si>
  <si>
    <t>Thiago Jardim de Oliveira</t>
  </si>
  <si>
    <t>Keila Aparecida da Silva</t>
  </si>
  <si>
    <t>Giovana Brandão Guilherme Bonamichi</t>
  </si>
  <si>
    <t>Jone Willian dos Santos</t>
  </si>
  <si>
    <t>JORGE LUIZ PEREIRA DE SOUZA 052.850.716-82</t>
  </si>
  <si>
    <t>Jr Metalizacao a Vacuo Ltda</t>
  </si>
  <si>
    <t>Givaldo Pereira da Silva</t>
  </si>
  <si>
    <t>Ana Carolina Raimundo</t>
  </si>
  <si>
    <t>Arnaldo Aparecido Silva</t>
  </si>
  <si>
    <t>Ana Paula Moura Calil</t>
  </si>
  <si>
    <t>Filomena Maria Costa de Siqueira</t>
  </si>
  <si>
    <t>Maicon Henrique Barbosa Gonçalves</t>
  </si>
  <si>
    <t>Rigiane Furlan Toretta</t>
  </si>
  <si>
    <t>Maria do Carmo Cobra Ribeiro</t>
  </si>
  <si>
    <t>Fabiano Henrique dos Santos</t>
  </si>
  <si>
    <t>Adilson Luiz Brandão</t>
  </si>
  <si>
    <t>Ana Paula Santos de Lima</t>
  </si>
  <si>
    <t>Cirlei Rossini de Almeida (Casa))</t>
  </si>
  <si>
    <t>André Luiz Bonifácio</t>
  </si>
  <si>
    <t>Renata Braga Pompeu</t>
  </si>
  <si>
    <t>Hamilton Galvão Ribeiro dos Santos</t>
  </si>
  <si>
    <t>Ana Maria de Souza Lima</t>
  </si>
  <si>
    <t>Cirlei Rossini de Almeida</t>
  </si>
  <si>
    <t>Antônio Claret Marques</t>
  </si>
  <si>
    <t>Dalva Luiza do Couto</t>
  </si>
  <si>
    <t>Luiz Eduardo Maia</t>
  </si>
  <si>
    <t>João Felipe Silva Pedroso</t>
  </si>
  <si>
    <t>Giovane dos Reis Moreira</t>
  </si>
  <si>
    <t>Celly Maria Leopoldino de Freitas</t>
  </si>
  <si>
    <t>Fábio Francisco Mira</t>
  </si>
  <si>
    <t>José Lucas Bueno Melo</t>
  </si>
  <si>
    <t>Waldira Borges Pinto</t>
  </si>
  <si>
    <t>Mayse Rodrigues Santos</t>
  </si>
  <si>
    <t>Jessica Moraes de Araujo</t>
  </si>
  <si>
    <t>Tereza de Fatima Martins Pereira</t>
  </si>
  <si>
    <t>Larissa de Cassia Santos</t>
  </si>
  <si>
    <t>Marinalva Ferreira de Lima</t>
  </si>
  <si>
    <t>Matheus Nogueira Lopes</t>
  </si>
  <si>
    <t>Rodrigo Pereira Santos</t>
  </si>
  <si>
    <t>Erika Da Silva Franck</t>
  </si>
  <si>
    <t>Jaqueline Pereira da Silva</t>
  </si>
  <si>
    <t>João Batista Santos da Silva</t>
  </si>
  <si>
    <t>Joaquim Antonio Simões</t>
  </si>
  <si>
    <t>Wiviana Valeria Do Nascimento</t>
  </si>
  <si>
    <t>Jose Quirino de Alvarenga Neto (Casa)</t>
  </si>
  <si>
    <t>Ana Maria de Sousa Borba</t>
  </si>
  <si>
    <t>Flávio Henrique da Silva</t>
  </si>
  <si>
    <t>Joao Brentegani</t>
  </si>
  <si>
    <t>Maria Regina Rodrigues</t>
  </si>
  <si>
    <t>Jose Quirino de Alvarenga Neto Loja 01</t>
  </si>
  <si>
    <t>JOSE BENEDITO FERREIRA</t>
  </si>
  <si>
    <t>DENIEL APARECIDO GOUVEA CHAGAS</t>
  </si>
  <si>
    <t>MARCOS ANTONIO DA SILVA (MARQUINHO)</t>
  </si>
  <si>
    <t>ANA CAROLINE HENRIQUE SIMÕES</t>
  </si>
  <si>
    <t>SEBASTIAO NOGUEIRA DE PADUA</t>
  </si>
  <si>
    <t>LINDAURA ROSA DE OLIVEIRA</t>
  </si>
  <si>
    <t>Maria José Bento Coutinho</t>
  </si>
  <si>
    <t>ANACLETO PORTUGAL GONCALVES</t>
  </si>
  <si>
    <t>Celio Roberto Alves</t>
  </si>
  <si>
    <t>Eder Luiz Gouveia</t>
  </si>
  <si>
    <t>ANTONIO SEVERINO DA SILVA</t>
  </si>
  <si>
    <t>EDNA MARIA DE ANDRADE</t>
  </si>
  <si>
    <t>FABIOLA CRISTIANE DO COUTO</t>
  </si>
  <si>
    <t>Jose Rodrigues Da Silva</t>
  </si>
  <si>
    <t>WIVIANA VALERIA DO NASCIMENTO</t>
  </si>
  <si>
    <t>Victoria Couto Nascimento Ferreira</t>
  </si>
  <si>
    <t>JOSE DE OLIVEIRA MENDONÇA (COPASA)</t>
  </si>
  <si>
    <t>ANDREA MARCIA ROSA</t>
  </si>
  <si>
    <t>BENEDITO AMARO( TORRE IGREJA PRESBITERIANA)</t>
  </si>
  <si>
    <t>Luciane Brandani Arruda Silva</t>
  </si>
  <si>
    <t>VERA LUCIA GONÇALVES ALMEIDA DIAS</t>
  </si>
  <si>
    <t>Waldir de Souza Freitas</t>
  </si>
  <si>
    <t>Juliana Aparecida da Conceição Soares</t>
  </si>
  <si>
    <t>SIMONE APARECIDA DA SILVA MELO</t>
  </si>
  <si>
    <t>ROSANGELA APARECIDA MOREIRA</t>
  </si>
  <si>
    <t>Maria Leonice da Conceição Santos</t>
  </si>
  <si>
    <t>RENATA CRISTIANE MACHADO</t>
  </si>
  <si>
    <t>ROSANGELA SIMÃO GOMES</t>
  </si>
  <si>
    <t>Brenda Nathalia Trotta</t>
  </si>
  <si>
    <t>ISABEL CRISTINA MARCAL DOS SANTOS</t>
  </si>
  <si>
    <t>LUCELIA APARECIDA MARIANO PEREIRA</t>
  </si>
  <si>
    <t>Juliano Cesar da Costa</t>
  </si>
  <si>
    <t>APARECIDA MESSIAS PEREIRA</t>
  </si>
  <si>
    <t>FABIO MACHADO DE ALMEIDA</t>
  </si>
  <si>
    <t>CAMARA MUNICIPAL DE BORDA DA MATA</t>
  </si>
  <si>
    <t>CASA DE CONSTRUÇÃO GOMES E ALMEIDA LTDA</t>
  </si>
  <si>
    <t>Paulo Egídio Oliveira Souza</t>
  </si>
  <si>
    <t>EDILAINE MARIA PEREIRA SOUZA SANTOS</t>
  </si>
  <si>
    <t>Raul Gaspar Gonçalves</t>
  </si>
  <si>
    <t>Marcelo Henrique Ribeiro</t>
  </si>
  <si>
    <t>Edmeia Ferreira Santos</t>
  </si>
  <si>
    <t>Rosa Maria Delfino Silva</t>
  </si>
  <si>
    <t>Pedro Melo Sabino</t>
  </si>
  <si>
    <t>Alexandra Aparecida Godinho</t>
  </si>
  <si>
    <t>Comercio Industria De Malhas E Croche Damata Eireli</t>
  </si>
  <si>
    <t>Patricia Alves Machado Homem</t>
  </si>
  <si>
    <t>Raquel Marli Rosa</t>
  </si>
  <si>
    <t>Maria Aparecida Da Silva</t>
  </si>
  <si>
    <t>Sueli Aparecida Matos</t>
  </si>
  <si>
    <t>Janaina Danieli Do Prado Faria</t>
  </si>
  <si>
    <t>Iracema Rita Da Silva Rocha</t>
  </si>
  <si>
    <t>Rosiléia Fernandes Silva Santos</t>
  </si>
  <si>
    <t>Maria Madalena Rodrigues Megale</t>
  </si>
  <si>
    <t>Patricia Ribeiro Mendes</t>
  </si>
  <si>
    <t>Clenira Moreira Marinelli</t>
  </si>
  <si>
    <t>Aureliza Maria Alves Lima</t>
  </si>
  <si>
    <t>Felipe Jose Alves Pinto Casa</t>
  </si>
  <si>
    <t>Geovana Aparecida da Silva</t>
  </si>
  <si>
    <t>Rosemary Conceiçao Da Silva</t>
  </si>
  <si>
    <t>Eurico Felipe da Silva Filho</t>
  </si>
  <si>
    <t>Josiane Maria Silva</t>
  </si>
  <si>
    <t>Emilda Maria Da Silva</t>
  </si>
  <si>
    <t>Célio Roberto de Andrade</t>
  </si>
  <si>
    <t>Leandro De Souza Silva</t>
  </si>
  <si>
    <t>Taila Cristina Dos Santos Da Costa</t>
  </si>
  <si>
    <t>Nilceia Aparecida Ferreira</t>
  </si>
  <si>
    <t>Jose Augusto Da Rosa Silva</t>
  </si>
  <si>
    <t>Luiz Rafael Da Silva (Angela)</t>
  </si>
  <si>
    <t>Larissa Rezende dos Santos</t>
  </si>
  <si>
    <t>Jussara Cassia Da Silva</t>
  </si>
  <si>
    <t>Ronaldo Batista Da Costa</t>
  </si>
  <si>
    <t>Jeane Job Moreira Da Costa</t>
  </si>
  <si>
    <t>Jose Joao Dos Santos</t>
  </si>
  <si>
    <t>Carlos Rafael De Freitas</t>
  </si>
  <si>
    <t>Maira Cristina De Araujo</t>
  </si>
  <si>
    <t>Marta Maria Da Rosa Lopes</t>
  </si>
  <si>
    <t>Luiz Rafael Da Silva</t>
  </si>
  <si>
    <t>Paulo Donizete Da Silva</t>
  </si>
  <si>
    <t>Rosilene De Oliveira Rosa</t>
  </si>
  <si>
    <t>Sidnei Maciel De Souza</t>
  </si>
  <si>
    <t>Felipe Jose Alves Pinto</t>
  </si>
  <si>
    <t>Walquiria De Cassia Arruda Oliveira</t>
  </si>
  <si>
    <t>Guilherme Donizete Pereira</t>
  </si>
  <si>
    <t>Fernando Scavone</t>
  </si>
  <si>
    <t>Luiz Fernando Adami Dos Reis</t>
  </si>
  <si>
    <t>Danilo de Toledo Pinto</t>
  </si>
  <si>
    <t>Juliane Helena Claro Bueno</t>
  </si>
  <si>
    <t>Valdirene De Morais Barboza Godoi Santos</t>
  </si>
  <si>
    <t>Marco Antonio de Mello</t>
  </si>
  <si>
    <t>Celio Amauri Pereira</t>
  </si>
  <si>
    <t>Jaqueline Borges Pereira</t>
  </si>
  <si>
    <t>Magali Das Gracas Ribeiro</t>
  </si>
  <si>
    <t>Helen Juliana Guimaraes</t>
  </si>
  <si>
    <t>Alexandra Silmara Pereira Silva</t>
  </si>
  <si>
    <t>Elaine Cristina Mendes Tavares</t>
  </si>
  <si>
    <t>Rodrigo Monteiro Silva</t>
  </si>
  <si>
    <t>Maria Conceicao Soares</t>
  </si>
  <si>
    <t>Everton Silvestre Tosta</t>
  </si>
  <si>
    <t>Lucimeire Ferreira Rodrigues</t>
  </si>
  <si>
    <t>Patrícia Marcondes Venâncio dos Santos Marques</t>
  </si>
  <si>
    <t>Thiago Couto Lima</t>
  </si>
  <si>
    <t>Maurilio José Candido</t>
  </si>
  <si>
    <t>Patricia Helena De Sousa</t>
  </si>
  <si>
    <t>Walquiria Rodrigues Magalhães Megale</t>
  </si>
  <si>
    <t>Patricia Carla Ferreira</t>
  </si>
  <si>
    <t>Ind E Com Art Madeiras, Plastico Adriana Ltda</t>
  </si>
  <si>
    <t>Izilda De Fatima Silva</t>
  </si>
  <si>
    <t>Ronan Aparecido de Souza</t>
  </si>
  <si>
    <t>Adilson Carlos De Menezes</t>
  </si>
  <si>
    <t>Hamilton Santos Menezes</t>
  </si>
  <si>
    <t>Marilene Pereira Coltri</t>
  </si>
  <si>
    <t>Sinara Maria Machado</t>
  </si>
  <si>
    <t>Maisa Rezende De Padua</t>
  </si>
  <si>
    <t>Acacia Ribeiro Da Silva Oliveira</t>
  </si>
  <si>
    <t>Luis Henrique de Faria</t>
  </si>
  <si>
    <t>Jesus De Rezende Araujo</t>
  </si>
  <si>
    <t>Rafaely Alvarenga Dos Santos</t>
  </si>
  <si>
    <t>Marcia Helena Brandani Teodoro</t>
  </si>
  <si>
    <t>Luiz Carlos Pinheiro</t>
  </si>
  <si>
    <t>Marcelo José Souza</t>
  </si>
  <si>
    <t>Terezinha Rosa Pereira</t>
  </si>
  <si>
    <t>Rosimiris Neves De Paula Santos</t>
  </si>
  <si>
    <t>Marcio Henrique Pereira</t>
  </si>
  <si>
    <t>Otavio Lima De Freitas</t>
  </si>
  <si>
    <t>Leandro Aparecido da Silva Sabino</t>
  </si>
  <si>
    <t>Jeane Emilia Dos Santos Padua</t>
  </si>
  <si>
    <t>Helen Akiko Pereira Higa</t>
  </si>
  <si>
    <t>Marco Aurelio Meira</t>
  </si>
  <si>
    <t>Jose Roberto Dos Santos (Zambiro)</t>
  </si>
  <si>
    <t>Altiele Marinelle Moreira</t>
  </si>
  <si>
    <t>Jefferson Estevão Pereira Nascimento</t>
  </si>
  <si>
    <t>Lazara Da Costa Da Silva</t>
  </si>
  <si>
    <t>Ana Carolina de Moraes Reder</t>
  </si>
  <si>
    <t>Cassia Veronica Miranda</t>
  </si>
  <si>
    <t>Izilda Regina Mariano Tomazolli</t>
  </si>
  <si>
    <t>Maria Rita Costa Bertolaccini</t>
  </si>
  <si>
    <t>Valfrido Lemos Vasconcelos Sobrinho</t>
  </si>
  <si>
    <t>Isac Carlos Moreira</t>
  </si>
  <si>
    <t>Juliana Alves Ramos</t>
  </si>
  <si>
    <t>Stefania Leticia Do Couto Araujo</t>
  </si>
  <si>
    <t>Dirceu Paschoal do Couto</t>
  </si>
  <si>
    <t>Solimara Gomes de Oliveira</t>
  </si>
  <si>
    <t>Izabel Cristina Rodrigues</t>
  </si>
  <si>
    <t>Luciane Pereira De Toledo</t>
  </si>
  <si>
    <t>Luiz Carlos Moreira</t>
  </si>
  <si>
    <t>Raphael Cardoso Ramassotte</t>
  </si>
  <si>
    <t>João Batista Machado Homem</t>
  </si>
  <si>
    <t>Denilson De Moraes Pereira</t>
  </si>
  <si>
    <t>Roziane Aparecida Silva Paiva</t>
  </si>
  <si>
    <t>Anderson Henrique De Souza</t>
  </si>
  <si>
    <t>Ivone Clareth Duarte Guimaraes</t>
  </si>
  <si>
    <t>Wilma De Fatima Gomes</t>
  </si>
  <si>
    <t>Nilda Marta da Silva</t>
  </si>
  <si>
    <t>Carlos Eduardo Medeiros</t>
  </si>
  <si>
    <t>Edivaldo Jose Machado</t>
  </si>
  <si>
    <t>Dener William Pereira</t>
  </si>
  <si>
    <t>Joao Norberto Do Couto</t>
  </si>
  <si>
    <t>Marilene De Freitas Dantas</t>
  </si>
  <si>
    <t>Nivaldo Fernando Da Silva</t>
  </si>
  <si>
    <t>Diogo Da Silva Brandao</t>
  </si>
  <si>
    <t>Maria José da Silva</t>
  </si>
  <si>
    <t>Tassiana Rugon De Campos</t>
  </si>
  <si>
    <t>Jones Brandino dos Santos Filho</t>
  </si>
  <si>
    <t>Paulo Cezar Da Silva</t>
  </si>
  <si>
    <t>Valdete Machado De Lima</t>
  </si>
  <si>
    <t>Wagner Nunes Poveda</t>
  </si>
  <si>
    <t>Zelia Peres Costa de Oliveira</t>
  </si>
  <si>
    <t>Alenire Da Silva</t>
  </si>
  <si>
    <t>Alessandro Sergio Teixeira</t>
  </si>
  <si>
    <t>Cristina Tereza Da Silva</t>
  </si>
  <si>
    <t>Mercia Scalle Ministro</t>
  </si>
  <si>
    <t>Mateus Lucas De Souza</t>
  </si>
  <si>
    <t>Amanda Graziela Messias Santos</t>
  </si>
  <si>
    <t>Silvia Brandao Ribeiro</t>
  </si>
  <si>
    <t>Noely Fernanda da Silva</t>
  </si>
  <si>
    <t>Carlos Henrique Machado de Freitas</t>
  </si>
  <si>
    <t>Dourival Carvalho</t>
  </si>
  <si>
    <t>Dirlei Candeias De Brito</t>
  </si>
  <si>
    <t>Teofilo Bento De Padua</t>
  </si>
  <si>
    <t>Gilson Henrique Paiva</t>
  </si>
  <si>
    <t>Andre luiz Siqueira</t>
  </si>
  <si>
    <t>José Augusto da Costa</t>
  </si>
  <si>
    <t>Brucio de Souza Figueiredo</t>
  </si>
  <si>
    <t>IMPERIO 1 EMPREENDIMENTOS E PARTICIPACOES LTDA</t>
  </si>
  <si>
    <t>Bianca Helena Marçal</t>
  </si>
  <si>
    <t>Alene Carolina dos Santos Brandão</t>
  </si>
  <si>
    <t>Alene Carolina dos Santos Brandão (Comodo Comercial)</t>
  </si>
  <si>
    <t>Borda da Mata Cart Escrivania e Notas</t>
  </si>
  <si>
    <t>Belmira de Cássia Silva Couto</t>
  </si>
  <si>
    <t>José Humberto Silveira</t>
  </si>
  <si>
    <t>Solange Cobra Ribeiro Duarte</t>
  </si>
  <si>
    <t>Samuel Paiva Gouveia</t>
  </si>
  <si>
    <t>Edgar Costa Cobra</t>
  </si>
  <si>
    <t>Lucio Dantas Duarte</t>
  </si>
  <si>
    <t>Ana Paula de Oliveira Borges</t>
  </si>
  <si>
    <t>Gabriela de Cássia Moreira</t>
  </si>
  <si>
    <t>Shirley Serapião</t>
  </si>
  <si>
    <t>Diogo Estefano Pereira Nascimento</t>
  </si>
  <si>
    <t>Alexandre Fabiani Martins dos Santos</t>
  </si>
  <si>
    <t>Maria Aparecida Moreira Silva</t>
  </si>
  <si>
    <t>Vanessa Natália da Silva Pereira</t>
  </si>
  <si>
    <t>Artesanal Teares LTDA</t>
  </si>
  <si>
    <t>Sebastiana Cristina Da Silva</t>
  </si>
  <si>
    <t>Associação de Educação e Beneficência Santa Catarina de Sena</t>
  </si>
  <si>
    <t>Gustavo Henrique Domingues</t>
  </si>
  <si>
    <t>Edivaldo Aparecido de Freitas</t>
  </si>
  <si>
    <t>Eliete Aparecida Dias</t>
  </si>
  <si>
    <t>André Roberto de Lima Braga</t>
  </si>
  <si>
    <t>Amanda Guilherme Marques de Freitas</t>
  </si>
  <si>
    <t>Carlos Umberto da Silva</t>
  </si>
  <si>
    <t>Silvana Marta de Souza Marques</t>
  </si>
  <si>
    <t>Luriane Sversut Arsioli</t>
  </si>
  <si>
    <t>Daniella Julidori Vasconcelos</t>
  </si>
  <si>
    <t>Camila Rafaela Rodrigues</t>
  </si>
  <si>
    <t>Maria Ângela Costa de Oliveira</t>
  </si>
  <si>
    <t>Thiago Ribeiro</t>
  </si>
  <si>
    <t>Neide Rodrigues da Silva Rezende</t>
  </si>
  <si>
    <t>Fátima Aparecida de Abreu Almeida</t>
  </si>
  <si>
    <t>Cristiano Bruno da Silva</t>
  </si>
  <si>
    <t>Fábio Tito dos Santos</t>
  </si>
  <si>
    <t>Guaraciaba Maria Odete Brandão Guilherme</t>
  </si>
  <si>
    <t>Jaqueline Valéria Gomes</t>
  </si>
  <si>
    <t>Renato Peres dos Santos</t>
  </si>
  <si>
    <t>HOKO REPRESENTACOES ASSESSORIA EMPRESARIAL E NEGOCIOS EIRELI</t>
  </si>
  <si>
    <t>Carlos Eduardo de Pádua Siqueira</t>
  </si>
  <si>
    <t>Pedro Brandao Gouvea Guilherme</t>
  </si>
  <si>
    <t>Thalita Cecilia de Pádua Oliveira</t>
  </si>
  <si>
    <t>Gláucia Brandão Guilherme</t>
  </si>
  <si>
    <t>Adalgisa Brandão de Lima</t>
  </si>
  <si>
    <t>Luiz Guilherme Cobra Brandão</t>
  </si>
  <si>
    <t>Alessandra de Souza Janerine</t>
  </si>
  <si>
    <t>Carlos Alberto P. Moura Junior</t>
  </si>
  <si>
    <t>Razão social</t>
  </si>
  <si>
    <t>Telefone comercial</t>
  </si>
  <si>
    <t>Telefone celular</t>
  </si>
  <si>
    <t>obs</t>
  </si>
  <si>
    <t>(não atendeu)</t>
  </si>
  <si>
    <t>(35)99863-0495</t>
  </si>
  <si>
    <t>(35)99896-9522</t>
  </si>
  <si>
    <t>mora contendas</t>
  </si>
  <si>
    <t>Cadastro duplicado</t>
  </si>
  <si>
    <t>(35)99880-9595</t>
  </si>
  <si>
    <t>Inadinplencia</t>
  </si>
  <si>
    <t>(35)98417-5800</t>
  </si>
  <si>
    <t>André Luiz Souza Lima</t>
  </si>
  <si>
    <t>(35)99862-7547</t>
  </si>
  <si>
    <t xml:space="preserve">Mudou de cidade </t>
  </si>
  <si>
    <t>(35)99955-4427</t>
  </si>
  <si>
    <t>Jaqueline Valeria Gomes (Loja)</t>
  </si>
  <si>
    <t>fechou a loja</t>
  </si>
  <si>
    <t>(35)99927-8742</t>
  </si>
  <si>
    <t>Sonia Simoes Do Couto</t>
  </si>
  <si>
    <t>cliente não viável</t>
  </si>
  <si>
    <t>(35) 9151-3746</t>
  </si>
  <si>
    <t>Antonio Claret Megale De Freitas</t>
  </si>
  <si>
    <t>Faleceu</t>
  </si>
  <si>
    <t>(35)99949-2951</t>
  </si>
  <si>
    <t>(35)99884-3414</t>
  </si>
  <si>
    <t>(35)99878-7119</t>
  </si>
  <si>
    <t>Edelaine Maria Da Silva Pereira</t>
  </si>
  <si>
    <t>(35)99722-9553</t>
  </si>
  <si>
    <t>(35)99716-8991</t>
  </si>
  <si>
    <t xml:space="preserve">vai pensar </t>
  </si>
  <si>
    <t>(35)99841-7174</t>
  </si>
  <si>
    <t>Elizenir de Fátima Moraes Reder</t>
  </si>
  <si>
    <t>(35)99759-2280</t>
  </si>
  <si>
    <t>Sebastião Adauto Constantino</t>
  </si>
  <si>
    <t>(35)99889-1812</t>
  </si>
  <si>
    <t>Rosilene Pereira da Silva</t>
  </si>
  <si>
    <t>(35)98478-0706</t>
  </si>
  <si>
    <t>Leila Michele Pereira</t>
  </si>
  <si>
    <t>Fabio Alessandro Pereira</t>
  </si>
  <si>
    <t>(35)99869-9439</t>
  </si>
  <si>
    <t>Rayra Dias Alonso</t>
  </si>
  <si>
    <t>(35)99729-7115</t>
  </si>
  <si>
    <t>(35)99903-3651</t>
  </si>
  <si>
    <t>Passou a titularidade pra mulher</t>
  </si>
  <si>
    <t>(11)93365-0910</t>
  </si>
  <si>
    <t>MARIA APARECIDA DA SILVA (CENTRO)</t>
  </si>
  <si>
    <t>() -</t>
  </si>
  <si>
    <t>Nã existe mais</t>
  </si>
  <si>
    <t>(35) 99853-7538</t>
  </si>
  <si>
    <t>(35) 99807-8116</t>
  </si>
  <si>
    <t>(35) 99176-3224</t>
  </si>
  <si>
    <t>(35) 98456-1225</t>
  </si>
  <si>
    <t>Insastifação</t>
  </si>
  <si>
    <t>(35) 99953-8981</t>
  </si>
  <si>
    <t>(35) 99880-8596</t>
  </si>
  <si>
    <t>voltou a ser cliente</t>
  </si>
  <si>
    <t>(35) 99908-6821</t>
  </si>
  <si>
    <t>(35) 99955-6207</t>
  </si>
  <si>
    <t>(35) 9898-7214</t>
  </si>
  <si>
    <t>(35) 99800-7445</t>
  </si>
  <si>
    <t>Andrezinho veiculo</t>
  </si>
  <si>
    <t>(35) 99973-9172</t>
  </si>
  <si>
    <t>(35) 99934-3669</t>
  </si>
  <si>
    <t>MARCIO JOSÃ DA SILVA</t>
  </si>
  <si>
    <t>(35) 99936-7278</t>
  </si>
  <si>
    <t>(35) 98422-0025</t>
  </si>
  <si>
    <t>(35) 99902-1427</t>
  </si>
  <si>
    <t>(35) 99893-0534</t>
  </si>
  <si>
    <t>(35) 99921-1002</t>
  </si>
  <si>
    <t>MARCELO JOSÃ SOUZA</t>
  </si>
  <si>
    <t>(35) 99807-2076</t>
  </si>
  <si>
    <t>WILSON HENRIQUE DOS SANTOS</t>
  </si>
  <si>
    <t>(35) 98433-2801</t>
  </si>
  <si>
    <t>(35) 99953-6433</t>
  </si>
  <si>
    <t>(35) 99721-7928</t>
  </si>
  <si>
    <t>fechou a padaria</t>
  </si>
  <si>
    <t>(35) 9717-1066</t>
  </si>
  <si>
    <t>LUCIANE PEREIRA DE TOLEDO (WIZARD)</t>
  </si>
  <si>
    <t>colocou em um unico cadastro</t>
  </si>
  <si>
    <t>Passou a titularidade pro pai</t>
  </si>
  <si>
    <t>(35) 99811-2318</t>
  </si>
  <si>
    <t>Passou a titularidade pro filho</t>
  </si>
  <si>
    <t>(35) 99962-7196</t>
  </si>
  <si>
    <t>(35) 99722-7219</t>
  </si>
  <si>
    <t>(35) 99831-7015</t>
  </si>
  <si>
    <t>cliente mudou de cidade</t>
  </si>
  <si>
    <t>(35) 99814-9889</t>
  </si>
  <si>
    <t>(35) 99853-6100</t>
  </si>
  <si>
    <t>(53) 99973-1222</t>
  </si>
  <si>
    <t>(35) 9951-6575</t>
  </si>
  <si>
    <t>(35) 99951-4567</t>
  </si>
  <si>
    <t>(35) 99884-8112</t>
  </si>
  <si>
    <t>zona rural mascate</t>
  </si>
  <si>
    <t>(11) 98600-2175</t>
  </si>
  <si>
    <t>Zona rural palma</t>
  </si>
  <si>
    <t>(35) 9926-1985</t>
  </si>
  <si>
    <t>(35) 99985-4299</t>
  </si>
  <si>
    <t>(35) 99842-5374</t>
  </si>
  <si>
    <t>(35) 9768-9571</t>
  </si>
  <si>
    <t>(35) 99862-7145</t>
  </si>
  <si>
    <t>(35) 99964-8518</t>
  </si>
  <si>
    <t>(35) 99143-1176</t>
  </si>
  <si>
    <t>(35) 99719-1217</t>
  </si>
  <si>
    <t>(35) 99911-5607</t>
  </si>
  <si>
    <t>voltou pra rede</t>
  </si>
  <si>
    <t>EMERSON MESQUITA DE BRITO</t>
  </si>
  <si>
    <t>cliente trocou titularidade pra dirlei</t>
  </si>
  <si>
    <t>(11) 8451-1297</t>
  </si>
  <si>
    <t>(35) 99956-4317</t>
  </si>
  <si>
    <t>(35) 99866-2927</t>
  </si>
  <si>
    <t>(35) 99858-9397</t>
  </si>
  <si>
    <t>(35) 99152-3184</t>
  </si>
  <si>
    <t>(35) 9930-0383</t>
  </si>
  <si>
    <t>(35) 99899-5951</t>
  </si>
  <si>
    <t>(35) 99921-4151</t>
  </si>
  <si>
    <t>(35) 99859-9238</t>
  </si>
  <si>
    <t>(35) 99757-8297</t>
  </si>
  <si>
    <t>(35) 99804-2761</t>
  </si>
  <si>
    <t>(35) 99944-6539</t>
  </si>
  <si>
    <t>(35) 99879-2857</t>
  </si>
  <si>
    <t>(53) 99740-2583</t>
  </si>
  <si>
    <t>(35) 99862-8212</t>
  </si>
  <si>
    <t>(35) 99847-9580</t>
  </si>
  <si>
    <t>(35) 99878-4515</t>
  </si>
  <si>
    <t>(19) 99956-1987</t>
  </si>
  <si>
    <t>(35) 99748-4154</t>
  </si>
  <si>
    <t>(35) 99821-1028</t>
  </si>
  <si>
    <t>(35) 98429-8950</t>
  </si>
  <si>
    <t>ANTONIO CLARET DE AGUIAR</t>
  </si>
  <si>
    <t>(35) 99752-2471</t>
  </si>
  <si>
    <t>(35) 99747-4057</t>
  </si>
  <si>
    <t>(35) 99941-9843</t>
  </si>
  <si>
    <t>(35) 99912-8049</t>
  </si>
  <si>
    <t>(19) 3879-5549</t>
  </si>
  <si>
    <t>(11) 99230-8407</t>
  </si>
  <si>
    <t>(35) 99993-6160</t>
  </si>
  <si>
    <t>(35) 99972-5904</t>
  </si>
  <si>
    <t>(35) 99856-5844</t>
  </si>
  <si>
    <t>(35) 99864-2083</t>
  </si>
  <si>
    <t>(35) 99152-0335</t>
  </si>
  <si>
    <t>(35) 99897-6409</t>
  </si>
  <si>
    <t>(35) 99805-6162</t>
  </si>
  <si>
    <t>(35) 99887-0148</t>
  </si>
  <si>
    <t>(35) 99936-7162</t>
  </si>
  <si>
    <t>(35) 99988-8935</t>
  </si>
  <si>
    <t>(35) 99904-8049</t>
  </si>
  <si>
    <t>(35) 99855-6558</t>
  </si>
  <si>
    <t>(35) 99191-3549</t>
  </si>
  <si>
    <t>(35) 99754-0307</t>
  </si>
  <si>
    <t>(35) 99169-3623</t>
  </si>
  <si>
    <t>(35) 99964-6884</t>
  </si>
  <si>
    <t>(35) 99919-8648</t>
  </si>
  <si>
    <t>(35) 99149-0449</t>
  </si>
  <si>
    <t>(35) 99714-3876</t>
  </si>
  <si>
    <t>(35) 99862-9594</t>
  </si>
  <si>
    <t>(35) 99767-3460</t>
  </si>
  <si>
    <t>(35) 99918-9164</t>
  </si>
  <si>
    <t>Maristela Coutinho</t>
  </si>
  <si>
    <t>(35) 99722-1457</t>
  </si>
  <si>
    <t>(35) 99993-8257</t>
  </si>
  <si>
    <t>Jose Quirino de Alvarenga Neto Loja 02</t>
  </si>
  <si>
    <t>(35) 9982-7347</t>
  </si>
  <si>
    <t>Mauro Aparecido de Souza Bueno</t>
  </si>
  <si>
    <t>(35) 99883-0725</t>
  </si>
  <si>
    <t>(35) 99908-5034</t>
  </si>
  <si>
    <t>Carlos Eduardo Paulino dos Santos</t>
  </si>
  <si>
    <t>(35) 99820-4929</t>
  </si>
  <si>
    <t>(35) 99931-7689</t>
  </si>
  <si>
    <t>(35) 99911-0862</t>
  </si>
  <si>
    <t>EVA MARLI DA SILVA</t>
  </si>
  <si>
    <t>(35) 99915-6971</t>
  </si>
  <si>
    <t>(35) 99929-5778</t>
  </si>
  <si>
    <t>Olsen Lopes da Silva Junior</t>
  </si>
  <si>
    <t>(11) 98571-3133</t>
  </si>
  <si>
    <t>(19) 98608-5186</t>
  </si>
  <si>
    <t>(35) 99844-1667</t>
  </si>
  <si>
    <t>(11) 99484-4601</t>
  </si>
  <si>
    <t>Elaine Cristina Silva e Santos</t>
  </si>
  <si>
    <t>(35) 99727-1421</t>
  </si>
  <si>
    <t>(11) 93464-8124</t>
  </si>
  <si>
    <t>(35) 99979-7048</t>
  </si>
  <si>
    <t>(35) 99836-1381</t>
  </si>
  <si>
    <t>(11) 98124-8599</t>
  </si>
  <si>
    <t>(35) 98479-4441</t>
  </si>
  <si>
    <t>(35) 99897-6518</t>
  </si>
  <si>
    <t>(35) 99861-0501</t>
  </si>
  <si>
    <t>Leny de Meirelles</t>
  </si>
  <si>
    <t>(35) 99984-5059</t>
  </si>
  <si>
    <t>(35) 9890-2765</t>
  </si>
  <si>
    <t>(81) 98290-1031</t>
  </si>
  <si>
    <t>Benedito Luiz Senna Lima</t>
  </si>
  <si>
    <t>(35) 99839-5036</t>
  </si>
  <si>
    <t>(35) 99882-0950</t>
  </si>
  <si>
    <t>(35) 99870-4771</t>
  </si>
  <si>
    <t>(35) 99844-2295</t>
  </si>
  <si>
    <t>Luiz Emílio de Oliveira Nogueira</t>
  </si>
  <si>
    <t>(35) 99944-3528</t>
  </si>
  <si>
    <t>(35) 99830-9787</t>
  </si>
  <si>
    <t>Jacqueline Cristina da Silva Lopes</t>
  </si>
  <si>
    <t>(35) 9103-5644</t>
  </si>
  <si>
    <t>(12) 99785-6508</t>
  </si>
  <si>
    <t>(35) 99894-3613</t>
  </si>
  <si>
    <t>(11) 99479-5400</t>
  </si>
  <si>
    <t>Lucatelli Comercio de Veiculos Ltda</t>
  </si>
  <si>
    <t>(35) 99955-3825</t>
  </si>
  <si>
    <t>(35) 99990-5454</t>
  </si>
  <si>
    <t>Waldemar Ademir Raimundo</t>
  </si>
  <si>
    <t>(35) 99866-1591</t>
  </si>
  <si>
    <t>Vera Lucia Alves Tribek</t>
  </si>
  <si>
    <t>(35) 99700-1625</t>
  </si>
  <si>
    <t>Selma Ribeiro Nunes Rossmann</t>
  </si>
  <si>
    <t>(35) 99268-9155</t>
  </si>
  <si>
    <t>(35) 99815-6111</t>
  </si>
  <si>
    <t>(35) 99943-1619</t>
  </si>
  <si>
    <t>(35) 99832-4024</t>
  </si>
  <si>
    <t>Sara Helena Pereira e Silva Gaspar</t>
  </si>
  <si>
    <t>(21) 96778-8008</t>
  </si>
  <si>
    <t>(35) 99884-1615</t>
  </si>
  <si>
    <t>(35) 99890-2379</t>
  </si>
  <si>
    <t>(35) 99909-2059</t>
  </si>
  <si>
    <t>(35) 99766-6419</t>
  </si>
  <si>
    <t>(35) 99758-8914</t>
  </si>
  <si>
    <t>(35) 99986-7920</t>
  </si>
  <si>
    <t>João Paulo de Oliveira Salgado</t>
  </si>
  <si>
    <t>(35) 99832-3295</t>
  </si>
  <si>
    <t>(35) 99748-3963</t>
  </si>
  <si>
    <t>Antonio Gaspar de Melo junior</t>
  </si>
  <si>
    <t>(35) 99800-5820</t>
  </si>
  <si>
    <t>(35) 99882-1866</t>
  </si>
  <si>
    <t>(35) 9840-3636</t>
  </si>
  <si>
    <t>Orivaldo Porfirio da Silva Junior</t>
  </si>
  <si>
    <t>(35) 99882-8173</t>
  </si>
  <si>
    <t>(35) 9858-6129</t>
  </si>
  <si>
    <t>Renato Alas Martins</t>
  </si>
  <si>
    <t>(35) 99814-0963</t>
  </si>
  <si>
    <t>Luanda Priscila de Lima</t>
  </si>
  <si>
    <t>(35) 99890-6438</t>
  </si>
  <si>
    <t>Nadia Rebeca Moreira Pires</t>
  </si>
  <si>
    <t>(35) 99961-3423</t>
  </si>
  <si>
    <t>Bonieck Honorato Pereira</t>
  </si>
  <si>
    <t>(35) 99868-2299</t>
  </si>
  <si>
    <t>Italo</t>
  </si>
  <si>
    <t>(35) 99752-5198</t>
  </si>
  <si>
    <t>Jose Lazaro de Melo</t>
  </si>
  <si>
    <t>(35) 9810-0658</t>
  </si>
  <si>
    <t>Antonio Carlos Diniz</t>
  </si>
  <si>
    <t>(35) 99134-6513</t>
  </si>
  <si>
    <t>(35) 9927-4203</t>
  </si>
  <si>
    <t>Bruno Cipriano Maria</t>
  </si>
  <si>
    <t>(35) 9104-0162</t>
  </si>
  <si>
    <t>Antonio Trotta</t>
  </si>
  <si>
    <t>(35) 99821-6760</t>
  </si>
  <si>
    <t>Opa Suite</t>
  </si>
  <si>
    <t>Mensagem atual</t>
  </si>
  <si>
    <t>Sugestão para troca</t>
  </si>
  <si>
    <t>Olà me chamo Alessandra, em que posso lhe ajudar?</t>
  </si>
  <si>
    <t>Alessandra iniciou seu atendimento</t>
  </si>
  <si>
    <t>Caro cliente,</t>
  </si>
  <si>
    <t>Sua avaliação é muito importante para o nosso crescimento. É só digitar um numero entre 1 e 5 onde, 1 o é menor valor e 5 o maior. Ou Digite /encerrar. Obrigado</t>
  </si>
  <si>
    <t>Valorizamos sua opinião! Em uma escala de 1 a 5, qual nota você daria para este atendimento que acabou de receber? Ou Digite /encerrar. Obrigado</t>
  </si>
  <si>
    <t xml:space="preserve"> 5 - 🤩 Excelente</t>
  </si>
  <si>
    <t xml:space="preserve"> 4 - 😃 Bom</t>
  </si>
  <si>
    <t xml:space="preserve"> 3 - 😐 Regular</t>
  </si>
  <si>
    <t xml:space="preserve"> 2 - 🙁 Ruim</t>
  </si>
  <si>
    <t xml:space="preserve"> 1 - ☹️ Péssimo️</t>
  </si>
  <si>
    <t>Foi muito bom poder falar com você! 🥰</t>
  </si>
  <si>
    <t>Obrigado por estar conosco! 💜</t>
  </si>
  <si>
    <t>Sempre que precisar estarei a disposição! É só mandar um Oi! 👋</t>
  </si>
  <si>
    <t>O que precisar pode nos chamar, conte sempre com a equipe Via 01! 🫱🏻‍🫲🏼</t>
  </si>
  <si>
    <t>Nome do cliente</t>
  </si>
  <si>
    <t>Nome do indicado</t>
  </si>
  <si>
    <t xml:space="preserve">Data </t>
  </si>
  <si>
    <t>COMPACT TELECOM LTDA</t>
  </si>
  <si>
    <t>31/07/2023</t>
  </si>
  <si>
    <t>Pedro Júlio Oliveira Venâncio</t>
  </si>
  <si>
    <t>Ryan William de Almeida</t>
  </si>
  <si>
    <t>Murilo</t>
  </si>
  <si>
    <t>Eduardo Moraes da Silva</t>
  </si>
  <si>
    <t>Rudney Kristi</t>
  </si>
  <si>
    <t>Iraci raimundo</t>
  </si>
  <si>
    <t>Emerson Henrique Toledo Gusmão Silva</t>
  </si>
  <si>
    <t>Mercidio Vilas Boas</t>
  </si>
  <si>
    <t>Outubro</t>
  </si>
  <si>
    <t>Rudney Krist da Silva</t>
  </si>
  <si>
    <t>Rubinea Krist da Silva</t>
  </si>
  <si>
    <t>Matos Calcados</t>
  </si>
  <si>
    <t xml:space="preserve"> Matheus Willian dos Santos </t>
  </si>
  <si>
    <t>14/10/2024</t>
  </si>
  <si>
    <t>(35)99850-2021</t>
  </si>
  <si>
    <t>(35) 99975-7905</t>
  </si>
  <si>
    <t>(11)97028-7171</t>
  </si>
  <si>
    <t>Geraldo Donizete Lopes</t>
  </si>
  <si>
    <t>(35)99969-6491</t>
  </si>
  <si>
    <t>(35)99937-2484</t>
  </si>
  <si>
    <t>(35)99166-8444</t>
  </si>
  <si>
    <t>(35)98447-3179</t>
  </si>
  <si>
    <t>(35)99932-7431</t>
  </si>
  <si>
    <t>(35)98416-9717</t>
  </si>
  <si>
    <t>Luiz Claudio Pereira de Souza</t>
  </si>
  <si>
    <t>(35) 9927-8701</t>
  </si>
  <si>
    <t>(35)99166-9737</t>
  </si>
  <si>
    <t>(35)99196-2376</t>
  </si>
  <si>
    <t>(35)99960-6594</t>
  </si>
  <si>
    <t>(35)99274-6926</t>
  </si>
  <si>
    <t>(35)99929-4545</t>
  </si>
  <si>
    <t>(35)99908-5288</t>
  </si>
  <si>
    <t>(35)99970-1290</t>
  </si>
  <si>
    <t>(35)99917-8756</t>
  </si>
  <si>
    <t>(19) 98416-9674</t>
  </si>
  <si>
    <t>(35) 99984-7024</t>
  </si>
  <si>
    <t>(35)99761-0868</t>
  </si>
  <si>
    <t>(35) 9848-2520</t>
  </si>
  <si>
    <t>PATRICIA TEARES COMERCIO E INDUSTRIA LTDA</t>
  </si>
  <si>
    <t>(35) 35998-6888</t>
  </si>
  <si>
    <t>Pedro Augusto Santos Costa</t>
  </si>
  <si>
    <t>(35)99152-1627</t>
  </si>
  <si>
    <t>(35)99736-4147</t>
  </si>
  <si>
    <t>Bianca Gamarra</t>
  </si>
  <si>
    <t>(35) 99983-8785</t>
  </si>
  <si>
    <t>(35)99992-8680</t>
  </si>
  <si>
    <t>(35)99168-9470</t>
  </si>
  <si>
    <t>(35)99938-6285</t>
  </si>
  <si>
    <t>(35)99967-6565</t>
  </si>
  <si>
    <t>(35)99710-3800</t>
  </si>
  <si>
    <t>Kabum Comercio Eletronico S/A</t>
  </si>
  <si>
    <t>(35)99812-2445</t>
  </si>
  <si>
    <t>(35)99939-0503</t>
  </si>
  <si>
    <t>(35)99959-0670</t>
  </si>
  <si>
    <t>(35) 99969-4473</t>
  </si>
  <si>
    <t>(35)99824-6370</t>
  </si>
  <si>
    <t>(35)99946-8851</t>
  </si>
  <si>
    <t>(11)98516-0187</t>
  </si>
  <si>
    <t>(35) 99963-2704</t>
  </si>
  <si>
    <t>(35)98404-3949</t>
  </si>
  <si>
    <t>(35)98435-0929</t>
  </si>
  <si>
    <t>(35)99128-7901</t>
  </si>
  <si>
    <t>(11)98403-8000</t>
  </si>
  <si>
    <t>(35)99700-8983</t>
  </si>
  <si>
    <t>(35)99974-0280</t>
  </si>
  <si>
    <t>(35) 99992-1519</t>
  </si>
  <si>
    <t>(35)99967-9212</t>
  </si>
  <si>
    <t>(35)99740-3966</t>
  </si>
  <si>
    <t>Andre Luiz Siqueira</t>
  </si>
  <si>
    <t>(35)99706-5139</t>
  </si>
  <si>
    <t>(35)99734-8597</t>
  </si>
  <si>
    <t>(35)98412-9712</t>
  </si>
  <si>
    <t>(00)00000-0000</t>
  </si>
  <si>
    <t>(11)94717-8278</t>
  </si>
  <si>
    <t>(11) 99817-5267</t>
  </si>
  <si>
    <t>(35)99983-6066</t>
  </si>
  <si>
    <t>(35)99853-1149</t>
  </si>
  <si>
    <t>Breno Fabricio de Almeida</t>
  </si>
  <si>
    <t>(35)99966-0351</t>
  </si>
  <si>
    <t>(11)98144-8844</t>
  </si>
  <si>
    <t>(35)99893-4722</t>
  </si>
  <si>
    <t>Mateus Lucas de Souza</t>
  </si>
  <si>
    <t>(35)99847-9374</t>
  </si>
  <si>
    <t>(35)99990-9153</t>
  </si>
  <si>
    <t>(35)99916-1146</t>
  </si>
  <si>
    <t>(35) 99731-6831</t>
  </si>
  <si>
    <t>(35)99901-4321</t>
  </si>
  <si>
    <t>(35)99916-5004</t>
  </si>
  <si>
    <t>(99)91919-0232</t>
  </si>
  <si>
    <t>Paulo Cezar da Silva</t>
  </si>
  <si>
    <t>(35)99957-3253</t>
  </si>
  <si>
    <t>(19)71510-6899</t>
  </si>
  <si>
    <t>(11)94872-1830</t>
  </si>
  <si>
    <t>(35)99910-3161</t>
  </si>
  <si>
    <t>(35)99706-2314</t>
  </si>
  <si>
    <t>(35) 99903-6448</t>
  </si>
  <si>
    <t>(35)99833-2091</t>
  </si>
  <si>
    <t>Tony Maicon Souza</t>
  </si>
  <si>
    <t>(35) 99831-1223</t>
  </si>
  <si>
    <t>(35) 99943-2030</t>
  </si>
  <si>
    <t>(35)99167-4520</t>
  </si>
  <si>
    <t>(35) 9897-8683</t>
  </si>
  <si>
    <t>(35)99751-9530</t>
  </si>
  <si>
    <t>(35)99981-7963</t>
  </si>
  <si>
    <t>(35)99996-3686</t>
  </si>
  <si>
    <t>(35)99841-1078</t>
  </si>
  <si>
    <t>Anderson Henrique de Souza</t>
  </si>
  <si>
    <t>(35) 99950-6571</t>
  </si>
  <si>
    <t>(35)99807-7979</t>
  </si>
  <si>
    <t>(35)99140-3912</t>
  </si>
  <si>
    <t>(35)99890-6343</t>
  </si>
  <si>
    <t>Eunice Moreira Da Costa</t>
  </si>
  <si>
    <t>(35)99760-3888</t>
  </si>
  <si>
    <t>(35)98434-4834</t>
  </si>
  <si>
    <t>(35)98429-9100</t>
  </si>
  <si>
    <t>(35)99841-8890</t>
  </si>
  <si>
    <t>(35)99716-7248</t>
  </si>
  <si>
    <t>(35)99928-5262</t>
  </si>
  <si>
    <t>(35)99745-5142</t>
  </si>
  <si>
    <t>(35)99957-2619</t>
  </si>
  <si>
    <t>(35)99904-7492</t>
  </si>
  <si>
    <t>(35)99992-0310</t>
  </si>
  <si>
    <t>(35)99807-1307</t>
  </si>
  <si>
    <t>(35)99854-0359</t>
  </si>
  <si>
    <t>(35)99885-1923</t>
  </si>
  <si>
    <t>(35)99889-5656</t>
  </si>
  <si>
    <t>(35) 99942-8140</t>
  </si>
  <si>
    <t>(35) 99812-1791</t>
  </si>
  <si>
    <t>(35)99268-6776</t>
  </si>
  <si>
    <t>(11)98184-0585</t>
  </si>
  <si>
    <t>(35)99810-0022</t>
  </si>
  <si>
    <t>(35)99830-2193</t>
  </si>
  <si>
    <t>Otavio Lima de Freitas</t>
  </si>
  <si>
    <t>(35)99879-0782</t>
  </si>
  <si>
    <t>(35)99804-9724</t>
  </si>
  <si>
    <t>(35)99749-9302</t>
  </si>
  <si>
    <t>(35)98403-1237</t>
  </si>
  <si>
    <t>(35)99904-8995</t>
  </si>
  <si>
    <t>(35)99884-5200</t>
  </si>
  <si>
    <t>(35)99816-1945</t>
  </si>
  <si>
    <t>(35)99909-5971</t>
  </si>
  <si>
    <t>Rafaely Alvarenga dos Santos</t>
  </si>
  <si>
    <t>(35)99912-7232</t>
  </si>
  <si>
    <t>(35)99853-8855</t>
  </si>
  <si>
    <t>(35)99868-8651</t>
  </si>
  <si>
    <t>(35)99914-8656</t>
  </si>
  <si>
    <t>Maisa Rezende de Padua</t>
  </si>
  <si>
    <t>(35)99838-7449</t>
  </si>
  <si>
    <t>(35)99901-4619</t>
  </si>
  <si>
    <t>Adilson Carlos de Menezes</t>
  </si>
  <si>
    <t>(35)99725-4661</t>
  </si>
  <si>
    <t>(35)99897-5082</t>
  </si>
  <si>
    <t>(35)99805-8837</t>
  </si>
  <si>
    <t>Vera Lucia Machado</t>
  </si>
  <si>
    <t>(35)99878-7460</t>
  </si>
  <si>
    <t>(35)99994-6287</t>
  </si>
  <si>
    <t>Zuleica Rebeca dos Santos</t>
  </si>
  <si>
    <t>(35)99895-0580</t>
  </si>
  <si>
    <t>(35)98432-6046</t>
  </si>
  <si>
    <t>Patricia Helena de Sousa</t>
  </si>
  <si>
    <t>(35) 99735-6505</t>
  </si>
  <si>
    <t>(19) 97166-5391</t>
  </si>
  <si>
    <t>Lucimara de Jesus Barbosa</t>
  </si>
  <si>
    <t>(35)99983-1567</t>
  </si>
  <si>
    <t>(35)99936-2904</t>
  </si>
  <si>
    <t>(35)99990-1661</t>
  </si>
  <si>
    <t>(35)99709-1399</t>
  </si>
  <si>
    <t>(35)99936-7972</t>
  </si>
  <si>
    <t>(35)98425-3482</t>
  </si>
  <si>
    <t>(35)99751-0264</t>
  </si>
  <si>
    <t>(35)99709-8228</t>
  </si>
  <si>
    <t>(35) 99848-4333</t>
  </si>
  <si>
    <t>(35)99825-7497</t>
  </si>
  <si>
    <t>Jonas da Silva Pereira</t>
  </si>
  <si>
    <t>(35) 9706-7428</t>
  </si>
  <si>
    <t>(35)99948-8311</t>
  </si>
  <si>
    <t>(35)99961-5054</t>
  </si>
  <si>
    <t>(35)99900-1167</t>
  </si>
  <si>
    <t>Valdirene de Morais Barboza Godoi Santos</t>
  </si>
  <si>
    <t>(35)99719-4544</t>
  </si>
  <si>
    <t>Lucia Helena Claro Bueno</t>
  </si>
  <si>
    <t>(35) 99746-0338</t>
  </si>
  <si>
    <t>(35)99907-0266</t>
  </si>
  <si>
    <t>(35)99765-2117</t>
  </si>
  <si>
    <t>(35)99971-7949</t>
  </si>
  <si>
    <t>Walquiria de Cassia Arruda Oliveira</t>
  </si>
  <si>
    <t>(35)99970-4712</t>
  </si>
  <si>
    <t>(35) 91017-2870</t>
  </si>
  <si>
    <t>(35) 99977-4828</t>
  </si>
  <si>
    <t>Rosilene de Oliveira Rosa</t>
  </si>
  <si>
    <t>(35) 99750-5022</t>
  </si>
  <si>
    <t>Paulo Donizete da Silva</t>
  </si>
  <si>
    <t>(35)99701-7061</t>
  </si>
  <si>
    <t>Luiz Rafael da Silva</t>
  </si>
  <si>
    <t>(37) 99976-5685</t>
  </si>
  <si>
    <t>Marta Maria da Rosa Lopes</t>
  </si>
  <si>
    <t>(35)99978-5012</t>
  </si>
  <si>
    <t>Carlos Rafael de Freitas</t>
  </si>
  <si>
    <t>(35)99942-4648</t>
  </si>
  <si>
    <t>Maria Celia de Moraes Santos</t>
  </si>
  <si>
    <t>(35) 99881-2466</t>
  </si>
  <si>
    <t>(35)99932-2585</t>
  </si>
  <si>
    <t>Ronaldo Batista da Costa</t>
  </si>
  <si>
    <t>(35)99926-8549</t>
  </si>
  <si>
    <t>(35) 99755-5624</t>
  </si>
  <si>
    <t>(35)99964-6008</t>
  </si>
  <si>
    <t>Jose Augusto da Rosa Silva</t>
  </si>
  <si>
    <t>(35) 35998-3840</t>
  </si>
  <si>
    <t>(35) 99781-3162</t>
  </si>
  <si>
    <t>(35) 99749-8811</t>
  </si>
  <si>
    <t>Taila Cristina dos Santos Da Costa</t>
  </si>
  <si>
    <t>(35) 99823-4869</t>
  </si>
  <si>
    <t>Leandro de Souza Silva</t>
  </si>
  <si>
    <t>(35) 99915-5329</t>
  </si>
  <si>
    <t>(35)99142-7665</t>
  </si>
  <si>
    <t>Emilda Maria da Silva</t>
  </si>
  <si>
    <t>(35)99804-2006</t>
  </si>
  <si>
    <t>(35)99814-9749</t>
  </si>
  <si>
    <t>Rosemary Conceiçao da Silva</t>
  </si>
  <si>
    <t>(35) 98437-3060</t>
  </si>
  <si>
    <t>(35)99829-7193</t>
  </si>
  <si>
    <t>Clenira  Moreira Marinelli</t>
  </si>
  <si>
    <t>(35)99824-2019</t>
  </si>
  <si>
    <t>(35)99813-7192</t>
  </si>
  <si>
    <t>(35)99807-9410</t>
  </si>
  <si>
    <t>Iracema Rita da Silva Rocha</t>
  </si>
  <si>
    <t>(35) 99156-5965</t>
  </si>
  <si>
    <t>Janaina Danieli do Prado Faria</t>
  </si>
  <si>
    <t>(35) 99990-1893</t>
  </si>
  <si>
    <t>(35)99901-4627</t>
  </si>
  <si>
    <t>Maria Aparecida da Silva</t>
  </si>
  <si>
    <t>(35) 99926-9131</t>
  </si>
  <si>
    <t>(35)99872-6055</t>
  </si>
  <si>
    <t>(35)99868-8868</t>
  </si>
  <si>
    <t>(35)99913-1167</t>
  </si>
  <si>
    <t>(35)99837-4616</t>
  </si>
  <si>
    <t>Elaine Pereira Simões</t>
  </si>
  <si>
    <t>(35)99882-9321</t>
  </si>
  <si>
    <t>(19)98151-5032</t>
  </si>
  <si>
    <t>(35)99853-0545</t>
  </si>
  <si>
    <t>(35) 99915-8406</t>
  </si>
  <si>
    <t>(35) 99848-4730</t>
  </si>
  <si>
    <t>(35) 99997-4830</t>
  </si>
  <si>
    <t>(35) 99992-4832</t>
  </si>
  <si>
    <t>(35) 99978-5061</t>
  </si>
  <si>
    <t>(35) 99963-8641</t>
  </si>
  <si>
    <t>(35) 99731-0640</t>
  </si>
  <si>
    <t>(35) 99911-6756</t>
  </si>
  <si>
    <t>(35) 99848-0711</t>
  </si>
  <si>
    <t>(35) 9920-8670</t>
  </si>
  <si>
    <t>(35) 99706-6141</t>
  </si>
  <si>
    <t>(35) 99834-5107</t>
  </si>
  <si>
    <t>(35) 99209-9944</t>
  </si>
  <si>
    <t>(35) 99993-2195</t>
  </si>
  <si>
    <t>(35) 99154-7220</t>
  </si>
  <si>
    <t>(35) 9865-2726</t>
  </si>
  <si>
    <t>(35) 99723-0849</t>
  </si>
  <si>
    <t>(35) 9909-5595</t>
  </si>
  <si>
    <t>(35) 9803-5537</t>
  </si>
  <si>
    <t>(35) 99903-1849</t>
  </si>
  <si>
    <t>(35) 99957-5159</t>
  </si>
  <si>
    <t>(35) 9817-8070</t>
  </si>
  <si>
    <t>Neyde Rodrigues da Silva Oliveira</t>
  </si>
  <si>
    <t>(35) 9917-7839</t>
  </si>
  <si>
    <t>(35) 99858-9158</t>
  </si>
  <si>
    <t>(35) 99745-4074</t>
  </si>
  <si>
    <t>(35) 9989-4866</t>
  </si>
  <si>
    <t>(35) 99868-2012</t>
  </si>
  <si>
    <t>(35) 99859-8908</t>
  </si>
  <si>
    <t>(35) 3445-1622</t>
  </si>
  <si>
    <t>(35) 9175-4458</t>
  </si>
  <si>
    <t>(35) 99760-0049</t>
  </si>
  <si>
    <t>(35) 99992-4697</t>
  </si>
  <si>
    <t>(35) 99868-9233</t>
  </si>
  <si>
    <t>JOSE CARLOS DE SOUZA</t>
  </si>
  <si>
    <t>(35) 99936-2996</t>
  </si>
  <si>
    <t>(35) 99893-4733</t>
  </si>
  <si>
    <t>(35) 99898-7020</t>
  </si>
  <si>
    <t>(35) 99884-4540</t>
  </si>
  <si>
    <t>ISABEL CRISTINA MARÇAL DOS SANTOS</t>
  </si>
  <si>
    <t>(35) 99936-9641</t>
  </si>
  <si>
    <t>(35) 99805-7570</t>
  </si>
  <si>
    <t>(35) 9956-1876</t>
  </si>
  <si>
    <t>(35) 99824-7019</t>
  </si>
  <si>
    <t>(35) 99934-3789</t>
  </si>
  <si>
    <t>Maria Cristina de Cassia Moreira Cobra de Carvalho</t>
  </si>
  <si>
    <t>(35) 9892-0897</t>
  </si>
  <si>
    <t>(35) 99988-3047</t>
  </si>
  <si>
    <t>(35) 99134-7941</t>
  </si>
  <si>
    <t>(35) 99906-9539</t>
  </si>
  <si>
    <t>(35) 99905-7684</t>
  </si>
  <si>
    <t>(35) 99803-4694</t>
  </si>
  <si>
    <t>(35) 99905-0228</t>
  </si>
  <si>
    <t>(35) 99992-5770</t>
  </si>
  <si>
    <t>(35) 99738-4223</t>
  </si>
  <si>
    <t>(35) 99984-2815</t>
  </si>
  <si>
    <t>(35) 99126-3001</t>
  </si>
  <si>
    <t>(35) 99968-5154</t>
  </si>
  <si>
    <t>(35) 99928-4410</t>
  </si>
  <si>
    <t>(53) 99730-1599</t>
  </si>
  <si>
    <t>Pollyana Aparecida Ribeiro de Moraes</t>
  </si>
  <si>
    <t>(35) 99954-8608</t>
  </si>
  <si>
    <t>(35) 99835-4991</t>
  </si>
  <si>
    <t>(35) 99144-5254</t>
  </si>
  <si>
    <t>(35) 99876-0672</t>
  </si>
  <si>
    <t>(35) 99722-8328</t>
  </si>
  <si>
    <t>(35) 99720-7144</t>
  </si>
  <si>
    <t>(35) 99922-1901</t>
  </si>
  <si>
    <t>ISADORA APARECIDA ROSA</t>
  </si>
  <si>
    <t>(35) 99888-5680</t>
  </si>
  <si>
    <t>Jefferson Wellington da Silva Pacheco</t>
  </si>
  <si>
    <t>(35) 99830-2203</t>
  </si>
  <si>
    <t>(35) 99878-7692</t>
  </si>
  <si>
    <t>PAULO ROBERTO VIEIRA DOS SANTOS</t>
  </si>
  <si>
    <t>(35) 9928-0348</t>
  </si>
  <si>
    <t>(35) 99761-4034</t>
  </si>
  <si>
    <t>(35) 99803-9978</t>
  </si>
  <si>
    <t>(35) 99975-7980</t>
  </si>
  <si>
    <t>(35) 3445-2430</t>
  </si>
  <si>
    <t>(35) 9727-2585</t>
  </si>
  <si>
    <t>(35) 99738-0167</t>
  </si>
  <si>
    <t>(35) 99871-7819</t>
  </si>
  <si>
    <t>(35) 99949-6669</t>
  </si>
  <si>
    <t>CELSO CARDOSO ARRUDA</t>
  </si>
  <si>
    <t>(35) 99984-3738</t>
  </si>
  <si>
    <t>(35) 9144-6518</t>
  </si>
  <si>
    <t>(35) 9944-5859</t>
  </si>
  <si>
    <t>(35) 99922-3253</t>
  </si>
  <si>
    <t>(35) 99893-4203</t>
  </si>
  <si>
    <t>(35) 9950-7161</t>
  </si>
  <si>
    <t>(35) 99967-1018</t>
  </si>
  <si>
    <t>(35) 99710-2172</t>
  </si>
  <si>
    <t>(11) 99739-3800</t>
  </si>
  <si>
    <t>(35) 99975-6866</t>
  </si>
  <si>
    <t>(11) 99101-2229</t>
  </si>
  <si>
    <t>(35) 99907-0896</t>
  </si>
  <si>
    <t>André Luís Santos de Paulo</t>
  </si>
  <si>
    <t>(35) 9725-8209</t>
  </si>
  <si>
    <t>Alzira Mariana Martins</t>
  </si>
  <si>
    <t>(35) 99803-9341</t>
  </si>
  <si>
    <t>(35) 99114-4499</t>
  </si>
  <si>
    <t>(53) 99956-5666</t>
  </si>
  <si>
    <t>(35) 99209-2730</t>
  </si>
  <si>
    <t>(35) 42934-8600</t>
  </si>
  <si>
    <t>(35) 99918-8248</t>
  </si>
  <si>
    <t>(35) 99738-0944</t>
  </si>
  <si>
    <t>(35) 9931-1751</t>
  </si>
  <si>
    <t>(35) 99710-9699</t>
  </si>
  <si>
    <t>(35) 99190-6993</t>
  </si>
  <si>
    <t>(35) 99939-2271</t>
  </si>
  <si>
    <t>(35) 9926-2277</t>
  </si>
  <si>
    <t>(35) 3445-2907</t>
  </si>
  <si>
    <t>(35) 99848-2352</t>
  </si>
  <si>
    <t>(19) 99194-5691</t>
  </si>
  <si>
    <t>(11) 98752-5761</t>
  </si>
  <si>
    <t>(35) 99958-8248</t>
  </si>
  <si>
    <t>(35) 35983-5137</t>
  </si>
  <si>
    <t>(35) 99996-1766</t>
  </si>
  <si>
    <t>COMUNIDADE EVANGELICA SARA NOSSA TERRA DE POUSO ALEGRE</t>
  </si>
  <si>
    <t>(35) 99996-3677</t>
  </si>
  <si>
    <t>(35) 99206-9270</t>
  </si>
  <si>
    <t>(35) 99839-2480</t>
  </si>
  <si>
    <t>(35) 9913-6968</t>
  </si>
  <si>
    <t>Marina Rodrigues Valente</t>
  </si>
  <si>
    <t>(35) 99910-2759</t>
  </si>
  <si>
    <t>Lindenberg Edinilson de Meireles</t>
  </si>
  <si>
    <t>(35) 99927-5540</t>
  </si>
  <si>
    <t>(35) 99146-0800</t>
  </si>
  <si>
    <t>(35) 9191-0365</t>
  </si>
  <si>
    <t>(35) 9887-8803</t>
  </si>
  <si>
    <t>(35) 99736-3091</t>
  </si>
  <si>
    <t>(35) 98433-0425</t>
  </si>
  <si>
    <t>(35) 99969-8989</t>
  </si>
  <si>
    <t>(35) 9710-9266</t>
  </si>
  <si>
    <t>(35) 99937-0729</t>
  </si>
  <si>
    <t>(35) 99851-2770</t>
  </si>
  <si>
    <t>(35) 9996-3677</t>
  </si>
  <si>
    <t>(35) 99848-4241</t>
  </si>
  <si>
    <t>(35) 99752-3491</t>
  </si>
  <si>
    <t>(35) 9743-1310</t>
  </si>
  <si>
    <t>(35) 99997-1975</t>
  </si>
  <si>
    <t>(35) 9726-6371</t>
  </si>
  <si>
    <t>(11) 99590-9536</t>
  </si>
  <si>
    <t>(35) 99969-7129</t>
  </si>
  <si>
    <t>(35) 9868-6912</t>
  </si>
  <si>
    <t>(35) 99848-0544</t>
  </si>
  <si>
    <t>Jose Rodrigues da Silva</t>
  </si>
  <si>
    <t>(35) 99928-6162</t>
  </si>
  <si>
    <t>(35) 99849-4526</t>
  </si>
  <si>
    <t>(35) 99841-1978</t>
  </si>
  <si>
    <t>(35) 99890-1735</t>
  </si>
  <si>
    <t>(35) 9992-4157</t>
  </si>
  <si>
    <t>(35) 99809-7384</t>
  </si>
  <si>
    <t>(35) 99855-6764</t>
  </si>
  <si>
    <t>(35) 99872-3330</t>
  </si>
  <si>
    <t>(35) 99818-1477</t>
  </si>
  <si>
    <t>(35) 99978-5531</t>
  </si>
  <si>
    <t>(35) 99974-0323</t>
  </si>
  <si>
    <t>(99) 9710-3435</t>
  </si>
  <si>
    <t>(35) 99974-4926</t>
  </si>
  <si>
    <t>(35) 99965-1312</t>
  </si>
  <si>
    <t>(35) 9903-6776</t>
  </si>
  <si>
    <t>(35) 99807-6430</t>
  </si>
  <si>
    <t>(35) 99939-0185</t>
  </si>
  <si>
    <t>(35) 99834-0002</t>
  </si>
  <si>
    <t>(35) 99813-6155</t>
  </si>
  <si>
    <t>(35) 99720-6961</t>
  </si>
  <si>
    <t>(35) 99920-2146</t>
  </si>
  <si>
    <t>(35) 99755-5587</t>
  </si>
  <si>
    <t>(35) 99119-7440</t>
  </si>
  <si>
    <t>(35) 99706-7470</t>
  </si>
  <si>
    <t>(35) 99896-8113</t>
  </si>
  <si>
    <t>(35) 99901-0033</t>
  </si>
  <si>
    <t>(35) 99914-7996</t>
  </si>
  <si>
    <t>(35) 99814-6621</t>
  </si>
  <si>
    <t>(35) 99989-3010</t>
  </si>
  <si>
    <t>(35) 99881-0440</t>
  </si>
  <si>
    <t>(35) 99709-7417</t>
  </si>
  <si>
    <t>(35) 99232-1107</t>
  </si>
  <si>
    <t>(35) 99838-6926</t>
  </si>
  <si>
    <t>(35) 99747-9478</t>
  </si>
  <si>
    <t>(35) 99829-4033</t>
  </si>
  <si>
    <t>(35) 99772-0568</t>
  </si>
  <si>
    <t>(35) 99710-2837</t>
  </si>
  <si>
    <t>(35) 3445-1302</t>
  </si>
  <si>
    <t>(35) 99869-2670</t>
  </si>
  <si>
    <t>(35) 99803-7204</t>
  </si>
  <si>
    <t>(35) 99916-8344</t>
  </si>
  <si>
    <t>(35) 99888-3854</t>
  </si>
  <si>
    <t>(35) 99913-0258</t>
  </si>
  <si>
    <t>(35) 99812-5334</t>
  </si>
  <si>
    <t>(35) 92002-8264</t>
  </si>
  <si>
    <t>(35) 99931-3821</t>
  </si>
  <si>
    <t>(35) 99859-4083</t>
  </si>
  <si>
    <t>(35) 99964-6492</t>
  </si>
  <si>
    <t>(35) 99171-0212</t>
  </si>
  <si>
    <t>(35) 98445-2458</t>
  </si>
  <si>
    <t>(35) 99927-0811</t>
  </si>
  <si>
    <t>(35) 9978-9172</t>
  </si>
  <si>
    <t>Diego Cezar Henrique</t>
  </si>
  <si>
    <t>(35) 99891-5876</t>
  </si>
  <si>
    <t>(35) 99190-2604</t>
  </si>
  <si>
    <t>(35) 99946-9610</t>
  </si>
  <si>
    <t>(35) 8426-8573</t>
  </si>
  <si>
    <t>(35) 9195-0144</t>
  </si>
  <si>
    <t>(35) 99902-8192</t>
  </si>
  <si>
    <t>MARCO ANTONIO DA SILVA</t>
  </si>
  <si>
    <t>(35) 99713-4049</t>
  </si>
  <si>
    <t>(35) 99867-1393</t>
  </si>
  <si>
    <t>(35) 99885-0062</t>
  </si>
  <si>
    <t>Luiz Donizete Maximiano</t>
  </si>
  <si>
    <t>(35) 98827-1481</t>
  </si>
  <si>
    <t>Simone Maria Ferreira</t>
  </si>
  <si>
    <t>(35) 99103-0006</t>
  </si>
  <si>
    <t>(35) 9907-0896</t>
  </si>
  <si>
    <t>(35) 99942-6306</t>
  </si>
  <si>
    <t>(35) 99178-3320</t>
  </si>
  <si>
    <t>(53) 99937-7105</t>
  </si>
  <si>
    <t>(35) 99961-1639</t>
  </si>
  <si>
    <t>(35) 99990-6455</t>
  </si>
  <si>
    <t>(35) 99944-7571</t>
  </si>
  <si>
    <t>(35) 99956-9370</t>
  </si>
  <si>
    <t>(35) 99858-4046</t>
  </si>
  <si>
    <t>(35) 99886-8120</t>
  </si>
  <si>
    <t>(35) 99823-5532</t>
  </si>
  <si>
    <t>(35) 99758-4651</t>
  </si>
  <si>
    <t>(35) 99756-5178</t>
  </si>
  <si>
    <t>(35) 9809-1146</t>
  </si>
  <si>
    <t>(35) 99956-0603</t>
  </si>
  <si>
    <t>(35) 99971-2818</t>
  </si>
  <si>
    <t>(35) 99821-8262</t>
  </si>
  <si>
    <t>(35) 99882-8018</t>
  </si>
  <si>
    <t>Valdomiro Pereira da Silva</t>
  </si>
  <si>
    <t>(35) 99966-2807</t>
  </si>
  <si>
    <t>(35) 99960-4470</t>
  </si>
  <si>
    <t>(35) 99831-4001</t>
  </si>
  <si>
    <t>(35) 99862-3233</t>
  </si>
  <si>
    <t>(35) 99170-7617</t>
  </si>
  <si>
    <t>(35) 99829-8795</t>
  </si>
  <si>
    <t>(35) 99947-4720</t>
  </si>
  <si>
    <t>(35) 99731-2882</t>
  </si>
  <si>
    <t>Gabrielly Ribeiro Silva</t>
  </si>
  <si>
    <t>(35) 99805-9830</t>
  </si>
  <si>
    <t>(35) 99934-0937</t>
  </si>
  <si>
    <t>(35) 99156-4537</t>
  </si>
  <si>
    <t>(35) 99983-9508</t>
  </si>
  <si>
    <t>(35) 99950-9299</t>
  </si>
  <si>
    <t>(35) 99871-5749</t>
  </si>
  <si>
    <t>(35) 99710-6805</t>
  </si>
  <si>
    <t>(35) 99868-3915</t>
  </si>
  <si>
    <t>(35) 99955-6294</t>
  </si>
  <si>
    <t>(35) 99979-5344</t>
  </si>
  <si>
    <t>(35) 99866-4557</t>
  </si>
  <si>
    <t>(35) 99719-1760</t>
  </si>
  <si>
    <t>(35) 99859-9078</t>
  </si>
  <si>
    <t>(35) 99818-0227</t>
  </si>
  <si>
    <t>(35) 99983-2491</t>
  </si>
  <si>
    <t>(35) 99746-1499</t>
  </si>
  <si>
    <t>(35) 99987-6110</t>
  </si>
  <si>
    <t>(35) 99802-6417</t>
  </si>
  <si>
    <t>(35) 99903-4561</t>
  </si>
  <si>
    <t>(35) 99995-6260</t>
  </si>
  <si>
    <t>(35) 99825-2020</t>
  </si>
  <si>
    <t>(35) 99851-9997</t>
  </si>
  <si>
    <t>(35) 99936-8393</t>
  </si>
  <si>
    <t>(53) 98418-2911</t>
  </si>
  <si>
    <t>(35) 99764-0347</t>
  </si>
  <si>
    <t>(11) 96873-0348</t>
  </si>
  <si>
    <t>(11) 95371-0149</t>
  </si>
  <si>
    <t>(35) 99940-5930</t>
  </si>
  <si>
    <t>(35) 99898-4328</t>
  </si>
  <si>
    <t>(35) 99975-0951</t>
  </si>
  <si>
    <t>Luiz Guilherme Cobra Brandão Eireli</t>
  </si>
  <si>
    <t>(35) 9812-2445</t>
  </si>
  <si>
    <t>(35) 98417-7807</t>
  </si>
  <si>
    <t>(35) 99748-8008</t>
  </si>
  <si>
    <t>(35) 99859-6175</t>
  </si>
  <si>
    <t>(35) 99914-2491</t>
  </si>
  <si>
    <t>(35) 99890-1582</t>
  </si>
  <si>
    <t>(11) 98525-5207</t>
  </si>
  <si>
    <t>(35) 99813-5667</t>
  </si>
  <si>
    <t>(11) 95122-8104</t>
  </si>
  <si>
    <t>(35) 99824-6834</t>
  </si>
  <si>
    <t>(35) 99958-1694</t>
  </si>
  <si>
    <t>(35) 99849-6201</t>
  </si>
  <si>
    <t>(35) 99958-7544</t>
  </si>
  <si>
    <t>(35) 99751-2773</t>
  </si>
  <si>
    <t>(35) 99807-5434</t>
  </si>
  <si>
    <t>(35) 99901-8453</t>
  </si>
  <si>
    <t>Via01 Estação</t>
  </si>
  <si>
    <t>(35) 99812-2445</t>
  </si>
  <si>
    <t>(35) 99909-1756</t>
  </si>
  <si>
    <t>(35) 9704-6463</t>
  </si>
  <si>
    <t>Maria Teresa Pinheiro Bogoni</t>
  </si>
  <si>
    <t>(11) 97026-7132</t>
  </si>
  <si>
    <t>(35) 99158-7173</t>
  </si>
  <si>
    <t>(19) 99255-7676</t>
  </si>
  <si>
    <t>(35) 99725-9551</t>
  </si>
  <si>
    <t>(35) 99253-1081</t>
  </si>
  <si>
    <t>(35) 99927-7701</t>
  </si>
  <si>
    <t>(35) 99984-0961</t>
  </si>
  <si>
    <t>(11) 99925-7266</t>
  </si>
  <si>
    <t>(35) 99225-0578</t>
  </si>
  <si>
    <t>(35) 99934-8404</t>
  </si>
  <si>
    <t>(35) 99898-2374</t>
  </si>
  <si>
    <t>(35) 99876-5203</t>
  </si>
  <si>
    <t>(35) 99942-2524</t>
  </si>
  <si>
    <t>(35) 99978-5010</t>
  </si>
  <si>
    <t>(35) 99823-6508</t>
  </si>
  <si>
    <t>(35) 99700-1278</t>
  </si>
  <si>
    <t>(35) 9832-5733</t>
  </si>
  <si>
    <t>(35) 99198-8220</t>
  </si>
  <si>
    <t>(35) 99109-0475</t>
  </si>
  <si>
    <t>(35) 99994-7179</t>
  </si>
  <si>
    <t>(11) 99518-3044</t>
  </si>
  <si>
    <t>Giovanni Eustachio Megale</t>
  </si>
  <si>
    <t>(35) 99961-5071</t>
  </si>
  <si>
    <t>(35) 99740-4851</t>
  </si>
  <si>
    <t>(35) 99729-1526</t>
  </si>
  <si>
    <t>(35) 99162-7309</t>
  </si>
  <si>
    <t>(35) 99934-0816</t>
  </si>
  <si>
    <t>(35) 99196-2376</t>
  </si>
  <si>
    <t>(35) 99849-6302</t>
  </si>
  <si>
    <t>(35) 99708-4775</t>
  </si>
  <si>
    <t>(35) 99996-6909</t>
  </si>
  <si>
    <t>Silvio Amaral Gomes Junior</t>
  </si>
  <si>
    <t>(35) 99878-7106</t>
  </si>
  <si>
    <t>(35) 99702-5858</t>
  </si>
  <si>
    <t>(35) 99167-4520</t>
  </si>
  <si>
    <t>Jizele Costa de Oliveira Rezende</t>
  </si>
  <si>
    <t>(35) 99740-9645</t>
  </si>
  <si>
    <t>Glaucio Marcelino Pires</t>
  </si>
  <si>
    <t>(35) 99811-8325</t>
  </si>
  <si>
    <t>(35) 9868-8572</t>
  </si>
  <si>
    <t>(35) 99920-7397</t>
  </si>
  <si>
    <t>(19) 99296-7341</t>
  </si>
  <si>
    <t>(35) 99727-6848</t>
  </si>
  <si>
    <t>(35) 99894-8088</t>
  </si>
  <si>
    <t>(35) 99864-4653</t>
  </si>
  <si>
    <t>Orlando da Silva Cunha</t>
  </si>
  <si>
    <t>(35) 99925-9187</t>
  </si>
  <si>
    <t>(35) 9917-8785</t>
  </si>
  <si>
    <t>(35) 9835-1672</t>
  </si>
  <si>
    <t>Isabela Leticia Napoleao</t>
  </si>
  <si>
    <t>(35) 99713-1508</t>
  </si>
  <si>
    <t>(35) 99714-8182</t>
  </si>
  <si>
    <t>(35) 99755-4241</t>
  </si>
  <si>
    <t>(35) 99938-0143</t>
  </si>
  <si>
    <t>(35) 99746-7099</t>
  </si>
  <si>
    <t>(35) 99838-6974</t>
  </si>
  <si>
    <t>(35) 99921-1604</t>
  </si>
  <si>
    <t>(11) 99384-3186</t>
  </si>
  <si>
    <t>(35) 99701-8520</t>
  </si>
  <si>
    <t>(35) 99948-5437</t>
  </si>
  <si>
    <t>(35) 9809-2757</t>
  </si>
  <si>
    <t>Ramirez Medeiros</t>
  </si>
  <si>
    <t>(35) 99816-4704</t>
  </si>
  <si>
    <t>(35) 99878-1703</t>
  </si>
  <si>
    <t>J e F PET SHOP E VETERINARIA LTDA</t>
  </si>
  <si>
    <t>(35) 99950-1834</t>
  </si>
  <si>
    <t>ALINE APARECIDA DOS SANTOS</t>
  </si>
  <si>
    <t>(35) 99865-5793</t>
  </si>
  <si>
    <t>(35) 99868-3009</t>
  </si>
  <si>
    <t>(35) 99984-2108</t>
  </si>
  <si>
    <t>(35) 99924-4543</t>
  </si>
  <si>
    <t>(35) 99123-2648</t>
  </si>
  <si>
    <t>Jose Augusto da Costa</t>
  </si>
  <si>
    <t>(35) 9808-1445</t>
  </si>
  <si>
    <t>Messias Donizete de Souza</t>
  </si>
  <si>
    <t>(35) 99993-2831</t>
  </si>
  <si>
    <t>(35) 99804-4128</t>
  </si>
  <si>
    <t>(35) 9971-5200</t>
  </si>
  <si>
    <t>Juliana Costa Silveira Rodrigues</t>
  </si>
  <si>
    <t>(19) 98247-2205</t>
  </si>
  <si>
    <t>Antonio Claret de Moura</t>
  </si>
  <si>
    <t>(35) 99119-6233</t>
  </si>
  <si>
    <t>(35) 99155-4943</t>
  </si>
  <si>
    <t>(35) 99853-0606</t>
  </si>
  <si>
    <t>(35) 99983-2332</t>
  </si>
  <si>
    <t>(35) 99149-3784</t>
  </si>
  <si>
    <t>(35) 9851-4673</t>
  </si>
  <si>
    <t>(35) 99830-2340</t>
  </si>
  <si>
    <t>(35) 99891-8756</t>
  </si>
  <si>
    <t>(35) 99813-4223</t>
  </si>
  <si>
    <t>(35) 99913-4208</t>
  </si>
  <si>
    <t>(35) 99199-9437</t>
  </si>
  <si>
    <t>Andressa Carolyne Carvalho de Melo</t>
  </si>
  <si>
    <t>(35) 99800-0150</t>
  </si>
  <si>
    <t>(53) 99944-3847</t>
  </si>
  <si>
    <t>(35) 8455-2331</t>
  </si>
  <si>
    <t>(35) 99954-0729</t>
  </si>
  <si>
    <t>(35) 99785-5085</t>
  </si>
  <si>
    <t>(35) 9167-2869</t>
  </si>
  <si>
    <t>(11) 97335-5883</t>
  </si>
  <si>
    <t>(35) 99161-6123</t>
  </si>
  <si>
    <t>ESCOLA DE IDIOMAS E CENTRO PREPARATORIO IF - BORDA DA MATA LTDA</t>
  </si>
  <si>
    <t>(35) 99251-2121</t>
  </si>
  <si>
    <t>(35) 99804-4035</t>
  </si>
  <si>
    <t>(35) 9965-5103</t>
  </si>
  <si>
    <t>(35) 99945-2176</t>
  </si>
  <si>
    <t>(35) 99116-7418</t>
  </si>
  <si>
    <t>(35) 99992-1201</t>
  </si>
  <si>
    <t>(35) 99971-1074</t>
  </si>
  <si>
    <t>(35) 99745-2121</t>
  </si>
  <si>
    <t>(35) 99760-3010</t>
  </si>
  <si>
    <t>(35) 9993-2799</t>
  </si>
  <si>
    <t>(35) 99962-9954</t>
  </si>
  <si>
    <t>Rafael Marques da Costa Junior</t>
  </si>
  <si>
    <t>(35) 99709-5522</t>
  </si>
  <si>
    <t>(35) 99831-9804</t>
  </si>
  <si>
    <t>(35) 9744-0924</t>
  </si>
  <si>
    <t>(35) 99885-3732</t>
  </si>
  <si>
    <t>MARINET DO CARMO POINHA</t>
  </si>
  <si>
    <t>(35) 99997-1383</t>
  </si>
  <si>
    <t>(35) 99853-1689</t>
  </si>
  <si>
    <t>(35) 99909-1335</t>
  </si>
  <si>
    <t>Samira Salomé da Silva Meireles</t>
  </si>
  <si>
    <t>(35) 99957-7973</t>
  </si>
  <si>
    <t>(35) 99241-6578</t>
  </si>
  <si>
    <t>(35) 99886-7906</t>
  </si>
  <si>
    <t>(35) 99758-2157</t>
  </si>
  <si>
    <t>(35) 99860-0719</t>
  </si>
  <si>
    <t>(35) 99854-0022</t>
  </si>
  <si>
    <t>Juliane Roberta de Freitas Motta</t>
  </si>
  <si>
    <t>(19) 98841-3936</t>
  </si>
  <si>
    <t>(34) 99285-3847</t>
  </si>
  <si>
    <t>(35) 99957-6464</t>
  </si>
  <si>
    <t>(35) 99967-5710</t>
  </si>
  <si>
    <t>(35) 99139-0540</t>
  </si>
  <si>
    <t>(35) 99867-1362</t>
  </si>
  <si>
    <t>(35) 99731-7210</t>
  </si>
  <si>
    <t>(35) 99749-9543</t>
  </si>
  <si>
    <t>(35) 99827-6155</t>
  </si>
  <si>
    <t>(35) 99926-1887</t>
  </si>
  <si>
    <t>(35) 99850-4695</t>
  </si>
  <si>
    <t>(35) 99866-4978</t>
  </si>
  <si>
    <t>Antonio Marcos Pereira</t>
  </si>
  <si>
    <t>(35) 9195-6448</t>
  </si>
  <si>
    <t>(35) 9940-8868</t>
  </si>
  <si>
    <t>(35) 98411-6603</t>
  </si>
  <si>
    <t>(35) 9953-1877</t>
  </si>
  <si>
    <t>(35) 99901-6218</t>
  </si>
  <si>
    <t>Cliente teste ixc</t>
  </si>
  <si>
    <t>(49) 99956-4205</t>
  </si>
  <si>
    <t>(35) 99995-5545</t>
  </si>
  <si>
    <t>(35) 99898-3108</t>
  </si>
  <si>
    <t>(19) 99690-3051</t>
  </si>
  <si>
    <t>(35) 99173-4092</t>
  </si>
  <si>
    <t>(35) 99221-3894</t>
  </si>
  <si>
    <t>(35) 99867-5712</t>
  </si>
  <si>
    <t>(35) 99874-6360</t>
  </si>
  <si>
    <t>(35) 99710-1198</t>
  </si>
  <si>
    <t>(35) 99246-6519</t>
  </si>
  <si>
    <t>(35) 9849-2834</t>
  </si>
  <si>
    <t>(35) 99225-0618</t>
  </si>
  <si>
    <t>(35) 99173-4336</t>
  </si>
  <si>
    <t>(11) 94396-5717</t>
  </si>
  <si>
    <t>Priscila Carolina Rosa</t>
  </si>
  <si>
    <t>(35) 9987-0670</t>
  </si>
  <si>
    <t>(35) 9765-7431</t>
  </si>
  <si>
    <t>Vitor Francisco dos Santos</t>
  </si>
  <si>
    <t>(35) 99899-3018</t>
  </si>
  <si>
    <t>(35) 99710-8538</t>
  </si>
  <si>
    <t>(35) 99993-2264</t>
  </si>
  <si>
    <t>(35) 9709-8692</t>
  </si>
  <si>
    <t>(35) 99758-2294</t>
  </si>
  <si>
    <t>(35) 99904-5751</t>
  </si>
  <si>
    <t>(35) 9763-1513</t>
  </si>
  <si>
    <t>(19) 98125-5527</t>
  </si>
  <si>
    <t>(35) 9941-5598</t>
  </si>
  <si>
    <t>(35) 99925-8284</t>
  </si>
  <si>
    <t>(35) 99951-5505</t>
  </si>
  <si>
    <t>(35) 99968-7909</t>
  </si>
  <si>
    <t>(35) 99705-4655</t>
  </si>
  <si>
    <t>(35) 99986-1732</t>
  </si>
  <si>
    <t>(35) 98447-3125</t>
  </si>
  <si>
    <t>(35) 99937-9679</t>
  </si>
  <si>
    <t>(35) 99975-2296</t>
  </si>
  <si>
    <t>(35) 99763-1674</t>
  </si>
  <si>
    <t>(35) 98454-1898</t>
  </si>
  <si>
    <t>(35) 99913-6111</t>
  </si>
  <si>
    <t>(35) 99860-7301</t>
  </si>
  <si>
    <t>(35) 99866-7079</t>
  </si>
  <si>
    <t>(35) 99920-8390</t>
  </si>
  <si>
    <t>(35) 99708-1165</t>
  </si>
  <si>
    <t>(35) 99906-7686</t>
  </si>
  <si>
    <t>(11) 98123-7667</t>
  </si>
  <si>
    <t>(11) 98451-1297</t>
  </si>
  <si>
    <t>(35) 99997-0435</t>
  </si>
  <si>
    <t>(35) 99814-3633</t>
  </si>
  <si>
    <t>(35) 99862-7129</t>
  </si>
  <si>
    <t>(35) 99863-6543</t>
  </si>
  <si>
    <t>(35) 99940-7473</t>
  </si>
  <si>
    <t>(35) 9978-5530</t>
  </si>
  <si>
    <t>(35) 99936-2372</t>
  </si>
  <si>
    <t>(35) 99984-3482</t>
  </si>
  <si>
    <t>(35) 9758-2218</t>
  </si>
  <si>
    <t>(35) 9105-5112</t>
  </si>
  <si>
    <t>(35) 99963-5575</t>
  </si>
  <si>
    <t>(35) 99890-7083</t>
  </si>
  <si>
    <t>(35) 99720-7871</t>
  </si>
  <si>
    <t>(35) 99891-9897</t>
  </si>
  <si>
    <t>(35) 9919-9801</t>
  </si>
  <si>
    <t>(35) 99978-6796</t>
  </si>
  <si>
    <t>(35) 9214-4205</t>
  </si>
  <si>
    <t>(35) 99762-4180</t>
  </si>
  <si>
    <t>(35) 99934-0105</t>
  </si>
  <si>
    <t>(35) 99941-8438</t>
  </si>
  <si>
    <t>(35) 98416-4123</t>
  </si>
  <si>
    <t>(35) 99931-5095</t>
  </si>
  <si>
    <t>(35) 99989-5101</t>
  </si>
  <si>
    <t>(35) 99238-5243</t>
  </si>
  <si>
    <t>Flavio de Castro Silva</t>
  </si>
  <si>
    <t>(35) 9985-3880</t>
  </si>
  <si>
    <t>(35) 3445-4900</t>
  </si>
  <si>
    <t>(35) 99704-8026</t>
  </si>
  <si>
    <t>Carlos Henrique de Almeida</t>
  </si>
  <si>
    <t>(35) 9916-4092</t>
  </si>
  <si>
    <t>(35) 99965-1114</t>
  </si>
  <si>
    <t>(19) 97408-9672</t>
  </si>
  <si>
    <t>(11) 97333-0453</t>
  </si>
  <si>
    <t>Willian Matias Ribeiro Alves</t>
  </si>
  <si>
    <t>(35) 9186-6784</t>
  </si>
  <si>
    <t>Balduino Alexandre Ferreira</t>
  </si>
  <si>
    <t>(35) 99740-8374</t>
  </si>
  <si>
    <t>(35) 99137-6173</t>
  </si>
  <si>
    <t>Joaquim Bonifacio Pinto</t>
  </si>
  <si>
    <t>(35) 99973-7149</t>
  </si>
  <si>
    <t>Júlio Cézar da Silva</t>
  </si>
  <si>
    <t>(35) 99989-1937</t>
  </si>
  <si>
    <t>(35) 9877-4771</t>
  </si>
  <si>
    <t>(35) 98436-9306</t>
  </si>
  <si>
    <t>Marcelo Aparecido Ferreira</t>
  </si>
  <si>
    <t>(35) 99180-1848</t>
  </si>
  <si>
    <t>(35) 99710-9308</t>
  </si>
  <si>
    <t>(35) 99977-1729</t>
  </si>
  <si>
    <t>(35) 99944-8158</t>
  </si>
  <si>
    <t>(35) 99987-8988</t>
  </si>
  <si>
    <t>(35) 99865-7560</t>
  </si>
  <si>
    <t>(35) 99202-3252</t>
  </si>
  <si>
    <t>Rafael dos Santos Basso</t>
  </si>
  <si>
    <t>(19) 98765-0914</t>
  </si>
  <si>
    <t>(35) 9737-6236</t>
  </si>
  <si>
    <t>(35) 99706-4412</t>
  </si>
  <si>
    <t>(35) 99983-9937</t>
  </si>
  <si>
    <t>(35) 9994-6635</t>
  </si>
  <si>
    <t>(35) 99751-7858</t>
  </si>
  <si>
    <t>(35) 9758-5400</t>
  </si>
  <si>
    <t>(35) 99238-7747</t>
  </si>
  <si>
    <t>(35) 99121-7719</t>
  </si>
  <si>
    <t>(35) 99704-1739</t>
  </si>
  <si>
    <t>Paroquia Nossa Senhora do Carmo</t>
  </si>
  <si>
    <t>(35) 9809-7795</t>
  </si>
  <si>
    <t>(35) 99726-9613</t>
  </si>
  <si>
    <t>(35) 99228-7486</t>
  </si>
  <si>
    <t>(35) 99833-5052</t>
  </si>
  <si>
    <t>(35) 99857-8413</t>
  </si>
  <si>
    <t>(35) 99839-3628</t>
  </si>
  <si>
    <t>(35) 9950-4745</t>
  </si>
  <si>
    <t>Lurre Ginastica Artistica Ltda</t>
  </si>
  <si>
    <t>(35) 99199-7441</t>
  </si>
  <si>
    <t>(35) 99896-5885</t>
  </si>
  <si>
    <t>(35) 99963-6868</t>
  </si>
  <si>
    <t>(35) 99858-0009</t>
  </si>
  <si>
    <t>(35) 99710-5944</t>
  </si>
  <si>
    <t>(35) 99910-9999</t>
  </si>
  <si>
    <t>Waldineia Maria Alves</t>
  </si>
  <si>
    <t>(35) 99908-7458</t>
  </si>
  <si>
    <t>(35) 99871-2472</t>
  </si>
  <si>
    <t>(35) 98435-4259</t>
  </si>
  <si>
    <t>(35) 99879-5015</t>
  </si>
  <si>
    <t>(35) 99827-6004</t>
  </si>
  <si>
    <t>(35) 8435-7988</t>
  </si>
  <si>
    <t>(35) 99856-1439</t>
  </si>
  <si>
    <t>(35) 99903-4854</t>
  </si>
  <si>
    <t>(35) 99884-3397</t>
  </si>
  <si>
    <t>(35) 99853-5333</t>
  </si>
  <si>
    <t>(35) 99953-6839</t>
  </si>
  <si>
    <t>(35) 99927-3475</t>
  </si>
  <si>
    <t>(35) 9915-0577</t>
  </si>
  <si>
    <t>(35) 9875-0308</t>
  </si>
  <si>
    <t>(35) 99924-3701</t>
  </si>
  <si>
    <t>(35) 9918-0701</t>
  </si>
  <si>
    <t>(35) 9707-6224</t>
  </si>
  <si>
    <t>(35) 99849-2303</t>
  </si>
  <si>
    <t>(35) 99825-4092</t>
  </si>
  <si>
    <t>(35) 99172-0187</t>
  </si>
  <si>
    <t>(35) 99952-9807</t>
  </si>
  <si>
    <t>Maria Gorete Gomes</t>
  </si>
  <si>
    <t>(35) 99852-1285</t>
  </si>
  <si>
    <t>(35) 99994-2816</t>
  </si>
  <si>
    <t>Leonardo Debran da Silva</t>
  </si>
  <si>
    <t>(35) 99853-7853</t>
  </si>
  <si>
    <t>(35) 99859-5252</t>
  </si>
  <si>
    <t>(35) 99917-1707</t>
  </si>
  <si>
    <t>(35) 99805-1225</t>
  </si>
  <si>
    <t>(35) 98454-2469</t>
  </si>
  <si>
    <t>(35) 99726-3441</t>
  </si>
  <si>
    <t>Onelio Tiago Pereira</t>
  </si>
  <si>
    <t>(35) 99717-3951</t>
  </si>
  <si>
    <t>(35) 9922-7060</t>
  </si>
  <si>
    <t>(35) 99960-9385</t>
  </si>
  <si>
    <t>(35) 99808-4898</t>
  </si>
  <si>
    <t>Marcia Aparecida do Couto</t>
  </si>
  <si>
    <t>(35) 99919-5184</t>
  </si>
  <si>
    <t>(35) 92000-3080</t>
  </si>
  <si>
    <t>(35) 99816-8970</t>
  </si>
  <si>
    <t>(35) 9752-9933</t>
  </si>
  <si>
    <t>(35) 99909-7648</t>
  </si>
  <si>
    <t>(35) 99127-8825</t>
  </si>
  <si>
    <t>(35) 99924-7297</t>
  </si>
  <si>
    <t>(35) 99739-8151</t>
  </si>
  <si>
    <t>(35) 99803-5803</t>
  </si>
  <si>
    <t>Decori Cortinas Ltda</t>
  </si>
  <si>
    <t>(35) 9110-6008</t>
  </si>
  <si>
    <t>Cátia Cristina Carvalho</t>
  </si>
  <si>
    <t>(35) 9982-9588</t>
  </si>
  <si>
    <t>(35) 99895-0765</t>
  </si>
  <si>
    <t>Harleny Junqueira Cobra</t>
  </si>
  <si>
    <t>(35) 98404-9909</t>
  </si>
  <si>
    <t>Luciel do Carmo Alves</t>
  </si>
  <si>
    <t>(35) 99969-4265</t>
  </si>
  <si>
    <t>Jaqueline do Carmo Alves</t>
  </si>
  <si>
    <t>(35) 9767-8821</t>
  </si>
  <si>
    <t>Leandro Passos da Costa</t>
  </si>
  <si>
    <t>(35) 99133-0500</t>
  </si>
  <si>
    <t>(35) 99716-9670</t>
  </si>
  <si>
    <t>Douglas Henrique Rodrigues</t>
  </si>
  <si>
    <t>(35) 99753-1852</t>
  </si>
  <si>
    <t>Unidade Executora Professora Marinei de Freitas</t>
  </si>
  <si>
    <t>(35) 3445-4972</t>
  </si>
  <si>
    <t>Weslei Abreu</t>
  </si>
  <si>
    <t>(35) 99840-3993</t>
  </si>
  <si>
    <t>Elisa Maria Souza Teodoro</t>
  </si>
  <si>
    <t>(35) 99882-8239</t>
  </si>
  <si>
    <t>RENASCENCE COMERCIAL TEXTIL</t>
  </si>
  <si>
    <t>(35) 99951-6627</t>
  </si>
  <si>
    <t>(35) 99145-0058</t>
  </si>
  <si>
    <t>Wilton Oliveira de Souza</t>
  </si>
  <si>
    <t>(35) 99812-5811</t>
  </si>
  <si>
    <t>Neusa Lopes da Silva</t>
  </si>
  <si>
    <t>(11) 95172-1690</t>
  </si>
  <si>
    <t>Sirlene Aparecida da Costa</t>
  </si>
  <si>
    <t>(35) 99810-9444</t>
  </si>
  <si>
    <t>Ruth Ribeiro Pinto Tavares</t>
  </si>
  <si>
    <t>(35) 98433-3308</t>
  </si>
  <si>
    <t>Rafael Victor Moreno</t>
  </si>
  <si>
    <t>(35) 99812-7127</t>
  </si>
  <si>
    <t>Matheus Willian dos Santos</t>
  </si>
  <si>
    <t>(35) 99891-1897</t>
  </si>
  <si>
    <t>Rafael Henrique Ferreira</t>
  </si>
  <si>
    <t>(35) 9134-1265</t>
  </si>
  <si>
    <t>Gloria Maria de Oliveira</t>
  </si>
  <si>
    <t>(35) 99868-8167</t>
  </si>
  <si>
    <t>Jose Antonio Messias Junior</t>
  </si>
  <si>
    <t>(35) 99842-3016</t>
  </si>
  <si>
    <t>Sandei Antonio Justino</t>
  </si>
  <si>
    <t>(35) 9922-9801</t>
  </si>
  <si>
    <t>Iraide da Silva</t>
  </si>
  <si>
    <t>(35) 9990-9870</t>
  </si>
  <si>
    <t>Andre Ribeiro Gomes</t>
  </si>
  <si>
    <t>(35) 99978-4646</t>
  </si>
  <si>
    <t>Fernando Henrique Lima</t>
  </si>
  <si>
    <t>(35) 99936-1375</t>
  </si>
  <si>
    <t>(35) 99889-9662</t>
  </si>
  <si>
    <t>Cleiton José Nogueira</t>
  </si>
  <si>
    <t>(11) 95126-8488</t>
  </si>
  <si>
    <t>Leide Mara Lopes da Silva</t>
  </si>
  <si>
    <t>(35) 91002-5171</t>
  </si>
  <si>
    <t>Marcos Aparecido da Rosa</t>
  </si>
  <si>
    <t>(35) 9926-6343</t>
  </si>
  <si>
    <t>Tiago Carlos Martins</t>
  </si>
  <si>
    <t>(35) 99166-0617</t>
  </si>
  <si>
    <t>Tainara Calefi Pereira</t>
  </si>
  <si>
    <t>(35) 99129-3582</t>
  </si>
  <si>
    <t>Victória Maura Vanderlei de Oliveira</t>
  </si>
  <si>
    <t>(35) 99751-1002</t>
  </si>
  <si>
    <t>(35) 99812-3020</t>
  </si>
  <si>
    <t>Elisângela Vitorino da Silva</t>
  </si>
  <si>
    <t>(35) 99827-2764</t>
  </si>
  <si>
    <t>Joao Vitor Sousa Rocha</t>
  </si>
  <si>
    <t>(35) 99866-5653</t>
  </si>
  <si>
    <t>Heloísa Geizi Soares</t>
  </si>
  <si>
    <t>(35) 9881-5649</t>
  </si>
  <si>
    <t>(35) 99220-0095</t>
  </si>
  <si>
    <t>Tatiane Aparecida Souza Brandani</t>
  </si>
  <si>
    <t>(35) 99732-1464</t>
  </si>
  <si>
    <t>(35) 99865-3170</t>
  </si>
  <si>
    <t>Telma Aparecida da Silva</t>
  </si>
  <si>
    <t>(35) 9908-2807</t>
  </si>
  <si>
    <t>Rafael Marques da Costa</t>
  </si>
  <si>
    <t>(35) 99914-3648</t>
  </si>
  <si>
    <t>Marcio Flausino</t>
  </si>
  <si>
    <t>(35) 99944-4825</t>
  </si>
  <si>
    <t>N.S. SERVICOS EIRELI</t>
  </si>
  <si>
    <t>(35) 98477-1719</t>
  </si>
  <si>
    <t>Caixa Escolar D. Alvarina Pereira Cintra</t>
  </si>
  <si>
    <t>(35) 9917-5193</t>
  </si>
  <si>
    <t>Sabrina Daniela dos Santos</t>
  </si>
  <si>
    <t>(35) 99740-9938</t>
  </si>
  <si>
    <t>NILTON CEZAR MOREIRA JUNIOR</t>
  </si>
  <si>
    <t>(35) 99897-7928</t>
  </si>
  <si>
    <t>Caixa Escolar Professora Aurora Beraldo</t>
  </si>
  <si>
    <t>(35) 99901-0948</t>
  </si>
  <si>
    <t>José Claudino Moraes</t>
  </si>
  <si>
    <t>(35) 99813-5167</t>
  </si>
  <si>
    <t>Caixa Escolar Comendador José Inácio</t>
  </si>
  <si>
    <t>(35) 9812-8885</t>
  </si>
  <si>
    <t>Marcela Catarina dos Santos</t>
  </si>
  <si>
    <t>(35) 99838-3625</t>
  </si>
  <si>
    <t>Juarez Honorio Moreira</t>
  </si>
  <si>
    <t>(35) 99905-1077</t>
  </si>
  <si>
    <t>Unidade Executora Ana Maria Cabral dos Santos</t>
  </si>
  <si>
    <t>(35) 99973-3115</t>
  </si>
  <si>
    <t>Antonio Claret Brandão Lotérica Ltda</t>
  </si>
  <si>
    <t>(35) 98454-7564</t>
  </si>
  <si>
    <t>Aparecida das Chagas</t>
  </si>
  <si>
    <t>(35) 99842-3419</t>
  </si>
  <si>
    <t>André de Souza Gomes</t>
  </si>
  <si>
    <t>(35) 9984-2572</t>
  </si>
  <si>
    <t>Pedro Henrique Munoz de Lima</t>
  </si>
  <si>
    <t>(35) 99883-8788</t>
  </si>
  <si>
    <t>Renato José Silva Martins</t>
  </si>
  <si>
    <t>(35) 99714-8315</t>
  </si>
  <si>
    <t>Wania Aparecida Vilas Boas Moreira</t>
  </si>
  <si>
    <t>(35) 99750-3940</t>
  </si>
  <si>
    <t>Gustavo Nogueira Vilas Boas</t>
  </si>
  <si>
    <t>(35) 9921-5438</t>
  </si>
  <si>
    <t>Angélica Silva Moreira</t>
  </si>
  <si>
    <t>(35) 99709-4994</t>
  </si>
  <si>
    <t>Antonio Jesus de Souza</t>
  </si>
  <si>
    <t>(35) 99997-2841</t>
  </si>
  <si>
    <t>Maria Tereza Bueno de Mello Prado Ribeiro</t>
  </si>
  <si>
    <t>(11) 99922-2022</t>
  </si>
  <si>
    <t>Jessica Aparecida Teixeira Santos</t>
  </si>
  <si>
    <t>(35) 9934-6832</t>
  </si>
  <si>
    <t>Helielton Carlos de Sousa</t>
  </si>
  <si>
    <t>(35) 99834-4064</t>
  </si>
  <si>
    <t>João Paulo Coutinho de Moraes</t>
  </si>
  <si>
    <t>(35) 98412-5169</t>
  </si>
  <si>
    <t>Leticia Aparecida Moreira</t>
  </si>
  <si>
    <t>(35) 99768-3434</t>
  </si>
  <si>
    <t>João Gabriel de Oliveira</t>
  </si>
  <si>
    <t>(35) 99730-5850</t>
  </si>
  <si>
    <t>Josiane de Fatima Pereira</t>
  </si>
  <si>
    <t>(35) 9911-8100</t>
  </si>
  <si>
    <t>Paulo Henrique Peixoto Joanni</t>
  </si>
  <si>
    <t>(35) 99100-3171</t>
  </si>
  <si>
    <t>(35) 9893-0257</t>
  </si>
  <si>
    <t>Daiana Moreira da Silva</t>
  </si>
  <si>
    <t>(35) 9747-7073</t>
  </si>
  <si>
    <t>(35) 99882-7487</t>
  </si>
  <si>
    <t>Tatiany Moraes Caixeta</t>
  </si>
  <si>
    <t>(35) 9804-8467</t>
  </si>
  <si>
    <t>Michely Lupércia da Silva Pereira</t>
  </si>
  <si>
    <t>(35) 9900-4559</t>
  </si>
  <si>
    <t>Gamma Textil Industria e Comercio Ltda</t>
  </si>
  <si>
    <t>(35) 99125-7593</t>
  </si>
  <si>
    <t>Douglas de Lima Brentegani</t>
  </si>
  <si>
    <t>(35) 9809-5795</t>
  </si>
  <si>
    <t>Deoniceia Aparecida da Silva</t>
  </si>
  <si>
    <t>(35) 9964-5396</t>
  </si>
  <si>
    <t>José Laercio Mianti</t>
  </si>
  <si>
    <t>(35) 99890-3986</t>
  </si>
  <si>
    <t>Adriana Lopes Machado</t>
  </si>
  <si>
    <t>(35) 9996-5649</t>
  </si>
  <si>
    <t>Laryssa Helen Ribeiro Pimenta</t>
  </si>
  <si>
    <t>(35) 99106-5907</t>
  </si>
  <si>
    <t>Halysson Bruno Marques Moreira</t>
  </si>
  <si>
    <t>(35) 9816-6930</t>
  </si>
  <si>
    <t>Ewerton Rodrigues de Lima</t>
  </si>
  <si>
    <t>(19) 99708-5806</t>
  </si>
  <si>
    <t>Paulo Cezar Simões</t>
  </si>
  <si>
    <t>(35) 99809-3091</t>
  </si>
  <si>
    <t>(35) 9832-5086</t>
  </si>
  <si>
    <t>Suelen Expedita da Silva</t>
  </si>
  <si>
    <t>(35) 99882-8713</t>
  </si>
  <si>
    <t>Raphael Sena Santos</t>
  </si>
  <si>
    <t>(35) 99192-9033</t>
  </si>
  <si>
    <t>(12) 99742-7167</t>
  </si>
  <si>
    <t>Gustavo Giancotti</t>
  </si>
  <si>
    <t>(35) 99978-2559</t>
  </si>
  <si>
    <t>Supermercado Nsa Sra Aparecida Eireli</t>
  </si>
  <si>
    <t>(35) 99761-2390</t>
  </si>
  <si>
    <t>Ana Paula Moreira da Fraga</t>
  </si>
  <si>
    <t>(35) 99842-0876</t>
  </si>
  <si>
    <t>Agnaldo Rodrigues Toledo</t>
  </si>
  <si>
    <t>(35) 99832-0125</t>
  </si>
  <si>
    <t>Lucas Evangelista de Oliveira</t>
  </si>
  <si>
    <t>(35) 9842-6060</t>
  </si>
  <si>
    <t>Fagner Andrade de Rezende</t>
  </si>
  <si>
    <t>(35) 98429-7916</t>
  </si>
  <si>
    <t>Mario Pinto da Silva</t>
  </si>
  <si>
    <t>(35) 9759-9159</t>
  </si>
  <si>
    <t>Joana Trombetone da Vinha</t>
  </si>
  <si>
    <t>(35) 9913-0246</t>
  </si>
  <si>
    <t>(35) 99907-0052</t>
  </si>
  <si>
    <t>Lucas Samuel Leopoldino</t>
  </si>
  <si>
    <t>(35) 99856-2598</t>
  </si>
  <si>
    <t>Marcos Eduardo Ribeiro</t>
  </si>
  <si>
    <t>(35) 99926-7031</t>
  </si>
  <si>
    <t>Rosemary de Lima Almeida</t>
  </si>
  <si>
    <t>(35) 99714-6519</t>
  </si>
  <si>
    <t>Marcela Mary dos Santos Monteiro</t>
  </si>
  <si>
    <t>(35) 9941-6617</t>
  </si>
  <si>
    <t>Carlos Francisco de Carvalho</t>
  </si>
  <si>
    <t>(35) 9822-3766</t>
  </si>
  <si>
    <t>Marcio Pereira da Silva</t>
  </si>
  <si>
    <t>(24) 98805-8733</t>
  </si>
  <si>
    <t>Robson José Coutinho</t>
  </si>
  <si>
    <t>(35) 99935-6288</t>
  </si>
  <si>
    <t>Alcides Manoel de Souza Neto</t>
  </si>
  <si>
    <t>(11) 93013-7586</t>
  </si>
  <si>
    <t>Nadia Maria dos Santos Padua</t>
  </si>
  <si>
    <t>(35) 99906-5137</t>
  </si>
  <si>
    <t>Rafael de Mira Bonifácio</t>
  </si>
  <si>
    <t>(35) 9133-8201</t>
  </si>
  <si>
    <t>Crislaine Aparecida Silva</t>
  </si>
  <si>
    <t>(35) 99969-1744</t>
  </si>
  <si>
    <t>Lucas Abner Alves Santos</t>
  </si>
  <si>
    <t>(35) 9853-2852</t>
  </si>
  <si>
    <t>Francisco Mariano Filho</t>
  </si>
  <si>
    <t>(35) 9934-8481</t>
  </si>
  <si>
    <t>Camila de Fatima Silveira</t>
  </si>
  <si>
    <t>(35) 99985-7454</t>
  </si>
  <si>
    <t>Luiz Augusto da Silva Sabino</t>
  </si>
  <si>
    <t>(35) 8438-3646</t>
  </si>
  <si>
    <t>ANDREA ALINE GOLO</t>
  </si>
  <si>
    <t>(35) 99758-8087</t>
  </si>
  <si>
    <t>Viviane Cristina Marques</t>
  </si>
  <si>
    <t>(35) 99877-6530</t>
  </si>
  <si>
    <t>Rodrigo Felix Candido</t>
  </si>
  <si>
    <t>(35) 99735-1386</t>
  </si>
  <si>
    <t>Marcio Francisley Lopes ME</t>
  </si>
  <si>
    <t>(35) 99177-3500</t>
  </si>
  <si>
    <t>Márcio Francisley Lopes</t>
  </si>
  <si>
    <t>Vicente Domingos da Silva Neto</t>
  </si>
  <si>
    <t>(35) 99228-5950</t>
  </si>
  <si>
    <t>Erika Aparecida Melo</t>
  </si>
  <si>
    <t>(35) 9961-9021</t>
  </si>
  <si>
    <t>Vanessa Carla de Souza</t>
  </si>
  <si>
    <t>(35) 99812-9097</t>
  </si>
  <si>
    <t>Clayson Dias Correa</t>
  </si>
  <si>
    <t>(35) 99147-2010</t>
  </si>
  <si>
    <t>Leila Belizaria da Silva</t>
  </si>
  <si>
    <t>(35) 99710-1667</t>
  </si>
  <si>
    <t>Adenilton Eduardo Silva</t>
  </si>
  <si>
    <t>(35) 99817-5919</t>
  </si>
  <si>
    <t>Sara Galvao de Souza</t>
  </si>
  <si>
    <t>(35) 99820-8145</t>
  </si>
  <si>
    <t>Leandro Francisnei Lopes</t>
  </si>
  <si>
    <t>(35) 99110-6008</t>
  </si>
  <si>
    <t>Lais dos Santos Teodoro</t>
  </si>
  <si>
    <t>(35) 99930-0981</t>
  </si>
  <si>
    <t>OIW Industria Eletronica S.A. - Filial MG</t>
  </si>
  <si>
    <t>(51) 3653-6800</t>
  </si>
  <si>
    <t>Francisco Iramar Carneiro de Lima</t>
  </si>
  <si>
    <t>(35) 99911-3881</t>
  </si>
  <si>
    <t>Paulo Daniel Teodoro Oliveira</t>
  </si>
  <si>
    <t>(35) 99848-9709</t>
  </si>
  <si>
    <t>Ednaldo Jose Ferreira</t>
  </si>
  <si>
    <t>(35) 99742-8068</t>
  </si>
  <si>
    <t>Rosenil Sebastião Rodrigues</t>
  </si>
  <si>
    <t>(35) 99974-0399</t>
  </si>
  <si>
    <t>(35) 9945-5757</t>
  </si>
  <si>
    <t>Pedro Brentegani Pereira</t>
  </si>
  <si>
    <t>(35) 9704-5012</t>
  </si>
  <si>
    <t>Marcelo Costa</t>
  </si>
  <si>
    <t>(11) 98807-1108</t>
  </si>
  <si>
    <t>Alexandre de Jesus Medeiros</t>
  </si>
  <si>
    <t>(35) 9873-8371</t>
  </si>
  <si>
    <t>Wender Henrique dos Santos Gusmão</t>
  </si>
  <si>
    <t>(35) 99854-2615</t>
  </si>
  <si>
    <t>Roque Pereira da Silva</t>
  </si>
  <si>
    <t>(35) 99750-5692</t>
  </si>
  <si>
    <t>Márcia Aparecida Silva Ávila</t>
  </si>
  <si>
    <t>(35) 92000-4222</t>
  </si>
  <si>
    <t>Bruno Luis Ozzetti</t>
  </si>
  <si>
    <t>(19) 99104-2020</t>
  </si>
  <si>
    <t>Igreja Presbiteriana Independente de Borda da Mata</t>
  </si>
  <si>
    <t>(35) 99898-1640</t>
  </si>
  <si>
    <t>Juliana do Couto Inácio</t>
  </si>
  <si>
    <t>(35) 99990-6744</t>
  </si>
  <si>
    <t>(35) 99821-2079</t>
  </si>
  <si>
    <t>(35) 9875-6717</t>
  </si>
  <si>
    <t>Lurdes Aparecida da Silva</t>
  </si>
  <si>
    <t>(35) 99705-7759</t>
  </si>
  <si>
    <t>Leticia de Paula Pereira</t>
  </si>
  <si>
    <t>(35) 99751-1585</t>
  </si>
  <si>
    <t>(35) 98427-5700</t>
  </si>
  <si>
    <t>(35) 99903-9222</t>
  </si>
  <si>
    <t>(11) 97961-2736</t>
  </si>
  <si>
    <t>(35) 99843-2044</t>
  </si>
  <si>
    <t>(35) 98442-2455</t>
  </si>
  <si>
    <t>Luiz Ricardo Rodrigues</t>
  </si>
  <si>
    <t>(35) 99753-9606</t>
  </si>
  <si>
    <t>Antonio Carlos Brandao</t>
  </si>
  <si>
    <t>(35) 99969-5088</t>
  </si>
  <si>
    <t>Elenize Moreira de Lima Fernandes</t>
  </si>
  <si>
    <t>(35) 99815-6461</t>
  </si>
  <si>
    <t>(35) 99826-5609</t>
  </si>
  <si>
    <t>Jose Cezario dos Santos Filho</t>
  </si>
  <si>
    <t>(35) 99913-2066</t>
  </si>
  <si>
    <t>(35) 99893-4731</t>
  </si>
  <si>
    <t>Vanessa Ribeiro Pereira</t>
  </si>
  <si>
    <t>(35) 99730-8192</t>
  </si>
  <si>
    <t>(35) 9938-5048</t>
  </si>
  <si>
    <t>Izabella de Andrade Godoy</t>
  </si>
  <si>
    <t>(35) 9157-2176</t>
  </si>
  <si>
    <t>Marcelo Rozendo de Sena</t>
  </si>
  <si>
    <t>(35) 99754-4726</t>
  </si>
  <si>
    <t>Dirce Ribeiro</t>
  </si>
  <si>
    <t>(35) 99992-9991</t>
  </si>
  <si>
    <t>(35) 99992-5059</t>
  </si>
  <si>
    <t>(35) 99815-6883</t>
  </si>
  <si>
    <t>POUSADA SAO PEDRO</t>
  </si>
  <si>
    <t>(35) 99802-0124</t>
  </si>
  <si>
    <t>(35) 99903-8771</t>
  </si>
  <si>
    <t>(35) 99919-9199</t>
  </si>
  <si>
    <t>(35) 99929-8910</t>
  </si>
  <si>
    <t>Benedito Donizete de Souza</t>
  </si>
  <si>
    <t>(35) 98446-9907</t>
  </si>
  <si>
    <t>(13) 98132-6793</t>
  </si>
  <si>
    <t>(11) 98308-7073</t>
  </si>
  <si>
    <t>(35) 99903-3651</t>
  </si>
  <si>
    <t>Ivan Alves de Lima</t>
  </si>
  <si>
    <t>(35) 99805-5084</t>
  </si>
  <si>
    <t>Henrique José Santos Silva</t>
  </si>
  <si>
    <t>(35) 99276-0329</t>
  </si>
  <si>
    <t>Willians Lucas do Carmo Costa</t>
  </si>
  <si>
    <t>(35) 99838-7011</t>
  </si>
  <si>
    <t>(35) 99917-9401</t>
  </si>
  <si>
    <t>Gustavo Mira Machado</t>
  </si>
  <si>
    <t>(35) 99838-2545</t>
  </si>
  <si>
    <t>(35) 99940-3777</t>
  </si>
  <si>
    <t>Luana de Sousa Silveira</t>
  </si>
  <si>
    <t>(35) 9995-7230</t>
  </si>
  <si>
    <t>Bruna Silva Rodrigues Borba</t>
  </si>
  <si>
    <t>(35) 99893-8374</t>
  </si>
  <si>
    <t>Rosenéia da Silva</t>
  </si>
  <si>
    <t>(35) 99774-6544</t>
  </si>
  <si>
    <t>(35) 9858-1597</t>
  </si>
  <si>
    <t>(35) 9865-9592</t>
  </si>
  <si>
    <t>Mauro Cézar da Silva</t>
  </si>
  <si>
    <t>(35) 98454-6447</t>
  </si>
  <si>
    <t>João Reinaldo da Silva</t>
  </si>
  <si>
    <t>(35) 99957-5167</t>
  </si>
  <si>
    <t>Caixa Escolar Professor Afonso Antonio Florenciano</t>
  </si>
  <si>
    <t>(35) 9863-6320</t>
  </si>
  <si>
    <t>BT Engenharia</t>
  </si>
  <si>
    <t>(35) 99854-4398</t>
  </si>
  <si>
    <t>Daniel Ribeiro Barbosa</t>
  </si>
  <si>
    <t>(35) 99941-1111</t>
  </si>
  <si>
    <t>(19) 98700-6385</t>
  </si>
  <si>
    <t>Nilza Aparecida dos Santos</t>
  </si>
  <si>
    <t>(35) 99768-5111</t>
  </si>
  <si>
    <t>(35) 99963-2256</t>
  </si>
  <si>
    <t>Antonio Carlos de Rezende</t>
  </si>
  <si>
    <t>(35) 99754-9204</t>
  </si>
  <si>
    <t>Vicente de Paulo da Silva</t>
  </si>
  <si>
    <t>(35) 99904-8416</t>
  </si>
  <si>
    <t>Rogério Veiga Junior</t>
  </si>
  <si>
    <t>(35) 99735-6364</t>
  </si>
  <si>
    <t>Anderson Batista Cesar</t>
  </si>
  <si>
    <t>(35) 99813-0890</t>
  </si>
  <si>
    <t>Maria Lucia Cassia de Mello</t>
  </si>
  <si>
    <t>(35) 99972-1746</t>
  </si>
  <si>
    <t>Mailde Oliveira Lima</t>
  </si>
  <si>
    <t>(35) 99839-2426</t>
  </si>
  <si>
    <t>(35) 9984-6998</t>
  </si>
  <si>
    <t>(35) 9831-3634</t>
  </si>
  <si>
    <t>Guilherme Henrique Pereira</t>
  </si>
  <si>
    <t>(35) 9887-1590</t>
  </si>
  <si>
    <t>(35) 9926-2409</t>
  </si>
  <si>
    <t>(35) 99702-1535</t>
  </si>
  <si>
    <t>(35) 9766-8844</t>
  </si>
  <si>
    <t>(35) 99978-6562</t>
  </si>
  <si>
    <t>LUCAS BARBOSA MENDES</t>
  </si>
  <si>
    <t>(35) 99956-1876</t>
  </si>
  <si>
    <t>(35) 9808-7746</t>
  </si>
  <si>
    <t>(35) 99826-3733</t>
  </si>
  <si>
    <t>(19) 98151-5032</t>
  </si>
  <si>
    <t>(35) 9883-2872</t>
  </si>
  <si>
    <t>(35) 91003-9838</t>
  </si>
  <si>
    <t>Andrea Assis de Paula Dias</t>
  </si>
  <si>
    <t>(35) 99988-3840</t>
  </si>
  <si>
    <t>(19) 99123-7819</t>
  </si>
  <si>
    <t>(35) 9911-2814</t>
  </si>
  <si>
    <t>Josia Rodrigues</t>
  </si>
  <si>
    <t>(35) 99754-2535</t>
  </si>
  <si>
    <t>Carlos Henrique dos Santos Borges</t>
  </si>
  <si>
    <t>(35) 99720-8132</t>
  </si>
  <si>
    <t>Arley Gonçalves Henrique</t>
  </si>
  <si>
    <t>(35) 99152-4733</t>
  </si>
  <si>
    <t>Otávio Policarpo de Souza</t>
  </si>
  <si>
    <t>(35) 99895-3324</t>
  </si>
  <si>
    <t>(48) 98483-2222</t>
  </si>
  <si>
    <t>Rafael Venicio Moreira</t>
  </si>
  <si>
    <t>(35) 9993-6537</t>
  </si>
  <si>
    <t>Fabiana de Oliveira Brolezi</t>
  </si>
  <si>
    <t>(35) 99821-2126</t>
  </si>
  <si>
    <t>Sonia Aparecida Alves</t>
  </si>
  <si>
    <t>(35) 9856-0398</t>
  </si>
  <si>
    <t>Raiane Adriene Brandao</t>
  </si>
  <si>
    <t>(35) 99896-5635</t>
  </si>
  <si>
    <t>Jefferson Felipe Brandani</t>
  </si>
  <si>
    <t>(35) 9766-7021</t>
  </si>
  <si>
    <t>(35) 9730-1340</t>
  </si>
  <si>
    <t>(11) 98339-3004</t>
  </si>
  <si>
    <t>(35) 99747-2543</t>
  </si>
  <si>
    <t>Carolina Cobra de Moraes</t>
  </si>
  <si>
    <t>(19) 99760-1633</t>
  </si>
  <si>
    <t>COMERCIAL TEXTIL EIRELI</t>
  </si>
  <si>
    <t>(35) 3445-2700</t>
  </si>
  <si>
    <t>Iracema Amaro do Couto</t>
  </si>
  <si>
    <t>(35) 99812-3834</t>
  </si>
  <si>
    <t>Alisson Augusto Palmeira Rodrigues</t>
  </si>
  <si>
    <t>(35) 92001-5217</t>
  </si>
  <si>
    <t>(35) 99714-9328</t>
  </si>
  <si>
    <t>Silmara Silva</t>
  </si>
  <si>
    <t>(35) 99717-4455</t>
  </si>
  <si>
    <t>Cesar Romero da Silva</t>
  </si>
  <si>
    <t>(35) 99908-9288</t>
  </si>
  <si>
    <t>Vanessa Carvalho Mesquita Correa de Lima</t>
  </si>
  <si>
    <t>(19) 99242-3042</t>
  </si>
  <si>
    <t>(35) 99708-6094</t>
  </si>
  <si>
    <t>Rosana de Cassia Silva Brandani</t>
  </si>
  <si>
    <t>(11) 98293-6374</t>
  </si>
  <si>
    <t>(35) 99846-4855</t>
  </si>
  <si>
    <t>Ana Claudia De Mira Machado</t>
  </si>
  <si>
    <t>(35) 99875-6717</t>
  </si>
  <si>
    <t>(35) 9877-1191</t>
  </si>
  <si>
    <t>(35) 99918-8973</t>
  </si>
  <si>
    <t>(35) 99932-2331</t>
  </si>
  <si>
    <t>(35) 99743-1829</t>
  </si>
  <si>
    <t>Marcelo da Silva Santos</t>
  </si>
  <si>
    <t>(35) 99968-5701</t>
  </si>
  <si>
    <t>Zilda dos Santos Fernandes</t>
  </si>
  <si>
    <t>(35) 3445-1800</t>
  </si>
  <si>
    <t>Maria Cecília Amaro de Souza</t>
  </si>
  <si>
    <t>(35) 99870-9987</t>
  </si>
  <si>
    <t>(35) 99846-6957</t>
  </si>
  <si>
    <t>Mayra lima de Carvalho</t>
  </si>
  <si>
    <t>(35) 9849-2079</t>
  </si>
  <si>
    <t>(35) 99979-7624</t>
  </si>
  <si>
    <t>(35) 99226-0535</t>
  </si>
  <si>
    <t>(35) 9862-4803</t>
  </si>
  <si>
    <t>(35) 99979-2551</t>
  </si>
  <si>
    <t>(35) 99752-9183</t>
  </si>
  <si>
    <t>Vicentina Ferreira da Silva</t>
  </si>
  <si>
    <t>(35) 99725-7483</t>
  </si>
  <si>
    <t>(35) 99748-2392</t>
  </si>
  <si>
    <t>(35) 9983-0664</t>
  </si>
  <si>
    <t>(35) 99960-4883</t>
  </si>
  <si>
    <t>(35) 99717-4344</t>
  </si>
  <si>
    <t>(35) 99837-5479</t>
  </si>
  <si>
    <t>Jean Elias Caetano</t>
  </si>
  <si>
    <t>(35) 92002-5092</t>
  </si>
  <si>
    <t>(35) 99941-9971</t>
  </si>
  <si>
    <t>Francini de Cássia Souza Marinelli</t>
  </si>
  <si>
    <t>(35) 9905-1949</t>
  </si>
  <si>
    <t>(35) 9841-0168</t>
  </si>
  <si>
    <t>(35) 99703-0483</t>
  </si>
  <si>
    <t>(35) 8425-4543</t>
  </si>
  <si>
    <t>(35) 99147-8978</t>
  </si>
  <si>
    <t>(35) 99887-0027</t>
  </si>
  <si>
    <t>(35) 99715-8847</t>
  </si>
  <si>
    <t>Joao Marcelo Vieira</t>
  </si>
  <si>
    <t>(35) 99838-5890</t>
  </si>
  <si>
    <t>(35) 99883-2460</t>
  </si>
  <si>
    <t>(35) 99728-1201</t>
  </si>
  <si>
    <t>Iracema Pereira Lima</t>
  </si>
  <si>
    <t>(35) 99898-5837</t>
  </si>
  <si>
    <t>Sidney Pires Ribeiro</t>
  </si>
  <si>
    <t>(11) 91600-4845</t>
  </si>
  <si>
    <t>Débora Paula Ribeiro</t>
  </si>
  <si>
    <t>(35) 9953-6538</t>
  </si>
  <si>
    <t>Thairis de Cássia Moreira</t>
  </si>
  <si>
    <t>(35) 93300-7802</t>
  </si>
  <si>
    <t>Pedro Januario da Silva</t>
  </si>
  <si>
    <t>(35) 98417-4971</t>
  </si>
  <si>
    <t>Carolina Cristina Ribeiro da Silva</t>
  </si>
  <si>
    <t>(35) 99855-1018</t>
  </si>
  <si>
    <t>(35) 99805-7941</t>
  </si>
  <si>
    <t>Filipe Oliveira</t>
  </si>
  <si>
    <t>(35) 99876-6934</t>
  </si>
  <si>
    <t>Noemy Palmira da Silva</t>
  </si>
  <si>
    <t>(35) 99878-3075</t>
  </si>
  <si>
    <t>Maira Maria Santos Godoi</t>
  </si>
  <si>
    <t>(35) 99966-0018</t>
  </si>
  <si>
    <t>Maria Izabel Rodrigues de Carvalho</t>
  </si>
  <si>
    <t>(11) 97165-5639</t>
  </si>
  <si>
    <t>Antonio Cesario dos Santos</t>
  </si>
  <si>
    <t>(35) 9992-0891</t>
  </si>
  <si>
    <t>Benedito Marcos Ferreira</t>
  </si>
  <si>
    <t>(35) 9908-6124</t>
  </si>
  <si>
    <t>Mateus de Oliveira Silva</t>
  </si>
  <si>
    <t>(35) 9119-9711</t>
  </si>
  <si>
    <t>STN CONTABILIDADE LTDA</t>
  </si>
  <si>
    <t>(35) 99916-5511</t>
  </si>
  <si>
    <t>Claucio Benedito Pereira</t>
  </si>
  <si>
    <t>(35) 99815-9722</t>
  </si>
  <si>
    <t>Dehui Yu</t>
  </si>
  <si>
    <t>(35) 99938-5809</t>
  </si>
  <si>
    <t>Arquidiocese de Pouso Alegre</t>
  </si>
  <si>
    <t>Katrine de Cassia Marcal dos Santos</t>
  </si>
  <si>
    <t>(35) 99884-7612</t>
  </si>
  <si>
    <t>Pedro Inacio da Silva</t>
  </si>
  <si>
    <t>(35) 99730-3724</t>
  </si>
  <si>
    <t>Diego Tavares dos Santos</t>
  </si>
  <si>
    <t>(35) 99883-9298</t>
  </si>
  <si>
    <t>Tathiana Laira Andrade e Silva</t>
  </si>
  <si>
    <t>(35) 99859-2896</t>
  </si>
  <si>
    <t>Wilson Pereira da Silva</t>
  </si>
  <si>
    <t>(35) 99955-2570</t>
  </si>
  <si>
    <t>Joelma Aparecida de Godoi</t>
  </si>
  <si>
    <t>(35) 99934-8413</t>
  </si>
  <si>
    <t>Hsil Vistorias Veiculares LTDA</t>
  </si>
  <si>
    <t>Anderson Assis de Mira</t>
  </si>
  <si>
    <t>(35) 99937-4593</t>
  </si>
  <si>
    <t>Juliana Maria de Mello Pereira</t>
  </si>
  <si>
    <t>(11) 96063-4305</t>
  </si>
  <si>
    <t>Zilda Liana da Silva</t>
  </si>
  <si>
    <t>Maykon Dias Ferreira</t>
  </si>
  <si>
    <t>(35) 9806-6851</t>
  </si>
  <si>
    <t>Joao Gomes Cavalcanti</t>
  </si>
  <si>
    <t>(35) 99123-3740</t>
  </si>
  <si>
    <t>Alexandre Máximo Muniz</t>
  </si>
  <si>
    <t>(35) 99848-5773</t>
  </si>
  <si>
    <t>Maria Tereza dos Santos Piedade</t>
  </si>
  <si>
    <t>(35) 99745-0108</t>
  </si>
  <si>
    <t>Sabrina Toledo de Sousa</t>
  </si>
  <si>
    <t>(35) 99275-2736</t>
  </si>
  <si>
    <t>Sirlene Oliveira Melo Garcia Ruiz</t>
  </si>
  <si>
    <t>(35) 99967-3462</t>
  </si>
  <si>
    <t>Maria Benedita da Silva</t>
  </si>
  <si>
    <t>(35) 99881-2486</t>
  </si>
  <si>
    <t>Claide Maria Machado</t>
  </si>
  <si>
    <t>(35) 99855-4748</t>
  </si>
  <si>
    <t>Nely Carvalho e Castro Brandão</t>
  </si>
  <si>
    <t>(35) 9977-2599</t>
  </si>
  <si>
    <t>Gisele Maria Silva Martins</t>
  </si>
  <si>
    <t>(35) 99881-6614</t>
  </si>
  <si>
    <t>Vanessa Maria da Silva</t>
  </si>
  <si>
    <t>(35) 9831-9804</t>
  </si>
  <si>
    <t>José Carlos de Souza</t>
  </si>
  <si>
    <t>(35) 99726-5887</t>
  </si>
  <si>
    <t>Nilton Cezar Moreira</t>
  </si>
  <si>
    <t>(35) 9992-2979</t>
  </si>
  <si>
    <t>Cooperativa de Crédito de Livre Admissão do Sul de Minas</t>
  </si>
  <si>
    <t>(35) 3241-9373</t>
  </si>
  <si>
    <t>Amanda Pereira Dos Santos</t>
  </si>
  <si>
    <t>(35) 9969-7979</t>
  </si>
  <si>
    <t>Charles Henrique Faria</t>
  </si>
  <si>
    <t>(19) 99435-6970</t>
  </si>
  <si>
    <t>Epaminondas Dos Santos Filho</t>
  </si>
  <si>
    <t>(35) 9922-9432</t>
  </si>
  <si>
    <t>Rosangela Lazara Pereira</t>
  </si>
  <si>
    <t>(35) 9727-1117</t>
  </si>
  <si>
    <t>Bárbara Andrade Coutinho</t>
  </si>
  <si>
    <t>(35) 99872-4687</t>
  </si>
  <si>
    <t>Ivete Santos do Carmo</t>
  </si>
  <si>
    <t>(35) 9917-1930</t>
  </si>
  <si>
    <t>Airton dos Santos</t>
  </si>
  <si>
    <t>(35) 99713-7460</t>
  </si>
  <si>
    <t>Allan Luiz Moreira Trombetoni</t>
  </si>
  <si>
    <t>(35) 99802-4924</t>
  </si>
  <si>
    <t>Rosiane Maria da Silva</t>
  </si>
  <si>
    <t>(35) 9926-3509</t>
  </si>
  <si>
    <t>Fernanda Ferreira de Paula</t>
  </si>
  <si>
    <t>(35) 99807-5788</t>
  </si>
  <si>
    <t>Raphael Cavalcanti Peres</t>
  </si>
  <si>
    <t>(11) 96422-9628</t>
  </si>
  <si>
    <t>Maria Aparecida Almeida</t>
  </si>
  <si>
    <t>(19) 97116-8531</t>
  </si>
  <si>
    <t>Guiomar de Oliveira Moraes</t>
  </si>
  <si>
    <t>(19) 99762-0666</t>
  </si>
  <si>
    <t>Luiz Carlos Caetano</t>
  </si>
  <si>
    <t>(35) 99844-5845</t>
  </si>
  <si>
    <t>Gabriel Zayne Assis de Paiva</t>
  </si>
  <si>
    <t>(35) 99901-5919</t>
  </si>
  <si>
    <t>Jose Tadeu Feitosa</t>
  </si>
  <si>
    <t>(35) 9854-3453</t>
  </si>
  <si>
    <t>Gustavo Coutinho da Costa</t>
  </si>
  <si>
    <t>(35) 99996-9035</t>
  </si>
  <si>
    <t>Maria Osmarina da Silva</t>
  </si>
  <si>
    <t>(35) 99902-8267</t>
  </si>
  <si>
    <t>Michel Caetano De Souza</t>
  </si>
  <si>
    <t>(35) 99956-2307</t>
  </si>
  <si>
    <t>Fabricio Gomes Amorim</t>
  </si>
  <si>
    <t>(35) 99727-3577</t>
  </si>
  <si>
    <t>Rosa Pereira Rodrigues</t>
  </si>
  <si>
    <t>(35) 99837-1951</t>
  </si>
  <si>
    <t>Ismael Moreira Pires</t>
  </si>
  <si>
    <t>(35) 99923-7246</t>
  </si>
  <si>
    <t>Ana Cláudia Moreira</t>
  </si>
  <si>
    <t>(35) 99766-9587</t>
  </si>
  <si>
    <t>Anagib Rodrigues da Silva</t>
  </si>
  <si>
    <t>(35) 99922-0418</t>
  </si>
  <si>
    <t>Julio Cesar Maximiano</t>
  </si>
  <si>
    <t>(35) 99839-5043</t>
  </si>
  <si>
    <t>Leonardo Silva Moreira</t>
  </si>
  <si>
    <t>(35) 9845-2959</t>
  </si>
  <si>
    <t>(35) 99810-3645</t>
  </si>
  <si>
    <t>Isadora Lopes Do Prado</t>
  </si>
  <si>
    <t>(35) 99976-2661</t>
  </si>
  <si>
    <t>Nadir Damas</t>
  </si>
  <si>
    <t>(35) 99844-2273</t>
  </si>
  <si>
    <t>Viviane Maria Xavier De Souza</t>
  </si>
  <si>
    <t>(35) 99966-0116</t>
  </si>
  <si>
    <t>Francilene de Fátima Brandão</t>
  </si>
  <si>
    <t>(35) 9722-5195</t>
  </si>
  <si>
    <t>Danieder de Aguiar</t>
  </si>
  <si>
    <t>(14) 99601-3490</t>
  </si>
  <si>
    <t>Regina Aparecida de Oliveira</t>
  </si>
  <si>
    <t>(35) 9941-6897</t>
  </si>
  <si>
    <t>Drogaria Cobra e Amaral Ltda</t>
  </si>
  <si>
    <t>(35) 9982-4150</t>
  </si>
  <si>
    <t>Ana Maria Cardoso Arruda</t>
  </si>
  <si>
    <t>(35) 99986-3124</t>
  </si>
  <si>
    <t>Gustavo Vinicius da Silva Rodrigues</t>
  </si>
  <si>
    <t>(35) 99802-7504</t>
  </si>
  <si>
    <t>Ana Cristina Moreira de Souza</t>
  </si>
  <si>
    <t>(35) 92001-5202</t>
  </si>
  <si>
    <t>Jesus Raimundo Xavier</t>
  </si>
  <si>
    <t>(35) 99863-7866</t>
  </si>
  <si>
    <t>Fatima Das Gracas Santos Martins</t>
  </si>
  <si>
    <t>(35) 99895-5857</t>
  </si>
  <si>
    <t>Thiago Henrique Moreira Silva</t>
  </si>
  <si>
    <t>(35) 9958-8726</t>
  </si>
  <si>
    <t>Maria de Fatima Mira Moreira</t>
  </si>
  <si>
    <t>(35) 99992-6424</t>
  </si>
  <si>
    <t>Julio Cezar dos Santos</t>
  </si>
  <si>
    <t>(35) 98411-3046</t>
  </si>
  <si>
    <t>Erilton Fabiano Maximiano</t>
  </si>
  <si>
    <t>(35) 99882-9891</t>
  </si>
  <si>
    <t>Jorge Luis Oliveira dos Santos</t>
  </si>
  <si>
    <t>(35) 99728-8831</t>
  </si>
  <si>
    <t>João Victor Mardegam</t>
  </si>
  <si>
    <t>(19) 99481-3951</t>
  </si>
  <si>
    <t>Flavio Gomes da Silva Junior</t>
  </si>
  <si>
    <t>(35) 99765-0071</t>
  </si>
  <si>
    <t>Maria do Carmo Moreira Pereira</t>
  </si>
  <si>
    <t>(35) 99715-9975</t>
  </si>
  <si>
    <t>Jose Benedito de Lima</t>
  </si>
  <si>
    <t>(35) 99906-4453</t>
  </si>
  <si>
    <t>Maria Celma dos Santos</t>
  </si>
  <si>
    <t>(35) 99221-6009</t>
  </si>
  <si>
    <t>Sonia Helena de Mello Silva</t>
  </si>
  <si>
    <t>(35) 99871-0453</t>
  </si>
  <si>
    <t>Edmar Vaz Da Silva</t>
  </si>
  <si>
    <t>(35) 99775-2320</t>
  </si>
  <si>
    <t>Isaías Machado</t>
  </si>
  <si>
    <t>(35) 99810-3366</t>
  </si>
  <si>
    <t>Wilman Teixeira</t>
  </si>
  <si>
    <t>(35) 98416-5715</t>
  </si>
  <si>
    <t>Mario Donizete Leopoldino</t>
  </si>
  <si>
    <t>(35) 91014-6607</t>
  </si>
  <si>
    <t>Josuel Pereira</t>
  </si>
  <si>
    <t>(35) 99831-1961</t>
  </si>
  <si>
    <t>Maria Julia da Silva Santos</t>
  </si>
  <si>
    <t>(35) 9875-9611</t>
  </si>
  <si>
    <t>Daniela Aparecida de Almeida</t>
  </si>
  <si>
    <t>(35) 99863-6567</t>
  </si>
  <si>
    <t>Niandro Fanis Domingos Silva</t>
  </si>
  <si>
    <t>(35) 9736-9085</t>
  </si>
  <si>
    <t>(35) 92000-7202</t>
  </si>
  <si>
    <t>Angela Aparecida Pereira</t>
  </si>
  <si>
    <t>(35) 99766-1968</t>
  </si>
  <si>
    <t>Maria Izabel Rezende Gouvea</t>
  </si>
  <si>
    <t>(35) 99911-5802</t>
  </si>
  <si>
    <t>Francisco Miguel da Costa Junior</t>
  </si>
  <si>
    <t>(35) 99703-0319</t>
  </si>
  <si>
    <t>Melissa Maria Moraes Paolielo Rosa</t>
  </si>
  <si>
    <t>(35) 99896-0959</t>
  </si>
  <si>
    <t>Rebeca Eduarda Tavares</t>
  </si>
  <si>
    <t>(35) 99746-3894</t>
  </si>
  <si>
    <t>Neide Maria Damas de Andrade</t>
  </si>
  <si>
    <t>(35) 99903-1826</t>
  </si>
  <si>
    <t>Lidiany de Cássia Rodrigues Pereira</t>
  </si>
  <si>
    <t>(35) 99905-1788</t>
  </si>
  <si>
    <t>Valdinei Henrique da Silva</t>
  </si>
  <si>
    <t>(35) 9900-3745</t>
  </si>
  <si>
    <t>Wilson Fabio Sobreiro Silva</t>
  </si>
  <si>
    <t>(32) 99941-0033</t>
  </si>
  <si>
    <t>Wanderléia Sobreiro da Silva</t>
  </si>
  <si>
    <t>(35) 9908-0053</t>
  </si>
  <si>
    <t>Caiyun Liu</t>
  </si>
  <si>
    <t>(35) 99868-3596</t>
  </si>
  <si>
    <t>Diego Fernando Avelino</t>
  </si>
  <si>
    <t>(35) 9700-9174</t>
  </si>
  <si>
    <t>Evandro Sousa Figueiredo</t>
  </si>
  <si>
    <t>(35) 9780-1309</t>
  </si>
  <si>
    <t>Lucas Otavio Galvão Oliveira</t>
  </si>
  <si>
    <t>(35) 99869-7939</t>
  </si>
  <si>
    <t>Regina Maria Moreira</t>
  </si>
  <si>
    <t>(35) 9981-0703</t>
  </si>
  <si>
    <t>Luiz Antonio Machado Barbosa</t>
  </si>
  <si>
    <t>(19) 99634-8050</t>
  </si>
  <si>
    <t>Amelia Gouveia</t>
  </si>
  <si>
    <t>(35) 99119-7546</t>
  </si>
  <si>
    <t>Paulo Fernando Peres de Melo</t>
  </si>
  <si>
    <t>(35) 99945-4065</t>
  </si>
  <si>
    <t>Thais da Silva</t>
  </si>
  <si>
    <t>(35) 99985-9172</t>
  </si>
  <si>
    <t>Guilhard Ferreira Corrêa</t>
  </si>
  <si>
    <t>(31) 98464-8343</t>
  </si>
  <si>
    <t>Lucas Ribeiro da Silva</t>
  </si>
  <si>
    <t>(35) 99913-1719</t>
  </si>
  <si>
    <t>Marinez Ferreira</t>
  </si>
  <si>
    <t>(35) 9805-4520</t>
  </si>
  <si>
    <t>Anderson Wenceslau Candido</t>
  </si>
  <si>
    <t>(35) 99976-3249</t>
  </si>
  <si>
    <t>Glauciane Daiana Rodrigues Garcia</t>
  </si>
  <si>
    <t>(35) 99827-4628</t>
  </si>
  <si>
    <t>Willian Roberto Silva Brazil</t>
  </si>
  <si>
    <t>(35) 9881-9528</t>
  </si>
  <si>
    <t>Natália Arruda Dalló Pereira</t>
  </si>
  <si>
    <t>Maria Do Carmo Silva</t>
  </si>
  <si>
    <t>(35) 99881-6715</t>
  </si>
  <si>
    <t>Vilma Alves Brandao</t>
  </si>
  <si>
    <t>(35) 98428-3828</t>
  </si>
  <si>
    <t>Daniel Benedito do Couto</t>
  </si>
  <si>
    <t>(35) 99917-8117</t>
  </si>
  <si>
    <t>Dinah Nogueira Britos Gomes</t>
  </si>
  <si>
    <t>(44) 99775-0394</t>
  </si>
  <si>
    <t>Ronilda Araujo de Almeida</t>
  </si>
  <si>
    <t>(35) 99826-4125</t>
  </si>
  <si>
    <t>Lucas Alexandre de Melo Lemes</t>
  </si>
  <si>
    <t>(35) 99942-9987</t>
  </si>
  <si>
    <t>Joaquim Oliveira de Morais</t>
  </si>
  <si>
    <t>(35) 99754-6547</t>
  </si>
  <si>
    <t>Hudson Fanis André</t>
  </si>
  <si>
    <t>(35) 99970-6638</t>
  </si>
  <si>
    <t>Danubia Gomes Valente</t>
  </si>
  <si>
    <t>(35) 99129-1517</t>
  </si>
  <si>
    <t>Gilberto Benedito dos Santos</t>
  </si>
  <si>
    <t>(35) 99993-0304</t>
  </si>
  <si>
    <t>Francisco Flavio de Souza</t>
  </si>
  <si>
    <t>(35) 99944-3847</t>
  </si>
  <si>
    <t>Laura Damasceno Toribio Nunes</t>
  </si>
  <si>
    <t>(35) 99863-2103</t>
  </si>
  <si>
    <t>Marli de Oliveira Souza</t>
  </si>
  <si>
    <t>(35) 98403-1010</t>
  </si>
  <si>
    <t>Venicio Galvao Moreira</t>
  </si>
  <si>
    <t>Maria das Neves Silva Rosa</t>
  </si>
  <si>
    <t>(35) 99868-4572</t>
  </si>
  <si>
    <t>Jéssica Priscila de Almeida Martins</t>
  </si>
  <si>
    <t>(35) 99700-6801</t>
  </si>
  <si>
    <t>Aleksander Agua</t>
  </si>
  <si>
    <t>(35) 9772-5177</t>
  </si>
  <si>
    <t>Gláucia Maria Brandão Guilherme Bonamichi Oliveira</t>
  </si>
  <si>
    <t>(19) 98327-3202</t>
  </si>
  <si>
    <t>Gelásio Marinelli Megale</t>
  </si>
  <si>
    <t>(35) 99814-7461</t>
  </si>
  <si>
    <t>Larissa Pereira Vilas Boas</t>
  </si>
  <si>
    <t>(35) 99973-4005</t>
  </si>
  <si>
    <t>Luiz Rodrigo Santos Souza</t>
  </si>
  <si>
    <t>(35) 99882-9298</t>
  </si>
  <si>
    <t>Gabriel Souza Santos</t>
  </si>
  <si>
    <t>(35) 99813-1900</t>
  </si>
  <si>
    <t>Atelie do Pijama</t>
  </si>
  <si>
    <t>Elenice Lemes</t>
  </si>
  <si>
    <t>(35) 9911-6619</t>
  </si>
  <si>
    <t>Maria do Carmo de Carvalho Guimaraes</t>
  </si>
  <si>
    <t>(35) 99823-9522</t>
  </si>
  <si>
    <t>João Batista de Lima Simões</t>
  </si>
  <si>
    <t>(35) 99996-0628</t>
  </si>
  <si>
    <t>Danilo Juvenal da Silva</t>
  </si>
  <si>
    <t>(35) 99764-9673</t>
  </si>
  <si>
    <t>Joao Evangelista de Oliveira</t>
  </si>
  <si>
    <t>(35) 99921-9367</t>
  </si>
  <si>
    <t>Edson Jose da Silva</t>
  </si>
  <si>
    <t>(35) 99956-0468</t>
  </si>
  <si>
    <t>Jose Garcia de Rezende</t>
  </si>
  <si>
    <t>(35) 98405-8687</t>
  </si>
  <si>
    <t>Wilson Donizete Alves</t>
  </si>
  <si>
    <t>(35) 99718-6663</t>
  </si>
  <si>
    <t>Kleiton dos Santos Caetano</t>
  </si>
  <si>
    <t>(35) 99964-3611</t>
  </si>
  <si>
    <t>Edna Francisca Pereira da Silva</t>
  </si>
  <si>
    <t>(35) 99897-4070</t>
  </si>
  <si>
    <t>Benjamin Santos da Silva</t>
  </si>
  <si>
    <t>(35) 99925-5972</t>
  </si>
  <si>
    <t>Camilo Rossi Moreira</t>
  </si>
  <si>
    <t>(35) 99837-3521</t>
  </si>
  <si>
    <t>Antonio Carlos Soares Pinto</t>
  </si>
  <si>
    <t>(35) 99733-8576</t>
  </si>
  <si>
    <t>Joao Batista de Almeida</t>
  </si>
  <si>
    <t>(35) 99946-0396</t>
  </si>
  <si>
    <t>Maria Aparecida Teodoro dos Santos</t>
  </si>
  <si>
    <t>(35) 99979-9604</t>
  </si>
  <si>
    <t>Natan Borges Flauzino</t>
  </si>
  <si>
    <t>(35) 9908-3204</t>
  </si>
  <si>
    <t>Elaine Moreira da Costa</t>
  </si>
  <si>
    <t>(35) 99135-7248</t>
  </si>
  <si>
    <t>Mauro Sergio da Silva</t>
  </si>
  <si>
    <t>(35) 99946-1593</t>
  </si>
  <si>
    <t>José Lazaro dos Reis</t>
  </si>
  <si>
    <t>(35) 9997-0904</t>
  </si>
  <si>
    <t>Emerson Carlos da Silveira</t>
  </si>
  <si>
    <t>(35) 99891-9978</t>
  </si>
  <si>
    <t>Heraldo Maurício de Lima</t>
  </si>
  <si>
    <t>(35) 99910-4020</t>
  </si>
  <si>
    <t>Rodrigo de Lima Moreno</t>
  </si>
  <si>
    <t>(35) 99728-0151</t>
  </si>
  <si>
    <t>Paulo Cezar Brandão</t>
  </si>
  <si>
    <t>Laís Andrade Ambar</t>
  </si>
  <si>
    <t>(35) 99938-7754</t>
  </si>
  <si>
    <t>Zulmira Maria de Meira</t>
  </si>
  <si>
    <t>(11) 95121-8811</t>
  </si>
  <si>
    <t>BAR E RESTAURANTE FREITAS LTDA</t>
  </si>
  <si>
    <t>(35) 9916-5004</t>
  </si>
  <si>
    <t>Adriana Cornelia da Silva</t>
  </si>
  <si>
    <t>(35) 9989-1937</t>
  </si>
  <si>
    <t>Andrea Bergamini</t>
  </si>
  <si>
    <t>(19) 99696-4275</t>
  </si>
  <si>
    <t>Cláudionor Raimundo dos Santos</t>
  </si>
  <si>
    <t>(35) 99855-6560</t>
  </si>
  <si>
    <t>José Maria Caetano</t>
  </si>
  <si>
    <t>(35) 99741-7651</t>
  </si>
  <si>
    <t>Durvalina de Fátima Carvalho Motta</t>
  </si>
  <si>
    <t>(35) 99951-5707</t>
  </si>
  <si>
    <t>Maria da Penha Costa Santos</t>
  </si>
  <si>
    <t>(35) 99917-5193</t>
  </si>
  <si>
    <t>Rosangela Aparecida Ribeiro</t>
  </si>
  <si>
    <t>(35) 99812-0777</t>
  </si>
  <si>
    <t>Gustavo de Oliveira Vieira</t>
  </si>
  <si>
    <t>(35) 99859-5027</t>
  </si>
  <si>
    <t>Micheli Aparecida Custodio</t>
  </si>
  <si>
    <t>(35) 98477-2422</t>
  </si>
  <si>
    <t>(35) 99851-0527</t>
  </si>
  <si>
    <t>Irene Monteiro Coutinho de Mora</t>
  </si>
  <si>
    <t>(11) 96082-2415</t>
  </si>
  <si>
    <t>Luciana de Fatima Prado</t>
  </si>
  <si>
    <t>(35) 99883-2539</t>
  </si>
  <si>
    <t>Diego de Andrade</t>
  </si>
  <si>
    <t>(35) 99232-8996</t>
  </si>
  <si>
    <t>Maria Josilane da Silva Martins</t>
  </si>
  <si>
    <t>(35) 99759-7114</t>
  </si>
  <si>
    <t>Paulo Hernandes Pereira</t>
  </si>
  <si>
    <t>(35) 99937-7502</t>
  </si>
  <si>
    <t>Edson da Costa Oliveira</t>
  </si>
  <si>
    <t>(35) 99874-8846</t>
  </si>
  <si>
    <t>Rosa Maria de Oliveira</t>
  </si>
  <si>
    <t>(35) 99809-6423</t>
  </si>
  <si>
    <t>Gilson Nolder Rosa</t>
  </si>
  <si>
    <t>(35) 99868-0559</t>
  </si>
  <si>
    <t>Claudia Helena Santos Sousa</t>
  </si>
  <si>
    <t>(35) 99868-0534</t>
  </si>
  <si>
    <t>Walter Hiago Souza</t>
  </si>
  <si>
    <t>(35) 99996-2517</t>
  </si>
  <si>
    <t>Jovelina Pereira de Moraes</t>
  </si>
  <si>
    <t>(35) 99973-5149</t>
  </si>
  <si>
    <t>Joao Carlos Hemming Filho</t>
  </si>
  <si>
    <t>(49) 99154-3719</t>
  </si>
  <si>
    <t>Ronaldo Gomes da Silva</t>
  </si>
  <si>
    <t>(35) 99930-2207</t>
  </si>
  <si>
    <t>Eduardo Henrique Gomes Silva</t>
  </si>
  <si>
    <t>(35) 99829-5170</t>
  </si>
  <si>
    <t>Vicente Pereira de Sousa Filho</t>
  </si>
  <si>
    <t>(11) 95443-6674</t>
  </si>
  <si>
    <t>Renan Hamilton Freitas Marques</t>
  </si>
  <si>
    <t>(35) 99804-4538</t>
  </si>
  <si>
    <t>Welisson Gabriel Santos Couto</t>
  </si>
  <si>
    <t>(35) 99901-9897</t>
  </si>
  <si>
    <t>Juvenal Lino da Silva</t>
  </si>
  <si>
    <t>(35) 99765-6064</t>
  </si>
  <si>
    <t>Rita de Cassia Souza</t>
  </si>
  <si>
    <t>(35) 99758-9971</t>
  </si>
  <si>
    <t>Adilson Jose Siqueira</t>
  </si>
  <si>
    <t>(35) 99835-7435</t>
  </si>
  <si>
    <t>Michael da Silva Rosa</t>
  </si>
  <si>
    <t>(35) 99870-0901</t>
  </si>
  <si>
    <t>Adriana Justino do Couto</t>
  </si>
  <si>
    <t>(00) 00000-0000</t>
  </si>
  <si>
    <t>Araci Candida da Silva</t>
  </si>
  <si>
    <t>(35) 9813-5177</t>
  </si>
  <si>
    <t>Maria Aparecida de Mello</t>
  </si>
  <si>
    <t>(35) 99105-0105</t>
  </si>
  <si>
    <t>Fernando da Costa Couto</t>
  </si>
  <si>
    <t>(35) 99730-2939</t>
  </si>
  <si>
    <t>Domingos Gonçalves de Almeida</t>
  </si>
  <si>
    <t>(35) 9875-6902</t>
  </si>
  <si>
    <t>Wellington Natan da Silva II Ltda</t>
  </si>
  <si>
    <t>(35) 99756-2056</t>
  </si>
  <si>
    <t>Flávio Diego dos Santos</t>
  </si>
  <si>
    <t>(35) 99890-7938</t>
  </si>
  <si>
    <t>André Ezequiel Xavier Floriano</t>
  </si>
  <si>
    <t>(35) 99977-9550</t>
  </si>
  <si>
    <t>Joao Batista de Souza</t>
  </si>
  <si>
    <t>(35) 9975-5118</t>
  </si>
  <si>
    <t>Elber Cristovão Barbosa</t>
  </si>
  <si>
    <t>(35) 9867-8521</t>
  </si>
  <si>
    <t>Alanjons Guedes Santana</t>
  </si>
  <si>
    <t>(35) 99700-8584</t>
  </si>
  <si>
    <t>Tiele Silva Brandão</t>
  </si>
  <si>
    <t>(35) 9995-5828</t>
  </si>
  <si>
    <t>Rafael Rezende Liao</t>
  </si>
  <si>
    <t>(35) 99224-9515</t>
  </si>
  <si>
    <t>Rosali da Costa Ferreira</t>
  </si>
  <si>
    <t>(35) 9972-3204</t>
  </si>
  <si>
    <t>Thiago Augusto de Almeida</t>
  </si>
  <si>
    <t>(35) 99719-1317</t>
  </si>
  <si>
    <t>Rosa Maria Leopoldino</t>
  </si>
  <si>
    <t>(35) 99770-1017</t>
  </si>
  <si>
    <t>Maria Cristina da Silva</t>
  </si>
  <si>
    <t>(35) 99865-6079</t>
  </si>
  <si>
    <t>Samuel Henrique do Couto</t>
  </si>
  <si>
    <t>(35) 99741-3838</t>
  </si>
  <si>
    <t>Thais Regina de Almeida</t>
  </si>
  <si>
    <t>(35) 99728-1878</t>
  </si>
  <si>
    <t>Paulo Doniseti da Silva</t>
  </si>
  <si>
    <t>(19) 99854-8206</t>
  </si>
  <si>
    <t>Maria Luiza dos Santos</t>
  </si>
  <si>
    <t>(35) 99752-6863</t>
  </si>
  <si>
    <t>Claudinei Nunes Moreira</t>
  </si>
  <si>
    <t>(19) 99186-4323</t>
  </si>
  <si>
    <t>Vanderley Donizete de Abreu</t>
  </si>
  <si>
    <t>(35) 98423-3930</t>
  </si>
  <si>
    <t>Jonathan Michael Pereira Resende</t>
  </si>
  <si>
    <t>(35) 99726-2654</t>
  </si>
  <si>
    <t>Leonardo Roberto de Souza Freitas</t>
  </si>
  <si>
    <t>(35) 99995-7072</t>
  </si>
  <si>
    <t>Jaqueline Fernanda de Oliveira</t>
  </si>
  <si>
    <t>(35) 99737-1720</t>
  </si>
  <si>
    <t>Maria do Carmo Machado Silva</t>
  </si>
  <si>
    <t>(35) 99723-6880</t>
  </si>
  <si>
    <t>Jander Julio dos Santos Costa</t>
  </si>
  <si>
    <t>(35) 99865-9854</t>
  </si>
  <si>
    <t>Igreja do Barro Amarelo</t>
  </si>
  <si>
    <t>Geraldo Vitoriano de Andrade Neto</t>
  </si>
  <si>
    <t>(35) 99931-1663</t>
  </si>
  <si>
    <t>Marcelo José dos Santos</t>
  </si>
  <si>
    <t>(35) 99835-5349</t>
  </si>
  <si>
    <t>Antonio Cardoso Pinto Neto</t>
  </si>
  <si>
    <t>(35) 99722-1675</t>
  </si>
  <si>
    <t>Wender Gabriel Lombardi de Mira</t>
  </si>
  <si>
    <t>(35) 99835-0222</t>
  </si>
  <si>
    <t>Edson Pinheiro de Mira</t>
  </si>
  <si>
    <t>(35) 9904-4498</t>
  </si>
  <si>
    <t>Djalma Aparecido da Silva</t>
  </si>
  <si>
    <t>(35) 9893-5769</t>
  </si>
  <si>
    <t>Maria Aparecida Caetano</t>
  </si>
  <si>
    <t>(35) 99708-7632</t>
  </si>
  <si>
    <t>Fatima Doniseti de Souza Borges</t>
  </si>
  <si>
    <t>(35) 99896-8920</t>
  </si>
  <si>
    <t>Adenilson Silva de Moraes</t>
  </si>
  <si>
    <t>(35) 9962-5157</t>
  </si>
  <si>
    <t>Antonio Angelo Rossi Filho</t>
  </si>
  <si>
    <t>(35) 98468-7099</t>
  </si>
  <si>
    <t>Michel Felix da Silva</t>
  </si>
  <si>
    <t>(35) 99893-6843</t>
  </si>
  <si>
    <t>Marta de Cassia Simões Gomes</t>
  </si>
  <si>
    <t>(35) 99935-8246</t>
  </si>
  <si>
    <t>Andressa Maria Silva do Nascimento</t>
  </si>
  <si>
    <t>(35) 99889-8636</t>
  </si>
  <si>
    <t>SUPERMERCADOS BALEIA LTDA</t>
  </si>
  <si>
    <t>(35) 9763-8234</t>
  </si>
  <si>
    <t>Jonas De Oliveira Da Silva</t>
  </si>
  <si>
    <t>(35) 99872-5943</t>
  </si>
  <si>
    <t>Rivanio Araujo dos Santos</t>
  </si>
  <si>
    <t>(35) 99737-5675</t>
  </si>
  <si>
    <t>Fabio Henrique Paradelo</t>
  </si>
  <si>
    <t>(11) 98520-3640</t>
  </si>
  <si>
    <t>Adair Jose Silva</t>
  </si>
  <si>
    <t>(35) 99918-9354</t>
  </si>
  <si>
    <t>Leandro Costa de Oliveira</t>
  </si>
  <si>
    <t>(35) 9718-7284</t>
  </si>
  <si>
    <t>Gilberto Raatz Brazil</t>
  </si>
  <si>
    <t>(35) 99771-4297</t>
  </si>
  <si>
    <t>Flavia Floriano Brentegani</t>
  </si>
  <si>
    <t>(35) 99979-8808</t>
  </si>
  <si>
    <t>Zenaide Fatima de Moraes</t>
  </si>
  <si>
    <t>Diego Andrade dos Santos</t>
  </si>
  <si>
    <t>(35) 99873-3171</t>
  </si>
  <si>
    <t>Carlos Roberto Lemes</t>
  </si>
  <si>
    <t>(35) 99965-4213</t>
  </si>
  <si>
    <t>Fermiano Pinto da Silva</t>
  </si>
  <si>
    <t>Jose Claudio da Silva</t>
  </si>
  <si>
    <t>(35) 99850-9935</t>
  </si>
  <si>
    <t>Diego Wilian dos Santos</t>
  </si>
  <si>
    <t>(35) 99896-7210</t>
  </si>
  <si>
    <t>Gilmar Pereira da Silva</t>
  </si>
  <si>
    <t>(35) 99722-8576</t>
  </si>
  <si>
    <t>(35) 9969-8292</t>
  </si>
  <si>
    <t>Ricardo Costa Prestes</t>
  </si>
  <si>
    <t>(35) 91002-7388</t>
  </si>
  <si>
    <t>Maria Eunice da Silva Reis</t>
  </si>
  <si>
    <t>(35) 99901-8770</t>
  </si>
  <si>
    <t>Maria Aparecida Silva Alves</t>
  </si>
  <si>
    <t>(35) 99720-7091</t>
  </si>
  <si>
    <t>Tiago Junior Saturno</t>
  </si>
  <si>
    <t>Sueli Santos Pereira</t>
  </si>
  <si>
    <t>(35) 99869-2781</t>
  </si>
  <si>
    <t>Celia Regina Sgotte Lopes</t>
  </si>
  <si>
    <t>(35) 92002-0434</t>
  </si>
  <si>
    <t>Lucia Maria Pereira</t>
  </si>
  <si>
    <t>(35) 9976-9415</t>
  </si>
  <si>
    <t>Ana Paula Pereira da Silva</t>
  </si>
  <si>
    <t>(35) 9834-6649</t>
  </si>
  <si>
    <t>Pyetra Emmanuely Santos</t>
  </si>
  <si>
    <t>(35) 99735-2300</t>
  </si>
  <si>
    <t>Rosa Maria de Moraes Correa</t>
  </si>
  <si>
    <t>(35) 99810-8113</t>
  </si>
  <si>
    <t>Benedita Amaro de Mira</t>
  </si>
  <si>
    <t>(35) 99952-5083</t>
  </si>
  <si>
    <t>Thaiane Cristine Borba Miranda</t>
  </si>
  <si>
    <t>(35) 99739-7384</t>
  </si>
  <si>
    <t>Marcia Regina Teodoro</t>
  </si>
  <si>
    <t>(35) 99752-6297</t>
  </si>
  <si>
    <t>Dorival Orlando da Silva</t>
  </si>
  <si>
    <t>(11) 99611-4600</t>
  </si>
  <si>
    <t>Márcia Maria Delfino Valente</t>
  </si>
  <si>
    <t>(35) 99741-6260</t>
  </si>
  <si>
    <t>Everton Benedito de Assis Cunha</t>
  </si>
  <si>
    <t>(35) 99141-2469</t>
  </si>
  <si>
    <t>Lucas Emílio Martins Rocha</t>
  </si>
  <si>
    <t>(35) 98419-7951</t>
  </si>
  <si>
    <t>Susete Wiginewski</t>
  </si>
  <si>
    <t>(11) 99345-3514</t>
  </si>
  <si>
    <t>Ivanilda Raimunda dos Santos Moreira</t>
  </si>
  <si>
    <t>(35) 99851-0629</t>
  </si>
  <si>
    <t>Michael Antonio Inácio Martins</t>
  </si>
  <si>
    <t>(35) 99958-7834</t>
  </si>
  <si>
    <t>DIJANINA APARECIDA DO NASCIMENTO</t>
  </si>
  <si>
    <t>(35) 99974-6290</t>
  </si>
  <si>
    <t>Maycon Rafael Cabral dos Santos</t>
  </si>
  <si>
    <t>(35) 99850-9965</t>
  </si>
  <si>
    <t>Thais Aparecida Batista Honório</t>
  </si>
  <si>
    <t>(35) 99963-1372</t>
  </si>
  <si>
    <t>Ana Cláudia Cândido</t>
  </si>
  <si>
    <t>(35) 99701-2889</t>
  </si>
  <si>
    <t>Daniel Azevedo Soares Vicente</t>
  </si>
  <si>
    <t>(35) 99725-8847</t>
  </si>
  <si>
    <t>VOLUY TELECOM EIRELI ME</t>
  </si>
  <si>
    <t>(35) 3112-1995</t>
  </si>
  <si>
    <t>Jose Carlos Moreira</t>
  </si>
  <si>
    <t>(35) 99906-9565</t>
  </si>
  <si>
    <t>Nivaldo Fonseca</t>
  </si>
  <si>
    <t>(35) 9975-3946</t>
  </si>
  <si>
    <t>Bruna de Andrade Colti</t>
  </si>
  <si>
    <t>(35) 99108-5505</t>
  </si>
  <si>
    <t>(35) 99937-9091</t>
  </si>
  <si>
    <t>(33) 9905-7200</t>
  </si>
  <si>
    <t>John Herbert Batista Calixto</t>
  </si>
  <si>
    <t>(35) 99706-9811</t>
  </si>
  <si>
    <t>Maria Aparecida Lemes Pinto</t>
  </si>
  <si>
    <t>(35) 99701-3394</t>
  </si>
  <si>
    <t>Luiz Gustavo Mendes Moreira</t>
  </si>
  <si>
    <t>(35) 99755-2070</t>
  </si>
  <si>
    <t>João Batista de Sousa</t>
  </si>
  <si>
    <t>(35) 99925-7939</t>
  </si>
  <si>
    <t>Wilson Felisberto de Moura</t>
  </si>
  <si>
    <t>(35) 99880-6726</t>
  </si>
  <si>
    <t>Idair Batista Forte</t>
  </si>
  <si>
    <t>(35) 99901-0849</t>
  </si>
  <si>
    <t>Luana Cristina Cardoso</t>
  </si>
  <si>
    <t>(35) 99116-5714</t>
  </si>
  <si>
    <t>José Natal de Almeida</t>
  </si>
  <si>
    <t>(35) 99969-3459</t>
  </si>
  <si>
    <t>Michel de Freitas Capozzoli</t>
  </si>
  <si>
    <t>(35) 99197-7088</t>
  </si>
  <si>
    <t>DOIS AMIGOS LTDA</t>
  </si>
  <si>
    <t>(35) 9849-5891</t>
  </si>
  <si>
    <t>Sebastião Teixeira da Silva</t>
  </si>
  <si>
    <t>(35) 99735-5338</t>
  </si>
  <si>
    <t>Alinne Muzel Cavichioli</t>
  </si>
  <si>
    <t>(35) 9833-2711</t>
  </si>
  <si>
    <t>Andressa de Godoi Moraes</t>
  </si>
  <si>
    <t>(35) 9748-8234</t>
  </si>
  <si>
    <t>Edson Cesar Gomes</t>
  </si>
  <si>
    <t>(21) 99696-4995</t>
  </si>
  <si>
    <t>Heloisa Moreira da Silva</t>
  </si>
  <si>
    <t>(35) 99870-7580</t>
  </si>
  <si>
    <t>SITELBRA SISTEMA DE TELECOMUNICACOES DO BRASIL LTDA</t>
  </si>
  <si>
    <t>(61) 99977-8482</t>
  </si>
  <si>
    <t>Shirley Barreto de Almeida</t>
  </si>
  <si>
    <t>(35) 99909-9991</t>
  </si>
  <si>
    <t>Cláudia Raquel Tadeu Ferreira Penteado Barbosa</t>
  </si>
  <si>
    <t>(35) 98404-8285</t>
  </si>
  <si>
    <t>Ulisses Antônio de Pelegrin</t>
  </si>
  <si>
    <t>(54) 99194-5594</t>
  </si>
  <si>
    <t>Thales Eduardo da Luz Barta</t>
  </si>
  <si>
    <t>(35) 99878-8754</t>
  </si>
  <si>
    <t>Pedro Henrique Silva da Fonseca</t>
  </si>
  <si>
    <t>(35) 9900-5358</t>
  </si>
  <si>
    <t>Thiago da Paixão Moreira</t>
  </si>
  <si>
    <t>(35) 99910-1327</t>
  </si>
  <si>
    <t>William Suzuki dos Santos</t>
  </si>
  <si>
    <t>(35) 91001-6607</t>
  </si>
  <si>
    <t>Fábio Henrique Vieira</t>
  </si>
  <si>
    <t>(19) 99706-4133</t>
  </si>
  <si>
    <t>Alvaro Eduardo da Silva Santos</t>
  </si>
  <si>
    <t>(35) 99764-3647</t>
  </si>
  <si>
    <t>Talkd Soluções em Atendimento LTDA</t>
  </si>
  <si>
    <t>(11) 97541-0424</t>
  </si>
  <si>
    <t>Claudio de Souza Pinto</t>
  </si>
  <si>
    <t>(19) 99796-6806</t>
  </si>
  <si>
    <t>Bruna Aparecida Santos</t>
  </si>
  <si>
    <t>(35) 99724-5464</t>
  </si>
  <si>
    <t>Clarinda de Faria Silva</t>
  </si>
  <si>
    <t>(35) 99872-4638</t>
  </si>
  <si>
    <t>Guilherme Cardoso de Moraes</t>
  </si>
  <si>
    <t>(35) 99860-9663</t>
  </si>
  <si>
    <t>Vanilza Alves de Freitas</t>
  </si>
  <si>
    <t>(35) 99909-1250</t>
  </si>
  <si>
    <t>Iraci Raimundo do Nascimento</t>
  </si>
  <si>
    <t>(35) 98403-8234</t>
  </si>
  <si>
    <t>Antônio Carlos da Costa</t>
  </si>
  <si>
    <t>(35) 99943-5430</t>
  </si>
  <si>
    <t>Larissa Eduarda Martinez</t>
  </si>
  <si>
    <t>(35) 99835-3047</t>
  </si>
  <si>
    <t>Siony Soldani da Silva</t>
  </si>
  <si>
    <t>(35) 9969-2913</t>
  </si>
  <si>
    <t>Paulo Henrique da Silva</t>
  </si>
  <si>
    <t>(35) 99923-6966</t>
  </si>
  <si>
    <t>João José Rosa Nazaréno da Silva</t>
  </si>
  <si>
    <t>(35) 99894-2285</t>
  </si>
  <si>
    <t>Paulo Henrique Sousa de Melo</t>
  </si>
  <si>
    <t>(35) 99713-0921</t>
  </si>
  <si>
    <t>Gilmara Moreira da Silva Vieira</t>
  </si>
  <si>
    <t>(35) 99831-8919</t>
  </si>
  <si>
    <t>LUIZ GUILHERME COBRA BRANDÃO UNIPESSOAL LTDA</t>
  </si>
  <si>
    <t>(35) 98437-0714</t>
  </si>
  <si>
    <t>Gabriel Antunes da Silva</t>
  </si>
  <si>
    <t>(19) 99980-0870</t>
  </si>
  <si>
    <t>Edgar Pintaúdi</t>
  </si>
  <si>
    <t>(35) 99967-0582</t>
  </si>
  <si>
    <t>José Altair Ferreira</t>
  </si>
  <si>
    <t>(35) 9974-4807</t>
  </si>
  <si>
    <t>Alexandre Costa Moterani Dias</t>
  </si>
  <si>
    <t>(35) 99922-7126</t>
  </si>
  <si>
    <t>Paulo Cezar Guimarães Garcia</t>
  </si>
  <si>
    <t>(35) 9954-4078</t>
  </si>
  <si>
    <t>Breno Almeida da Silva</t>
  </si>
  <si>
    <t>(11) 97424-5533</t>
  </si>
  <si>
    <t>Paula Batista da Silva</t>
  </si>
  <si>
    <t>(35) 99757-1102</t>
  </si>
  <si>
    <t>Giovani Marcio Coura Junior</t>
  </si>
  <si>
    <t>(35) 99997-7272</t>
  </si>
  <si>
    <t>Wildner Di Paola do Carmo</t>
  </si>
  <si>
    <t>(11) 96069-6664</t>
  </si>
  <si>
    <t>Letícia Bárbara Vieira</t>
  </si>
  <si>
    <t>(35) 99715-9562</t>
  </si>
  <si>
    <t>Dayse Priscila Antunes Venâncio</t>
  </si>
  <si>
    <t>(35) 99976-6273</t>
  </si>
  <si>
    <t>Daniel Pereira de Oliveira Rocha</t>
  </si>
  <si>
    <t>(35) 99938-6531</t>
  </si>
  <si>
    <t>Benedito Jurandir dos Santos</t>
  </si>
  <si>
    <t>(35) 99885-2779</t>
  </si>
  <si>
    <t>Diana Yun My Colquehuanca</t>
  </si>
  <si>
    <t>(35) 99934-3477</t>
  </si>
  <si>
    <t>Cristhiano Jose da Silva</t>
  </si>
  <si>
    <t>(35) 9763-1304</t>
  </si>
  <si>
    <t>Josefa da Silva Dias</t>
  </si>
  <si>
    <t>(19) 99681-8441</t>
  </si>
  <si>
    <t>Wilson José de Andrade</t>
  </si>
  <si>
    <t>(35) 99870-7024</t>
  </si>
  <si>
    <t>Daniela Ceribeli</t>
  </si>
  <si>
    <t>(35) 99858-3680</t>
  </si>
  <si>
    <t>Paulo Cesar da Silva Soares Junior</t>
  </si>
  <si>
    <t>(35) 99927-1373</t>
  </si>
  <si>
    <t>Sthefani Maria do Carmo Naves</t>
  </si>
  <si>
    <t>(35) 99816-5546</t>
  </si>
  <si>
    <t>José Adriano Moreira</t>
  </si>
  <si>
    <t>(35) 99960-9476</t>
  </si>
  <si>
    <t>Benoni Teixeira</t>
  </si>
  <si>
    <t>(35) 9831-1223</t>
  </si>
  <si>
    <t>Ana Flávia Aparecida Amâncio</t>
  </si>
  <si>
    <t>(35) 9931-1584</t>
  </si>
  <si>
    <t>Marielly Eduarda Souza Silva</t>
  </si>
  <si>
    <t>(35) 9828-3977</t>
  </si>
  <si>
    <t>Débora Arruda Rodrigues</t>
  </si>
  <si>
    <t>(35) 99968-7260</t>
  </si>
  <si>
    <t>Tiago Rafael Marques Duarte</t>
  </si>
  <si>
    <t>(35) 99740-1868</t>
  </si>
  <si>
    <t>Eli Fernando Silva de Oliveira</t>
  </si>
  <si>
    <t>(15) 99629-1370</t>
  </si>
  <si>
    <t>Bernadete Alfredo Teodoro Emídio</t>
  </si>
  <si>
    <t>(35) 99927-2160</t>
  </si>
  <si>
    <t>LUCILENE CORREA BONAMICHI</t>
  </si>
  <si>
    <t>(35) 99936-7672</t>
  </si>
  <si>
    <t>Kely de Lima Martinez</t>
  </si>
  <si>
    <t>(35) 99764-6249</t>
  </si>
  <si>
    <t>Richardson William Belmiro</t>
  </si>
  <si>
    <t>(35) 99227-2016</t>
  </si>
  <si>
    <t>Thamires Oliveira Martineli</t>
  </si>
  <si>
    <t>(11) 93450-0160</t>
  </si>
  <si>
    <t>Daniela da Silva</t>
  </si>
  <si>
    <t>(35) 99715-8154</t>
  </si>
  <si>
    <t>Jovina Pereira de Souza</t>
  </si>
  <si>
    <t>(35) 99840-7220</t>
  </si>
  <si>
    <t>Rodrigo Martinelli Rosao</t>
  </si>
  <si>
    <t>(35) 99816-0607</t>
  </si>
  <si>
    <t>Gabriela de Cássia Ferraz</t>
  </si>
  <si>
    <t>(35) 99886-4305</t>
  </si>
  <si>
    <t>Elton José Marques de Rezende</t>
  </si>
  <si>
    <t>(35) 9714-6351</t>
  </si>
  <si>
    <t>Wenderson Felipe Caetano Carvalho</t>
  </si>
  <si>
    <t>(35) 99808-8975</t>
  </si>
  <si>
    <t>Vanderlet Flauzino de Carvalho Lourençoni</t>
  </si>
  <si>
    <t>(35) 99923-9201</t>
  </si>
  <si>
    <t>Yale Cristine Costa Ferreira</t>
  </si>
  <si>
    <t>(35) 99813-5945</t>
  </si>
  <si>
    <t>Adriano Lemes Garcia</t>
  </si>
  <si>
    <t>(35) 99967-6455</t>
  </si>
  <si>
    <t>Paulo Werneck</t>
  </si>
  <si>
    <t>(35) 9885-0130</t>
  </si>
  <si>
    <t>Claudemir Aparecido da Silva</t>
  </si>
  <si>
    <t>(35) 91014-1003</t>
  </si>
  <si>
    <t>Larissa Paronetti Galo</t>
  </si>
  <si>
    <t>(35) 99847-6785</t>
  </si>
  <si>
    <t>Larissa Pereira</t>
  </si>
  <si>
    <t>(35) 99769-8310</t>
  </si>
  <si>
    <t>Claudinei Aparecido da Silva</t>
  </si>
  <si>
    <t>(35) 99929-9819</t>
  </si>
  <si>
    <t>Fernando Antônio Vilas Boas</t>
  </si>
  <si>
    <t>(35) 9719-2787</t>
  </si>
  <si>
    <t>Diego Luiz Vitoriano</t>
  </si>
  <si>
    <t>(35) 99861-7535</t>
  </si>
  <si>
    <t>Sabrina Aparecida Muniz</t>
  </si>
  <si>
    <t>(35) 9807-9336</t>
  </si>
  <si>
    <t>João Vitor Rodrigues da Silva</t>
  </si>
  <si>
    <t>(35) 99836-5307</t>
  </si>
  <si>
    <t>Rosana Honório Dos Santos</t>
  </si>
  <si>
    <t>(35) 99870-2990</t>
  </si>
  <si>
    <t>Paulo Henrique Marques Duarte</t>
  </si>
  <si>
    <t>(35) 99810-6667</t>
  </si>
  <si>
    <t>Aline Rodrigues Valente</t>
  </si>
  <si>
    <t>(35) 99717-5581</t>
  </si>
  <si>
    <t>Isaura de Sousa Oliveira</t>
  </si>
  <si>
    <t>(35) 99962-2762</t>
  </si>
  <si>
    <t>Luana Aparecida de Moraes Silva</t>
  </si>
  <si>
    <t>(32) 99884-5782</t>
  </si>
  <si>
    <t>Germana do Nascimento Xavier</t>
  </si>
  <si>
    <t>(35) 99832-0484</t>
  </si>
  <si>
    <t>Leticia Aparecida da Silva</t>
  </si>
  <si>
    <t>(35) 99835-7098</t>
  </si>
  <si>
    <t>Reinaldo dos Santos Silva</t>
  </si>
  <si>
    <t>(35) 99740-3639</t>
  </si>
  <si>
    <t>Célia Regina Veronese de Souza</t>
  </si>
  <si>
    <t>(35) 99962-5246</t>
  </si>
  <si>
    <t>Lucimar Francisca Inácio</t>
  </si>
  <si>
    <t>(35) 99740-2333</t>
  </si>
  <si>
    <t>Benedita Gomes de Lima Valente</t>
  </si>
  <si>
    <t>(35) 99708-0812</t>
  </si>
  <si>
    <t>Marcos Eduardo Custódio</t>
  </si>
  <si>
    <t>(35) 99926-7650</t>
  </si>
  <si>
    <t>Heloisa Serafim dos Santos</t>
  </si>
  <si>
    <t>(35) 35992-3683</t>
  </si>
  <si>
    <t>Evelyn de Toledo Cavalcante</t>
  </si>
  <si>
    <t>(35) 99918-8586</t>
  </si>
  <si>
    <t>Magaly Megale</t>
  </si>
  <si>
    <t>(35) 99199-9004</t>
  </si>
  <si>
    <t>Luiz Gonzaga Teixeira</t>
  </si>
  <si>
    <t>(11) 97280-7770</t>
  </si>
  <si>
    <t>Sebastião Delfino Sobreiro</t>
  </si>
  <si>
    <t>(35) 99928-5572</t>
  </si>
  <si>
    <t>Silvana Mantuani</t>
  </si>
  <si>
    <t>(35) 99817-9530</t>
  </si>
  <si>
    <t>Patricia Sobreiro de Oliveira</t>
  </si>
  <si>
    <t>(35) 99132-1411</t>
  </si>
  <si>
    <t>Geraldo Magela da Silva</t>
  </si>
  <si>
    <t>(35) 99823-3840</t>
  </si>
  <si>
    <t>Pedro Henrique Rodrigues Narcizo</t>
  </si>
  <si>
    <t>(35) 99758-4866</t>
  </si>
  <si>
    <t>Joana Messias de Carvalho</t>
  </si>
  <si>
    <t>(35) 92001-5789</t>
  </si>
  <si>
    <t>(35) 99738-7854</t>
  </si>
  <si>
    <t>Elizeu Bibiano Guedes</t>
  </si>
  <si>
    <t>(35) 99758-1327</t>
  </si>
  <si>
    <t>Thais dos Santos Pereira</t>
  </si>
  <si>
    <t>(35) 99917-9460</t>
  </si>
  <si>
    <t>Johnatan Eduardo da Silva Pains</t>
  </si>
  <si>
    <t>(31) 98465-4853</t>
  </si>
  <si>
    <t>Gilberto Geraldo Braz</t>
  </si>
  <si>
    <t>(35) 99821-3391</t>
  </si>
  <si>
    <t>Paula Erika dos Santos</t>
  </si>
  <si>
    <t>(35) 99853-8167</t>
  </si>
  <si>
    <t>Taylor Toledo Euclides</t>
  </si>
  <si>
    <t>(35) 98418-4376</t>
  </si>
  <si>
    <t>Bruna Maduro da Silva</t>
  </si>
  <si>
    <t>(35) 99956-5686</t>
  </si>
  <si>
    <t>Adriano Ramos</t>
  </si>
  <si>
    <t>(35) 9735-5716</t>
  </si>
  <si>
    <t>Pedro Silva de Aquino</t>
  </si>
  <si>
    <t>(35) 99193-5059</t>
  </si>
  <si>
    <t>Filipe Pires</t>
  </si>
  <si>
    <t>(35) 9991-2572</t>
  </si>
  <si>
    <t>Marcelo Oliveira da Fonseca</t>
  </si>
  <si>
    <t>(35) 99995-2126</t>
  </si>
  <si>
    <t>Fernanda Dantas da Costa Machado</t>
  </si>
  <si>
    <t>(35) 99969-0198</t>
  </si>
  <si>
    <t>Israel Luis Lucas</t>
  </si>
  <si>
    <t>(35) 99979-9040</t>
  </si>
  <si>
    <t>Wellington Mendes</t>
  </si>
  <si>
    <t>(35) 9767-3029</t>
  </si>
  <si>
    <t>Iderli Andrade de Olliveira</t>
  </si>
  <si>
    <t>(11) 97285-4850</t>
  </si>
  <si>
    <t>Marcelo Bueno Gonçalves</t>
  </si>
  <si>
    <t>(35) 99767-2058</t>
  </si>
  <si>
    <t>Marcio Honorio da Silva Junior</t>
  </si>
  <si>
    <t>(35) 99898-7149</t>
  </si>
  <si>
    <t>Edmeia Félix de Lima Siqueira</t>
  </si>
  <si>
    <t>(35) 99995-9620</t>
  </si>
  <si>
    <t>Maria Eduarda Brandão Silva</t>
  </si>
  <si>
    <t>(35) 99936-2618</t>
  </si>
  <si>
    <t>Eychala Santos</t>
  </si>
  <si>
    <t>(35) 99942-6062</t>
  </si>
  <si>
    <t>Jildeu Gomes da Rocha</t>
  </si>
  <si>
    <t>(35) 99972-2089</t>
  </si>
  <si>
    <t>Maria Aparecida Antunes</t>
  </si>
  <si>
    <t>(35) 99737-9445</t>
  </si>
  <si>
    <t>Paula Roberta Rodrigues Gonçalves</t>
  </si>
  <si>
    <t>(35) 99853-8483</t>
  </si>
  <si>
    <t>Amanda Vitória Gomes Baquero</t>
  </si>
  <si>
    <t>(35) 99884-6422</t>
  </si>
  <si>
    <t>Geny do Carmo Santos da Silva</t>
  </si>
  <si>
    <t>(35) 99704-0836</t>
  </si>
  <si>
    <t>Danubia de Jesus Siqueira Silva</t>
  </si>
  <si>
    <t>(35) 99755-6941</t>
  </si>
  <si>
    <t>Sergio Mariano dos Santos</t>
  </si>
  <si>
    <t>(35) 9730-2389</t>
  </si>
  <si>
    <t>Geralda Braz Mendes</t>
  </si>
  <si>
    <t>(35) 9876-2453</t>
  </si>
  <si>
    <t>Debora Luiza de Abreu</t>
  </si>
  <si>
    <t>(35) 99870-2726</t>
  </si>
  <si>
    <t>A Cortineira LTDA</t>
  </si>
  <si>
    <t>(35) 99911-8100</t>
  </si>
  <si>
    <t>Márcia Ramos Trettin</t>
  </si>
  <si>
    <t>(35) 9924-2459</t>
  </si>
  <si>
    <t>TAYLON RIAN OLIVEIRA COUTO</t>
  </si>
  <si>
    <t>(35) 99804-3979</t>
  </si>
  <si>
    <t>Everton Lima de Souza</t>
  </si>
  <si>
    <t>(35) 99939-3842</t>
  </si>
  <si>
    <t>Weriton Aparecido Muniz</t>
  </si>
  <si>
    <t>(35) 99827-3947</t>
  </si>
  <si>
    <t>Diego Narciso Buarque Pereira</t>
  </si>
  <si>
    <t>(16) 99244-1551</t>
  </si>
  <si>
    <t>Dimas Pinto</t>
  </si>
  <si>
    <t>(35) 99140-3030</t>
  </si>
  <si>
    <t>Paulo Cezar Ribeiro</t>
  </si>
  <si>
    <t>(35) 99989-9297</t>
  </si>
  <si>
    <t>Couto Ambiental Engenharia</t>
  </si>
  <si>
    <t>(19) 99626-9195</t>
  </si>
  <si>
    <t>Alisson Matias Klehm de Sá</t>
  </si>
  <si>
    <t>(35) 99816-4306</t>
  </si>
  <si>
    <t>Lucas Moreira Floriano</t>
  </si>
  <si>
    <t>(35) 99949-1993</t>
  </si>
  <si>
    <t>Paola de Souza</t>
  </si>
  <si>
    <t>(35) 99727-8787</t>
  </si>
  <si>
    <t>(35) 99915-5065</t>
  </si>
  <si>
    <t>Guilherme Garcia Bueno</t>
  </si>
  <si>
    <t>(35) 99940-5939</t>
  </si>
  <si>
    <t>Johnatan Pedro Aparecido Candido</t>
  </si>
  <si>
    <t>(35) 99243-5556</t>
  </si>
  <si>
    <t>Ana Carolyne Martins de França</t>
  </si>
  <si>
    <t>(12) 98202-0432</t>
  </si>
  <si>
    <t>Christiane Donizeti Teodoro de Paula</t>
  </si>
  <si>
    <t>(35) 9996-9563</t>
  </si>
  <si>
    <t>Rafael Lopes</t>
  </si>
  <si>
    <t>(35) 99851-9784</t>
  </si>
  <si>
    <t>Carlos Eduardo Custódio</t>
  </si>
  <si>
    <t>(35) 99951-2645</t>
  </si>
  <si>
    <t>Eventos Inconfidentes</t>
  </si>
  <si>
    <t>Maria do Carmo Medeiros</t>
  </si>
  <si>
    <t>(19) 98366-5683</t>
  </si>
  <si>
    <t>Marcela Pereira Furtado</t>
  </si>
  <si>
    <t>(35) 99725-6746</t>
  </si>
  <si>
    <t>Samira Faria Silvério</t>
  </si>
  <si>
    <t>(35) 9885-1830</t>
  </si>
  <si>
    <t>Marcio de Resende</t>
  </si>
  <si>
    <t>(35) 99778-6137</t>
  </si>
  <si>
    <t>Edinelson Janiel Cezar</t>
  </si>
  <si>
    <t>(35) 99842-3587</t>
  </si>
  <si>
    <t>Ana Caroline Barbosa</t>
  </si>
  <si>
    <t>(35) 99719-2249</t>
  </si>
  <si>
    <t>Eliana Cristina Fernandes</t>
  </si>
  <si>
    <t>(35) 99726-2159</t>
  </si>
  <si>
    <t>Gabriel Silveira Santos</t>
  </si>
  <si>
    <t>(35) 99823-8295</t>
  </si>
  <si>
    <t>Gilberto Alves da Silva</t>
  </si>
  <si>
    <t>(35) 9854-9767</t>
  </si>
  <si>
    <t>Tainara Pereira Da Silva</t>
  </si>
  <si>
    <t>(35) 99871-5736</t>
  </si>
  <si>
    <t>Benedito Carlos Custodio</t>
  </si>
  <si>
    <t>(35) 99716-1039</t>
  </si>
  <si>
    <t>Eliane Aparecida Maciel</t>
  </si>
  <si>
    <t>(35) 9814-0056</t>
  </si>
  <si>
    <t>Fabiane de Fátima Maciel</t>
  </si>
  <si>
    <t>Maria Aparecida de Fatima Sousa</t>
  </si>
  <si>
    <t>(35) 99817-1367</t>
  </si>
  <si>
    <t>Fernanda Cristina Silva Ribeiro</t>
  </si>
  <si>
    <t>(19) 98763-7153</t>
  </si>
  <si>
    <t>Paulo Aparecido de Almeida</t>
  </si>
  <si>
    <t>(35) 99827-4175</t>
  </si>
  <si>
    <t>Omar Ricardo de Castro</t>
  </si>
  <si>
    <t>(35) 99930-4006</t>
  </si>
  <si>
    <t>Ilma dos Santos de Souza</t>
  </si>
  <si>
    <t>(35) 99760-7090</t>
  </si>
  <si>
    <t>Silvania Helen de Souza Meira</t>
  </si>
  <si>
    <t>Manoel Anisio da Silva</t>
  </si>
  <si>
    <t>(35) 99790-0560</t>
  </si>
  <si>
    <t>Jaqueline Fatima de Mira</t>
  </si>
  <si>
    <t>(35) 99116-1885</t>
  </si>
  <si>
    <t>Rogerio Francisco de Souza</t>
  </si>
  <si>
    <t>(35) 9970-1880</t>
  </si>
  <si>
    <t>Centro de Formação de Condutores Arouca e Novato Lida</t>
  </si>
  <si>
    <t>(35) 99982-0112</t>
  </si>
  <si>
    <t>Sebastião Alves Ribeiro</t>
  </si>
  <si>
    <t>(35) 99942-0809</t>
  </si>
  <si>
    <t>João Pedro da Silva de Oliveira</t>
  </si>
  <si>
    <t>Elaine Jamile de Campos Castro</t>
  </si>
  <si>
    <t>(35) 99814-1509</t>
  </si>
  <si>
    <t>Joyce Braga Nogueira Melo</t>
  </si>
  <si>
    <t>(35) 99898-2542</t>
  </si>
  <si>
    <t>Oscar Cezar Kido Siqueira</t>
  </si>
  <si>
    <t>(11) 97997-9137</t>
  </si>
  <si>
    <t>Ivoneide Alves Soares</t>
  </si>
  <si>
    <t>(35) 99964-1062</t>
  </si>
  <si>
    <t>Evilyn Nascimento de Oliveira</t>
  </si>
  <si>
    <t>(35) 99180-4811</t>
  </si>
  <si>
    <t>Hudson Gustavo Toledo</t>
  </si>
  <si>
    <t>(35) 99989-5947</t>
  </si>
  <si>
    <t>Piachentino Aparecido Muroni</t>
  </si>
  <si>
    <t>(35) 99953-1977</t>
  </si>
  <si>
    <t>Associação Comunidade Aliança Jave Nissi</t>
  </si>
  <si>
    <t>Drogaria Inconfidentes</t>
  </si>
  <si>
    <t>(35) 99704-8750</t>
  </si>
  <si>
    <t>Sandra Regina Gonçalves</t>
  </si>
  <si>
    <t>(35) 99816-9717</t>
  </si>
  <si>
    <t>Celia Borges do Couto</t>
  </si>
  <si>
    <t>(35) 99899-8222</t>
  </si>
  <si>
    <t>Liliane Aparecida Soares Pereira</t>
  </si>
  <si>
    <t>(35) 9992-0530</t>
  </si>
  <si>
    <t>Cristiane Ferreira de Toledo</t>
  </si>
  <si>
    <t>(11) 93228-5198</t>
  </si>
  <si>
    <t>Luzia Kely Rodrigues Pinto</t>
  </si>
  <si>
    <t>(35) 99965-6342</t>
  </si>
  <si>
    <t>Maria Jose de Lima</t>
  </si>
  <si>
    <t>(35) 99977-2452</t>
  </si>
  <si>
    <t>Helena Aparecida da Silva</t>
  </si>
  <si>
    <t>(35) 99910-1354</t>
  </si>
  <si>
    <t>Valdir Jacinto</t>
  </si>
  <si>
    <t>(35) 99766-0727</t>
  </si>
  <si>
    <t>Regiane Helena Becalete</t>
  </si>
  <si>
    <t>(35) 9961-3566</t>
  </si>
  <si>
    <t>Wenceslau Inacio Marins Neto</t>
  </si>
  <si>
    <t>(19) 99629-8060</t>
  </si>
  <si>
    <t>Fundacao Rocha</t>
  </si>
  <si>
    <t>(35) 3464-1328</t>
  </si>
  <si>
    <t>Wanessa Ribeiro Rocha</t>
  </si>
  <si>
    <t>(35) 9950-1338</t>
  </si>
  <si>
    <t>Waldemar Severino da Silva</t>
  </si>
  <si>
    <t>(35) 99839-2538</t>
  </si>
  <si>
    <t>Josue Ribeiro Dionisio Junior</t>
  </si>
  <si>
    <t>(35) 9964-6323</t>
  </si>
  <si>
    <t>Luan Donizete Sousa dos Santos</t>
  </si>
  <si>
    <t>(35) 99851-8162</t>
  </si>
  <si>
    <t>Primeira Igreja Batista Bíblica</t>
  </si>
  <si>
    <t>(35) 99856-9211</t>
  </si>
  <si>
    <t>Ana Paula de Almeida</t>
  </si>
  <si>
    <t>(35) 9841-4877</t>
  </si>
  <si>
    <t>Alfredo Cintra Lopes da Silva Filho</t>
  </si>
  <si>
    <t>(11) 98421-8843</t>
  </si>
  <si>
    <t>Rafael Joaquim da Silva</t>
  </si>
  <si>
    <t>(35) 98452-2238</t>
  </si>
  <si>
    <t>Regiane Aparecida de Siqueira</t>
  </si>
  <si>
    <t>(35) 9700-9981</t>
  </si>
  <si>
    <t>Eliseu Quênis Alves</t>
  </si>
  <si>
    <t>(35) 99888-2057</t>
  </si>
  <si>
    <t>Vanilza Maria dos Santos Castilho</t>
  </si>
  <si>
    <t>(35) 9861-1925</t>
  </si>
  <si>
    <t>Juliana Aparecida Muniz</t>
  </si>
  <si>
    <t>(35) 99772-0544</t>
  </si>
  <si>
    <t>Pedro Rodrigues</t>
  </si>
  <si>
    <t>(35) 99827-6437</t>
  </si>
  <si>
    <t>Vanessa Aparecida de Freitas</t>
  </si>
  <si>
    <t>(35) 99741-5253</t>
  </si>
  <si>
    <t>Marcio Aparecido de Souza</t>
  </si>
  <si>
    <t>(35) 9855-5169</t>
  </si>
  <si>
    <t>COOPERATIVA DE CREDITO POUPANÇA E INVESTIMENTO CONEXAO</t>
  </si>
  <si>
    <t>(55) 9714-9659</t>
  </si>
  <si>
    <t>Karina de Lima Gomes</t>
  </si>
  <si>
    <t>(35) 99919-1096</t>
  </si>
  <si>
    <t>Edson Lucas Ferreira da Silva</t>
  </si>
  <si>
    <t>(35) 99872-5971</t>
  </si>
  <si>
    <t>Mayara Eliza Jacinto</t>
  </si>
  <si>
    <t>(35) 9853-4251</t>
  </si>
  <si>
    <t>Francislene de Fátima Camargo</t>
  </si>
  <si>
    <t>(12) 99764-9651</t>
  </si>
  <si>
    <t>Thamiris Jacinto de Oliveira</t>
  </si>
  <si>
    <t>(35) 99927-4371</t>
  </si>
  <si>
    <t>Solange Ceribeli</t>
  </si>
  <si>
    <t>(35) 9995-9781</t>
  </si>
  <si>
    <t>Joel Inacio Ferraz</t>
  </si>
  <si>
    <t>(35) 99937-9957</t>
  </si>
  <si>
    <t>José Luiz Santos Oliveira</t>
  </si>
  <si>
    <t>(35) 99955-3496</t>
  </si>
  <si>
    <t>Suelen Simão Gomes</t>
  </si>
  <si>
    <t>(35) 99835-5628</t>
  </si>
  <si>
    <t>Sandy Gabriele Reis</t>
  </si>
  <si>
    <t>(35) 99135-2905</t>
  </si>
  <si>
    <t>Maicon Cosme José da Silva</t>
  </si>
  <si>
    <t>(35) 99931-3643</t>
  </si>
  <si>
    <t>Vanderlei Joaquim da Silva</t>
  </si>
  <si>
    <t>(35) 99847-0051</t>
  </si>
  <si>
    <t>Samir Neves Santos</t>
  </si>
  <si>
    <t>(35) 99755-5983</t>
  </si>
  <si>
    <t>Rogério de Cássio Rodrigues</t>
  </si>
  <si>
    <t>(35) 9893-4581</t>
  </si>
  <si>
    <t>José Eduardo Sabino</t>
  </si>
  <si>
    <t>(35) 99203-1433</t>
  </si>
  <si>
    <t>Ronaldo Donizeti Rodrigues</t>
  </si>
  <si>
    <t>(35) 9922-8671</t>
  </si>
  <si>
    <t>Jose Sabino Vicente</t>
  </si>
  <si>
    <t>(35) 99952-6662</t>
  </si>
  <si>
    <t>Maisa de Souza Damaceno</t>
  </si>
  <si>
    <t>(11) 99987-2387</t>
  </si>
  <si>
    <t>Reinaldo Cesar Muniz</t>
  </si>
  <si>
    <t>(35) 99132-0909</t>
  </si>
  <si>
    <t>Carla Eduarda de Melo</t>
  </si>
  <si>
    <t>(35) 99895-5995</t>
  </si>
  <si>
    <t>Lucilene Aparecida Barbosa</t>
  </si>
  <si>
    <t>Murilo Carlos Coutinho</t>
  </si>
  <si>
    <t>(35) 99805-3906</t>
  </si>
  <si>
    <t>Bernardo Guedes Carvalho</t>
  </si>
  <si>
    <t>(35) 9781-3617</t>
  </si>
  <si>
    <t>Luiz Carlos Gomes Costa</t>
  </si>
  <si>
    <t>(35) 99997-4466</t>
  </si>
  <si>
    <t>Maria Veronica Santos Silva</t>
  </si>
  <si>
    <t>Frampur Francisco de Assis</t>
  </si>
  <si>
    <t>(35) 9775-9603</t>
  </si>
  <si>
    <t>Maximilian Gonçalves Dias</t>
  </si>
  <si>
    <t>(35) 9950-5871</t>
  </si>
  <si>
    <t>Diego Sanchez</t>
  </si>
  <si>
    <t>(35) 9960-2598</t>
  </si>
  <si>
    <t>Rafael Borges</t>
  </si>
  <si>
    <t>(35) 99747-7032</t>
  </si>
  <si>
    <t>Leandro Henrique Mendes</t>
  </si>
  <si>
    <t>(35) 92000-6414</t>
  </si>
  <si>
    <t>Marco Aurelio Senibalde Monteiro</t>
  </si>
  <si>
    <t>(35) 9976-5582</t>
  </si>
  <si>
    <t>Talita Sanguina Guardiã</t>
  </si>
  <si>
    <t>(35) 99820-0789</t>
  </si>
  <si>
    <t>Pio Charles de Carvalho</t>
  </si>
  <si>
    <t>(35) 9920-2453</t>
  </si>
  <si>
    <t>Janaina Pereira</t>
  </si>
  <si>
    <t>(35) 99853-8420</t>
  </si>
  <si>
    <t>Heitor Stefan Pereira Nascimento</t>
  </si>
  <si>
    <t>(35) 99706-0441</t>
  </si>
  <si>
    <t>Kélica Andréa Campos de Souza</t>
  </si>
  <si>
    <t>(35) 99903-6395</t>
  </si>
  <si>
    <t>Amanda Megale Portugal Gonçalves</t>
  </si>
  <si>
    <t>(35) 99829-5135</t>
  </si>
  <si>
    <t>Patrick Pereira</t>
  </si>
  <si>
    <t>(35) 99778-3344</t>
  </si>
  <si>
    <t>(35) 99761-9330</t>
  </si>
  <si>
    <t>Elisandra Julia Aparecida da Mota</t>
  </si>
  <si>
    <t>(35) 99140-4539</t>
  </si>
  <si>
    <t>João Paulo Rosa de Araújo</t>
  </si>
  <si>
    <t>(35) 99915-3076</t>
  </si>
  <si>
    <t>Cleber Custodio Jorge</t>
  </si>
  <si>
    <t>(35) 99960-4796</t>
  </si>
  <si>
    <t>Lazara Mira de Souza</t>
  </si>
  <si>
    <t>(11) 99935-7674</t>
  </si>
  <si>
    <t>Sandra Lúcia de Souza</t>
  </si>
  <si>
    <t>(35) 99823-0602</t>
  </si>
  <si>
    <t>Andréia Correa Ferrari</t>
  </si>
  <si>
    <t>(19) 99840-9935</t>
  </si>
  <si>
    <t>Kaique Brito da Silva</t>
  </si>
  <si>
    <t>(35) 99776-1452</t>
  </si>
  <si>
    <t>Adriano Joia Pereira</t>
  </si>
  <si>
    <t>(35) 99214-6902</t>
  </si>
  <si>
    <t>Fernando José de Melo</t>
  </si>
  <si>
    <t>(35) 99862-2784</t>
  </si>
  <si>
    <t>Igor Jhonatan da Silva Domingues</t>
  </si>
  <si>
    <t>(35) 99886-3395</t>
  </si>
  <si>
    <t>Tuany Alcebiades dos Santos</t>
  </si>
  <si>
    <t>(35) 99956-7205</t>
  </si>
  <si>
    <t>Francisco José da Costa</t>
  </si>
  <si>
    <t>(35) 99925-3895</t>
  </si>
  <si>
    <t>Josemi Corrêa Oliveira</t>
  </si>
  <si>
    <t>(38) 9863-8537</t>
  </si>
  <si>
    <t>Raquel Vitória de Santana Mazini</t>
  </si>
  <si>
    <t>(92) 98838-0875</t>
  </si>
  <si>
    <t>Áurea Isabel Gomes Vilhena</t>
  </si>
  <si>
    <t>(35) 99858-0516</t>
  </si>
  <si>
    <t>Keila Aparecida de Oliveira Santos</t>
  </si>
  <si>
    <t>(15) 99627-8935</t>
  </si>
  <si>
    <t>Rubens Moreira</t>
  </si>
  <si>
    <t>(35) 99994-8032</t>
  </si>
  <si>
    <t>Viviane Ribeiro da Silva</t>
  </si>
  <si>
    <t>(35) 9978-5833</t>
  </si>
  <si>
    <t>Ligia Maria Dias Garcia</t>
  </si>
  <si>
    <t>(35) 99732-1005</t>
  </si>
  <si>
    <t>João Paulo Bartholo Favilla</t>
  </si>
  <si>
    <t>(35) 99904-9129</t>
  </si>
  <si>
    <t>Jose Lucas Freitas Reis Rocha</t>
  </si>
  <si>
    <t>(35) 99919-4077</t>
  </si>
  <si>
    <t>Villegas Gastrobar</t>
  </si>
  <si>
    <t>(11) 97285-0541</t>
  </si>
  <si>
    <t>Câmara Municipal Inconfidentes</t>
  </si>
  <si>
    <t>(35) 9878-2217</t>
  </si>
  <si>
    <t>Kassy Jhones Garcia</t>
  </si>
  <si>
    <t>(35) 99721-7755</t>
  </si>
  <si>
    <t>Wagner Miguel</t>
  </si>
  <si>
    <t>(35) 99887-9715</t>
  </si>
  <si>
    <t>Via01 Inconfidentes</t>
  </si>
  <si>
    <t>Joao Victor Lopes de Rezende Saber</t>
  </si>
  <si>
    <t>(48) 99200-3777</t>
  </si>
  <si>
    <t>Alice Soares da Silva</t>
  </si>
  <si>
    <t>(35) 99878-7918</t>
  </si>
  <si>
    <t>Maria Regina da Silva</t>
  </si>
  <si>
    <t>(35) 99889-6400</t>
  </si>
  <si>
    <t>Jéssica Martins Cabral</t>
  </si>
  <si>
    <t>(35) 99759-0927</t>
  </si>
  <si>
    <t>Camila Ribeiro Lisboa</t>
  </si>
  <si>
    <t>(32) 99139-5718</t>
  </si>
  <si>
    <t>Caixa Escolar Monsenhor Teófilo Guimarães</t>
  </si>
  <si>
    <t>(35) 3464-1144</t>
  </si>
  <si>
    <t>Maria Fernanda Cardoso</t>
  </si>
  <si>
    <t>(35) 99897-9841</t>
  </si>
  <si>
    <t>Maria Luisa Pinheiro Lauri</t>
  </si>
  <si>
    <t>(35) 9271-2476</t>
  </si>
  <si>
    <t>Larissa Ellen Specie Leonardi</t>
  </si>
  <si>
    <t>(19) 99693-0681</t>
  </si>
  <si>
    <t>Paula Tatiane Pereira</t>
  </si>
  <si>
    <t>(35) 99827-0721</t>
  </si>
  <si>
    <t>Luana Flávia Costa</t>
  </si>
  <si>
    <t>(35) 99927-8066</t>
  </si>
  <si>
    <t>Mickaella Cristiany Alves da Cunha</t>
  </si>
  <si>
    <t>(35) 99858-9156</t>
  </si>
  <si>
    <t>Naddson Santos Nunes</t>
  </si>
  <si>
    <t>(11) 97183-4716</t>
  </si>
  <si>
    <t>Márcia Helena Silva Mota</t>
  </si>
  <si>
    <t>(35) 99188-5986</t>
  </si>
  <si>
    <t>Sidney Luiz de Alvarenga</t>
  </si>
  <si>
    <t>(35) 99872-2852</t>
  </si>
  <si>
    <t>Hugo Feitosa Leao de Souza</t>
  </si>
  <si>
    <t>(35) 9832-3758</t>
  </si>
  <si>
    <t>Luiz Ricardo Dias</t>
  </si>
  <si>
    <t>(35) 9986-5882</t>
  </si>
  <si>
    <t>Maria Aparecida Tosetti Pejao Rossi</t>
  </si>
  <si>
    <t>Kaique Torres</t>
  </si>
  <si>
    <t>(35) 99995-9619</t>
  </si>
  <si>
    <t>Natalia Lopes dos Santos</t>
  </si>
  <si>
    <t>(35) 99831-6779</t>
  </si>
  <si>
    <t>Maria da Penha Godoi de Lima</t>
  </si>
  <si>
    <t>(35) 9963-9146</t>
  </si>
  <si>
    <t>Jamilly de Cassia Euzebio</t>
  </si>
  <si>
    <t>(35) 99967-9700</t>
  </si>
  <si>
    <t>Victor Gabriel Benati</t>
  </si>
  <si>
    <t>(35) 99913-7416</t>
  </si>
  <si>
    <t>João Pedro França</t>
  </si>
  <si>
    <t>(11) 94536-7488</t>
  </si>
  <si>
    <t>Juliana Aparecida Silva</t>
  </si>
  <si>
    <t>(35) 99936-9755</t>
  </si>
  <si>
    <t>Débora Silva Carvalho</t>
  </si>
  <si>
    <t>(35) 99886-5682</t>
  </si>
  <si>
    <t>Tecelagem Borda Têxtil</t>
  </si>
  <si>
    <t>(35) 99917-0377</t>
  </si>
  <si>
    <t>Fernanda Lima de Moura Alves</t>
  </si>
  <si>
    <t>(35) 99106-1130</t>
  </si>
  <si>
    <t>Luiz Antonio da Silva</t>
  </si>
  <si>
    <t>(35) 99157-4565</t>
  </si>
  <si>
    <t>Ronaldo Souza Santos</t>
  </si>
  <si>
    <t>(35) 99894-6820</t>
  </si>
  <si>
    <t>Beatriz Andre Laurindo</t>
  </si>
  <si>
    <t>(35) 99734-2475</t>
  </si>
  <si>
    <t>Kátia Fernandes dos Santos</t>
  </si>
  <si>
    <t>(35) 9996-3423</t>
  </si>
  <si>
    <t>Camila Ferreira Fernandes</t>
  </si>
  <si>
    <t>(35) 99874-4752</t>
  </si>
  <si>
    <t>(35) 99878-2678</t>
  </si>
  <si>
    <t>Matheus Alberto Dias Romero</t>
  </si>
  <si>
    <t>(35) 99988-4263</t>
  </si>
  <si>
    <t>Jeremias Aparecido Moreira</t>
  </si>
  <si>
    <t>(35) 99804-8348</t>
  </si>
  <si>
    <t>Vitória Veronez de Souza Bueno</t>
  </si>
  <si>
    <t>(19) 99894-1797</t>
  </si>
  <si>
    <t>Jefferson Luis Dias</t>
  </si>
  <si>
    <t>(35) 9806-7100</t>
  </si>
  <si>
    <t>Josue Aparecido de Oliveira</t>
  </si>
  <si>
    <t>(35) 99781-2433</t>
  </si>
  <si>
    <t>Luiz Guilherme Cobra Brandão Unipessoal Ltda</t>
  </si>
  <si>
    <t>(35) 99918-2901</t>
  </si>
  <si>
    <t>FERNANDA MARIA DA SILVA</t>
  </si>
  <si>
    <t>(35) 99972-2844</t>
  </si>
  <si>
    <t>Paulo Cesar de Freitas Junior</t>
  </si>
  <si>
    <t>(35) 99880-5802</t>
  </si>
  <si>
    <t>Gabriel Henrique Paiva</t>
  </si>
  <si>
    <t>(35) 99886-1325</t>
  </si>
  <si>
    <t>Suelem Alves De Lima</t>
  </si>
  <si>
    <t>(35) 99898-3487</t>
  </si>
  <si>
    <t>Edmilson Barbosa</t>
  </si>
  <si>
    <t>(35) 99928-3728</t>
  </si>
  <si>
    <t>Patrícia Gabkowski de Jesus</t>
  </si>
  <si>
    <t>(35) 99722-0040</t>
  </si>
  <si>
    <t>Severino José de Oliveira</t>
  </si>
  <si>
    <t>(35) 99986-3398</t>
  </si>
  <si>
    <t>Gabriel Araújo Junqueira Ferraz</t>
  </si>
  <si>
    <t>(35) 99976-3421</t>
  </si>
  <si>
    <t>Victoria Santana Sousa Santos</t>
  </si>
  <si>
    <t>(35) 99840-9891</t>
  </si>
  <si>
    <t>Denis Ribeiro Marques</t>
  </si>
  <si>
    <t>(35) 99852-1015</t>
  </si>
  <si>
    <t>Nilson Aparecido Gois</t>
  </si>
  <si>
    <t>(35) 99858-6595</t>
  </si>
  <si>
    <t>Pedro Pereira Siviero</t>
  </si>
  <si>
    <t>(35) 99879-2928</t>
  </si>
  <si>
    <t>Alexandro Galvão de Souza</t>
  </si>
  <si>
    <t>(35) 99749-4276</t>
  </si>
  <si>
    <t>Francieli Erica Muniz</t>
  </si>
  <si>
    <t>(35) 99842-7384</t>
  </si>
  <si>
    <t>João Vitor Soares dos Santos</t>
  </si>
  <si>
    <t>(35) 99756-8774</t>
  </si>
  <si>
    <t>Allana Cabral Pereira</t>
  </si>
  <si>
    <t>(11) 94150-6276</t>
  </si>
  <si>
    <t>Maria Eduarda Fernal Pereira</t>
  </si>
  <si>
    <t>(35) 99990-0290</t>
  </si>
  <si>
    <t>Maria Jose Megale</t>
  </si>
  <si>
    <t>(35) 99882-9291</t>
  </si>
  <si>
    <t>Dener dos Santos Coelho</t>
  </si>
  <si>
    <t>(35) 99745-9340</t>
  </si>
  <si>
    <t>Jeferson Vieira Sardinha</t>
  </si>
  <si>
    <t>(35) 99745-2925</t>
  </si>
  <si>
    <t>Ricardo Gomes Martins</t>
  </si>
  <si>
    <t>(35) 99844-9308</t>
  </si>
  <si>
    <t>Rita de Cassia Ferreira</t>
  </si>
  <si>
    <t>(19) 99761-1967</t>
  </si>
  <si>
    <t>Marta Isabel Duarte Peixoto</t>
  </si>
  <si>
    <t>(11) 99602-9391</t>
  </si>
  <si>
    <t>Rafael Lopes Junqueira</t>
  </si>
  <si>
    <t>(35) 99875-7341</t>
  </si>
  <si>
    <t>Daniel Werneck Machado</t>
  </si>
  <si>
    <t>(31) 98558-8288</t>
  </si>
  <si>
    <t>Neusa Mariana da Silva</t>
  </si>
  <si>
    <t>(35) 99875-2083</t>
  </si>
  <si>
    <t>Daniela Gomes Valente</t>
  </si>
  <si>
    <t>Everton Rafael de Rezende</t>
  </si>
  <si>
    <t>(35) 99845-5194</t>
  </si>
  <si>
    <t>Ana Rita Moreira</t>
  </si>
  <si>
    <t>(35) 99745-0962</t>
  </si>
  <si>
    <t>Moises Pereira Augusto</t>
  </si>
  <si>
    <t>(21) 98720-1252</t>
  </si>
  <si>
    <t>Maria Marta Teixeira de Sena</t>
  </si>
  <si>
    <t>(11) 94162-3063</t>
  </si>
  <si>
    <t>Luis Andre dos Santos</t>
  </si>
  <si>
    <t>(51) 99693-9338</t>
  </si>
  <si>
    <t>Lucas Miranda Borba</t>
  </si>
  <si>
    <t>(35) 99939-8293</t>
  </si>
  <si>
    <t>Sabrina Moreira</t>
  </si>
  <si>
    <t>(35) 99814-5719</t>
  </si>
  <si>
    <t>Kyung Hwa Chung</t>
  </si>
  <si>
    <t>(35) 99826-8832</t>
  </si>
  <si>
    <t>Walquiria Aparecida Carvalho de Oliveira</t>
  </si>
  <si>
    <t>(35) 99806-6008</t>
  </si>
  <si>
    <t>Nelson Gonçalves Júnior</t>
  </si>
  <si>
    <t>(35) 99741-3925</t>
  </si>
  <si>
    <t>Dandara Teodoro Oliveira</t>
  </si>
  <si>
    <t>(11) 97027-5358</t>
  </si>
  <si>
    <t>Marcio de Paula Silva</t>
  </si>
  <si>
    <t>(35) 99900-0139</t>
  </si>
  <si>
    <t>Evando Regis de Padua</t>
  </si>
  <si>
    <t>(35) 91001-2921</t>
  </si>
  <si>
    <t>Cristiano Machado da Rocha</t>
  </si>
  <si>
    <t>(35) 99942-1512</t>
  </si>
  <si>
    <t>Raquel Cristina Mariano</t>
  </si>
  <si>
    <t>(35) 99854-7611</t>
  </si>
  <si>
    <t>Mirela Alves dos Santos Lima</t>
  </si>
  <si>
    <t>(35) 97400-7646</t>
  </si>
  <si>
    <t>Lucas Tadeu Maduro da Silva</t>
  </si>
  <si>
    <t>(35) 99915-0524</t>
  </si>
  <si>
    <t>Fabrine Nunes Pinto</t>
  </si>
  <si>
    <t>(21) 99545-0760</t>
  </si>
  <si>
    <t>Antonio Gomes da Silva</t>
  </si>
  <si>
    <t>(35) 99708-5207</t>
  </si>
  <si>
    <t>Edson Pereira</t>
  </si>
  <si>
    <t>(35) 99871-0842</t>
  </si>
  <si>
    <t>Laércio de Freitas Bueno</t>
  </si>
  <si>
    <t>(35) 99805-3959</t>
  </si>
  <si>
    <t>Guilherme Gustavo Dos Santos</t>
  </si>
  <si>
    <t>(35) 99710-0601</t>
  </si>
  <si>
    <t>Célia Regina Vianna Paiva</t>
  </si>
  <si>
    <t>(35) 99928-1748</t>
  </si>
  <si>
    <t>Talia do Prado Braga</t>
  </si>
  <si>
    <t>(35) 99946-5624</t>
  </si>
  <si>
    <t>Victor Gustavo de Matos</t>
  </si>
  <si>
    <t>(35) 9705-1156</t>
  </si>
  <si>
    <t>Leandro Augusto Machado</t>
  </si>
  <si>
    <t>(35) 99893-7754</t>
  </si>
  <si>
    <t>Josias Francisco de Andrade</t>
  </si>
  <si>
    <t>(35) 99700-8967</t>
  </si>
  <si>
    <t>Julia de Melo Marçal Lopes</t>
  </si>
  <si>
    <t>(35) 92000-8197</t>
  </si>
  <si>
    <t>Andressa Stéfhany Santos</t>
  </si>
  <si>
    <t>(35) 99888-8105</t>
  </si>
  <si>
    <t>Silvia Regina Candida</t>
  </si>
  <si>
    <t>(35) 99733-9613</t>
  </si>
  <si>
    <t>Tais Leite Pereira</t>
  </si>
  <si>
    <t>(15) 99812-6604</t>
  </si>
  <si>
    <t>Fabiano Pereira Isaias</t>
  </si>
  <si>
    <t>(35) 99743-1752</t>
  </si>
  <si>
    <t>Claudete Natalia de Mira</t>
  </si>
  <si>
    <t>(35) 9931-7225</t>
  </si>
  <si>
    <t>Paulo Vitor</t>
  </si>
  <si>
    <t>(35) 99804-4142</t>
  </si>
  <si>
    <t>Corina Monti Bottoni</t>
  </si>
  <si>
    <t>(71) 9281-9654</t>
  </si>
  <si>
    <t>Michel do Couto de Souza</t>
  </si>
  <si>
    <t>(35) 99800-3127</t>
  </si>
  <si>
    <t>Luiz Guilherme Moreira Máximo</t>
  </si>
  <si>
    <t>(35) 99826-1223</t>
  </si>
  <si>
    <t>Milton Gomes dos Santos</t>
  </si>
  <si>
    <t>(35) 99763-2825</t>
  </si>
  <si>
    <t>Rivonaldo Araújo dos Santos</t>
  </si>
  <si>
    <t>(35) 99751-2365</t>
  </si>
  <si>
    <t>Talita Moreira Loureiro</t>
  </si>
  <si>
    <t>(35) 99203-2829</t>
  </si>
  <si>
    <t>Maria de Lourdes Ferreira</t>
  </si>
  <si>
    <t>(35) 99735-6868</t>
  </si>
  <si>
    <t>Regina Lucia Junqueira Santos</t>
  </si>
  <si>
    <t>(35) 99914-1299</t>
  </si>
  <si>
    <t>Erica Aparecida da Silva</t>
  </si>
  <si>
    <t>(35) 99903-7524</t>
  </si>
  <si>
    <t>João Victor Pereira dos Santos</t>
  </si>
  <si>
    <t>(35) 9808-2739</t>
  </si>
  <si>
    <t>José Carlos Pires</t>
  </si>
  <si>
    <t>(35) 9824-1477</t>
  </si>
  <si>
    <t>Ezuilda Alves Sanches</t>
  </si>
  <si>
    <t>(11) 94250-2822</t>
  </si>
  <si>
    <t>Ivan Sebastiao de Oliveira</t>
  </si>
  <si>
    <t>(35) 99922-6070</t>
  </si>
  <si>
    <t>Otávio Henrique da Silva Bueno</t>
  </si>
  <si>
    <t>(35) 99733-4078</t>
  </si>
  <si>
    <t>Lucas De Mello Azevedo Sousa</t>
  </si>
  <si>
    <t>(35) 99835-4110</t>
  </si>
  <si>
    <t>José Ulisses de Moraes</t>
  </si>
  <si>
    <t>(35) 9948-0768</t>
  </si>
  <si>
    <t>Jose Maria Coghi</t>
  </si>
  <si>
    <t>(35) 99815-1342</t>
  </si>
  <si>
    <t>Eliana da Silva</t>
  </si>
  <si>
    <t>(35) 9918-5588</t>
  </si>
  <si>
    <t>Eduardo Baptista de Carvalho</t>
  </si>
  <si>
    <t>(11) 98213-6370</t>
  </si>
  <si>
    <t>Nanci Machado dos Santos</t>
  </si>
  <si>
    <t>(35) 99920-8670</t>
  </si>
  <si>
    <t>Douglas Silva Paes</t>
  </si>
  <si>
    <t>(35) 99881-6910</t>
  </si>
  <si>
    <t>Angélica Aparecida Soares Alvares</t>
  </si>
  <si>
    <t>(35) 9892-1802</t>
  </si>
  <si>
    <t>Anilton da Costa Ferreira</t>
  </si>
  <si>
    <t>(35) 99735-8953</t>
  </si>
  <si>
    <t>Erika Adriana Martinelli Inacio</t>
  </si>
  <si>
    <t>(35) 9860-4072</t>
  </si>
  <si>
    <t>Joao Carlos Santos</t>
  </si>
  <si>
    <t>(11) 99981-5362</t>
  </si>
  <si>
    <t>(35) 9726-5041</t>
  </si>
  <si>
    <t>Narcy Barbosa da Silva</t>
  </si>
  <si>
    <t>(35) 99839-7228</t>
  </si>
  <si>
    <t>Neiva Borges do Couto Martins</t>
  </si>
  <si>
    <t>(35) 99825-1926</t>
  </si>
  <si>
    <t>Glenda Jordany Santos</t>
  </si>
  <si>
    <t>(38) 99804-8397</t>
  </si>
  <si>
    <t>Sandra Aparecida Vieira</t>
  </si>
  <si>
    <t>(35) 99102-3734</t>
  </si>
  <si>
    <t>Sulimary Aparecida Santos Freitas</t>
  </si>
  <si>
    <t>(35) 99882-8314</t>
  </si>
  <si>
    <t>João Benedito Passos</t>
  </si>
  <si>
    <t>(35) 99842-9610</t>
  </si>
  <si>
    <t>Luis Antonio Lopes da Silva</t>
  </si>
  <si>
    <t>(11) 97571-9660</t>
  </si>
  <si>
    <t>Eliana Moreira</t>
  </si>
  <si>
    <t>(35) 99703-1583</t>
  </si>
  <si>
    <t>Ana Caroline de Freitas Vitório</t>
  </si>
  <si>
    <t>(35) 99725-7133</t>
  </si>
  <si>
    <t>Paulo Henrique Rodrigues</t>
  </si>
  <si>
    <t>(35) 99123-7715</t>
  </si>
  <si>
    <t>Luciano Freitas Reis Rocha</t>
  </si>
  <si>
    <t>(35) 99966-1490</t>
  </si>
  <si>
    <t>Benedito Orcelo Justino</t>
  </si>
  <si>
    <t>Emile Nascimento Marques Duarte</t>
  </si>
  <si>
    <t>(62) 9888-0622</t>
  </si>
  <si>
    <t>Wilson Antônio Monteiro Martins</t>
  </si>
  <si>
    <t>(35) 99882-0206</t>
  </si>
  <si>
    <t>Thiago Rodrigues dos Santos</t>
  </si>
  <si>
    <t>(35) 99877-1529</t>
  </si>
  <si>
    <t>João Vitor da Silva</t>
  </si>
  <si>
    <t>(35) 99126-3723</t>
  </si>
  <si>
    <t>Manoel Célio dos Santos</t>
  </si>
  <si>
    <t>(35) 99758-0632</t>
  </si>
  <si>
    <t>Sofia Barros</t>
  </si>
  <si>
    <t>(11) 99463-8899</t>
  </si>
  <si>
    <t>Débora dos Santos de Assis</t>
  </si>
  <si>
    <t>(35) 99909-0210</t>
  </si>
  <si>
    <t>Nilva da Silva lopes</t>
  </si>
  <si>
    <t>(35) 9987-9772</t>
  </si>
  <si>
    <t>José Roberto Bueno</t>
  </si>
  <si>
    <t>(35) 99776-0502</t>
  </si>
  <si>
    <t>Alex José Bueno</t>
  </si>
  <si>
    <t>(35) 99887-5519</t>
  </si>
  <si>
    <t>Ana Paula Alves</t>
  </si>
  <si>
    <t>(35) 99823-0600</t>
  </si>
  <si>
    <t>Rafael Elizardo Delfino Silva</t>
  </si>
  <si>
    <t>(19) 98248-9845</t>
  </si>
  <si>
    <t>Jose Vieira da Silva Neto</t>
  </si>
  <si>
    <t>(35) 99237-0756</t>
  </si>
  <si>
    <t>Ana Paula de Marins Almeida</t>
  </si>
  <si>
    <t>(35) 91017-1196</t>
  </si>
  <si>
    <t>Vilma Ramos da Silva</t>
  </si>
  <si>
    <t>(19) 99718-7233</t>
  </si>
  <si>
    <t>Gilcemar Rodrigues Araújo</t>
  </si>
  <si>
    <t>(35) 9823-5532</t>
  </si>
  <si>
    <t>Cleide Leme de Godoi</t>
  </si>
  <si>
    <t>(19) 98127-0929</t>
  </si>
  <si>
    <t>Leandro da Costa Barros</t>
  </si>
  <si>
    <t>(19) 97144-0363</t>
  </si>
  <si>
    <t>Centro de Formação de Condutores Silva e Soares</t>
  </si>
  <si>
    <t>(35) 98857-2601</t>
  </si>
  <si>
    <t>Renata Pereira do Santos</t>
  </si>
  <si>
    <t>(35) 99816-6375</t>
  </si>
  <si>
    <t>Maria da Penha Custodio da Silva</t>
  </si>
  <si>
    <t>Amilton do Rosario Dias</t>
  </si>
  <si>
    <t>(35) 99950-9825</t>
  </si>
  <si>
    <t>Simone Montagnani de Sousa</t>
  </si>
  <si>
    <t>(35) 99135-6947</t>
  </si>
  <si>
    <t>Marcos da Silva Ribeiro</t>
  </si>
  <si>
    <t>(35) 99957-8574</t>
  </si>
  <si>
    <t>Romilda Borges do Couto Pereira</t>
  </si>
  <si>
    <t>(35) 99882-0921</t>
  </si>
  <si>
    <t>Renato dos Santos Ferreira</t>
  </si>
  <si>
    <t>(35) 99727-5869</t>
  </si>
  <si>
    <t>Claudineia Pereira de Sousa Martins</t>
  </si>
  <si>
    <t>(35) 99752-2689</t>
  </si>
  <si>
    <t>Andre de Freitas Forchito</t>
  </si>
  <si>
    <t>(35) 99703-6672</t>
  </si>
  <si>
    <t>Ananda Negrão Vasconcelos Marçal</t>
  </si>
  <si>
    <t>(35) 99191-4259</t>
  </si>
  <si>
    <t>José dos Santos Espinola</t>
  </si>
  <si>
    <t>(35) 99713-9805</t>
  </si>
  <si>
    <t>Luiz Flavio Reis Fernandes</t>
  </si>
  <si>
    <t>(35) 99925-2467</t>
  </si>
  <si>
    <t>David Eduardo Goulart</t>
  </si>
  <si>
    <t>(35) 99849-5043</t>
  </si>
  <si>
    <t>Thaliny Pereira dos Santos</t>
  </si>
  <si>
    <t>(35) 99871-9982</t>
  </si>
  <si>
    <t>Ana Caroline de Freitas Vitorio</t>
  </si>
  <si>
    <t>Antônio Marcos Alves da Silva</t>
  </si>
  <si>
    <t>(35) 99869-4905</t>
  </si>
  <si>
    <t>Kelsen Henrique Barbosa Rodrigues</t>
  </si>
  <si>
    <t>(35) 99864-8668</t>
  </si>
  <si>
    <t>Hellington Ramon Martins</t>
  </si>
  <si>
    <t>(35) 99867-5082</t>
  </si>
  <si>
    <t>Lidiane Freitas de Lima</t>
  </si>
  <si>
    <t>(35) 99121-0665</t>
  </si>
  <si>
    <t>Antonio Jose Rosa</t>
  </si>
  <si>
    <t>Mauri Alves Tosta</t>
  </si>
  <si>
    <t>(19) 97168-2504</t>
  </si>
  <si>
    <t>Antônio Vicente Martins</t>
  </si>
  <si>
    <t>(35) 99762-4044</t>
  </si>
  <si>
    <t>Maria Helena Daló</t>
  </si>
  <si>
    <t>(35) 99807-2729</t>
  </si>
  <si>
    <t>Carla Mariane Lucas</t>
  </si>
  <si>
    <t>(35) 99708-4929</t>
  </si>
  <si>
    <t>Afonso Carlos Martins</t>
  </si>
  <si>
    <t>(35) 99136-2115</t>
  </si>
  <si>
    <t>Alexsander Venancio Mauro</t>
  </si>
  <si>
    <t>(35) 99917-3707</t>
  </si>
  <si>
    <t>Katia Aparecida Sales Simoes</t>
  </si>
  <si>
    <t>(35) 99856-4789</t>
  </si>
  <si>
    <t>Marina de Melo Bombachi</t>
  </si>
  <si>
    <t>(35) 99920-9530</t>
  </si>
  <si>
    <t>André Reche Alonso Filho</t>
  </si>
  <si>
    <t>(35) 99722-9193</t>
  </si>
  <si>
    <t>Luiz Antônio Faustino</t>
  </si>
  <si>
    <t>(35) 99990-7369</t>
  </si>
  <si>
    <t>Isaías de Sousa</t>
  </si>
  <si>
    <t>(35) 99721-9599</t>
  </si>
  <si>
    <t>Rosly Carneiro Julidori</t>
  </si>
  <si>
    <t>Marcos Vinicius Soares de Brito Duarte</t>
  </si>
  <si>
    <t>(35) 99268-1007</t>
  </si>
  <si>
    <t>Cleuza Job Moreira Souza</t>
  </si>
  <si>
    <t>(35) 9997-2841</t>
  </si>
  <si>
    <t>Maicon Donizeti de Oliveira</t>
  </si>
  <si>
    <t>(35) 99706-3776</t>
  </si>
  <si>
    <t>Tabelionato de Protesto de Borda da Mata</t>
  </si>
  <si>
    <t>(35) 3445-3457</t>
  </si>
  <si>
    <t>Ana Cláudia Damas Carvalho</t>
  </si>
  <si>
    <t>Paulo Sérgio da Silva Girio Junior</t>
  </si>
  <si>
    <t>(35) 99868-8514</t>
  </si>
  <si>
    <t>Natalia Tainara Cândido Caetano</t>
  </si>
  <si>
    <t>(35) 99127-1383</t>
  </si>
  <si>
    <t>Jonathan Leandro Dantas</t>
  </si>
  <si>
    <t>(35) 99867-8958</t>
  </si>
  <si>
    <t>Manoel Cariolano Lopes Rodrigues</t>
  </si>
  <si>
    <t>(87) 99921-3483</t>
  </si>
  <si>
    <t>Arthur Cintra Lopes da Silva</t>
  </si>
  <si>
    <t>(11) 99969-2287</t>
  </si>
  <si>
    <t>Ana Beatriz de Oliveira Floriano</t>
  </si>
  <si>
    <t>(35) 99737-0160</t>
  </si>
  <si>
    <t>Geni Francisca Paulino</t>
  </si>
  <si>
    <t>(35) 99830-2230</t>
  </si>
  <si>
    <t>Eduarda Caroline da Silveira</t>
  </si>
  <si>
    <t>(35) 92001-2985</t>
  </si>
  <si>
    <t>Zelia Lucia Machado</t>
  </si>
  <si>
    <t>(35) 99876-7999</t>
  </si>
  <si>
    <t>Igor Henrique Alves Cássia</t>
  </si>
  <si>
    <t>(35) 99854-2758</t>
  </si>
  <si>
    <t>Vitoria Almeida Mendes</t>
  </si>
  <si>
    <t>(15) 99634-8722</t>
  </si>
  <si>
    <t>Herick Junio Silva</t>
  </si>
  <si>
    <t>(35) 99964-5384</t>
  </si>
  <si>
    <t>Almir Rogério Antunes Vieira</t>
  </si>
  <si>
    <t>(35) 99996-2750</t>
  </si>
  <si>
    <t>Cleverton Ribeiro</t>
  </si>
  <si>
    <t>(41) 9854-2836</t>
  </si>
  <si>
    <t>Clara Lino Dias da Silva</t>
  </si>
  <si>
    <t>(35) 99267-7905</t>
  </si>
  <si>
    <t>(35) 98805-6928</t>
  </si>
  <si>
    <t>Lessandra do Carmo Faria</t>
  </si>
  <si>
    <t>(35) 99921-0202</t>
  </si>
  <si>
    <t>Jane Mara Lima Nascimento</t>
  </si>
  <si>
    <t>(35) 9996-5376</t>
  </si>
  <si>
    <t>Maria Ines Martinelli</t>
  </si>
  <si>
    <t>(35) 9856-3981</t>
  </si>
  <si>
    <t>Helena Maria da Silveira Becalete</t>
  </si>
  <si>
    <t>(35) 91001-9608</t>
  </si>
  <si>
    <t>Elcera Rosemary de Gusmao</t>
  </si>
  <si>
    <t>(35) 99822-3402</t>
  </si>
  <si>
    <t>Alana Lissa Santos da Cruz</t>
  </si>
  <si>
    <t>(35) 99851-5568</t>
  </si>
  <si>
    <t>João Alves de Souza Filho</t>
  </si>
  <si>
    <t>(87) 99954-0823</t>
  </si>
  <si>
    <t>Denis Henrique Consentino</t>
  </si>
  <si>
    <t>(35) 99885-1279</t>
  </si>
  <si>
    <t>Giovanna Fernandes Prisco</t>
  </si>
  <si>
    <t>(35) 99896-1733</t>
  </si>
  <si>
    <t>Juliano Aurélio Silvério</t>
  </si>
  <si>
    <t>(35) 99881-3336</t>
  </si>
  <si>
    <t>Luiz Guilherme Euzebio</t>
  </si>
  <si>
    <t>(35) 99700-0784</t>
  </si>
  <si>
    <t>Gilmar Junior do Couto Faria</t>
  </si>
  <si>
    <t>(35) 99769-9756</t>
  </si>
  <si>
    <t>Beatriz da Silva Garcia</t>
  </si>
  <si>
    <t>(35) 99755-3413</t>
  </si>
  <si>
    <t>Bruno Manoel Rezende de Melo</t>
  </si>
  <si>
    <t>(35) 99708-8759</t>
  </si>
  <si>
    <t>Angela Maria Gonçalves</t>
  </si>
  <si>
    <t>(16) 99403-5943</t>
  </si>
  <si>
    <t>Fernando José Salatino Trivellato</t>
  </si>
  <si>
    <t>(11) 99983-7554</t>
  </si>
  <si>
    <t>Heloísa Severino Souza</t>
  </si>
  <si>
    <t>(35) 98843-8372</t>
  </si>
  <si>
    <t>Braion Henrique Alves Miranda dos Santos</t>
  </si>
  <si>
    <t>(35) 99755-8257</t>
  </si>
  <si>
    <t>Gabriel Pereira de Oliveira</t>
  </si>
  <si>
    <t>(75) 98896-8957</t>
  </si>
  <si>
    <t>Empire GYM</t>
  </si>
  <si>
    <t>(35) 9899-2511</t>
  </si>
  <si>
    <t>Kayna cunha</t>
  </si>
  <si>
    <t>(87) 98167-4873</t>
  </si>
  <si>
    <t>Lausiane Raquel Borges</t>
  </si>
  <si>
    <t>(35) 99752-4120</t>
  </si>
  <si>
    <t>Rony Felipe Marcelino Corrêa</t>
  </si>
  <si>
    <t>(16) 99779-6785</t>
  </si>
  <si>
    <t>Amanda do Prado Faria</t>
  </si>
  <si>
    <t>(35) 99750-8106</t>
  </si>
  <si>
    <t>Gabryel Kaua Nascimento Claudino</t>
  </si>
  <si>
    <t>(98) 9153-6144</t>
  </si>
  <si>
    <t>Jéssica Tainara de Souza</t>
  </si>
  <si>
    <t>Luceli Gonçalves</t>
  </si>
  <si>
    <t>(19) 97164-9231</t>
  </si>
  <si>
    <t>Edgar Moreira Narcizo</t>
  </si>
  <si>
    <t>(35) 99986-9884</t>
  </si>
  <si>
    <t>Luana Heloise da Silva</t>
  </si>
  <si>
    <t>(35) 99849-9433</t>
  </si>
  <si>
    <t>Wellington Goncalves Louzada</t>
  </si>
  <si>
    <t>(35) 99917-7528</t>
  </si>
  <si>
    <t>Maria Alcidinea de Toledo Zucarelli</t>
  </si>
  <si>
    <t>(35) 9925-0348</t>
  </si>
  <si>
    <t>Dorival Borges</t>
  </si>
  <si>
    <t>(35) 99826-9543</t>
  </si>
  <si>
    <t>Jair de Freitas Neto</t>
  </si>
  <si>
    <t>(35) 8899-8554</t>
  </si>
  <si>
    <t>Gabriel Henrique da Silva</t>
  </si>
  <si>
    <t>(35) 99834-8964</t>
  </si>
  <si>
    <t>Paulo Benedito de Almeida</t>
  </si>
  <si>
    <t>(35) 99753-4631</t>
  </si>
  <si>
    <t>Alexandro Henrique Leopoldino</t>
  </si>
  <si>
    <t>(35) 99125-0618</t>
  </si>
  <si>
    <t>Natasha Fabiola de Andrade</t>
  </si>
  <si>
    <t>(35) 99821-4677</t>
  </si>
  <si>
    <t>Vilma Célia Barbosa de Lima</t>
  </si>
  <si>
    <t>(35) 99277-3262</t>
  </si>
  <si>
    <t>Guilherme Bueno Araújo</t>
  </si>
  <si>
    <t>(35) 99823-9761</t>
  </si>
  <si>
    <t>Wanderson Alves da Silva Barros</t>
  </si>
  <si>
    <t>(35) 99724-0096</t>
  </si>
  <si>
    <t>Nadir Jacinto da Silva</t>
  </si>
  <si>
    <t>(35) 99741-1129</t>
  </si>
  <si>
    <t>Anderson Rosa da Costa</t>
  </si>
  <si>
    <t>(35) 99852-1921</t>
  </si>
  <si>
    <t>Alan Henrique Goncalves</t>
  </si>
  <si>
    <t>(35) 99986-6619</t>
  </si>
  <si>
    <t>Pollyanna de Fátima Borges</t>
  </si>
  <si>
    <t>(35) 99913-3311</t>
  </si>
  <si>
    <t>Josiele de Cássia Da Silva</t>
  </si>
  <si>
    <t>(35) 99844-9492</t>
  </si>
  <si>
    <t>Juan Carlos Maculan</t>
  </si>
  <si>
    <t>(35) 99850-9207</t>
  </si>
  <si>
    <t>Gian Cesar Nunes</t>
  </si>
  <si>
    <t>(35) 99855-5991</t>
  </si>
  <si>
    <t>Sebastião Gonçalves Nogueira</t>
  </si>
  <si>
    <t>(11) 98986-9408</t>
  </si>
  <si>
    <t>Maria de Fatima Reno Moreira</t>
  </si>
  <si>
    <t>(35) 99982-2881</t>
  </si>
  <si>
    <t>Adaniela Manuela da Silva</t>
  </si>
  <si>
    <t>(87) 98100-4845</t>
  </si>
  <si>
    <t>Maria José dos Santos Dalló</t>
  </si>
  <si>
    <t>(35) 9766-4497</t>
  </si>
  <si>
    <t>Daniela Helena Siqueira Silva</t>
  </si>
  <si>
    <t>(35) 99988-3663</t>
  </si>
  <si>
    <t>Eberson da Silva</t>
  </si>
  <si>
    <t>(35) 99899-6935</t>
  </si>
  <si>
    <t>Joao Pereira de Rezende</t>
  </si>
  <si>
    <t>Tiago Galvao Oliveira</t>
  </si>
  <si>
    <t>(35) 99946-4485</t>
  </si>
  <si>
    <t>Gislaine da Silva</t>
  </si>
  <si>
    <t>(35) 9728-3593</t>
  </si>
  <si>
    <t>Alessandra Daniela Oliveira Salgado</t>
  </si>
  <si>
    <t>(35) 99959-7727</t>
  </si>
  <si>
    <t>Joice Dallo</t>
  </si>
  <si>
    <t>(35) 99766-4497</t>
  </si>
  <si>
    <t>Claudete Maria de Carvalho</t>
  </si>
  <si>
    <t>(35) 99802-9939</t>
  </si>
  <si>
    <t>Elon Mattos Pereira</t>
  </si>
  <si>
    <t>(35) 99736-6268</t>
  </si>
  <si>
    <t>Rede Dom Pedro de Postos Ltda</t>
  </si>
  <si>
    <t>(35) 98465-3021</t>
  </si>
  <si>
    <t>Maria Aparecida Delfino dos Santos</t>
  </si>
  <si>
    <t>(35) 9972-2364</t>
  </si>
  <si>
    <t>Suiani Dallo Gois</t>
  </si>
  <si>
    <t>(35) 99725-1867</t>
  </si>
  <si>
    <t>Leonardo Paiva Fernandes</t>
  </si>
  <si>
    <t>(19) 99815-9760</t>
  </si>
  <si>
    <t>Adriana Inacio</t>
  </si>
  <si>
    <t>(35) 99233-5674</t>
  </si>
  <si>
    <t xml:space="preserve">Cliente </t>
  </si>
  <si>
    <t>Plano</t>
  </si>
  <si>
    <t>Valor do plano</t>
  </si>
  <si>
    <t xml:space="preserve">Multa </t>
  </si>
  <si>
    <t xml:space="preserve">Inicio </t>
  </si>
  <si>
    <t>Término</t>
  </si>
  <si>
    <t>500 megas 3 primeiros meses 50% de desconto</t>
  </si>
  <si>
    <t>14/07/2023</t>
  </si>
  <si>
    <t>14/07/2024</t>
  </si>
  <si>
    <t>400 megas 3 primeiros meses 50% de desconto</t>
  </si>
  <si>
    <t>200 megas  3 primeiros meses 50% de desconto</t>
  </si>
  <si>
    <t>300 megas por 70,00</t>
  </si>
  <si>
    <t xml:space="preserve">400 megas por 99,90 </t>
  </si>
  <si>
    <t>Fabrycio Paiva</t>
  </si>
  <si>
    <t>400 megas por 99,90 ( 3 meses por 79,90 )</t>
  </si>
  <si>
    <t>20/02/2024</t>
  </si>
  <si>
    <t>20/02/2025</t>
  </si>
  <si>
    <t>300 megas 3 primeiros meses com desconto</t>
  </si>
  <si>
    <t>21//02/2025</t>
  </si>
  <si>
    <t>400 megas 3 primeiros meses com desconto</t>
  </si>
  <si>
    <t xml:space="preserve">Dener dos Santos Coelho </t>
  </si>
  <si>
    <t xml:space="preserve">700 megas - 150,00 mensal </t>
  </si>
  <si>
    <t>13/03/2025</t>
  </si>
  <si>
    <t xml:space="preserve">Mirela Alves dos Santos Lima </t>
  </si>
  <si>
    <t>25/03/2025</t>
  </si>
  <si>
    <t>Andressa Sthefhany Santos</t>
  </si>
  <si>
    <t>15/04/2024</t>
  </si>
  <si>
    <t>15/04/2025</t>
  </si>
  <si>
    <t xml:space="preserve"> Erica Aparecida da Silva</t>
  </si>
  <si>
    <t>25/04/2024</t>
  </si>
  <si>
    <t>25/04/2025</t>
  </si>
  <si>
    <t>Joao Carlos dos Santos</t>
  </si>
  <si>
    <t>Gabrielli Madalena Batista dos Santos</t>
  </si>
  <si>
    <t>21/04/2025</t>
  </si>
  <si>
    <t>200 megas com roku 79,90</t>
  </si>
  <si>
    <t>Júlio Cesar Silva Oliveira</t>
  </si>
  <si>
    <t>400 megas com desconto</t>
  </si>
  <si>
    <t>Isaias de Souza</t>
  </si>
  <si>
    <t>25/08/2024</t>
  </si>
  <si>
    <t>25/08/2025</t>
  </si>
  <si>
    <t>Emerson da Silva</t>
  </si>
  <si>
    <t>27/08//2024</t>
  </si>
  <si>
    <t>27/08/2025</t>
  </si>
  <si>
    <t>Adriana Ferreira de Mattos</t>
  </si>
  <si>
    <t xml:space="preserve">Eberson Silva </t>
  </si>
  <si>
    <t>Maicon Donizete de Oliveira</t>
  </si>
  <si>
    <t xml:space="preserve">Amanda Pereira dos Santos </t>
  </si>
  <si>
    <t>Gael Guervil</t>
  </si>
  <si>
    <t>Luis Filipe Jorge D. de Oliveira</t>
  </si>
  <si>
    <t>Gabrieli Godoi do C. Raimundo</t>
  </si>
  <si>
    <t>500 megas 3 primeiros meses com desconto</t>
  </si>
  <si>
    <t>Luiz Felipe Silva</t>
  </si>
  <si>
    <t>Eduardo Josue Silva</t>
  </si>
  <si>
    <t>15/10/2024</t>
  </si>
  <si>
    <t>15/10/2025</t>
  </si>
  <si>
    <t>Lara Flavia Correa Varisco</t>
  </si>
  <si>
    <t>25/10/2024</t>
  </si>
  <si>
    <t>25/10/2025</t>
  </si>
  <si>
    <t>Maria luiza Coelho dos Santos</t>
  </si>
  <si>
    <t>Adriana de Cássia Teixeira</t>
  </si>
  <si>
    <t>Camila Dias da Silva</t>
  </si>
  <si>
    <t>Samuel Jose de Melo</t>
  </si>
  <si>
    <t>Stefani Cassia de Almeida Silva</t>
  </si>
  <si>
    <t>Clientes vindo pelas redes sociais</t>
  </si>
  <si>
    <t xml:space="preserve">Nome </t>
  </si>
  <si>
    <t>Cidade</t>
  </si>
  <si>
    <t>Origem</t>
  </si>
  <si>
    <t>Fechou</t>
  </si>
  <si>
    <t>Motivo</t>
  </si>
  <si>
    <t>Contato 2</t>
  </si>
  <si>
    <t xml:space="preserve">Motivo </t>
  </si>
  <si>
    <t xml:space="preserve">Contato 3 </t>
  </si>
  <si>
    <t>35 9803-9903 ~Junior</t>
  </si>
  <si>
    <t>Borda da Mata</t>
  </si>
  <si>
    <t>Facebook</t>
  </si>
  <si>
    <t>Não</t>
  </si>
  <si>
    <t>35 9900-4913 Mateus</t>
  </si>
  <si>
    <t>Sim</t>
  </si>
  <si>
    <t xml:space="preserve">35 91003-9476 ~Rafa </t>
  </si>
  <si>
    <t>Paulo Rogério Brito</t>
  </si>
  <si>
    <t>27/07/2023</t>
  </si>
  <si>
    <t xml:space="preserve"> 35 9925-3895 ~Francisco Costa</t>
  </si>
  <si>
    <t>Inconfidentes</t>
  </si>
  <si>
    <t>Instagran</t>
  </si>
  <si>
    <t xml:space="preserve">Aguradando p/ cancelar a atual </t>
  </si>
  <si>
    <t>35 9751-2256 ~Joao</t>
  </si>
  <si>
    <t xml:space="preserve">Não repondeu </t>
  </si>
  <si>
    <t xml:space="preserve">Não respondeu </t>
  </si>
  <si>
    <t>35 9861-8812 ~Daiane</t>
  </si>
  <si>
    <t>35 9898-8039 ~Roberto Pereira</t>
  </si>
  <si>
    <t>11 98729-2712 Kemilly Muniz</t>
  </si>
  <si>
    <t xml:space="preserve">Não tem interesse </t>
  </si>
  <si>
    <t xml:space="preserve"> 35 9710-8871 ~Michel Michigan</t>
  </si>
  <si>
    <t>Zona Rural</t>
  </si>
  <si>
    <t xml:space="preserve">Zona rural </t>
  </si>
  <si>
    <t>11 95125-9474 ~Júlia Pereira</t>
  </si>
  <si>
    <t>35 91001-6607 Tatiane</t>
  </si>
  <si>
    <t>14/08/2023</t>
  </si>
  <si>
    <t xml:space="preserve"> 35 9759-2094 Barbara  Reale</t>
  </si>
  <si>
    <t>26/07/2023</t>
  </si>
  <si>
    <t>35 9911-7458 ~Cris Nane</t>
  </si>
  <si>
    <t>35 9827-1341 Landerson</t>
  </si>
  <si>
    <t>11 94360-3044 ~Mario</t>
  </si>
  <si>
    <t>35 9975-1675 Regiane Bueno</t>
  </si>
  <si>
    <t>35 9745-5617 Beatriz</t>
  </si>
  <si>
    <t>35 9745-0109 Cássia Barbosa</t>
  </si>
  <si>
    <t>35 9851-9784 Ana Claudia</t>
  </si>
  <si>
    <t>35 9887-5373 ~Gabriel Pimenta</t>
  </si>
  <si>
    <t>09/08/203</t>
  </si>
  <si>
    <t>35 9876-5432~carlosarantes359</t>
  </si>
  <si>
    <t>Vai passar na loja</t>
  </si>
  <si>
    <t xml:space="preserve">Fechou </t>
  </si>
  <si>
    <t xml:space="preserve">35 8437-3127 ~João Nascirdo </t>
  </si>
  <si>
    <t>nao respondeu</t>
  </si>
  <si>
    <t>04808/2023</t>
  </si>
  <si>
    <t>35 9728-7995 ~Tuca</t>
  </si>
  <si>
    <t>Ouro Fino</t>
  </si>
  <si>
    <t>Zona rural</t>
  </si>
  <si>
    <t>32 9850-5734 ~Tiago E Steffani</t>
  </si>
  <si>
    <t>Piedade do rio Grande</t>
  </si>
  <si>
    <t>03/08/2023Não</t>
  </si>
  <si>
    <t>inviabilidade</t>
  </si>
  <si>
    <t xml:space="preserve"> 35 8407-5567 ~Josilene</t>
  </si>
  <si>
    <t>Pouso Alegre</t>
  </si>
  <si>
    <t xml:space="preserve"> 35 9890-4847 Maria Eduarda</t>
  </si>
  <si>
    <t>Três pontas</t>
  </si>
  <si>
    <t>35 9205-5623~Djalma Lopes</t>
  </si>
  <si>
    <t>Conhecer a loja</t>
  </si>
  <si>
    <t xml:space="preserve">Vai esperar vencer o contrato </t>
  </si>
  <si>
    <t>18/10/2023</t>
  </si>
  <si>
    <t>19 99995-3598 Jessica R.</t>
  </si>
  <si>
    <t>47 9270-8889 Rama Bhadra Das</t>
  </si>
  <si>
    <t>Pinhauzinho dos Goes</t>
  </si>
  <si>
    <t xml:space="preserve"> 35 9930-2161 SILVA Engenharia e Locação</t>
  </si>
  <si>
    <t>35 9844-1769 Deusa</t>
  </si>
  <si>
    <t xml:space="preserve">Vai pensar melhor </t>
  </si>
  <si>
    <t>35 9979-7281</t>
  </si>
  <si>
    <t xml:space="preserve"> 19 99761-1967 Rita</t>
  </si>
  <si>
    <t>35 9884-1493</t>
  </si>
  <si>
    <t xml:space="preserve"> 32 9907-5556 Marcus Venicius </t>
  </si>
  <si>
    <t xml:space="preserve">Zona Rural </t>
  </si>
  <si>
    <t>35 9807-4846 ~Antonio</t>
  </si>
  <si>
    <t>Não atendemos no local</t>
  </si>
  <si>
    <t>35 9724-5464 Bruna</t>
  </si>
  <si>
    <t>18/08/2023</t>
  </si>
  <si>
    <t>35 9983-8267 Diego</t>
  </si>
  <si>
    <t>Cervo</t>
  </si>
  <si>
    <t xml:space="preserve">3599866619 Silvana </t>
  </si>
  <si>
    <t>21/08/2023</t>
  </si>
  <si>
    <t>ira mudar pra Borda</t>
  </si>
  <si>
    <t>35 9898-8756 ~Muŕilo</t>
  </si>
  <si>
    <t>15/08/2023</t>
  </si>
  <si>
    <t>35 92001-5789 Joana</t>
  </si>
  <si>
    <t>16/08/2023</t>
  </si>
  <si>
    <t>5 9824-1477 ~ELENICE L</t>
  </si>
  <si>
    <t>17/08/2023</t>
  </si>
  <si>
    <t>35 9831-8919~Gil🤪</t>
  </si>
  <si>
    <t>sim</t>
  </si>
  <si>
    <t>consultar cpf</t>
  </si>
  <si>
    <t>35 9881-6715 maria do Carmo</t>
  </si>
  <si>
    <t>ja é cliente</t>
  </si>
  <si>
    <t>35 9914-2835 ~Sonia</t>
  </si>
  <si>
    <t>35 9713-0921 ebilin</t>
  </si>
  <si>
    <t xml:space="preserve">35 9872-5971 Edson Lucas </t>
  </si>
  <si>
    <t xml:space="preserve"> 35 9835-3047 ~Larissa</t>
  </si>
  <si>
    <t>instagran</t>
  </si>
  <si>
    <t>28/08/2023</t>
  </si>
  <si>
    <t xml:space="preserve"> 35 9934-3477 ~Diana</t>
  </si>
  <si>
    <t>11 99245-9177 Moisés</t>
  </si>
  <si>
    <t xml:space="preserve"> 35 9720-3066 Daniel</t>
  </si>
  <si>
    <t>22/08/2023</t>
  </si>
  <si>
    <t>19 99490-7298 Cleiton</t>
  </si>
  <si>
    <t>35 9813-5945</t>
  </si>
  <si>
    <t>35 9836-2644 ~Lucia</t>
  </si>
  <si>
    <t>35 9858-3680 Daniela</t>
  </si>
  <si>
    <t>11 91615-9229 Cineto</t>
  </si>
  <si>
    <t xml:space="preserve"> 35 9759-7382</t>
  </si>
  <si>
    <t xml:space="preserve">Não </t>
  </si>
  <si>
    <t xml:space="preserve">19 99738-8296 Kong </t>
  </si>
  <si>
    <t>23/08/2023</t>
  </si>
  <si>
    <t>35 9913-1605 ~Micael Moura</t>
  </si>
  <si>
    <t>25/08/2023</t>
  </si>
  <si>
    <t>35 9818-6927 Odir</t>
  </si>
  <si>
    <t>Não respondeu</t>
  </si>
  <si>
    <t xml:space="preserve"> 35 9759-3972 Ricardo</t>
  </si>
  <si>
    <t>35 9937-3676 Guiih</t>
  </si>
  <si>
    <t>35 9969-2913 Siony</t>
  </si>
  <si>
    <t>35 9936-3313~rosebarbosaudb</t>
  </si>
  <si>
    <t>35 9943-5430~Antonio Carlos</t>
  </si>
  <si>
    <t>35 9894-6820 Ronaldo</t>
  </si>
  <si>
    <t xml:space="preserve"> 21 97069-5776 Creuza</t>
  </si>
  <si>
    <t>35 9192-6471 Paty</t>
  </si>
  <si>
    <t>Barro amarelo</t>
  </si>
  <si>
    <t>localização morro antes barro amarelo</t>
  </si>
  <si>
    <t>35 9936-3313 ~rosebarbosaudb</t>
  </si>
  <si>
    <t>35 9990-1800 Isaura</t>
  </si>
  <si>
    <t>35 9820-7136 ~mayllyslv</t>
  </si>
  <si>
    <t>35 9715-9562</t>
  </si>
  <si>
    <t xml:space="preserve">19 99304-0597 </t>
  </si>
  <si>
    <t>31 7160-5642</t>
  </si>
  <si>
    <t>Nova serrana</t>
  </si>
  <si>
    <t>35 9997-7272 Giovani Coura</t>
  </si>
  <si>
    <t xml:space="preserve">35 9864-8728 </t>
  </si>
  <si>
    <t xml:space="preserve">Borda da Mata </t>
  </si>
  <si>
    <t xml:space="preserve">Faceboo </t>
  </si>
  <si>
    <t>Setembro</t>
  </si>
  <si>
    <t xml:space="preserve">32988717391 anselmo </t>
  </si>
  <si>
    <t>05/9 - cliente não respondeu</t>
  </si>
  <si>
    <t xml:space="preserve">06/09 respondeu que tem um contrato ativo e terminando colocaria </t>
  </si>
  <si>
    <t>5535998253368 Natalia de Jesus</t>
  </si>
  <si>
    <t>06/09 não respondeu</t>
  </si>
  <si>
    <t>35997712457 lais Calixto</t>
  </si>
  <si>
    <t>08/09 - Cliente não respondeu</t>
  </si>
  <si>
    <t xml:space="preserve">Pretende instalar mas não agora </t>
  </si>
  <si>
    <t>5535999547945 Andressa</t>
  </si>
  <si>
    <t>5535999063441 benedito</t>
  </si>
  <si>
    <t>Nao</t>
  </si>
  <si>
    <t xml:space="preserve">Cliente não respondeu </t>
  </si>
  <si>
    <t>5519984416040 Flavia</t>
  </si>
  <si>
    <t>Cliente quer net com pacote de tv fechado</t>
  </si>
  <si>
    <t xml:space="preserve">5535998502021 Carlos </t>
  </si>
  <si>
    <t>teste</t>
  </si>
  <si>
    <t>5535997431382 Lucia ribeiro</t>
  </si>
  <si>
    <t>14/09 Cliente não responde</t>
  </si>
  <si>
    <t>20/09 novo contato Cliente dise que está com a conexão boa e por enquanto não gostaria de trocar</t>
  </si>
  <si>
    <t>21/09 chamar cliente no começo do mes</t>
  </si>
  <si>
    <t>5535997782745 lucas</t>
  </si>
  <si>
    <t xml:space="preserve">Cliente queria pra Tv porém ainda de tubo </t>
  </si>
  <si>
    <t>5535997639710 hg</t>
  </si>
  <si>
    <t>5535999157455 Luciana</t>
  </si>
  <si>
    <t>Monte Sião</t>
  </si>
  <si>
    <t>5519982893137 Ingrid</t>
  </si>
  <si>
    <t xml:space="preserve">20/09 novo contato </t>
  </si>
  <si>
    <t>5535999551592 Luiz Carvalho</t>
  </si>
  <si>
    <t>20/09 novo contato dise que clicou por engano</t>
  </si>
  <si>
    <t xml:space="preserve"> 35 9106-8010 lucas Silva</t>
  </si>
  <si>
    <t xml:space="preserve"> 35 9936-3313 Rose</t>
  </si>
  <si>
    <t>Palma(zona Rural)</t>
  </si>
  <si>
    <t>35 9108-7754 Alice</t>
  </si>
  <si>
    <t xml:space="preserve">   35 9828-9390 ~Fátima</t>
  </si>
  <si>
    <t>Tocos de Moji</t>
  </si>
  <si>
    <t xml:space="preserve">Cliente mora em Zona Rural do Tocos </t>
  </si>
  <si>
    <t>35 9803-9903</t>
  </si>
  <si>
    <t xml:space="preserve">9876-0484 </t>
  </si>
  <si>
    <t xml:space="preserve"> 35 9735-8953 Anilton</t>
  </si>
  <si>
    <t xml:space="preserve"> 35 9936-9641 Isabel Cristina</t>
  </si>
  <si>
    <t>Ja é cliente nossa</t>
  </si>
  <si>
    <t>35 9951-7259 Altair Galo</t>
  </si>
  <si>
    <t xml:space="preserve">35 9726-3600 Lucia Santos </t>
  </si>
  <si>
    <t>35 9903-3472 Ronaldo</t>
  </si>
  <si>
    <t xml:space="preserve">35 9996-9563 Chris </t>
  </si>
  <si>
    <t xml:space="preserve"> 37 9197-7922 WESLEY TALYSON</t>
  </si>
  <si>
    <t xml:space="preserve"> 35 9808-4352 Diogo</t>
  </si>
  <si>
    <t>Cliente deve 3 mensalidades mais o roteador</t>
  </si>
  <si>
    <t xml:space="preserve">11 98729-2712 kemily </t>
  </si>
  <si>
    <t xml:space="preserve"> 35 9707-5506</t>
  </si>
  <si>
    <t xml:space="preserve">Vai passar os dados </t>
  </si>
  <si>
    <t>38 9909-0843 igor</t>
  </si>
  <si>
    <t>Paracatu-MG</t>
  </si>
  <si>
    <t>35 9720-0260 Daniela</t>
  </si>
  <si>
    <t>Cliente nossa já (duvidas)</t>
  </si>
  <si>
    <t xml:space="preserve"> ,</t>
  </si>
  <si>
    <t>35 9848-7053 Maria benedita</t>
  </si>
  <si>
    <t>35 9701-0316 Carmen</t>
  </si>
  <si>
    <t>19 99609-5244 Lucas Silva</t>
  </si>
  <si>
    <t xml:space="preserve">35 9864-2431 </t>
  </si>
  <si>
    <t xml:space="preserve">35 9808-4352 </t>
  </si>
  <si>
    <t xml:space="preserve"> 35 9963-0098 Viaviani</t>
  </si>
  <si>
    <t xml:space="preserve">Cliente apagou mensagens </t>
  </si>
  <si>
    <t xml:space="preserve"> 35 9954-7945 Andressa </t>
  </si>
  <si>
    <t xml:space="preserve">35 9882-0121 Maria </t>
  </si>
  <si>
    <t>33 8419-9795 ercidis</t>
  </si>
  <si>
    <t>35 9929-4901 thiago barreiro</t>
  </si>
  <si>
    <t>35 9921-4069 Ivone Kiara</t>
  </si>
  <si>
    <t>Bueno Brandão</t>
  </si>
  <si>
    <t xml:space="preserve"> 35 9730-4848 ~Matheus Guedes</t>
  </si>
  <si>
    <t>35 9193-5059 pepelindo</t>
  </si>
  <si>
    <t>19 98189-2808 Claudio</t>
  </si>
  <si>
    <t>35 9811-3349</t>
  </si>
  <si>
    <t>Inhumas (Borda da Mata)</t>
  </si>
  <si>
    <t>35 9761-7816 Rosemar</t>
  </si>
  <si>
    <t>Bairro Rural</t>
  </si>
  <si>
    <t>33 9700-6501</t>
  </si>
  <si>
    <t>Govenardor Valadares</t>
  </si>
  <si>
    <t>35 9771-4095</t>
  </si>
  <si>
    <t>55 35 9236-8391 Looh</t>
  </si>
  <si>
    <t>35 9841-2490</t>
  </si>
  <si>
    <t>ja é cliente(duvidas)</t>
  </si>
  <si>
    <t xml:space="preserve"> 11 97535-3053</t>
  </si>
  <si>
    <t>35 9997-5914 Dari</t>
  </si>
  <si>
    <t>Dezembro</t>
  </si>
  <si>
    <t>19 99545-0074 Adriana  Paz</t>
  </si>
  <si>
    <t xml:space="preserve"> 35 9860-9719 vanessa</t>
  </si>
  <si>
    <t xml:space="preserve">35 998569211 Natanael </t>
  </si>
  <si>
    <t>Loja</t>
  </si>
  <si>
    <t>18/12/2023</t>
  </si>
  <si>
    <t>Janeiro</t>
  </si>
  <si>
    <t>19 99302-9498 Zenaide</t>
  </si>
  <si>
    <t xml:space="preserve">Segredos </t>
  </si>
  <si>
    <t xml:space="preserve">35 9976-5582 Marco Monteiro </t>
  </si>
  <si>
    <t>Ouro fino</t>
  </si>
  <si>
    <t xml:space="preserve"> 35 9702-3198 Leandro</t>
  </si>
  <si>
    <t>Roma/Inconfidentes</t>
  </si>
  <si>
    <t xml:space="preserve"> 35 9977-0674 Reginaldo</t>
  </si>
  <si>
    <t>tocos do moji</t>
  </si>
  <si>
    <t>35 9161-4980 Eleni Lopes</t>
  </si>
  <si>
    <t>35 9134-7553 serviço  automotivo</t>
  </si>
  <si>
    <t>Tres coraçoes</t>
  </si>
  <si>
    <t xml:space="preserve"> 27 98113-3037</t>
  </si>
  <si>
    <t>Mantena</t>
  </si>
  <si>
    <t>16 98135-5748</t>
  </si>
  <si>
    <t>Grama Bernardes</t>
  </si>
  <si>
    <t>15 99627-8935 keila</t>
  </si>
  <si>
    <t>35 9193-2476 @borges</t>
  </si>
  <si>
    <t xml:space="preserve"> 31 9525-3613</t>
  </si>
  <si>
    <t>Contagem</t>
  </si>
  <si>
    <t xml:space="preserve"> 35 9925-3895</t>
  </si>
  <si>
    <t xml:space="preserve"> 35 9744-5655 Dih</t>
  </si>
  <si>
    <t>Fevereiro</t>
  </si>
  <si>
    <t xml:space="preserve"> 35 9850-2693 ~Sydney Acassio</t>
  </si>
  <si>
    <t xml:space="preserve">35 9954-5754 ~Lais Calixto </t>
  </si>
  <si>
    <t>35 8416-4123 SDiego Santos</t>
  </si>
  <si>
    <t>35 9894-6820 ~Ronaldo</t>
  </si>
  <si>
    <t>33 9901-0501</t>
  </si>
  <si>
    <t>35 9936-9755 - Juliana</t>
  </si>
  <si>
    <t>35 99825-6118 -  Catia</t>
  </si>
  <si>
    <t>35 9843-3764 Marcos</t>
  </si>
  <si>
    <t>não</t>
  </si>
  <si>
    <t>queria tel fixo</t>
  </si>
  <si>
    <t>11 91716-1873</t>
  </si>
  <si>
    <t xml:space="preserve"> 35 9703-3210</t>
  </si>
  <si>
    <t xml:space="preserve"> 35 9876-0386</t>
  </si>
  <si>
    <t xml:space="preserve"> 35 9113-5884</t>
  </si>
  <si>
    <t>35 9715-6763 Angela Agata</t>
  </si>
  <si>
    <t>Março</t>
  </si>
  <si>
    <t>31 8273-2331</t>
  </si>
  <si>
    <t>35 9958-3034</t>
  </si>
  <si>
    <t xml:space="preserve">Extrema </t>
  </si>
  <si>
    <t>35 9701-7017</t>
  </si>
  <si>
    <t>35 9922-8712 - Jonas Miguel</t>
  </si>
  <si>
    <t xml:space="preserve">19 99761-1967 -  Rita </t>
  </si>
  <si>
    <t xml:space="preserve">Inconfidentes </t>
  </si>
  <si>
    <t xml:space="preserve">35 9977-0674 -  Reginaldo </t>
  </si>
  <si>
    <t>35 99750-2168</t>
  </si>
  <si>
    <t>35 9102-0356</t>
  </si>
  <si>
    <t xml:space="preserve"> 35 98704-4273</t>
  </si>
  <si>
    <t>Abril</t>
  </si>
  <si>
    <t xml:space="preserve"> 35 9821-2126 Fabiana </t>
  </si>
  <si>
    <t>35 91469682 ane</t>
  </si>
  <si>
    <t>35 9743-1752 fabiano</t>
  </si>
  <si>
    <t>35 9224-8027 Bdhsjs</t>
  </si>
  <si>
    <t xml:space="preserve">35 99970-4632 Jerusa </t>
  </si>
  <si>
    <t xml:space="preserve">PInhalzinho </t>
  </si>
  <si>
    <t xml:space="preserve">Veio na loja </t>
  </si>
  <si>
    <t xml:space="preserve"> 35 9730-3821</t>
  </si>
  <si>
    <t>38 9911-6097</t>
  </si>
  <si>
    <t>Montes Claros</t>
  </si>
  <si>
    <t>35 9891-8375</t>
  </si>
  <si>
    <t>35 9849-5043</t>
  </si>
  <si>
    <t xml:space="preserve"> 35 9761-8560</t>
  </si>
  <si>
    <t>31 9622-2835 magda</t>
  </si>
  <si>
    <t>Rio Acima</t>
  </si>
  <si>
    <t>nao</t>
  </si>
  <si>
    <t>35 9822-3402 Rosemeire</t>
  </si>
  <si>
    <t xml:space="preserve">Borda da mata </t>
  </si>
  <si>
    <t xml:space="preserve"> 35 9950-1638</t>
  </si>
  <si>
    <t xml:space="preserve"> 35 9878-8930 ~Maria Marta</t>
  </si>
  <si>
    <t xml:space="preserve"> 31 9866-9947 Graciela</t>
  </si>
  <si>
    <t>Ribeirão das Neves</t>
  </si>
  <si>
    <t>Edite - 11967941377</t>
  </si>
  <si>
    <t>Jundiai</t>
  </si>
  <si>
    <t>31 7241-6615</t>
  </si>
  <si>
    <t>Itaverava</t>
  </si>
  <si>
    <t>15/07/2024</t>
  </si>
  <si>
    <t>35 9895-1954 ~Massao Ichiki</t>
  </si>
  <si>
    <t>Sertãozinho</t>
  </si>
  <si>
    <t>23/07/2024</t>
  </si>
  <si>
    <t>35 9955-7071</t>
  </si>
  <si>
    <t>Bom repouso</t>
  </si>
  <si>
    <t>25/07/2024</t>
  </si>
  <si>
    <t>11 94272-0398</t>
  </si>
  <si>
    <t>30/07/2024</t>
  </si>
  <si>
    <t>Agosto</t>
  </si>
  <si>
    <t>35 9113-5884</t>
  </si>
  <si>
    <t>15/08/2024</t>
  </si>
  <si>
    <t xml:space="preserve"> 35 9815-0607</t>
  </si>
  <si>
    <t>19/08/2024</t>
  </si>
  <si>
    <t>33 93300-5687</t>
  </si>
  <si>
    <t>26/08/2024</t>
  </si>
  <si>
    <t>35 9762-1552</t>
  </si>
  <si>
    <t>28/08/2024</t>
  </si>
  <si>
    <t>31 9842-9522</t>
  </si>
  <si>
    <t>Belo Horizonte</t>
  </si>
  <si>
    <t>30/08/2024</t>
  </si>
  <si>
    <t>35 9953-6795</t>
  </si>
  <si>
    <t>Bueno Brandao</t>
  </si>
  <si>
    <t>35 9723-0980</t>
  </si>
  <si>
    <t>Cliente queria canais fechado</t>
  </si>
  <si>
    <t xml:space="preserve"> 35 9887-1004</t>
  </si>
  <si>
    <t>13/09/2024</t>
  </si>
  <si>
    <t xml:space="preserve"> 31 8586-6882</t>
  </si>
  <si>
    <t>Vespasiano</t>
  </si>
  <si>
    <t>35 9810-8478</t>
  </si>
  <si>
    <t>30/09/2024</t>
  </si>
  <si>
    <t>Observação</t>
  </si>
  <si>
    <t>CNPJ/CPF</t>
  </si>
  <si>
    <t>Endereço</t>
  </si>
  <si>
    <t>Filial</t>
  </si>
  <si>
    <t>Data nascimento</t>
  </si>
  <si>
    <t>103.510.266-81</t>
  </si>
  <si>
    <t>Rua Vicente Xavier de Rezende</t>
  </si>
  <si>
    <t>Via01 - Borda da Mata</t>
  </si>
  <si>
    <t>Santo Antonio</t>
  </si>
  <si>
    <t>20/05/1990</t>
  </si>
  <si>
    <t>133.779.566-62</t>
  </si>
  <si>
    <t>Rua Dom João Rezende Costa</t>
  </si>
  <si>
    <t>25/04/1999</t>
  </si>
  <si>
    <t>420.146.008-80</t>
  </si>
  <si>
    <t>Rua Luiz Silveira</t>
  </si>
  <si>
    <t>São Judas</t>
  </si>
  <si>
    <t>097.626.966-03</t>
  </si>
  <si>
    <t>Rua Joao Beraldo</t>
  </si>
  <si>
    <t>123.844.586-12</t>
  </si>
  <si>
    <t>Rua Ana Luiza Moreira</t>
  </si>
  <si>
    <t>Nossa Senhora de Fátima</t>
  </si>
  <si>
    <t>104.548.406-75</t>
  </si>
  <si>
    <t>Rua Santa Terezinha</t>
  </si>
  <si>
    <t>Santa Terezinha</t>
  </si>
  <si>
    <t>27/02/1992</t>
  </si>
  <si>
    <t>116.950.666-69</t>
  </si>
  <si>
    <t>Rua Francisco José Rena</t>
  </si>
  <si>
    <t>13/02/1996</t>
  </si>
  <si>
    <t>Orlando Domingues Dos Santos</t>
  </si>
  <si>
    <t>Amoreiras</t>
  </si>
  <si>
    <t>28/05/1993</t>
  </si>
  <si>
    <t>18/09/2024 não atendeu</t>
  </si>
  <si>
    <t>145.508.356-99</t>
  </si>
  <si>
    <t>Rua Adélia Lopes</t>
  </si>
  <si>
    <t>27/05/2004</t>
  </si>
  <si>
    <t>005.925.658-31</t>
  </si>
  <si>
    <t>Rua Raul  Cobra</t>
  </si>
  <si>
    <t>Rua Antonio Caetano Junior</t>
  </si>
  <si>
    <t>Nossa Senhora da Aparecida</t>
  </si>
  <si>
    <t>408.808.048-31</t>
  </si>
  <si>
    <t>Rua João Porfírio da Silva</t>
  </si>
  <si>
    <t>Rua Sa Narciza</t>
  </si>
  <si>
    <t>Nova Borda</t>
  </si>
  <si>
    <t>18/05/1992</t>
  </si>
  <si>
    <t>Rua Antenor Rodrigues Da Silva</t>
  </si>
  <si>
    <t>23/01/1990</t>
  </si>
  <si>
    <t>078.958.726-21</t>
  </si>
  <si>
    <t>Rua Antonio Ferminiano Goncalves</t>
  </si>
  <si>
    <t>23/03/1992</t>
  </si>
  <si>
    <t>Rua Eolino José Machado</t>
  </si>
  <si>
    <t>060.999.746-79</t>
  </si>
  <si>
    <t>Rua Alferes José Lopes</t>
  </si>
  <si>
    <t>20/02/1990</t>
  </si>
  <si>
    <t>Rua Amélia Gouveia</t>
  </si>
  <si>
    <t>059.770.316-70</t>
  </si>
  <si>
    <t>Rua Francisco Álvaro Sobreiro</t>
  </si>
  <si>
    <t>16/09/1993</t>
  </si>
  <si>
    <t>Rua Delamare Pires Ribeiro</t>
  </si>
  <si>
    <t>19/07/1995</t>
  </si>
  <si>
    <t>128.125.326-02</t>
  </si>
  <si>
    <t>Rua josé Pinto Brandão</t>
  </si>
  <si>
    <t>19/08/1996</t>
  </si>
  <si>
    <t>20/09/2024 Cliente não atendeu</t>
  </si>
  <si>
    <t>116.950.656-97</t>
  </si>
  <si>
    <t>18/01/2000</t>
  </si>
  <si>
    <t>Rua Maria Nogueira Gouvea</t>
  </si>
  <si>
    <t>São Judas Tadeu</t>
  </si>
  <si>
    <t>20/10/1992</t>
  </si>
  <si>
    <t>19/09/2024 Telefone não chama</t>
  </si>
  <si>
    <t>Rua Carlos Pereira de Toledo</t>
  </si>
  <si>
    <t>Rua Doutor Pelegrino Franch</t>
  </si>
  <si>
    <t>29/01/1998</t>
  </si>
  <si>
    <t>Rua Joaquim Floriano Barbosa</t>
  </si>
  <si>
    <t>28/08/1990</t>
  </si>
  <si>
    <t>Rua Padre Bernardes Leite Ferreira</t>
  </si>
  <si>
    <t>São Benedito</t>
  </si>
  <si>
    <t>26/12/1995</t>
  </si>
  <si>
    <t>119.006.356-58</t>
  </si>
  <si>
    <t>Rua Capitão Cipriano de Castro</t>
  </si>
  <si>
    <t>29/04/1996</t>
  </si>
  <si>
    <t>128.830.906-61</t>
  </si>
  <si>
    <t>Rua José Daniel da Costa</t>
  </si>
  <si>
    <t>15/10/1992</t>
  </si>
  <si>
    <t>127.750.266-80</t>
  </si>
  <si>
    <t>22/09/1995</t>
  </si>
  <si>
    <t>136.903.726-07</t>
  </si>
  <si>
    <t>Rua SERGIO LUCAS MENDES</t>
  </si>
  <si>
    <t>22/06/1994</t>
  </si>
  <si>
    <t>117.039.496-50</t>
  </si>
  <si>
    <t>Rua Joaquim Gabriel de Freitas</t>
  </si>
  <si>
    <t>NÂ° SENHORA DE FATIMA</t>
  </si>
  <si>
    <t>26/08/1996</t>
  </si>
  <si>
    <t>132.981.166-61</t>
  </si>
  <si>
    <t>RUA ARLINDO DOMONGOS DOS SANTOS</t>
  </si>
  <si>
    <t>25/08/2000</t>
  </si>
  <si>
    <t>19/09/2024 Não atende</t>
  </si>
  <si>
    <t>Rua  Manoel Pereira de Moraes</t>
  </si>
  <si>
    <t>Santo  Antonio</t>
  </si>
  <si>
    <t>22/11/1990</t>
  </si>
  <si>
    <t>Rua Barnabé Lopes</t>
  </si>
  <si>
    <t>20/09/2024 n° nem chama</t>
  </si>
  <si>
    <t>Rua Duque de Caxias</t>
  </si>
  <si>
    <t>Rua Capitao  Cipriano  de Castro</t>
  </si>
  <si>
    <t>Santa Edwiges</t>
  </si>
  <si>
    <t>16/08/1994</t>
  </si>
  <si>
    <t>18/09/2002</t>
  </si>
  <si>
    <t>114.430.466-04</t>
  </si>
  <si>
    <t>17/10/1995</t>
  </si>
  <si>
    <t>Santo Antono</t>
  </si>
  <si>
    <t>14/08/1999</t>
  </si>
  <si>
    <t>Rua Zoroastro Gouveia</t>
  </si>
  <si>
    <t>Nossa Senhora de Fatima</t>
  </si>
  <si>
    <t>16/01/1998</t>
  </si>
  <si>
    <t>Rua Padre Bernardes Leite</t>
  </si>
  <si>
    <t>30/09/1992</t>
  </si>
  <si>
    <t>28/09/1998</t>
  </si>
  <si>
    <t>123.304.116-93</t>
  </si>
  <si>
    <t>Rua Mariana Arantes Sobreiro</t>
  </si>
  <si>
    <t>Morada do Sol</t>
  </si>
  <si>
    <t>160.839.006-38</t>
  </si>
  <si>
    <t>Rua José Luiz Moreira</t>
  </si>
  <si>
    <t>096.448.436-65</t>
  </si>
  <si>
    <t>Rua Francisco Fagundes</t>
  </si>
  <si>
    <t>São Francisco</t>
  </si>
  <si>
    <t>20/01/1990</t>
  </si>
  <si>
    <t>118.272.506-66</t>
  </si>
  <si>
    <t>Rua das Rosas</t>
  </si>
  <si>
    <t>Sao Judas</t>
  </si>
  <si>
    <t>133.069.166-09</t>
  </si>
  <si>
    <t>Rua Manoel de Abreu</t>
  </si>
  <si>
    <t>124.358.296-04</t>
  </si>
  <si>
    <t>Avenida Antônio Marques da Silva</t>
  </si>
  <si>
    <t>Santa Cruz</t>
  </si>
  <si>
    <t>19/11/1993</t>
  </si>
  <si>
    <t>101.122.936-62</t>
  </si>
  <si>
    <t>Rua Luiz Carlos Cardoso</t>
  </si>
  <si>
    <t>22/11/1991</t>
  </si>
  <si>
    <t>015.312.446-61</t>
  </si>
  <si>
    <t>Rua Rui Barbosa</t>
  </si>
  <si>
    <t>19/02/1992</t>
  </si>
  <si>
    <t>087.120.416-96</t>
  </si>
  <si>
    <t>Rua Joao Gomes de Lima</t>
  </si>
  <si>
    <t>136.775.646-46</t>
  </si>
  <si>
    <t>Rua João Rufino Xavier</t>
  </si>
  <si>
    <t>Jardim Novo Horizonte</t>
  </si>
  <si>
    <t>340.205.606-25</t>
  </si>
  <si>
    <t>Chácara  Santa Rita</t>
  </si>
  <si>
    <t>SN</t>
  </si>
  <si>
    <t>116.074.216-23</t>
  </si>
  <si>
    <t>116.978.276-08</t>
  </si>
  <si>
    <t>Rua Professora Maria Nogueira</t>
  </si>
  <si>
    <t>28/12/1999</t>
  </si>
  <si>
    <t>132.597.186-30</t>
  </si>
  <si>
    <t>Rua Amadeu Bertolacine</t>
  </si>
  <si>
    <t>13/04/1996</t>
  </si>
  <si>
    <t>105.649.666-57</t>
  </si>
  <si>
    <t>Rua Amélia Gouvêia</t>
  </si>
  <si>
    <t>096.164.056-16</t>
  </si>
  <si>
    <t>Avenida Alvarina Pereira Cintra</t>
  </si>
  <si>
    <t>21/01/1990</t>
  </si>
  <si>
    <t>066.641.856-01</t>
  </si>
  <si>
    <t>Rua Felício Gonçalves Martins</t>
  </si>
  <si>
    <t>30/07/1993</t>
  </si>
  <si>
    <t>112.674.606-10</t>
  </si>
  <si>
    <t>Rua Francisco Marques da Costa</t>
  </si>
  <si>
    <t>114.133.474-79</t>
  </si>
  <si>
    <t>Rua Juscelino Kubistchek</t>
  </si>
  <si>
    <t>17/08/1996</t>
  </si>
  <si>
    <t>129.349.726-66</t>
  </si>
  <si>
    <t>Rua Doutor João Rezende Costa</t>
  </si>
  <si>
    <t>107.380.486-07</t>
  </si>
  <si>
    <t>Rua Maria Augusta dos Santos Castro</t>
  </si>
  <si>
    <t>109.362.616-09</t>
  </si>
  <si>
    <t>Rua Jose Pinto de Freitas</t>
  </si>
  <si>
    <t>14/10/1992</t>
  </si>
  <si>
    <t>105.306.416-07</t>
  </si>
  <si>
    <t>Rua Carmem Moreira Tomazolli</t>
  </si>
  <si>
    <t>25/04/1995</t>
  </si>
  <si>
    <t>124.847.736-76</t>
  </si>
  <si>
    <t>Rua Sa Narciso</t>
  </si>
  <si>
    <t>134.364.166-73</t>
  </si>
  <si>
    <t>Rua Padre Jpsé Oriolo</t>
  </si>
  <si>
    <t>110.634.036-18</t>
  </si>
  <si>
    <t>14/01/1992</t>
  </si>
  <si>
    <t>125.400.676-11</t>
  </si>
  <si>
    <t>Rua Alameda Juscelino Kubitschek</t>
  </si>
  <si>
    <t>129.289.026-60</t>
  </si>
  <si>
    <t>Rua Herculano Cobra</t>
  </si>
  <si>
    <t>122.967.816-67</t>
  </si>
  <si>
    <t>Rua Antenor Rodrigues da Silva</t>
  </si>
  <si>
    <t>125.218.856-06</t>
  </si>
  <si>
    <t>Rua Benedito Cobra</t>
  </si>
  <si>
    <t>124.133.986-43</t>
  </si>
  <si>
    <t>27/03/1995</t>
  </si>
  <si>
    <t>113.437.696-04</t>
  </si>
  <si>
    <t>Rua Benedito Santos</t>
  </si>
  <si>
    <t>Santo Antônio</t>
  </si>
  <si>
    <t>117.176.956-39</t>
  </si>
  <si>
    <t>Rua Celso Elizardo da Silva</t>
  </si>
  <si>
    <t>17/04/1994</t>
  </si>
  <si>
    <t>116.729.246-42</t>
  </si>
  <si>
    <t>Avenida Wilson Megale</t>
  </si>
  <si>
    <t>24/03/1993</t>
  </si>
  <si>
    <t>109.688.546-80</t>
  </si>
  <si>
    <t>Rua José Leopoldino Gonçalves</t>
  </si>
  <si>
    <t>18/11/1992</t>
  </si>
  <si>
    <t>079.590.276-09</t>
  </si>
  <si>
    <t>Rua Mariana Martins Moreira</t>
  </si>
  <si>
    <t>114.255.076-11</t>
  </si>
  <si>
    <t>Rua Vicente Gonçalves Pinto</t>
  </si>
  <si>
    <t>088.019.416-25</t>
  </si>
  <si>
    <t>26/12/1991</t>
  </si>
  <si>
    <t>127.511.136-05</t>
  </si>
  <si>
    <t>Rua Esterlina do C Barbosa</t>
  </si>
  <si>
    <t>15/04/1994</t>
  </si>
  <si>
    <t>108.729.156-97</t>
  </si>
  <si>
    <t>120.958.096-96</t>
  </si>
  <si>
    <t>Rua Juvenal Rodrigues de Almeida</t>
  </si>
  <si>
    <t>406.817.988-31</t>
  </si>
  <si>
    <t>15/09/1990</t>
  </si>
  <si>
    <t>109.712.786-95</t>
  </si>
  <si>
    <t>Rua Pelegrino Franch</t>
  </si>
  <si>
    <t>106.279.336-61</t>
  </si>
  <si>
    <t>Avenida Lauro Megale</t>
  </si>
  <si>
    <t>25/11/1991</t>
  </si>
  <si>
    <t>123.576.596-29</t>
  </si>
  <si>
    <t>19/09/2024 Nem chama</t>
  </si>
  <si>
    <t>145.499.376-61</t>
  </si>
  <si>
    <t>13/06/2002</t>
  </si>
  <si>
    <t>130.429.616-48</t>
  </si>
  <si>
    <t>Rua Francisco Alvaro Sobreiro</t>
  </si>
  <si>
    <t>123.720.446-13</t>
  </si>
  <si>
    <t>Rua Vicente Amaro da Silva</t>
  </si>
  <si>
    <t>15/08/1996</t>
  </si>
  <si>
    <t>106.648.226-81</t>
  </si>
  <si>
    <t>Avenida João Olivio Megale</t>
  </si>
  <si>
    <t>16/11/1992</t>
  </si>
  <si>
    <t>104.492.966-95</t>
  </si>
  <si>
    <t>Praça São Judas</t>
  </si>
  <si>
    <t>22/02/1991</t>
  </si>
  <si>
    <t>084.206.506-76</t>
  </si>
  <si>
    <t>114.399.276-85</t>
  </si>
  <si>
    <t>Rua Juvenal Fabrício da Rosa</t>
  </si>
  <si>
    <t>113.552.336-31</t>
  </si>
  <si>
    <t>Rua Antônio Ribeiro de Almeida</t>
  </si>
  <si>
    <t>28/01/1992</t>
  </si>
  <si>
    <t>113.989.316-59</t>
  </si>
  <si>
    <t>Rua Antonio Elizardo da Silva</t>
  </si>
  <si>
    <t>20/09/2024 cliente tem interesse</t>
  </si>
  <si>
    <t>703.953.276-01</t>
  </si>
  <si>
    <t>Sitio Bogari</t>
  </si>
  <si>
    <t>Bogari</t>
  </si>
  <si>
    <t>14/08/2000</t>
  </si>
  <si>
    <t>25/09/2024 não chama o telefone</t>
  </si>
  <si>
    <t>132.907.776-85</t>
  </si>
  <si>
    <t>Boagari</t>
  </si>
  <si>
    <t>sn</t>
  </si>
  <si>
    <t>30/05/2000</t>
  </si>
  <si>
    <t>117.006.056-07</t>
  </si>
  <si>
    <t>Rua Onofre Marques da Costa</t>
  </si>
  <si>
    <t>Bairro Nossa Senhora Aparecida</t>
  </si>
  <si>
    <t>138.501.326-50</t>
  </si>
  <si>
    <t>Rua José Donizete Coutri</t>
  </si>
  <si>
    <t>15/12/1995</t>
  </si>
  <si>
    <t>135.813.796-00</t>
  </si>
  <si>
    <t>Pontilhão</t>
  </si>
  <si>
    <t>18/08/1996</t>
  </si>
  <si>
    <t>133.223.846-75</t>
  </si>
  <si>
    <t>13/09/1993</t>
  </si>
  <si>
    <t>103.128.696-90</t>
  </si>
  <si>
    <t>19/02/1990</t>
  </si>
  <si>
    <t>098.048.216-05</t>
  </si>
  <si>
    <t>17/10/1991</t>
  </si>
  <si>
    <t>133.076.856-60</t>
  </si>
  <si>
    <t>Rua Irmãs Dominicanas</t>
  </si>
  <si>
    <t>15/10/1995</t>
  </si>
  <si>
    <t>096.877.876-35</t>
  </si>
  <si>
    <t>439.758.988-79</t>
  </si>
  <si>
    <t>Rua Bernadete Megale</t>
  </si>
  <si>
    <t>101.160.166-47</t>
  </si>
  <si>
    <t>Rua Haylton Jose Pinto</t>
  </si>
  <si>
    <t>17/11/1990</t>
  </si>
  <si>
    <t>083.264.466-88</t>
  </si>
  <si>
    <t>18/02/1993</t>
  </si>
  <si>
    <t>25/09/2024 Passado pra cliente tem interesse</t>
  </si>
  <si>
    <t>143.012.626-44</t>
  </si>
  <si>
    <t>146.981.676-80</t>
  </si>
  <si>
    <t>Rua Benedito Vicente Sabino</t>
  </si>
  <si>
    <t>17/09/1998</t>
  </si>
  <si>
    <t>131.022.346-74</t>
  </si>
  <si>
    <t>Avenida Magalhaes Pinto</t>
  </si>
  <si>
    <t>29/05/1997</t>
  </si>
  <si>
    <t>137.181.456-26</t>
  </si>
  <si>
    <t>084.856.876-12</t>
  </si>
  <si>
    <t>Rua Joao Porfirio da Silva</t>
  </si>
  <si>
    <t>117.252.336-30</t>
  </si>
  <si>
    <t>Sao Judas Tadeu</t>
  </si>
  <si>
    <t>126.714.186-71</t>
  </si>
  <si>
    <t>Rua Geraldo Marcondes de Souza</t>
  </si>
  <si>
    <t>123.844.626-44</t>
  </si>
  <si>
    <t>Rua Leopoldino Goncalves</t>
  </si>
  <si>
    <t>088.828.736-41</t>
  </si>
  <si>
    <t>138.924.536-59</t>
  </si>
  <si>
    <t>129.030.086-04</t>
  </si>
  <si>
    <t>Rua Biase Paoliello</t>
  </si>
  <si>
    <t>Bairro santa Edwiges</t>
  </si>
  <si>
    <t>23/12/1993</t>
  </si>
  <si>
    <t>127.600.286-66</t>
  </si>
  <si>
    <t>Rua Eduardo Amaral</t>
  </si>
  <si>
    <t>28/12/1994</t>
  </si>
  <si>
    <t>017.524.080-98</t>
  </si>
  <si>
    <t>Rua Joao Batista dos Santos</t>
  </si>
  <si>
    <t>28/10/1990</t>
  </si>
  <si>
    <t>061.677.606-32</t>
  </si>
  <si>
    <t>Rua Capitao Cipriano de Castro</t>
  </si>
  <si>
    <t>26/06/1993</t>
  </si>
  <si>
    <t>107.730.046-88</t>
  </si>
  <si>
    <t>Rua João Olívio Megale</t>
  </si>
  <si>
    <t>116.978.136-58</t>
  </si>
  <si>
    <t>Rua Raquel Gouvêa</t>
  </si>
  <si>
    <t>21/01/1992</t>
  </si>
  <si>
    <t>108.666.246-60</t>
  </si>
  <si>
    <t>Rua  Osvaldo Barbosa Dias</t>
  </si>
  <si>
    <t>102.168.766-99</t>
  </si>
  <si>
    <t>Rua José Rodrigues Borba</t>
  </si>
  <si>
    <t>13/02/1991</t>
  </si>
  <si>
    <t>094.340.766-41</t>
  </si>
  <si>
    <t>Rua José Firmo Verneck</t>
  </si>
  <si>
    <t>20/12/1990</t>
  </si>
  <si>
    <t>091.337.406-74</t>
  </si>
  <si>
    <t>Rua Tiradentes</t>
  </si>
  <si>
    <t>19/09/2024 não tem interesse</t>
  </si>
  <si>
    <t>146.800.306-23</t>
  </si>
  <si>
    <t>Rua Maria Luiza dos Santos Brandao</t>
  </si>
  <si>
    <t>123.304.096-05</t>
  </si>
  <si>
    <t>Rua João Batista Duarte</t>
  </si>
  <si>
    <t>701.749.596-99</t>
  </si>
  <si>
    <t>Praça Monsenhor Pedro Cintra</t>
  </si>
  <si>
    <t>31/08/2001</t>
  </si>
  <si>
    <t>117.401.706-60</t>
  </si>
  <si>
    <t>Rua Benedito Bonifacio</t>
  </si>
  <si>
    <t>17/09/1995</t>
  </si>
  <si>
    <t>103.932.636-65</t>
  </si>
  <si>
    <t>25/12/1990</t>
  </si>
  <si>
    <t>26/09/2024  direto caixa postal</t>
  </si>
  <si>
    <t>116.978.196-99</t>
  </si>
  <si>
    <t>Rua Antônio Marques da Silva</t>
  </si>
  <si>
    <t>24/08/2000</t>
  </si>
  <si>
    <t>112.004.186-46</t>
  </si>
  <si>
    <t>20/09/2024 passado para cliente</t>
  </si>
  <si>
    <t>023.631.556-02</t>
  </si>
  <si>
    <t>Rua José de Moura</t>
  </si>
  <si>
    <t>16/08/2000</t>
  </si>
  <si>
    <t>108.942.476-03</t>
  </si>
  <si>
    <t>20/08/1992</t>
  </si>
  <si>
    <t>26/09/2024  numero errado</t>
  </si>
  <si>
    <t>023.444.346-40</t>
  </si>
  <si>
    <t>19/09/2000</t>
  </si>
  <si>
    <t>093.226.196-51</t>
  </si>
  <si>
    <t>Rua Coronel Jose Inacio,</t>
  </si>
  <si>
    <t>25/01/1993</t>
  </si>
  <si>
    <t>139.061.816-18</t>
  </si>
  <si>
    <t>16/05/1998</t>
  </si>
  <si>
    <t>123.262.076-96</t>
  </si>
  <si>
    <t>Rua Amelia Gouvea</t>
  </si>
  <si>
    <t>25/07/1994</t>
  </si>
  <si>
    <t>095.302.756-25</t>
  </si>
  <si>
    <t>Rua Adelia Lopes Silva</t>
  </si>
  <si>
    <t>112.480.106-55</t>
  </si>
  <si>
    <t>Rua Santa Rita</t>
  </si>
  <si>
    <t>22/03/1994</t>
  </si>
  <si>
    <t>335.037.208-20</t>
  </si>
  <si>
    <t>Rua Juvenal Fabricio da Rosa</t>
  </si>
  <si>
    <t>27/10/1990</t>
  </si>
  <si>
    <t>100.393.226-61</t>
  </si>
  <si>
    <t>135.565.786-54</t>
  </si>
  <si>
    <t>19/06/2001</t>
  </si>
  <si>
    <t>117.520.916-39</t>
  </si>
  <si>
    <t>Rua Jose Leopoldino Gonçalves</t>
  </si>
  <si>
    <t>21/04/1993</t>
  </si>
  <si>
    <t>123.671.046-03</t>
  </si>
  <si>
    <t>119.473.316-63</t>
  </si>
  <si>
    <t>Rua Verginia Rodrigues de Lima</t>
  </si>
  <si>
    <t>141.207.776-18</t>
  </si>
  <si>
    <t>28/08/1991</t>
  </si>
  <si>
    <t>143.526.166-64</t>
  </si>
  <si>
    <t>Av. Antônio Marques da Silva</t>
  </si>
  <si>
    <t>116.977.426-10</t>
  </si>
  <si>
    <t>Rua Carlos Pereira de toledo</t>
  </si>
  <si>
    <t>17/01/1996</t>
  </si>
  <si>
    <t>077.676.586-86</t>
  </si>
  <si>
    <t>26/09/2024 Passado promoção pra cliente</t>
  </si>
  <si>
    <t>511.449.958-09</t>
  </si>
  <si>
    <t>Chacara</t>
  </si>
  <si>
    <t>13/09/2000</t>
  </si>
  <si>
    <t>119.172.346-19</t>
  </si>
  <si>
    <t>Rua Oscar Gomes de Lima</t>
  </si>
  <si>
    <t>27/10/1994</t>
  </si>
  <si>
    <t>20/09/2024 nem chama</t>
  </si>
  <si>
    <t>152.334.526-85</t>
  </si>
  <si>
    <t>409.322.388-23</t>
  </si>
  <si>
    <t>107.310.426-54</t>
  </si>
  <si>
    <t>Praça Antonio Megale</t>
  </si>
  <si>
    <t>16/05/1991</t>
  </si>
  <si>
    <t>114.597.536-40</t>
  </si>
  <si>
    <t>167.122.296-26</t>
  </si>
  <si>
    <t>Rua Sebastião de Moura</t>
  </si>
  <si>
    <t>117.107.696-70</t>
  </si>
  <si>
    <t>18/09/2024 explicado sobre a escola pra mae do cliente</t>
  </si>
  <si>
    <t>145.493.226-08</t>
  </si>
  <si>
    <t>083.418.126-65</t>
  </si>
  <si>
    <t>Nossa senhora Aparecida</t>
  </si>
  <si>
    <t>123.280.086-40</t>
  </si>
  <si>
    <t>16/02/1995</t>
  </si>
  <si>
    <t>117.224.096-57</t>
  </si>
  <si>
    <t>Rua Geraldo de Souza Megale</t>
  </si>
  <si>
    <t>102.165.316-08</t>
  </si>
  <si>
    <t>Rua Angela Maria Barbosa</t>
  </si>
  <si>
    <t>13/06/2090</t>
  </si>
  <si>
    <t>012.771.056-69</t>
  </si>
  <si>
    <t>Rua Vereador João Messias</t>
  </si>
  <si>
    <t>22/08/1990</t>
  </si>
  <si>
    <t>060.028.856-09</t>
  </si>
  <si>
    <t>142.569.886-70</t>
  </si>
  <si>
    <t>Rua Adolfo Cabral Bueno</t>
  </si>
  <si>
    <t>135.985.196-80</t>
  </si>
  <si>
    <t>Rua Raquel Gouvea</t>
  </si>
  <si>
    <t>814.611.007-04</t>
  </si>
  <si>
    <t>Rua Alameda JK</t>
  </si>
  <si>
    <t>106.532.586-07</t>
  </si>
  <si>
    <t>Rua Maria Tereza de Oliveira</t>
  </si>
  <si>
    <t>30/12/1992</t>
  </si>
  <si>
    <t>107.391.686-30</t>
  </si>
  <si>
    <t>Rua José Modesto</t>
  </si>
  <si>
    <t>133.107.116-09</t>
  </si>
  <si>
    <t>145.610.606-69</t>
  </si>
  <si>
    <t>Rua Domingos Flausino</t>
  </si>
  <si>
    <t>162.360.598-96</t>
  </si>
  <si>
    <t>Rua Maria José Coutinho</t>
  </si>
  <si>
    <t>126.432.786-23</t>
  </si>
  <si>
    <t>Rua Delfino Teodoro Borges</t>
  </si>
  <si>
    <t>21/05/1996</t>
  </si>
  <si>
    <t>112.981.346-09</t>
  </si>
  <si>
    <t>132.119.326-23</t>
  </si>
  <si>
    <t>129.077.116-28</t>
  </si>
  <si>
    <t>31/01/1995</t>
  </si>
  <si>
    <t>117.986.696-76</t>
  </si>
  <si>
    <t>Rua Antonio Ribeiro de Almeida</t>
  </si>
  <si>
    <t>14/04/1992</t>
  </si>
  <si>
    <t>145.478.616-76</t>
  </si>
  <si>
    <t>Rua Roque Bento da Silva</t>
  </si>
  <si>
    <t>23/09/2001</t>
  </si>
  <si>
    <t>124.831.046-22</t>
  </si>
  <si>
    <t>18/08/1992</t>
  </si>
  <si>
    <t>114.430.636-14</t>
  </si>
  <si>
    <t>16/01/1996</t>
  </si>
  <si>
    <t>113.062.836-12</t>
  </si>
  <si>
    <t>Rua Benedito Tosta Brandão</t>
  </si>
  <si>
    <t>20/03/1993</t>
  </si>
  <si>
    <t>120.937.086-71</t>
  </si>
  <si>
    <t>Rua José Antônio da Silva</t>
  </si>
  <si>
    <t>18/05/1995</t>
  </si>
  <si>
    <t>20/09 Contato está com outra pessoa</t>
  </si>
  <si>
    <t>133.012.676-96</t>
  </si>
  <si>
    <t>Rua Gumercindo Inácio de Oliveira</t>
  </si>
  <si>
    <t>26/02/2002</t>
  </si>
  <si>
    <t>078.434.216-45</t>
  </si>
  <si>
    <t>RUA JOSE FRANCISCO DOS SANTOS JUNIOR</t>
  </si>
  <si>
    <t>23/04/1997</t>
  </si>
  <si>
    <t>164.010.616-26</t>
  </si>
  <si>
    <t>105.725.156-93</t>
  </si>
  <si>
    <t>Rua Duque de Caixas</t>
  </si>
  <si>
    <t>20/08/1991</t>
  </si>
  <si>
    <t>056.428.046-18</t>
  </si>
  <si>
    <t>133.014.346-90</t>
  </si>
  <si>
    <t>30/09/1999</t>
  </si>
  <si>
    <t>100.017.126-40</t>
  </si>
  <si>
    <t>Av Wilson Megale</t>
  </si>
  <si>
    <t>13/04/1994</t>
  </si>
  <si>
    <t>114.897.016-99</t>
  </si>
  <si>
    <t>18/11/1993</t>
  </si>
  <si>
    <t>523.720.258-64</t>
  </si>
  <si>
    <t>Rua Vivalde José Ribeiro</t>
  </si>
  <si>
    <t>14/05/1999</t>
  </si>
  <si>
    <t>110.860.956-26</t>
  </si>
  <si>
    <t>Rua Reverendo Alfredo Borges Teixeira</t>
  </si>
  <si>
    <t>17/08/1992</t>
  </si>
  <si>
    <t>116.978.036-95</t>
  </si>
  <si>
    <t>25/01/1999</t>
  </si>
  <si>
    <t>123.651.756-35</t>
  </si>
  <si>
    <t>Rua João Batista Branquinho</t>
  </si>
  <si>
    <t>13/07/2003</t>
  </si>
  <si>
    <t>084.600.826-28</t>
  </si>
  <si>
    <t>Rua José Daniel da costa</t>
  </si>
  <si>
    <t>22/12/1990</t>
  </si>
  <si>
    <t>26/09/2024 chamou até cair</t>
  </si>
  <si>
    <t>132.999.916-98</t>
  </si>
  <si>
    <t>Av. Luis Cardoso Pinto</t>
  </si>
  <si>
    <t>13/08/2000</t>
  </si>
  <si>
    <t>106.771.166-08</t>
  </si>
  <si>
    <t>Av João Olivo Megale</t>
  </si>
  <si>
    <t>084.503.396-42</t>
  </si>
  <si>
    <t>Rua Ramphasto Tocos</t>
  </si>
  <si>
    <t>26/06/1995</t>
  </si>
  <si>
    <t>132.013.476-98</t>
  </si>
  <si>
    <t>124.529.756-21</t>
  </si>
  <si>
    <t>28/09/1992</t>
  </si>
  <si>
    <t>097.817.586-78</t>
  </si>
  <si>
    <t>061.067.057-39</t>
  </si>
  <si>
    <t>Rua Candido Lamy</t>
  </si>
  <si>
    <t>13/01/1990</t>
  </si>
  <si>
    <t>123.671.026-60</t>
  </si>
  <si>
    <t>108.593.966-90</t>
  </si>
  <si>
    <t>Rua Alvarino Marcondes</t>
  </si>
  <si>
    <t>705.081.226-94</t>
  </si>
  <si>
    <t>27/10/2001</t>
  </si>
  <si>
    <t>20/09/2024 atende e desliga</t>
  </si>
  <si>
    <t>178.367.716-36</t>
  </si>
  <si>
    <t>Rua Emiliana Cobra</t>
  </si>
  <si>
    <t>21/10/2002</t>
  </si>
  <si>
    <t>126.342.706-58</t>
  </si>
  <si>
    <t>19/03/1998</t>
  </si>
  <si>
    <t>100.881.236-69</t>
  </si>
  <si>
    <t>Rua Francisco dos Santos Junior</t>
  </si>
  <si>
    <t>450.610.198-73</t>
  </si>
  <si>
    <t>Rua Bueno Brando</t>
  </si>
  <si>
    <t>353.093.856-49</t>
  </si>
  <si>
    <t>Rua Augusto palmeira.</t>
  </si>
  <si>
    <t>076.936.256-74</t>
  </si>
  <si>
    <t>15/05/1997</t>
  </si>
  <si>
    <t>026.543.116-60</t>
  </si>
  <si>
    <t>19/05/2053</t>
  </si>
  <si>
    <t>082.644.056-81</t>
  </si>
  <si>
    <t>Orlando Ribeiro Dos Santos</t>
  </si>
  <si>
    <t>26/04/2087</t>
  </si>
  <si>
    <t>095.513.116-20</t>
  </si>
  <si>
    <t>24/04/1999</t>
  </si>
  <si>
    <t>010.078.488-71</t>
  </si>
  <si>
    <t>143.306.206-26</t>
  </si>
  <si>
    <t>Rua Benedito Elizardo da Silva</t>
  </si>
  <si>
    <t>25/07/1999</t>
  </si>
  <si>
    <t>116.977.476-80</t>
  </si>
  <si>
    <t>24/06/1997</t>
  </si>
  <si>
    <t>016.373.516-66</t>
  </si>
  <si>
    <t>17/04/1999</t>
  </si>
  <si>
    <t>000.217.546-08</t>
  </si>
  <si>
    <t>Rua João Porfirio da Silva</t>
  </si>
  <si>
    <t>26/12/2076</t>
  </si>
  <si>
    <t>Etiene Martins Tome</t>
  </si>
  <si>
    <t>113.552.356-85</t>
  </si>
  <si>
    <t>535.815.928-27</t>
  </si>
  <si>
    <t>Rua Maria Toledo de Gouveia</t>
  </si>
  <si>
    <t>092.093.486-21</t>
  </si>
  <si>
    <t>Av Magalhaes Pinto</t>
  </si>
  <si>
    <t>Bairro Santa Terezinha</t>
  </si>
  <si>
    <t>426.432.668-03</t>
  </si>
  <si>
    <t>26/05/1999</t>
  </si>
  <si>
    <t>128.420.416-23</t>
  </si>
  <si>
    <t>Rua Juvenal Monteiro</t>
  </si>
  <si>
    <t>112.153.826-69</t>
  </si>
  <si>
    <t>Rua Bueno Brandão</t>
  </si>
  <si>
    <t>133.771.286-89</t>
  </si>
  <si>
    <t>Rua Padre José Oriolo</t>
  </si>
  <si>
    <t>26/08/1997</t>
  </si>
  <si>
    <t>18/09/2024 explicado pra cliente sobre os cursos sobre promo indique e ganhe e streaming</t>
  </si>
  <si>
    <t>157.952.126-60</t>
  </si>
  <si>
    <t>Avenida João Olivo Megale</t>
  </si>
  <si>
    <t>28/09/24 não tem interesse</t>
  </si>
  <si>
    <t>145.501.286-66</t>
  </si>
  <si>
    <t>Bairro Tijuco Preto</t>
  </si>
  <si>
    <t>706.665.376-90</t>
  </si>
  <si>
    <t>Rua Salvador Jose Orlandi</t>
  </si>
  <si>
    <t>20/12/1991</t>
  </si>
  <si>
    <t>117.107.866-80</t>
  </si>
  <si>
    <t>Rua Severiano Francisco dos Santos</t>
  </si>
  <si>
    <t>21/09/2004</t>
  </si>
  <si>
    <t>Rua Francisco de Souza</t>
  </si>
  <si>
    <t>133.967.566-81</t>
  </si>
  <si>
    <t>Rua Vivalde Jose Ribeiro</t>
  </si>
  <si>
    <t>119.293.456-31</t>
  </si>
  <si>
    <t>Rua Coronel José Inácio</t>
  </si>
  <si>
    <t>31/12/1995</t>
  </si>
  <si>
    <t>106.557.376-69</t>
  </si>
  <si>
    <t>Rua Antônio Elizardo da Silva,</t>
  </si>
  <si>
    <t>Bairro Sao judas Tadeu</t>
  </si>
  <si>
    <t>102.047.566-85</t>
  </si>
  <si>
    <t>Avenida Coronel José Inácio</t>
  </si>
  <si>
    <t>414.314.168-00</t>
  </si>
  <si>
    <t>Rua Alfredo Borges Teixeira</t>
  </si>
  <si>
    <t>26/03/1991</t>
  </si>
  <si>
    <t>134.479.786-51</t>
  </si>
  <si>
    <t>Sao Joaquin</t>
  </si>
  <si>
    <t>117.485.216-08</t>
  </si>
  <si>
    <t>19/10/1992</t>
  </si>
  <si>
    <t>128.394.246-14</t>
  </si>
  <si>
    <t>15/04/1996</t>
  </si>
  <si>
    <t>133.441.226-06</t>
  </si>
  <si>
    <t>Av Antonio Marques da Silva</t>
  </si>
  <si>
    <t>16/08/1995</t>
  </si>
  <si>
    <t>118.372.826-33</t>
  </si>
  <si>
    <t>Jose do Carmo</t>
  </si>
  <si>
    <t>131.181.246-60</t>
  </si>
  <si>
    <t>Rua Maria Jose Coutinho</t>
  </si>
  <si>
    <t>Santa rita</t>
  </si>
  <si>
    <t>22/05/1997</t>
  </si>
  <si>
    <t>095.397.616-54</t>
  </si>
  <si>
    <t>Maria Castorino Sabino de Pádua</t>
  </si>
  <si>
    <t>101.760.996-97</t>
  </si>
  <si>
    <t>Rua Adélia Lopes da Silva</t>
  </si>
  <si>
    <t>20/04/1993</t>
  </si>
  <si>
    <t>152.516.496-14</t>
  </si>
  <si>
    <t>49.688.314/0001-18</t>
  </si>
  <si>
    <t>23/02/2023</t>
  </si>
  <si>
    <t>101.095.686-80</t>
  </si>
  <si>
    <t>Rua Benedito Pinto de Freitas</t>
  </si>
  <si>
    <t>30/04/1991</t>
  </si>
  <si>
    <t>119.025.196-55</t>
  </si>
  <si>
    <t>Rua Francisco Fagundes,</t>
  </si>
  <si>
    <t>132.948.196-84</t>
  </si>
  <si>
    <t>Rua Raul Cobra Filho,</t>
  </si>
  <si>
    <t>20/12/2004</t>
  </si>
  <si>
    <t>107.886.959-67</t>
  </si>
  <si>
    <t>146.022.276-86</t>
  </si>
  <si>
    <t>Rua Salvador Jose de Mello</t>
  </si>
  <si>
    <t>20/04/2004</t>
  </si>
  <si>
    <t>138.435.656-86</t>
  </si>
  <si>
    <t>Rua jose Luiz Moreira</t>
  </si>
  <si>
    <t>27/02/1998</t>
  </si>
  <si>
    <t>Funcionario</t>
  </si>
  <si>
    <t>117.107.716-58</t>
  </si>
  <si>
    <t>Rua Angela Maria Barbosa Filho</t>
  </si>
  <si>
    <t>18/10/2000</t>
  </si>
  <si>
    <t>020.949.846-30</t>
  </si>
  <si>
    <t>Wallace Gabrille</t>
  </si>
  <si>
    <t>187.217.518-03</t>
  </si>
  <si>
    <t>Rua franscico Floriano Barbosa</t>
  </si>
  <si>
    <t>29/06/2073</t>
  </si>
  <si>
    <t>084.996.426-16</t>
  </si>
  <si>
    <t>Amarelo</t>
  </si>
  <si>
    <t>23/03/2023</t>
  </si>
  <si>
    <t>49.059.026/0001-02</t>
  </si>
  <si>
    <t>Avenida Edna Maria da Silva Ribeiro</t>
  </si>
  <si>
    <t>13/10/1997</t>
  </si>
  <si>
    <t>102.685.426-19</t>
  </si>
  <si>
    <t>15/02/1990</t>
  </si>
  <si>
    <t>120.741.376-30</t>
  </si>
  <si>
    <t>116.197.616-70</t>
  </si>
  <si>
    <t>Rua José Arlindo do Santos Sobrinho</t>
  </si>
  <si>
    <t>14/11/1992</t>
  </si>
  <si>
    <t>147.342.766-50</t>
  </si>
  <si>
    <t>Rua Orlando Domingos dos Santos</t>
  </si>
  <si>
    <t>30/12/2000</t>
  </si>
  <si>
    <t>16/09/2024</t>
  </si>
  <si>
    <t>158.319.436-31</t>
  </si>
  <si>
    <t>130.206.936-59</t>
  </si>
  <si>
    <t>116.950.316-01</t>
  </si>
  <si>
    <t>134.419.786-84</t>
  </si>
  <si>
    <t>Rua Dr. Pelegrino Franck</t>
  </si>
  <si>
    <t>25/08/1994</t>
  </si>
  <si>
    <t>090.977.336-00</t>
  </si>
  <si>
    <t>Rua Jose Rodrigues Borba</t>
  </si>
  <si>
    <t>25/04/1990</t>
  </si>
  <si>
    <t>158.047.336-99</t>
  </si>
  <si>
    <t>Rua Alvarina Pereira Cintra</t>
  </si>
  <si>
    <t>117.260.956-06</t>
  </si>
  <si>
    <t>080.098.276-22</t>
  </si>
  <si>
    <t>Rua Maria Augusta</t>
  </si>
  <si>
    <t>22/04/1993</t>
  </si>
  <si>
    <t>135.302.136-08</t>
  </si>
  <si>
    <t>Rua Darcy Ribeiro dos Santos</t>
  </si>
  <si>
    <t>21/06/1997</t>
  </si>
  <si>
    <t>102.047.576-57</t>
  </si>
  <si>
    <t>112.868.826-30</t>
  </si>
  <si>
    <t>19/06/2004</t>
  </si>
  <si>
    <t>20/09/2024 teve interesse</t>
  </si>
  <si>
    <t>117.006.936-38</t>
  </si>
  <si>
    <t>Praça Nossa Senhora do Carmo</t>
  </si>
  <si>
    <t>24/12/2002</t>
  </si>
  <si>
    <t>111.025.026-69</t>
  </si>
  <si>
    <t>Rua Honório Borges</t>
  </si>
  <si>
    <t>100.912.526-52</t>
  </si>
  <si>
    <t>122.124.796-46</t>
  </si>
  <si>
    <t>Rua Mario Messias de Padua</t>
  </si>
  <si>
    <t>146.808.696-07</t>
  </si>
  <si>
    <t>Rua Vítor Antonio Brandani</t>
  </si>
  <si>
    <t>14/04/1996</t>
  </si>
  <si>
    <t>140.766.116-75</t>
  </si>
  <si>
    <t>Av. Magalhães pinto</t>
  </si>
  <si>
    <t>25/06/1999</t>
  </si>
  <si>
    <t>087.428.666-26</t>
  </si>
  <si>
    <t>25/11/1990</t>
  </si>
  <si>
    <t>053.383.056-74</t>
  </si>
  <si>
    <t>119.152.416-77</t>
  </si>
  <si>
    <t>Avenida Antonio Marques da Silva</t>
  </si>
  <si>
    <t>27/10/1991</t>
  </si>
  <si>
    <t>Cliente não tem interesse</t>
  </si>
  <si>
    <t>085.226.036-93</t>
  </si>
  <si>
    <t>125.758.806-02</t>
  </si>
  <si>
    <t>28/02/1998</t>
  </si>
  <si>
    <t>125.340.656-10</t>
  </si>
  <si>
    <t>114.007.706-61</t>
  </si>
  <si>
    <t>14/01/1999</t>
  </si>
  <si>
    <t xml:space="preserve">Funcionária </t>
  </si>
  <si>
    <t>126.010.826-07</t>
  </si>
  <si>
    <t>Rua Catarina Garcia Blessa</t>
  </si>
  <si>
    <t>Via01 - Inconfidentes</t>
  </si>
  <si>
    <t>Santa Clara</t>
  </si>
  <si>
    <t>28/03/2004</t>
  </si>
  <si>
    <t>018.533.770-82</t>
  </si>
  <si>
    <t>133.973.646-20</t>
  </si>
  <si>
    <t>Rua Felicio Goncalves Martins</t>
  </si>
  <si>
    <t>16/09/2024 não atendeu</t>
  </si>
  <si>
    <t>164.081.666-60</t>
  </si>
  <si>
    <t>18/07/2005</t>
  </si>
  <si>
    <t>383.561.838-55</t>
  </si>
  <si>
    <t>Rua Amadeu Bertolaccine</t>
  </si>
  <si>
    <t>20/02/1991</t>
  </si>
  <si>
    <t>132.312.756-95</t>
  </si>
  <si>
    <t>Rua Wallace Gabrille</t>
  </si>
  <si>
    <t>20/10/1994</t>
  </si>
  <si>
    <t>420.398.178-67</t>
  </si>
  <si>
    <t>26/09/2024 direto caixa postal</t>
  </si>
  <si>
    <t>020.965.976-92</t>
  </si>
  <si>
    <t>Rua Otavio Oriolo</t>
  </si>
  <si>
    <t>23/11/2000</t>
  </si>
  <si>
    <t>117.736.686-09</t>
  </si>
  <si>
    <t>Rua Joaquim José da Maia</t>
  </si>
  <si>
    <t>25/04/1997</t>
  </si>
  <si>
    <t>19/09/2024 contato bloqueado pra ligação</t>
  </si>
  <si>
    <t>145.492.766-65</t>
  </si>
  <si>
    <t>15/07/2003</t>
  </si>
  <si>
    <t>476.758.858-80</t>
  </si>
  <si>
    <t>Rua Gonçalves Veloso</t>
  </si>
  <si>
    <t>27/03/1998</t>
  </si>
  <si>
    <t>19/09/2024 Não atendeu</t>
  </si>
  <si>
    <t>112.570.316-43</t>
  </si>
  <si>
    <t>Rua Humberto Bonamichi</t>
  </si>
  <si>
    <t>16/10/2003</t>
  </si>
  <si>
    <t>134.056.156-58</t>
  </si>
  <si>
    <t>Rua Sargento Mor Toledo Piza</t>
  </si>
  <si>
    <t>378.595.408-51</t>
  </si>
  <si>
    <t>Rua José Pedro Tavares</t>
  </si>
  <si>
    <t>Portal</t>
  </si>
  <si>
    <t>116.633.926-25</t>
  </si>
  <si>
    <t>Rua Prefeito Afonso Troysi</t>
  </si>
  <si>
    <t>17/12/1994</t>
  </si>
  <si>
    <t>119.159.446-78</t>
  </si>
  <si>
    <t>13/03/2003</t>
  </si>
  <si>
    <t>071.052.846-92</t>
  </si>
  <si>
    <t>Rodovia Otacílio Bonamichi</t>
  </si>
  <si>
    <t>Santa Isabel</t>
  </si>
  <si>
    <t>15/08/1992</t>
  </si>
  <si>
    <t>182.749.956-78</t>
  </si>
  <si>
    <t>17/09/2024 não atendeu</t>
  </si>
  <si>
    <t>151.273.596-50</t>
  </si>
  <si>
    <t>Rua Rosa Augusta Sobreiro</t>
  </si>
  <si>
    <t>19/05/2005</t>
  </si>
  <si>
    <t>492.805.578-07</t>
  </si>
  <si>
    <t>Rua Salvador Orlandi</t>
  </si>
  <si>
    <t>119.200.296-21</t>
  </si>
  <si>
    <t>Rua Capitão Rezende Costa</t>
  </si>
  <si>
    <t>Santa Luzia</t>
  </si>
  <si>
    <t>27/06/1994</t>
  </si>
  <si>
    <t>120.685.316-66</t>
  </si>
  <si>
    <t>Rua Raul Cobra Filho</t>
  </si>
  <si>
    <t>21/01/1994</t>
  </si>
  <si>
    <t>391.515.338-98</t>
  </si>
  <si>
    <t>Rua Vereador José Carvalho</t>
  </si>
  <si>
    <t>24/11/1991</t>
  </si>
  <si>
    <t>119.905.236-17</t>
  </si>
  <si>
    <t>Avenida Alvarenga Peixoto</t>
  </si>
  <si>
    <t>142.900.116-08</t>
  </si>
  <si>
    <t>16/06/1999</t>
  </si>
  <si>
    <t>107.719.266-50</t>
  </si>
  <si>
    <t>Rua José de Oliveira</t>
  </si>
  <si>
    <t>Vila Nossa Senhora</t>
  </si>
  <si>
    <t>491.335.598-80</t>
  </si>
  <si>
    <t>14/02/2003</t>
  </si>
  <si>
    <t>105.696.446-40</t>
  </si>
  <si>
    <t>28/09/24 não atende</t>
  </si>
  <si>
    <t>460.667.618-38</t>
  </si>
  <si>
    <t>Rua Faustino Soares de Araújo</t>
  </si>
  <si>
    <t>081.241.886-70</t>
  </si>
  <si>
    <t>Rua Francisco Coutinho de Rezende</t>
  </si>
  <si>
    <t>24/06/1993</t>
  </si>
  <si>
    <t>106.932.636-44</t>
  </si>
  <si>
    <t>Engenheiro Álvares Maciel</t>
  </si>
  <si>
    <t>161.452.686-97</t>
  </si>
  <si>
    <t>Rua Milta Moreira Rodrigues</t>
  </si>
  <si>
    <t>140.611.616-52</t>
  </si>
  <si>
    <t>Sargento Mor Toldedo Piza</t>
  </si>
  <si>
    <t>23/01/2005</t>
  </si>
  <si>
    <t>20/09/2024 Não atende</t>
  </si>
  <si>
    <t>087.872.086-36</t>
  </si>
  <si>
    <t>Rua Engenheiro Alvares Maciel</t>
  </si>
  <si>
    <t>15/08/2002</t>
  </si>
  <si>
    <t>132.984.356-86</t>
  </si>
  <si>
    <t>Rua Mirtes Sobreiro</t>
  </si>
  <si>
    <t>017.388.406-70</t>
  </si>
  <si>
    <t>31/12/1998</t>
  </si>
  <si>
    <t>113.405.616-89</t>
  </si>
  <si>
    <t>Rua Vieira da Mota</t>
  </si>
  <si>
    <t>Vila Nossa Senhora Aparecida</t>
  </si>
  <si>
    <t>21/07/1998</t>
  </si>
  <si>
    <t>116.732.076-00</t>
  </si>
  <si>
    <t>Rua Dois</t>
  </si>
  <si>
    <t>30/04/1993</t>
  </si>
  <si>
    <t>114.399.106-00</t>
  </si>
  <si>
    <t>Rua Vereador Paulo Furtado de Oliveira</t>
  </si>
  <si>
    <t>22/12/1994</t>
  </si>
  <si>
    <t>126.780.926-40</t>
  </si>
  <si>
    <t>Vicente Gonçalves Pinto</t>
  </si>
  <si>
    <t>25/03/1997</t>
  </si>
  <si>
    <t>151.989.256-08</t>
  </si>
  <si>
    <t>Carlos Pereira de Toledo</t>
  </si>
  <si>
    <t>19/12/2000</t>
  </si>
  <si>
    <t>Funcionaria</t>
  </si>
  <si>
    <t>118.806.246-80</t>
  </si>
  <si>
    <t>Rua José Feliciano</t>
  </si>
  <si>
    <t>124.394.926-04</t>
  </si>
  <si>
    <t>Bairro Santa Cruz</t>
  </si>
  <si>
    <t xml:space="preserve">19/09/2024Telefone não chama </t>
  </si>
  <si>
    <t>702.781.496-00</t>
  </si>
  <si>
    <t>Avenida Duque de Caxias</t>
  </si>
  <si>
    <t>21/01/2003</t>
  </si>
  <si>
    <t>109.799.206-39</t>
  </si>
  <si>
    <t>Avenida Otacílio Bonamichi</t>
  </si>
  <si>
    <t>086.063.846-40</t>
  </si>
  <si>
    <t>Rua Olegario Maciel</t>
  </si>
  <si>
    <t>Bairro Nova Borda</t>
  </si>
  <si>
    <t>27/11/1991</t>
  </si>
  <si>
    <t>116.905.896-55</t>
  </si>
  <si>
    <t>122.316.136-62</t>
  </si>
  <si>
    <t>27/06/1995</t>
  </si>
  <si>
    <t>488.173.018-50</t>
  </si>
  <si>
    <t>Rua Dolores Inácio Pereira</t>
  </si>
  <si>
    <t>Santa Edwirges</t>
  </si>
  <si>
    <t>29/01/1999</t>
  </si>
  <si>
    <t>131.491.826-54</t>
  </si>
  <si>
    <t>115.379.716-03</t>
  </si>
  <si>
    <t>Rua Prefeito Rogério Bernardes de Souza</t>
  </si>
  <si>
    <t>090.363.796-01</t>
  </si>
  <si>
    <t>José Marques</t>
  </si>
  <si>
    <t>117.006.776-08</t>
  </si>
  <si>
    <t>Rua Capitão João Dias Mota</t>
  </si>
  <si>
    <t>520.836.788-26</t>
  </si>
  <si>
    <t>Rua José Braz Filho</t>
  </si>
  <si>
    <t>Monjolinho</t>
  </si>
  <si>
    <t>14/07/2002</t>
  </si>
  <si>
    <t>138.042.896-30</t>
  </si>
  <si>
    <t>Avenida Nossa Senhora Aparecida</t>
  </si>
  <si>
    <t>15/11/2003</t>
  </si>
  <si>
    <t>103.885.696-54</t>
  </si>
  <si>
    <t>115.694.126-18</t>
  </si>
  <si>
    <t>Rua Vitor Antônio brandani</t>
  </si>
  <si>
    <t>145.134.376-00</t>
  </si>
  <si>
    <t>Rua Joaquim Pinto da Silva</t>
  </si>
  <si>
    <t>025.088.290-64</t>
  </si>
  <si>
    <t>Fazenda Toledo</t>
  </si>
  <si>
    <t>28/11/1990</t>
  </si>
  <si>
    <t>119.906.536-69</t>
  </si>
  <si>
    <t>Rua Wallace Cabrilli</t>
  </si>
  <si>
    <t>Bairro Nossa Senhora de Fátima</t>
  </si>
  <si>
    <t>24/01/1998</t>
  </si>
  <si>
    <t>102.414.456-98</t>
  </si>
  <si>
    <t>28/09/24 nem chama</t>
  </si>
  <si>
    <t>165.086.996-79</t>
  </si>
  <si>
    <t>Rua Messias Mariano dos Santos</t>
  </si>
  <si>
    <t>529.965.428-60</t>
  </si>
  <si>
    <t>Rua Doutor Paulo Sebastião Guimarães</t>
  </si>
  <si>
    <t>21/02/2002</t>
  </si>
  <si>
    <t>116.633.656-52</t>
  </si>
  <si>
    <t>Prefeito Afonso Troyse</t>
  </si>
  <si>
    <t>28/11/1995</t>
  </si>
  <si>
    <t>Bairro Santo Antônio</t>
  </si>
  <si>
    <t>140.378.286-50</t>
  </si>
  <si>
    <t>Antônio Elizardo da Silva</t>
  </si>
  <si>
    <t>444.333.298-78</t>
  </si>
  <si>
    <t>Rua Projetada Quatro</t>
  </si>
  <si>
    <t>26/09/1995</t>
  </si>
  <si>
    <t>131.522.876-90</t>
  </si>
  <si>
    <t>Rua Maria Barbosa Paiva</t>
  </si>
  <si>
    <t>Sao judas Tadeu</t>
  </si>
  <si>
    <t>704.408.116-94</t>
  </si>
  <si>
    <t>145.685.566-27</t>
  </si>
  <si>
    <t>Bairro São Francisco</t>
  </si>
  <si>
    <t>156.155.506-19</t>
  </si>
  <si>
    <t>Rua Padre Oliveira Rolin</t>
  </si>
  <si>
    <t>123.795.286-75</t>
  </si>
  <si>
    <t>Rua Ana Tereza dos Santos</t>
  </si>
  <si>
    <t>131.386.846-96</t>
  </si>
  <si>
    <t>Rua Benedito Rufino Xavier</t>
  </si>
  <si>
    <t>19/12/1994</t>
  </si>
  <si>
    <t>113.383.146-02</t>
  </si>
  <si>
    <t>18/12/1995</t>
  </si>
  <si>
    <t>127.045.906-64</t>
  </si>
  <si>
    <t>Rua José Floriano Barbosa</t>
  </si>
  <si>
    <t>113.027.416-08</t>
  </si>
  <si>
    <t>Rua Engenheiro Álvares Maciel</t>
  </si>
  <si>
    <t>18/08/1993</t>
  </si>
  <si>
    <t>178.597.956-63</t>
  </si>
  <si>
    <t>Rua José Arlindo dos Santos Sobrinho</t>
  </si>
  <si>
    <t>126.659.146-03</t>
  </si>
  <si>
    <t>27/07/1999</t>
  </si>
  <si>
    <t>114.399.266-03</t>
  </si>
  <si>
    <t>Rua Milta Rodrigues Moreira</t>
  </si>
  <si>
    <t>16/10/1995</t>
  </si>
  <si>
    <t>981.402.802-91</t>
  </si>
  <si>
    <t>126.563.286-32</t>
  </si>
  <si>
    <t>Rua Antônio Vieira</t>
  </si>
  <si>
    <t>23/02/1992</t>
  </si>
  <si>
    <t>126.194.496-85</t>
  </si>
  <si>
    <t>16/01/1995</t>
  </si>
  <si>
    <t>Kaiky Fernandes Figueiredo</t>
  </si>
  <si>
    <t>132.917.886-64</t>
  </si>
  <si>
    <t>20/02/2003</t>
  </si>
  <si>
    <t>092.720.816-45</t>
  </si>
  <si>
    <t>20/10/1997</t>
  </si>
  <si>
    <t>131.474.616-29</t>
  </si>
  <si>
    <t>26/02/1997</t>
  </si>
  <si>
    <t>076.114.256-84</t>
  </si>
  <si>
    <t>152.509.926-41</t>
  </si>
  <si>
    <t>Rua Fortunato Luiz Giacometti</t>
  </si>
  <si>
    <t>26/11/2002</t>
  </si>
  <si>
    <t>134.189.366-95</t>
  </si>
  <si>
    <t>Rua Coronel Aires Gomes</t>
  </si>
  <si>
    <t>26/04/2005</t>
  </si>
  <si>
    <t>453.219.078-97</t>
  </si>
  <si>
    <t>22/01/2002</t>
  </si>
  <si>
    <t>442.438.918-93</t>
  </si>
  <si>
    <t>Rua José Pinto de Freitas</t>
  </si>
  <si>
    <t>18/03/1993</t>
  </si>
  <si>
    <t>142.138.086-29</t>
  </si>
  <si>
    <t>26/12/1997</t>
  </si>
  <si>
    <t>173.240.826-29</t>
  </si>
  <si>
    <t>15/05/2004</t>
  </si>
  <si>
    <t>Cliente se interessou e disse que procurará a gente mais pra frente pra retirar o vaucher16/09/2024</t>
  </si>
  <si>
    <t>515.376.658-63</t>
  </si>
  <si>
    <t>30/01/2006</t>
  </si>
  <si>
    <t>119.848.336-93</t>
  </si>
  <si>
    <t>21/10/1992</t>
  </si>
  <si>
    <t>859.749.305-41</t>
  </si>
  <si>
    <t>Rua Padre Carlos de Toledo</t>
  </si>
  <si>
    <t>17/11/1996</t>
  </si>
  <si>
    <t>101.944.276-09</t>
  </si>
  <si>
    <t>Bairro Santa Rita</t>
  </si>
  <si>
    <t>151.516.016-52</t>
  </si>
  <si>
    <t>123.196.766-86</t>
  </si>
  <si>
    <t>Rua Tomaz Antônio Gonzaga</t>
  </si>
  <si>
    <t>116.172.266-10</t>
  </si>
  <si>
    <t>29/10/1997</t>
  </si>
  <si>
    <t>102.787.866-00</t>
  </si>
  <si>
    <t>Rua José Francisco do Carmo</t>
  </si>
  <si>
    <t>112.265.186-48</t>
  </si>
  <si>
    <t>27/04/1996</t>
  </si>
  <si>
    <t>37.864.231/0001-53</t>
  </si>
  <si>
    <t>Rua Silvio Monteiro de Carvalho</t>
  </si>
  <si>
    <t>123.651.856-06</t>
  </si>
  <si>
    <t>19/05/1997</t>
  </si>
  <si>
    <t>019.729.756-09</t>
  </si>
  <si>
    <t>Rua Presidente Getúlio Vargas</t>
  </si>
  <si>
    <t>18/12/2003</t>
  </si>
  <si>
    <t>168.946.706-17</t>
  </si>
  <si>
    <t>Rua José Firmo Werneck</t>
  </si>
  <si>
    <t>27/06/2004</t>
  </si>
  <si>
    <t>138.693.526-39</t>
  </si>
  <si>
    <t>Rua Capitão João Dias da Mota</t>
  </si>
  <si>
    <t>18/06/2002</t>
  </si>
  <si>
    <t>450.302.668-28</t>
  </si>
  <si>
    <t>100.576.476-07</t>
  </si>
  <si>
    <t>Rua Cândido Lamy</t>
  </si>
  <si>
    <t>Alex Moreira dos Santos</t>
  </si>
  <si>
    <t>115.694.186-59</t>
  </si>
  <si>
    <t>27/01/1995</t>
  </si>
  <si>
    <t>117.005.936-84</t>
  </si>
  <si>
    <t>31/08/1997</t>
  </si>
  <si>
    <t>126.156.826-52</t>
  </si>
  <si>
    <t>Vila</t>
  </si>
  <si>
    <t>13/07/1999</t>
  </si>
  <si>
    <t>707.195.261-24</t>
  </si>
  <si>
    <t>122.788.626-85</t>
  </si>
  <si>
    <t>Rua Osvaldo Barbosa Dias</t>
  </si>
  <si>
    <t>429.710.238-26</t>
  </si>
  <si>
    <t>Rua Prefeito Rogerio Bernardes de Souza</t>
  </si>
  <si>
    <t>25/02/1992</t>
  </si>
  <si>
    <t>152.140.666-94</t>
  </si>
  <si>
    <t>377.218.956-34</t>
  </si>
  <si>
    <t>Rua Mario Messias da Silva</t>
  </si>
  <si>
    <t>048.234.346-09</t>
  </si>
  <si>
    <t>Rua Severiano Francisco da Silva</t>
  </si>
  <si>
    <t>26/09/24 Não tem interesse</t>
  </si>
  <si>
    <t>126.437.236-19</t>
  </si>
  <si>
    <t>Bairro Santa Edwiges</t>
  </si>
  <si>
    <t>25/04/2001</t>
  </si>
  <si>
    <t>100.090.996-46</t>
  </si>
  <si>
    <t>Rua Jose Pinto Brandão</t>
  </si>
  <si>
    <t>453.329.308-52</t>
  </si>
  <si>
    <t>Rua Messias Goncalves da Silva</t>
  </si>
  <si>
    <t>Bairro Nossa Senhora de Fatima</t>
  </si>
  <si>
    <t>138.927.536-10</t>
  </si>
  <si>
    <t>28/01/1998</t>
  </si>
  <si>
    <t>117.566.966-08</t>
  </si>
  <si>
    <t>128.527.296-01</t>
  </si>
  <si>
    <t>Funcionário</t>
  </si>
  <si>
    <t>130.420.946-69</t>
  </si>
  <si>
    <t>Rua Mario Marineli</t>
  </si>
  <si>
    <t>24/05/2001</t>
  </si>
  <si>
    <t>739.132.786-72</t>
  </si>
  <si>
    <t>Rua João Ferreira</t>
  </si>
  <si>
    <t>124.129.556-54</t>
  </si>
  <si>
    <t>19/05/1998</t>
  </si>
  <si>
    <t>19/09/2024 telefone não chama</t>
  </si>
  <si>
    <t>704.314.876-69</t>
  </si>
  <si>
    <t>Rua Arthur Bernardes</t>
  </si>
  <si>
    <t>127.640.756-42</t>
  </si>
  <si>
    <t>Rua João Ferreira da Silva</t>
  </si>
  <si>
    <t>17/06/1992</t>
  </si>
  <si>
    <t>097.403.546-70</t>
  </si>
  <si>
    <t>103.773.216-21</t>
  </si>
  <si>
    <t>Rua Maria Carneiro dos Santos</t>
  </si>
  <si>
    <t>17/05/1990</t>
  </si>
  <si>
    <t>138.110.716-88</t>
  </si>
  <si>
    <t>Avenida Sebastião Ceribelli</t>
  </si>
  <si>
    <t>18/05/2004</t>
  </si>
  <si>
    <t>126.351.506-13</t>
  </si>
  <si>
    <t>Rua Miltom Campos</t>
  </si>
  <si>
    <t>116.977.396-60</t>
  </si>
  <si>
    <t>Rua Benedito Rodrigues</t>
  </si>
  <si>
    <t>414.846.698-60</t>
  </si>
  <si>
    <t>Rua Vitor Antônio Brandani</t>
  </si>
  <si>
    <t>14/02/1992</t>
  </si>
  <si>
    <t>26/09/24 direto para caixa postal</t>
  </si>
  <si>
    <t>135.290.126-96</t>
  </si>
  <si>
    <t>135.754.596-73</t>
  </si>
  <si>
    <t>Bairro Sao Judas Tadeu</t>
  </si>
  <si>
    <t>113.524.096-58</t>
  </si>
  <si>
    <t>113.927.076-17</t>
  </si>
  <si>
    <t>094.377.496-98</t>
  </si>
  <si>
    <t>Rua Professor Afonso Antonio Florenciano</t>
  </si>
  <si>
    <t>13/07/1995</t>
  </si>
  <si>
    <t>26/09/24 número não é mais dela</t>
  </si>
  <si>
    <t>160.349.786-29</t>
  </si>
  <si>
    <t>23/07/2001</t>
  </si>
  <si>
    <t>137.102.436-70</t>
  </si>
  <si>
    <t>17/10/1994</t>
  </si>
  <si>
    <t>138.035.166-92</t>
  </si>
  <si>
    <t>23/04/1998</t>
  </si>
  <si>
    <t>429.530.248-16</t>
  </si>
  <si>
    <t>30/06/1993</t>
  </si>
  <si>
    <t>126.251.096-10</t>
  </si>
  <si>
    <t>106.634.746-80</t>
  </si>
  <si>
    <t>021.204.786-86</t>
  </si>
  <si>
    <t>Geraldo Albano Martins</t>
  </si>
  <si>
    <t>22/02/1998</t>
  </si>
  <si>
    <t>409.120.398-17</t>
  </si>
  <si>
    <t>22/11/2000</t>
  </si>
  <si>
    <t>26/09/2024 não tem interesse</t>
  </si>
  <si>
    <t>117.151.886-24</t>
  </si>
  <si>
    <t>27/06/2002</t>
  </si>
  <si>
    <t>104.262.226-44</t>
  </si>
  <si>
    <t>Rua Francisco da Cruz Brasil</t>
  </si>
  <si>
    <t>Não tem interesse 16/09/2024</t>
  </si>
  <si>
    <t>145.975.466-26</t>
  </si>
  <si>
    <t>Rua Elza Lopes Silva</t>
  </si>
  <si>
    <t>27/03/2006</t>
  </si>
  <si>
    <t>145.566.756-00</t>
  </si>
  <si>
    <t>26/09/2024 nem chama</t>
  </si>
  <si>
    <t>143.886.976-21</t>
  </si>
  <si>
    <t>Rua José Felicio de Rezende</t>
  </si>
  <si>
    <t>16/05/2002</t>
  </si>
  <si>
    <t>Rua Agrícola Monteiro de Carvalho</t>
  </si>
  <si>
    <t>134.538.796-27</t>
  </si>
  <si>
    <t>Rua Jose de Moura</t>
  </si>
  <si>
    <t>21/02/1997</t>
  </si>
  <si>
    <t>125.999.546-14</t>
  </si>
  <si>
    <t>não atendeu 16/09/2024</t>
  </si>
  <si>
    <t>158.689.146-43</t>
  </si>
  <si>
    <t>Rua Vidal Barbosa</t>
  </si>
  <si>
    <t>144.176.406-29</t>
  </si>
  <si>
    <t>Rua Darci Reis dos Santos</t>
  </si>
  <si>
    <t>410.501.598-29</t>
  </si>
  <si>
    <t>Rua Joao Batista Duarte</t>
  </si>
  <si>
    <t>139.311.626-48</t>
  </si>
  <si>
    <t>130.038.046-26</t>
  </si>
  <si>
    <t>Rua José Rodrigues de Lima</t>
  </si>
  <si>
    <t>17/12/1995</t>
  </si>
  <si>
    <t>413.399.978-94</t>
  </si>
  <si>
    <t>Rua Fortunato Luis Giacometti</t>
  </si>
  <si>
    <t>27/08/1994</t>
  </si>
  <si>
    <t>26/09/2024 não atende</t>
  </si>
  <si>
    <t>113.497.034-00</t>
  </si>
  <si>
    <t>Rua Raul Cobra</t>
  </si>
  <si>
    <t>21/05/2002</t>
  </si>
  <si>
    <t>358.270.608-79</t>
  </si>
  <si>
    <t>Rua José Francisco dos Santos Júnior</t>
  </si>
  <si>
    <t>19/09/2024 passado para cliente a promoção</t>
  </si>
  <si>
    <t>704.842.026-00</t>
  </si>
  <si>
    <t>15/05/2003</t>
  </si>
  <si>
    <t>700.165.926-62</t>
  </si>
  <si>
    <t>Rua José Marques de Oliveira</t>
  </si>
  <si>
    <t>21/07/2002</t>
  </si>
  <si>
    <t>365.605.508-42</t>
  </si>
  <si>
    <t>Avenida Alvarenga Peixoto 358</t>
  </si>
  <si>
    <t>31/12/2003</t>
  </si>
  <si>
    <t>021.167.456-75</t>
  </si>
  <si>
    <t>Rua José Leopoldino</t>
  </si>
  <si>
    <t>113.868.226-80</t>
  </si>
  <si>
    <t>Rua Rogério Bernardes de Souza</t>
  </si>
  <si>
    <t>29/05/2006</t>
  </si>
  <si>
    <t>127.705.566-14</t>
  </si>
  <si>
    <t>Rua Pelegrino Franchi</t>
  </si>
  <si>
    <t>056.385.106-64</t>
  </si>
  <si>
    <t>20/03/1997</t>
  </si>
  <si>
    <t>132.955.096-03</t>
  </si>
  <si>
    <t>Avenida Joao Olivio Megale</t>
  </si>
  <si>
    <t>123.971.343-65</t>
  </si>
  <si>
    <t>Rua Oswaldo Barbosa Dias</t>
  </si>
  <si>
    <t>22/10/2002</t>
  </si>
  <si>
    <t>100.411.126-60</t>
  </si>
  <si>
    <t>26/04/1991</t>
  </si>
  <si>
    <t>116.634.196-80</t>
  </si>
  <si>
    <t>Rua Francisco Daló</t>
  </si>
  <si>
    <t>27/03/1996</t>
  </si>
  <si>
    <t>606.274.673-77</t>
  </si>
  <si>
    <t>Rua Benedito Marcondes de Souza</t>
  </si>
  <si>
    <t>368.770.718-08</t>
  </si>
  <si>
    <t>Rua Dr. Paulo S. Guimaraes</t>
  </si>
  <si>
    <t>158.092.626-60</t>
  </si>
  <si>
    <t>25/08/2004</t>
  </si>
  <si>
    <t>134.046.206-07</t>
  </si>
  <si>
    <t>Rua Praça Tiradentes</t>
  </si>
  <si>
    <t>087.101.365-76</t>
  </si>
  <si>
    <t>27/09/1999</t>
  </si>
  <si>
    <t>162.807.266-06</t>
  </si>
  <si>
    <t>28/06/2000</t>
  </si>
  <si>
    <t>Cliente gostou porem no momento não tem intençao de estudar 16/09/2024</t>
  </si>
  <si>
    <t>145.604.666-70</t>
  </si>
  <si>
    <t>Rua Adelia Lopes</t>
  </si>
  <si>
    <t>613.657.553-12</t>
  </si>
  <si>
    <t>Rua Professor Alfeu Duarte</t>
  </si>
  <si>
    <t>138.719.426-77</t>
  </si>
  <si>
    <t>18/10/1995</t>
  </si>
  <si>
    <t>116.644.626-35</t>
  </si>
  <si>
    <t>Sitio Marques</t>
  </si>
  <si>
    <t>Marques</t>
  </si>
  <si>
    <t>20/03/1995</t>
  </si>
  <si>
    <t>132.605.686-70</t>
  </si>
  <si>
    <t>27/07/1998</t>
  </si>
  <si>
    <t>124.129.586-70</t>
  </si>
  <si>
    <t>154.301.516-61</t>
  </si>
  <si>
    <t>Rua Antonio de Oliveira Lopes</t>
  </si>
  <si>
    <t>16/07/2002</t>
  </si>
  <si>
    <t>088.185.366-64</t>
  </si>
  <si>
    <t>Rua Francisco Dalló</t>
  </si>
  <si>
    <t>22/08/1992</t>
  </si>
  <si>
    <t>148.557.036-05</t>
  </si>
  <si>
    <t>Rua Marília de Dirceu</t>
  </si>
  <si>
    <t>109.580.736-60</t>
  </si>
  <si>
    <t>Rua Padre Oliveira Rolim</t>
  </si>
  <si>
    <t>19/05/1992</t>
  </si>
  <si>
    <t>138.979.756-29</t>
  </si>
  <si>
    <t>18/05/2007</t>
  </si>
  <si>
    <t>144.871.036-73</t>
  </si>
  <si>
    <t>Rua Alameda Juscelino Kubitscheck</t>
  </si>
  <si>
    <t>20/10/2003</t>
  </si>
  <si>
    <t>114.398.916-30</t>
  </si>
  <si>
    <t>111.122.726-82</t>
  </si>
  <si>
    <t>Rua Francisco Dallo</t>
  </si>
  <si>
    <t>Novembro</t>
  </si>
  <si>
    <t>Ticket Medio</t>
  </si>
  <si>
    <t>Cancelamentos</t>
  </si>
  <si>
    <t>Geral</t>
  </si>
  <si>
    <t>Inadimplencia</t>
  </si>
  <si>
    <t>Insatisfação</t>
  </si>
  <si>
    <t>Revertidos</t>
  </si>
  <si>
    <t>Tentativas</t>
  </si>
  <si>
    <t>Danubia</t>
  </si>
  <si>
    <t>Duh</t>
  </si>
  <si>
    <t>Outros</t>
  </si>
  <si>
    <t>Total</t>
  </si>
  <si>
    <t>Data</t>
  </si>
  <si>
    <t>Instalação</t>
  </si>
  <si>
    <t>CPF</t>
  </si>
  <si>
    <t>Identidade</t>
  </si>
  <si>
    <t>Celular</t>
  </si>
  <si>
    <t>E-mail</t>
  </si>
  <si>
    <t>Vencimento</t>
  </si>
  <si>
    <t>ok</t>
  </si>
  <si>
    <t>948.975.306.87</t>
  </si>
  <si>
    <t>MG-10658469</t>
  </si>
  <si>
    <t>(35)999696491</t>
  </si>
  <si>
    <t>dalbranndao12@gmail.com</t>
  </si>
  <si>
    <t>Avenida Lauro Megale 567</t>
  </si>
  <si>
    <t>30 MB</t>
  </si>
  <si>
    <t>086.649.146.56</t>
  </si>
  <si>
    <t>(35)999178756</t>
  </si>
  <si>
    <t>daniellajuliidori@hotmail.com</t>
  </si>
  <si>
    <t>Rua Francisco Marque da Costa 395</t>
  </si>
  <si>
    <t>50 MB</t>
  </si>
  <si>
    <t>056.253.026.69</t>
  </si>
  <si>
    <t>(35)999606594</t>
  </si>
  <si>
    <t>fabiotito2020@gmail.com</t>
  </si>
  <si>
    <t>Rua Adolfo Cabral Bueno 259</t>
  </si>
  <si>
    <t>santo Antônio</t>
  </si>
  <si>
    <t>068.001.176.50</t>
  </si>
  <si>
    <t>MG23423989</t>
  </si>
  <si>
    <t>(35)998630495</t>
  </si>
  <si>
    <t>helitonbm@hotmail.com</t>
  </si>
  <si>
    <t>Rua João Batista Duarte 21 a.p 04</t>
  </si>
  <si>
    <t>Lucas de Paiva Youssef</t>
  </si>
  <si>
    <t>063.737.226.35</t>
  </si>
  <si>
    <t>(35)984169717</t>
  </si>
  <si>
    <t xml:space="preserve"> - </t>
  </si>
  <si>
    <t>nossa Senhora de Fátima Loteamento novo</t>
  </si>
  <si>
    <t>098.933.086.90</t>
  </si>
  <si>
    <t>MG-14941743</t>
  </si>
  <si>
    <t>(35)999701290</t>
  </si>
  <si>
    <t>Avenida Lauro Megale 160</t>
  </si>
  <si>
    <t>087.540.016.76</t>
  </si>
  <si>
    <t>(35)998969522</t>
  </si>
  <si>
    <t>carlagabrielyy@gmail.com</t>
  </si>
  <si>
    <t>Rua Maria Toledo Gouvea 151</t>
  </si>
  <si>
    <t>Nossa Senhora de Fátima Loteamento novo</t>
  </si>
  <si>
    <t>052.268.798.90</t>
  </si>
  <si>
    <t>M2243763</t>
  </si>
  <si>
    <t>(35)999372484</t>
  </si>
  <si>
    <t>glauciabguilherme@hotmail.com</t>
  </si>
  <si>
    <t>Rua Herculano Cobra 755</t>
  </si>
  <si>
    <t>027.819.076.69</t>
  </si>
  <si>
    <t>MG8924252</t>
  </si>
  <si>
    <t>(35)992746926</t>
  </si>
  <si>
    <t>fatimaabreu@live.com</t>
  </si>
  <si>
    <t>Rua Salvador Orlandi 174</t>
  </si>
  <si>
    <t>072.290.196.80</t>
  </si>
  <si>
    <t>(35)999847024</t>
  </si>
  <si>
    <t>carolbrandaoof@gmail.com</t>
  </si>
  <si>
    <t>Rua Herculano Cobra 389 a.p 01</t>
  </si>
  <si>
    <t>068.034.396.23</t>
  </si>
  <si>
    <t>(35)991668444</t>
  </si>
  <si>
    <t>tha_padua@hotmail.com</t>
  </si>
  <si>
    <t>Rua Vila Tio Mazico 81</t>
  </si>
  <si>
    <t>519.740.106.00</t>
  </si>
  <si>
    <t>MG 318327</t>
  </si>
  <si>
    <t>(35)997323217</t>
  </si>
  <si>
    <t>carlos.umberto1906@gmail.com</t>
  </si>
  <si>
    <t>Rua José Cezário dos Santos 51</t>
  </si>
  <si>
    <t>Carlos Alberto Portugal de Moura Junior</t>
  </si>
  <si>
    <t>052.189.916.86</t>
  </si>
  <si>
    <t>M9247054</t>
  </si>
  <si>
    <t>(35)998502021</t>
  </si>
  <si>
    <t>carlos.moura@via01.com.br</t>
  </si>
  <si>
    <t>Rua Luiz Donizete de Souza  34</t>
  </si>
  <si>
    <t>São judas</t>
  </si>
  <si>
    <t>200 MB</t>
  </si>
  <si>
    <t>070.765.046.18</t>
  </si>
  <si>
    <t>MG13533428</t>
  </si>
  <si>
    <t>(11)970287171</t>
  </si>
  <si>
    <t>luiz.cobra@via01.com.br</t>
  </si>
  <si>
    <t>Avenida Magalhães Pinto 109</t>
  </si>
  <si>
    <t>103.510.266.81</t>
  </si>
  <si>
    <t>MG16972585</t>
  </si>
  <si>
    <t>(35)999757905</t>
  </si>
  <si>
    <t>alessandrajanerine@gmail.com</t>
  </si>
  <si>
    <t>Rua Vicente Xavier de Rezende 66</t>
  </si>
  <si>
    <t xml:space="preserve">Silvana Marta de Souza Marques </t>
  </si>
  <si>
    <t>591.552.136.34</t>
  </si>
  <si>
    <t>M4.433.089</t>
  </si>
  <si>
    <t>(35)997610868</t>
  </si>
  <si>
    <t>silsouzamarques@hotmail.com</t>
  </si>
  <si>
    <t xml:space="preserve">Rua Joaquim Gabriel da Silva, 150 </t>
  </si>
  <si>
    <t xml:space="preserve">Santa Rita </t>
  </si>
  <si>
    <t>074.565.926.83</t>
  </si>
  <si>
    <t>(35)8447-3179</t>
  </si>
  <si>
    <t>pedroguilhermeb@hotmail.com</t>
  </si>
  <si>
    <t>Rev Alfredo Borges Teixeira, 55</t>
  </si>
  <si>
    <t>Av Alvarina Pereira Cintra, 11 casa mãe</t>
  </si>
  <si>
    <t>Rod MG 290, 923 loja</t>
  </si>
  <si>
    <t>00.340.708/0001-91</t>
  </si>
  <si>
    <t>083.912852-0012</t>
  </si>
  <si>
    <t>(35) 34451151</t>
  </si>
  <si>
    <t>artesanal@artesanateares.com.br</t>
  </si>
  <si>
    <t>Avenida Edna Maria Silva Ribeiro, 589</t>
  </si>
  <si>
    <t>075.481.876.45</t>
  </si>
  <si>
    <t>MG14732498</t>
  </si>
  <si>
    <t>(35)999278742</t>
  </si>
  <si>
    <t>Jackygomes26@Hotmail.com</t>
  </si>
  <si>
    <t>Rua Amadeu Bertolacini, 59</t>
  </si>
  <si>
    <t>772.243.886-53</t>
  </si>
  <si>
    <t>MG5403278</t>
  </si>
  <si>
    <t>(35)991403912</t>
  </si>
  <si>
    <t>joaomachado215@yahoo.com.br</t>
  </si>
  <si>
    <t>Rua Duque de Caxias,1100 (ao lado frigorifico)</t>
  </si>
  <si>
    <t>100 MB</t>
  </si>
  <si>
    <t>Maria Ângela  Costa de Oliveira</t>
  </si>
  <si>
    <t>574.675.526.53</t>
  </si>
  <si>
    <t>MG2612079</t>
  </si>
  <si>
    <t>(35)999191251</t>
  </si>
  <si>
    <t>Rua Herculano Cobra , 309</t>
  </si>
  <si>
    <t>014.123.626.44</t>
  </si>
  <si>
    <t>MG 12631295</t>
  </si>
  <si>
    <t>(35)991521627</t>
  </si>
  <si>
    <t>pedro@haraszel.com.br</t>
  </si>
  <si>
    <t>Rua Vereador José Carvalho, 90</t>
  </si>
  <si>
    <t xml:space="preserve">São Judas Tadeu </t>
  </si>
  <si>
    <t>016.705.896.76</t>
  </si>
  <si>
    <t>resantos19@hotmail.com</t>
  </si>
  <si>
    <t>Rua Benedito tosta Brandão, 320, AP 103</t>
  </si>
  <si>
    <t>Rua Dario Nogueira, 195</t>
  </si>
  <si>
    <t>Rua Firmo Weneck,57</t>
  </si>
  <si>
    <t>Renato Peres dos Santos Marmoraria</t>
  </si>
  <si>
    <t>Av Luis Cardoso Pinto, SN (Marmoraria Estilo)</t>
  </si>
  <si>
    <t>052.305.586.28</t>
  </si>
  <si>
    <t>MG12603898</t>
  </si>
  <si>
    <t>(35)997364147</t>
  </si>
  <si>
    <t>amandagmpedagoga@gmail.com</t>
  </si>
  <si>
    <t>Rua Joaquim Gabriel da Silva,161</t>
  </si>
  <si>
    <t xml:space="preserve">Cristiano Bruno da Silva </t>
  </si>
  <si>
    <t>084.206.486.98</t>
  </si>
  <si>
    <t>(35)991427844</t>
  </si>
  <si>
    <t xml:space="preserve">Cristiantbruno@gmail.com </t>
  </si>
  <si>
    <t>Rua carlos Pereira de toledo, n 420</t>
  </si>
  <si>
    <t>589.219.666-68</t>
  </si>
  <si>
    <t>(35)991669737</t>
  </si>
  <si>
    <t>-</t>
  </si>
  <si>
    <t xml:space="preserve">Rua Maria Augusta Dos Santos Castro, 150 </t>
  </si>
  <si>
    <t xml:space="preserve">Nova Borda </t>
  </si>
  <si>
    <t>ELIETE APARECIDA DIAS</t>
  </si>
  <si>
    <t>006.634.366.64</t>
  </si>
  <si>
    <t>M6557573</t>
  </si>
  <si>
    <t>(35)999928680</t>
  </si>
  <si>
    <t>elieteapdias@yahoo.com.br</t>
  </si>
  <si>
    <t>RUA CAPITÃO CIPRIANO DE CASTRO, 76</t>
  </si>
  <si>
    <t xml:space="preserve">Giovana Brandão Guilherme Bonamichi </t>
  </si>
  <si>
    <t>065.829.808.90</t>
  </si>
  <si>
    <t>M2.604.285</t>
  </si>
  <si>
    <t>(35)991962376</t>
  </si>
  <si>
    <t>giovanaborda@yahoo.com.br</t>
  </si>
  <si>
    <t>Av Alvarina Pereira Cintra  65</t>
  </si>
  <si>
    <t>074.851.226.81</t>
  </si>
  <si>
    <t>(35)999085288</t>
  </si>
  <si>
    <t>thiagoribeiro19@gmail.com</t>
  </si>
  <si>
    <t>Rua Jordino Marques da Costa, 50</t>
  </si>
  <si>
    <t xml:space="preserve">Sebastiana Cristina Da Silva </t>
  </si>
  <si>
    <t>589.217.616.91</t>
  </si>
  <si>
    <t>MG5081588</t>
  </si>
  <si>
    <t>(35)997103800</t>
  </si>
  <si>
    <t>professoracristinasilva@hotmail.com</t>
  </si>
  <si>
    <t>Rua João Ferreira número, 104</t>
  </si>
  <si>
    <t>084.713.596.93</t>
  </si>
  <si>
    <t>MG15446878</t>
  </si>
  <si>
    <t>(35)991689470</t>
  </si>
  <si>
    <t>edivaldoadm10@gmail.com</t>
  </si>
  <si>
    <t>Rua Herculano Cobra, 324</t>
  </si>
  <si>
    <t xml:space="preserve"> 071.128.146.77</t>
  </si>
  <si>
    <t>(35) 999294545</t>
  </si>
  <si>
    <t>neiderdsrezende@gmail.com</t>
  </si>
  <si>
    <t>Rua  Eduardo Amaral, 381</t>
  </si>
  <si>
    <t>063.425.045.04</t>
  </si>
  <si>
    <t>(35) 9885-8252</t>
  </si>
  <si>
    <t>Rua Antonio Ribeiro de Almeida, 47</t>
  </si>
  <si>
    <t>(35)999386285</t>
  </si>
  <si>
    <t>gustavo.hen2013@gmail.com</t>
  </si>
  <si>
    <t>Rua Ana Luiza Moreira, 160</t>
  </si>
  <si>
    <t>100 M</t>
  </si>
  <si>
    <t>213.125.406.72</t>
  </si>
  <si>
    <t>m1262382</t>
  </si>
  <si>
    <t>35 984175800</t>
  </si>
  <si>
    <t>lucioseguros@uol.com.br</t>
  </si>
  <si>
    <t>Rua Eduardo Amaral 760 (Escritório)</t>
  </si>
  <si>
    <t>Rua Magalhães Pinto 131 Ap 04</t>
  </si>
  <si>
    <t xml:space="preserve">Carlos Eduardo Sabino </t>
  </si>
  <si>
    <t>070.903.286-27</t>
  </si>
  <si>
    <t>m8417432</t>
  </si>
  <si>
    <t>kadusr7@gmail.com</t>
  </si>
  <si>
    <t>rua professor Afonso florenciano 233</t>
  </si>
  <si>
    <t xml:space="preserve">centro </t>
  </si>
  <si>
    <t>Colégio Nossa Senhora do Carmo</t>
  </si>
  <si>
    <t>62047071/0006-01</t>
  </si>
  <si>
    <t>3445 1375</t>
  </si>
  <si>
    <t>colegionossasenhoradocarmo@gmail.com</t>
  </si>
  <si>
    <t>Rua: Francisco Álvaro Sobreiro, 635</t>
  </si>
  <si>
    <t>mg 17649105</t>
  </si>
  <si>
    <t>maysersantos@gmail.com</t>
  </si>
  <si>
    <t>Rua Benedito Rodrigues , 135</t>
  </si>
  <si>
    <t>Sao Judas/ Nossa senhora Aparecida</t>
  </si>
  <si>
    <t>M3379472</t>
  </si>
  <si>
    <t>35 999694473</t>
  </si>
  <si>
    <t>alexandrefms@yahoo.com.br</t>
  </si>
  <si>
    <t>Rua Jordino Marques da Costa, 80</t>
  </si>
  <si>
    <t>087.347.756-17</t>
  </si>
  <si>
    <t>mg 14.674.899</t>
  </si>
  <si>
    <t>35 99939-0503</t>
  </si>
  <si>
    <t>vanessanathy030@gmail.com</t>
  </si>
  <si>
    <t>Rua pelegrino franch 554</t>
  </si>
  <si>
    <t xml:space="preserve">Nossa Senhora Aparecida </t>
  </si>
  <si>
    <t>117.233.646-65</t>
  </si>
  <si>
    <t>60.264.308-9</t>
  </si>
  <si>
    <t>(35) 9 9974-9910</t>
  </si>
  <si>
    <t>raulcobra.eng@hotmail.com</t>
  </si>
  <si>
    <t>Rua Herculano Cobra, 320</t>
  </si>
  <si>
    <t>912.547.106-63</t>
  </si>
  <si>
    <t>M3379689</t>
  </si>
  <si>
    <t>35 9959-0670</t>
  </si>
  <si>
    <t>Rua Capitão Cipriano de Castro, 215</t>
  </si>
  <si>
    <t xml:space="preserve"> Fábio de Cássio Oliveira</t>
  </si>
  <si>
    <t>088740996-22</t>
  </si>
  <si>
    <t>(35) 99955-1986</t>
  </si>
  <si>
    <t>fabiobmmg@gmail.com</t>
  </si>
  <si>
    <t>R. Jordino Marques da Costa ,349</t>
  </si>
  <si>
    <t xml:space="preserve"> Diogo Estefano Pereira Nascimento</t>
  </si>
  <si>
    <t>072.066.556-61</t>
  </si>
  <si>
    <t>M 8 958 946</t>
  </si>
  <si>
    <t>035 9 9824 6370</t>
  </si>
  <si>
    <t>diogoestefano1@yahoo.com.br</t>
  </si>
  <si>
    <t>Rua Raquel Gouveia 295</t>
  </si>
  <si>
    <t>MG6286105</t>
  </si>
  <si>
    <t xml:space="preserve"> 035-9946-8851</t>
  </si>
  <si>
    <t>rua lucinda catelli megale 61</t>
  </si>
  <si>
    <t>037.515.726-35</t>
  </si>
  <si>
    <t>M-7.511.716</t>
  </si>
  <si>
    <t>35 999632704</t>
  </si>
  <si>
    <t>anyborges@hotmail.com</t>
  </si>
  <si>
    <t>Rua Amadeu Bertolaccini, 15</t>
  </si>
  <si>
    <t>André Luiz Souza lima</t>
  </si>
  <si>
    <t xml:space="preserve"> 123.670.976.40</t>
  </si>
  <si>
    <t>Mg17549117</t>
  </si>
  <si>
    <t>(35)998627547</t>
  </si>
  <si>
    <t>andreluizsouzalima199331@gmail.com</t>
  </si>
  <si>
    <t>Rua José Alves Gusmão. 130</t>
  </si>
  <si>
    <t>30 Mb</t>
  </si>
  <si>
    <t>SSP/SP 65.423.139-4</t>
  </si>
  <si>
    <t>igabrielamoreira@gmail.com</t>
  </si>
  <si>
    <t>Rua Santa Terezinha, 33</t>
  </si>
  <si>
    <t xml:space="preserve">Edgar Costa Cobra </t>
  </si>
  <si>
    <t>35 984043949</t>
  </si>
  <si>
    <t>edgarcobra@gmail.com</t>
  </si>
  <si>
    <t>Avenida Magalhães Pinto 111</t>
  </si>
  <si>
    <t xml:space="preserve">ENTRAR </t>
  </si>
  <si>
    <t>samucamack@hotmail.com</t>
  </si>
  <si>
    <t>Rua Salvador Orlandi 156 Ap04</t>
  </si>
  <si>
    <t>MG3331170</t>
  </si>
  <si>
    <t>35 991287901</t>
  </si>
  <si>
    <t>Rua Eduardo Amaral  760</t>
  </si>
  <si>
    <t>Humberto de Oliveira Silveira</t>
  </si>
  <si>
    <t xml:space="preserve"> 11 98403-8000</t>
  </si>
  <si>
    <t>Rua Luiz Silveira 150</t>
  </si>
  <si>
    <t>50 mB</t>
  </si>
  <si>
    <t xml:space="preserve">Borda da Mata Cart Escrivania e Notas </t>
  </si>
  <si>
    <t>20374187/0001-09</t>
  </si>
  <si>
    <t>segundotabelionatonotasbm@hotmail.com</t>
  </si>
  <si>
    <t>Praça Nossa Senhora do Carmo 23</t>
  </si>
  <si>
    <t>MG7480075</t>
  </si>
  <si>
    <t>35 997008983</t>
  </si>
  <si>
    <t>clarahellenna@hotmail.com</t>
  </si>
  <si>
    <t>Rua Avelino Nunes de Almeida. N-120</t>
  </si>
  <si>
    <t>Santa Tarezinha</t>
  </si>
  <si>
    <t>Alene Carolina dos Santos Brandão comodo</t>
  </si>
  <si>
    <t>Praça Antonio Megali n31</t>
  </si>
  <si>
    <t>100 mB</t>
  </si>
  <si>
    <t>Alene Carolina dos Santos Brandão casa mãe</t>
  </si>
  <si>
    <t>Praça nossa senhora do Carmo 116 apt 02</t>
  </si>
  <si>
    <t>centro</t>
  </si>
  <si>
    <t xml:space="preserve">Roberley José Napoleão </t>
  </si>
  <si>
    <t>033052396 11</t>
  </si>
  <si>
    <t>8 821 878</t>
  </si>
  <si>
    <t>35 99895-8596</t>
  </si>
  <si>
    <t xml:space="preserve">roberleyjose22@Hotmail.com </t>
  </si>
  <si>
    <t>rua josé Felício Rezende  ,90</t>
  </si>
  <si>
    <t>nossa Senhora de Fatima</t>
  </si>
  <si>
    <t>35 999014321</t>
  </si>
  <si>
    <t>Avenida Magalhães Pinto  18</t>
  </si>
  <si>
    <t>Estação</t>
  </si>
  <si>
    <t xml:space="preserve">Bianca Helena Marçal </t>
  </si>
  <si>
    <t xml:space="preserve"> 116.960.666.69</t>
  </si>
  <si>
    <t>MG. 19.234.442</t>
  </si>
  <si>
    <t>(35)9 9974-0280</t>
  </si>
  <si>
    <t>biiamarcall13@gmail.com</t>
  </si>
  <si>
    <t>Rua Francisco José Rena59</t>
  </si>
  <si>
    <t xml:space="preserve"> 993.453.826-15</t>
  </si>
  <si>
    <t xml:space="preserve"> MG 7 742.357 SSPMG</t>
  </si>
  <si>
    <t xml:space="preserve"> 35 9 9967 9212</t>
  </si>
  <si>
    <t xml:space="preserve"> bruciosf@gmail.com</t>
  </si>
  <si>
    <t>Rua Sebastião Freitas, 556</t>
  </si>
  <si>
    <t xml:space="preserve"> IMPERIO 1 EMPREENDIMENTOS E PARTICIPACOES LTDA.</t>
  </si>
  <si>
    <t>26.484.761/0001-50</t>
  </si>
  <si>
    <t>35 9992-1519</t>
  </si>
  <si>
    <t>eder@haraszel.com.br</t>
  </si>
  <si>
    <t>Praça Nossa Senhora do Carmo, Nº64 AP2</t>
  </si>
  <si>
    <t>505.349.998-59</t>
  </si>
  <si>
    <t>35 999554427</t>
  </si>
  <si>
    <t>Haugusto155@gmail.com</t>
  </si>
  <si>
    <t xml:space="preserve">Rua Paulo Furtado De Oliveira n° 80 </t>
  </si>
  <si>
    <t xml:space="preserve">Nossa Senhora de Fátima </t>
  </si>
  <si>
    <t>35 997403966</t>
  </si>
  <si>
    <t>arquitetojaugusto@hotmail.com</t>
  </si>
  <si>
    <t>Rua Eduardo Amaral  590</t>
  </si>
  <si>
    <t>065.729.096-38</t>
  </si>
  <si>
    <t>Mg 13.360.782</t>
  </si>
  <si>
    <t>(35) 99706-5139</t>
  </si>
  <si>
    <t>als_letter@hotmail.com</t>
  </si>
  <si>
    <t>Rua Angelo Guazelli, 170</t>
  </si>
  <si>
    <t>Rua Oswaldo Barbosa Dias,71</t>
  </si>
  <si>
    <t>Rua Candido Lamy,181</t>
  </si>
  <si>
    <t xml:space="preserve">Carlos Henrique Machado de Freitas </t>
  </si>
  <si>
    <t xml:space="preserve"> 087.191.676.28</t>
  </si>
  <si>
    <t>35 998531149</t>
  </si>
  <si>
    <t>cbbebimais@gmail.com</t>
  </si>
  <si>
    <t xml:space="preserve"> Rua Herculano Cobra, 1010</t>
  </si>
  <si>
    <t>MG 4549742</t>
  </si>
  <si>
    <t>robertopurim@gmail.com</t>
  </si>
  <si>
    <t>Rua Duque de Caxias, 696</t>
  </si>
  <si>
    <t>Sao judas</t>
  </si>
  <si>
    <t xml:space="preserve">Breno Moreira de Souza </t>
  </si>
  <si>
    <t>breno13@gmail.com</t>
  </si>
  <si>
    <t xml:space="preserve">Salvador Orlandi 6 </t>
  </si>
  <si>
    <t xml:space="preserve">Carlos Eduardo Medeiros </t>
  </si>
  <si>
    <t xml:space="preserve">595403 84 </t>
  </si>
  <si>
    <t>35 9897-8683</t>
  </si>
  <si>
    <t>Fernanda 997217480</t>
  </si>
  <si>
    <t xml:space="preserve">Avenida Magalhães Pinto 138 </t>
  </si>
  <si>
    <t xml:space="preserve">Nilda Marta da Silva </t>
  </si>
  <si>
    <t>m6 165 303</t>
  </si>
  <si>
    <t>nildasilva34335@gmail.com</t>
  </si>
  <si>
    <t>Rua Hailton José Pinto Numero 15</t>
  </si>
  <si>
    <t>343.503.898-57</t>
  </si>
  <si>
    <t xml:space="preserve">42.775.570-0 </t>
  </si>
  <si>
    <t>35 9 8434-4834</t>
  </si>
  <si>
    <t xml:space="preserve"> raphaelramassotte@yahoo.com.br</t>
  </si>
  <si>
    <t xml:space="preserve">Rua Padre José Oriolo,169 </t>
  </si>
  <si>
    <t>30 mb</t>
  </si>
  <si>
    <t>mg19250093</t>
  </si>
  <si>
    <t>35 997168991</t>
  </si>
  <si>
    <t>lcardosoluan2015@gmail.com</t>
  </si>
  <si>
    <t>Rua Professor Alfreu duarte  50 praça</t>
  </si>
  <si>
    <t>não tem whats</t>
  </si>
  <si>
    <t xml:space="preserve">Dirceu Paschoal do Couto </t>
  </si>
  <si>
    <t>043918056-26</t>
  </si>
  <si>
    <t>mg497119692</t>
  </si>
  <si>
    <t>35 997167248</t>
  </si>
  <si>
    <t>Rua João Floriano Barbosa Filho, 45</t>
  </si>
  <si>
    <t>mg14064761</t>
  </si>
  <si>
    <t>35 998071307</t>
  </si>
  <si>
    <t>Rua José de Moura 66</t>
  </si>
  <si>
    <t>912.538.706-59</t>
  </si>
  <si>
    <t>M-4.630.987</t>
  </si>
  <si>
    <t>35 99904-7492</t>
  </si>
  <si>
    <t>mr-cb@hotmail com</t>
  </si>
  <si>
    <t>Praça Nossa Senhora do Carmo, 68, centro, BM</t>
  </si>
  <si>
    <t>50 mb</t>
  </si>
  <si>
    <t xml:space="preserve">Ana Carolina de Moraes Reder </t>
  </si>
  <si>
    <t>35 998540359</t>
  </si>
  <si>
    <t>Rua Joaquim Floriano barbosa n 38</t>
  </si>
  <si>
    <t>30 mB</t>
  </si>
  <si>
    <t>MG 22591290</t>
  </si>
  <si>
    <t>(35) 99821-9716</t>
  </si>
  <si>
    <t>Rua Francisco M Costa 318</t>
  </si>
  <si>
    <t>Jeffersn Estevão Pereira Nascimento</t>
  </si>
  <si>
    <t>057.545.876-35</t>
  </si>
  <si>
    <t>MG 8.621.236</t>
  </si>
  <si>
    <t>99889-5656</t>
  </si>
  <si>
    <t>jeffersonestevao@hotmail.com</t>
  </si>
  <si>
    <t>Rua Francisco Souza Costa, 45</t>
  </si>
  <si>
    <t>40002854-2</t>
  </si>
  <si>
    <t xml:space="preserve"> 25/06/1988</t>
  </si>
  <si>
    <t xml:space="preserve"> 11 981840585</t>
  </si>
  <si>
    <t xml:space="preserve"> helen_akiko@hotmail.com</t>
  </si>
  <si>
    <t xml:space="preserve"> Av José pinto de freitas 290 centro</t>
  </si>
  <si>
    <t>22068437-6</t>
  </si>
  <si>
    <t xml:space="preserve"> 35 9759-2280</t>
  </si>
  <si>
    <t>Rua rio Branco 225</t>
  </si>
  <si>
    <t xml:space="preserve">Leandro Aparecido da Silva Sabino </t>
  </si>
  <si>
    <t>060  999 746 79</t>
  </si>
  <si>
    <t>Mg 13977893</t>
  </si>
  <si>
    <t>Rua Alferes José lopes n° 93</t>
  </si>
  <si>
    <t>772542019-34</t>
  </si>
  <si>
    <t xml:space="preserve"> 35 9889-1812</t>
  </si>
  <si>
    <t>Rua Santa Terezinha 35</t>
  </si>
  <si>
    <t xml:space="preserve">30 MB </t>
  </si>
  <si>
    <t xml:space="preserve">Joel Carlos Pereira de Toledo </t>
  </si>
  <si>
    <t>m2439275</t>
  </si>
  <si>
    <t>Rua Benedito Tosta Brandão 30</t>
  </si>
  <si>
    <t>mg13055382</t>
  </si>
  <si>
    <t>Chacara  Santa Rita</t>
  </si>
  <si>
    <t xml:space="preserve">Joao Pedro Dantas </t>
  </si>
  <si>
    <t>MG 19294772</t>
  </si>
  <si>
    <t>joaopedrojpdantas@gmail.com</t>
  </si>
  <si>
    <t>Rua francisco Alvaro Sobreiro 555</t>
  </si>
  <si>
    <t>055.229.986-36</t>
  </si>
  <si>
    <t>MG-8.741.866</t>
  </si>
  <si>
    <t>(35) 99907-0266</t>
  </si>
  <si>
    <t>dkcustom4@gmail.com</t>
  </si>
  <si>
    <t>Rua São Judas Tadeu, 139</t>
  </si>
  <si>
    <t>128.759.666-50</t>
  </si>
  <si>
    <t>35 98478-0706</t>
  </si>
  <si>
    <t xml:space="preserve"> lenadudu72@gmail.com</t>
  </si>
  <si>
    <t xml:space="preserve">Rua Manoel Pereira Morais número 66 </t>
  </si>
  <si>
    <t>Hamilton Campos Menezes</t>
  </si>
  <si>
    <t>21665046-x</t>
  </si>
  <si>
    <t>35 984366993</t>
  </si>
  <si>
    <t>h-sm2010@hotmail.com</t>
  </si>
  <si>
    <t>Adelia Lopes Silva 200</t>
  </si>
  <si>
    <t xml:space="preserve">Adnan de Sousa Freitas </t>
  </si>
  <si>
    <t xml:space="preserve">054.614.416-02 </t>
  </si>
  <si>
    <t xml:space="preserve"> 19 97166-5391</t>
  </si>
  <si>
    <t xml:space="preserve"> Salvador Orlandi 84</t>
  </si>
  <si>
    <t>MG15007102</t>
  </si>
  <si>
    <t>35 99990-1661</t>
  </si>
  <si>
    <t>Praça nossa senhora do Carmo 67 centro</t>
  </si>
  <si>
    <t xml:space="preserve">Lucimara de Jesus Barbosa </t>
  </si>
  <si>
    <t>MG10682488</t>
  </si>
  <si>
    <t>35 99983-1567</t>
  </si>
  <si>
    <t>marabarbosa692@gmail.com</t>
  </si>
  <si>
    <t>8 m</t>
  </si>
  <si>
    <t>Rua Francisco Floriano Barbosa 160</t>
  </si>
  <si>
    <t>10927004 PC/MG</t>
  </si>
  <si>
    <t>Patricia-venancio@hotmail.com</t>
  </si>
  <si>
    <t>Rua Eduardo Amaral, 394,apto 3</t>
  </si>
  <si>
    <t xml:space="preserve">Isabel Aparecida Cardoso </t>
  </si>
  <si>
    <t>12/061979</t>
  </si>
  <si>
    <t>Rua São Benedito Xavier 133</t>
  </si>
  <si>
    <t>Marco Antonio  de Mello</t>
  </si>
  <si>
    <t>m164493</t>
  </si>
  <si>
    <t>Rua Professor Alfreu duarte  70</t>
  </si>
  <si>
    <t>34.952.765/0001-43</t>
  </si>
  <si>
    <t>Avenida Magalhaes Pinto, 17.</t>
  </si>
  <si>
    <t>Bairro Sao Benedito</t>
  </si>
  <si>
    <t>38.709.674/0001-32</t>
  </si>
  <si>
    <t>Rua francisco Marques da Costa 1207</t>
  </si>
  <si>
    <t>MG 10382735</t>
  </si>
  <si>
    <t>(35)991427665</t>
  </si>
  <si>
    <t>celio.andrade@hotmail.com</t>
  </si>
  <si>
    <t>Rua Francisco Alvaro Sobreiro  277</t>
  </si>
  <si>
    <t>119.986.436-62</t>
  </si>
  <si>
    <t xml:space="preserve">MG-18.350.887 </t>
  </si>
  <si>
    <t xml:space="preserve">(35) 99803-1292 </t>
  </si>
  <si>
    <t>judiado.jc@hotmail.com</t>
  </si>
  <si>
    <t xml:space="preserve">Rua: Herculano Cobra, 410 </t>
  </si>
  <si>
    <t>Fernando  Scavone</t>
  </si>
  <si>
    <t>Rua das Rosas 307</t>
  </si>
  <si>
    <t>Mg 5143797</t>
  </si>
  <si>
    <t>Rua Afonso Florenciano 201</t>
  </si>
  <si>
    <t>441.702.896-68</t>
  </si>
  <si>
    <t>M-4.313.760</t>
  </si>
  <si>
    <t xml:space="preserve"> 25/05/1958</t>
  </si>
  <si>
    <t>Rua José de Moura, 22</t>
  </si>
  <si>
    <t>11 95122-8104</t>
  </si>
  <si>
    <t>Rua Conceição Borges dos Santos, 28</t>
  </si>
  <si>
    <t>25.848.045/0001-41</t>
  </si>
  <si>
    <t>083.619.521/0086</t>
  </si>
  <si>
    <t>35 9847-7696</t>
  </si>
  <si>
    <t>contasareceber@mcgestao.com</t>
  </si>
  <si>
    <t>AVENIDA EDNA MARIA DA SILVA RIBEIRO 1300</t>
  </si>
  <si>
    <t>200 Mb</t>
  </si>
  <si>
    <t>486171646 20</t>
  </si>
  <si>
    <t>MG 2.890.406</t>
  </si>
  <si>
    <t>19 981515032</t>
  </si>
  <si>
    <t>rosamariadelfino@hotmail.com</t>
  </si>
  <si>
    <t>Vila Tio Mazico 44</t>
  </si>
  <si>
    <t>57810860-4</t>
  </si>
  <si>
    <t>ecoa040187@gmail.com</t>
  </si>
  <si>
    <t>:luiz donizete de souza 55</t>
  </si>
  <si>
    <t>São  judas</t>
  </si>
  <si>
    <t>30  MB</t>
  </si>
  <si>
    <t>086.365.486-08</t>
  </si>
  <si>
    <t>Mg14619528</t>
  </si>
  <si>
    <t>(35) 99913-1167</t>
  </si>
  <si>
    <t>Rua Olegario Maciel 59</t>
  </si>
  <si>
    <t>35 998530545</t>
  </si>
  <si>
    <t>marcelo@tecelagembordartes.com.br</t>
  </si>
  <si>
    <t>Rua José Daniel da Costa 135</t>
  </si>
  <si>
    <t>mg11275829</t>
  </si>
  <si>
    <t>35 9982-7347</t>
  </si>
  <si>
    <t>Jose de moura 200</t>
  </si>
  <si>
    <t xml:space="preserve"> Av Edna Maria da Silva ribeiro 399</t>
  </si>
  <si>
    <t>Luiz Fernando campos freire correa</t>
  </si>
  <si>
    <t>sandraarielly20 @gmail.com</t>
  </si>
  <si>
    <t>rua Antenor Rodrigues 44</t>
  </si>
  <si>
    <t>30mb</t>
  </si>
  <si>
    <t xml:space="preserve">Wiviana Valeria Do Nascimento </t>
  </si>
  <si>
    <t>Rua José Pino de Freitas  19</t>
  </si>
  <si>
    <t xml:space="preserve">Maria Regina Rodrigues </t>
  </si>
  <si>
    <t>35 984177807</t>
  </si>
  <si>
    <t>Rua Jose Alves Gusmão 82</t>
  </si>
  <si>
    <t>35 998596175</t>
  </si>
  <si>
    <t>flaviotokos@gmail.com</t>
  </si>
  <si>
    <t>Rua Mariana Arantes Sobreiro 90</t>
  </si>
  <si>
    <t>Morada  do Sol</t>
  </si>
  <si>
    <t>mg13450676</t>
  </si>
  <si>
    <t>Rua Duque de Caxias  N 870 Ap 01</t>
  </si>
  <si>
    <t xml:space="preserve">Sao Judas </t>
  </si>
  <si>
    <t>50 Mb</t>
  </si>
  <si>
    <t>119.719.776-16</t>
  </si>
  <si>
    <t>MG-19.607.481</t>
  </si>
  <si>
    <t>coutoguilherme207@gmail.com</t>
  </si>
  <si>
    <t>rua Vitor antonio brandani,61</t>
  </si>
  <si>
    <t xml:space="preserve">Jose Quirino de Alvarenga Neto Casa </t>
  </si>
  <si>
    <t>Rua Maria Augusta Santos Castro 207</t>
  </si>
  <si>
    <t>Mauro aparecido de Souza Bueno</t>
  </si>
  <si>
    <t>19264368x</t>
  </si>
  <si>
    <t xml:space="preserve"> 24/02/68</t>
  </si>
  <si>
    <t>35 9748-7281</t>
  </si>
  <si>
    <t>nicholas.mancini@hotmail.com</t>
  </si>
  <si>
    <t>rua José Rodrigues Borba 330</t>
  </si>
  <si>
    <t xml:space="preserve">João Batista Santos da Silva </t>
  </si>
  <si>
    <t>11 985255207</t>
  </si>
  <si>
    <t>li108jd@gmail.com</t>
  </si>
  <si>
    <t>Rua Jordino Marques da Costa, 145</t>
  </si>
  <si>
    <t xml:space="preserve">Joaquim Antonio Simões </t>
  </si>
  <si>
    <t xml:space="preserve"> m 8470466</t>
  </si>
  <si>
    <t>35 998901582</t>
  </si>
  <si>
    <t>matheusaugustosimoes@hotmail.com</t>
  </si>
  <si>
    <t>Rua Geraldo Marcondes de Souza 45</t>
  </si>
  <si>
    <t xml:space="preserve">100 megas </t>
  </si>
  <si>
    <t xml:space="preserve">Jaqueline  Pereira da Silva </t>
  </si>
  <si>
    <t>jack.silvap@yahoo.com.br</t>
  </si>
  <si>
    <t>Rua Jose Leopoldino Gonçalves 47</t>
  </si>
  <si>
    <t>30 Megas</t>
  </si>
  <si>
    <t>074.414.746-80</t>
  </si>
  <si>
    <t xml:space="preserve">RG 36466203-7    </t>
  </si>
  <si>
    <t>35 9704-6463</t>
  </si>
  <si>
    <t>Rua Bueno Brandão n 290</t>
  </si>
  <si>
    <t>Santa terezinha</t>
  </si>
  <si>
    <t>mg 23545849</t>
  </si>
  <si>
    <t>35 9817-6711</t>
  </si>
  <si>
    <t>Rua José Feliciano 22</t>
  </si>
  <si>
    <t>30 megas</t>
  </si>
  <si>
    <t>59.647.418-0</t>
  </si>
  <si>
    <t xml:space="preserve"> rodrigopsantos1984@gmail.com</t>
  </si>
  <si>
    <t>:rua professor alfeu duarte 239</t>
  </si>
  <si>
    <t xml:space="preserve">Matheus Nogueira lopes </t>
  </si>
  <si>
    <t>ml7957543@gmail.com</t>
  </si>
  <si>
    <t>Rua José Luiz Moreira 215</t>
  </si>
  <si>
    <t xml:space="preserve">Jose Celino dos Santos </t>
  </si>
  <si>
    <t>Rua Antonio Ribeiro da Silva 17</t>
  </si>
  <si>
    <t>santo Antonio</t>
  </si>
  <si>
    <t>Avenida Magalhães Pinto 465</t>
  </si>
  <si>
    <t>Tereza de  Fatima Martins Pereira</t>
  </si>
  <si>
    <t>Rua  Hamilton Moreira Rodrigues 09</t>
  </si>
  <si>
    <t>05.07.2001</t>
  </si>
  <si>
    <t>35 998204929</t>
  </si>
  <si>
    <t>ua padre Bernardo leite Ferreira  570</t>
  </si>
  <si>
    <t>15/0/1993</t>
  </si>
  <si>
    <t>35 997512773</t>
  </si>
  <si>
    <t>Rua Rio Branco 256</t>
  </si>
  <si>
    <t>35 999581694</t>
  </si>
  <si>
    <t xml:space="preserve">Rua Irmãs Dominicanas 15 </t>
  </si>
  <si>
    <t>Rua das Rosas 120</t>
  </si>
  <si>
    <t xml:space="preserve">São Judas </t>
  </si>
  <si>
    <t>100 mb</t>
  </si>
  <si>
    <t>067.562.186.03</t>
  </si>
  <si>
    <t>Av Luiz Cardoso Pinto, 36</t>
  </si>
  <si>
    <t>Edivaldo ribeiro dos Santos</t>
  </si>
  <si>
    <t>m798620</t>
  </si>
  <si>
    <t>Rua herculano Cobra 374</t>
  </si>
  <si>
    <t>bruschiiatoigreja@gmail.com</t>
  </si>
  <si>
    <t>Rua Alameda jK 231</t>
  </si>
  <si>
    <t>30  Mb</t>
  </si>
  <si>
    <t xml:space="preserve">Celly Maria Leopoldino de Freitas </t>
  </si>
  <si>
    <t>m2915965</t>
  </si>
  <si>
    <t>35 991587173</t>
  </si>
  <si>
    <t>cellyleopoldino@gmail.com</t>
  </si>
  <si>
    <t>Rua Coronel josé inacio 37</t>
  </si>
  <si>
    <t xml:space="preserve">Maria Teresa  Pinheiro Bogoni </t>
  </si>
  <si>
    <t>11 970267132</t>
  </si>
  <si>
    <t>teresa020165@mail.com</t>
  </si>
  <si>
    <t>Rua Elza Lopes da Silva 51</t>
  </si>
  <si>
    <t>lucasbuenomelo@uol.com.br</t>
  </si>
  <si>
    <t>Rua Raul Cobra 90</t>
  </si>
  <si>
    <t xml:space="preserve">Centro </t>
  </si>
  <si>
    <t>mg-19.155.963</t>
  </si>
  <si>
    <t xml:space="preserve"> 35 9 9752-0163</t>
  </si>
  <si>
    <t>:rua Ivone jóia ,31</t>
  </si>
  <si>
    <t>19 992557676</t>
  </si>
  <si>
    <t>Avenida Alvarina Pereira Cintra  150</t>
  </si>
  <si>
    <t>Rua Honório Borges, 13-A, Centro</t>
  </si>
  <si>
    <t xml:space="preserve"> Centro</t>
  </si>
  <si>
    <t xml:space="preserve">50 MB </t>
  </si>
  <si>
    <t>BABY CLIN - SERVICOS MEDICOS LTDA</t>
  </si>
  <si>
    <t>35 9984-9808</t>
  </si>
  <si>
    <t>financeiromedclin@gmail.com</t>
  </si>
  <si>
    <t>Praça Antônio Megale, 91</t>
  </si>
  <si>
    <t>075.527.316-80</t>
  </si>
  <si>
    <t>CRMV-MG 10.292</t>
  </si>
  <si>
    <t>35 99994-1145</t>
  </si>
  <si>
    <t>Rua Francisco Amelia Gouveia 281</t>
  </si>
  <si>
    <t xml:space="preserve">Antônio Claret Marques </t>
  </si>
  <si>
    <t>670.661.438-68</t>
  </si>
  <si>
    <t>8004051 SSSP</t>
  </si>
  <si>
    <t xml:space="preserve"> 01/12/1953</t>
  </si>
  <si>
    <t>;(35)999840961</t>
  </si>
  <si>
    <t>;eunicercmarques@hotmail.com</t>
  </si>
  <si>
    <t>o;Rua: Duque de Caxias nº 587</t>
  </si>
  <si>
    <t>.000393297</t>
  </si>
  <si>
    <t>Rua Antenor Rodrigues da Silva 167</t>
  </si>
  <si>
    <t>Marcio Heleno Nunes de Assis</t>
  </si>
  <si>
    <t>silviasouza09@yahoo.com</t>
  </si>
  <si>
    <t>Praça Antonio Megale 87</t>
  </si>
  <si>
    <t>Rua Vicente Gonçalves Pinto 150</t>
  </si>
  <si>
    <t>mg 19108143</t>
  </si>
  <si>
    <t>35 992250578</t>
  </si>
  <si>
    <t>R José Benjamin de oliveira, 70</t>
  </si>
  <si>
    <t>264.272.278-31</t>
  </si>
  <si>
    <t>11 99925-7266</t>
  </si>
  <si>
    <t>cirleirossini26@gmail.com</t>
  </si>
  <si>
    <t>Rua Francisco Marques da Costa, 1237</t>
  </si>
  <si>
    <t>dalvacouto@live.com</t>
  </si>
  <si>
    <t>Rua Dr Pergrino Franklin 451</t>
  </si>
  <si>
    <t>Cortesia</t>
  </si>
  <si>
    <t>MG 15999003</t>
  </si>
  <si>
    <t>Rua josé Rodrigues Borba 315</t>
  </si>
  <si>
    <t xml:space="preserve">Renata Braga Pompeu </t>
  </si>
  <si>
    <t>Mg3196516</t>
  </si>
  <si>
    <t>35 998982374</t>
  </si>
  <si>
    <t>renatabragapompeu@gmail.com</t>
  </si>
  <si>
    <t>Rua Rodrigues Borba 229</t>
  </si>
  <si>
    <t>35- 99942-2524</t>
  </si>
  <si>
    <t>paulalimaof@gmail.com</t>
  </si>
  <si>
    <t xml:space="preserve">RUA LUIZ CARLOS CARDOSO 110- </t>
  </si>
  <si>
    <t>080.777.246-12</t>
  </si>
  <si>
    <t>Mg11323504</t>
  </si>
  <si>
    <t>35 9 9733 2729</t>
  </si>
  <si>
    <t>jprdp2005@gmail.com</t>
  </si>
  <si>
    <t>Rua Honório Borges, 29 - centro</t>
  </si>
  <si>
    <t>MG8417469</t>
  </si>
  <si>
    <t>35 9832-5733</t>
  </si>
  <si>
    <t>diegotoledo84@yahoo.com.br</t>
  </si>
  <si>
    <t>Rua Francisco Marques da Costa, 1405</t>
  </si>
  <si>
    <t>30MB</t>
  </si>
  <si>
    <t>MG17067983</t>
  </si>
  <si>
    <t>35)998765203</t>
  </si>
  <si>
    <t>andre_bonifacio93@hotmail.com</t>
  </si>
  <si>
    <t xml:space="preserve"> Avenida Antônio Marques da Silva número 209</t>
  </si>
  <si>
    <t>mg17279060</t>
  </si>
  <si>
    <t>35 998236508</t>
  </si>
  <si>
    <t>fabianohenriquedossantos@hotmail.com</t>
  </si>
  <si>
    <t>Rua Rui Barbosa 31</t>
  </si>
  <si>
    <t>25.052.547-1</t>
  </si>
  <si>
    <t xml:space="preserve">Rua Adélia Lopes Silva 35 </t>
  </si>
  <si>
    <t xml:space="preserve">Santa rita </t>
  </si>
  <si>
    <t>924.322.046-20</t>
  </si>
  <si>
    <t>M7152255</t>
  </si>
  <si>
    <t xml:space="preserve"> (35) 99960 - 1938</t>
  </si>
  <si>
    <t>cia.arte.decor@gmail.com</t>
  </si>
  <si>
    <t>Rua Córrego das Pedras, 41</t>
  </si>
  <si>
    <t>353.228.617-53</t>
  </si>
  <si>
    <t>19 99410-7647</t>
  </si>
  <si>
    <t>av. Magalhães Pinto, 265.</t>
  </si>
  <si>
    <t>Maicon Henrique Barbosa Gonçalves (Casa)</t>
  </si>
  <si>
    <t>087.120.416.96</t>
  </si>
  <si>
    <t>164.181-34</t>
  </si>
  <si>
    <t>35 99109-0475</t>
  </si>
  <si>
    <t>Geraldo Marcondes de Souza 180 santo Antônio</t>
  </si>
  <si>
    <t>Maicon Henrique Barbosa Gonçalves (Casa Filho)</t>
  </si>
  <si>
    <t xml:space="preserve">José Pinto Brandão 281 são judas Tadeu </t>
  </si>
  <si>
    <t>Maicon Henrique Barbosa Gonçalves (Empresa)</t>
  </si>
  <si>
    <t>Francisco da cruz Brasil 81 santa Edwirges</t>
  </si>
  <si>
    <t>50Mb</t>
  </si>
  <si>
    <t xml:space="preserve">MARIA  DO CARMO COBRA RIBEIRO </t>
  </si>
  <si>
    <t>461.746.056-04</t>
  </si>
  <si>
    <t>M-1.192.491</t>
  </si>
  <si>
    <t>99700-1278</t>
  </si>
  <si>
    <t xml:space="preserve"> segundotabelionatonotasbm@hotmail.com</t>
  </si>
  <si>
    <t>AV. MAGALHÃES  PINTO 155</t>
  </si>
  <si>
    <t>:245.861.898-78</t>
  </si>
  <si>
    <t xml:space="preserve"> 13/03/1974</t>
  </si>
  <si>
    <t>9 9198-8220</t>
  </si>
  <si>
    <t xml:space="preserve">trhpecasparatratores@hotmail.com </t>
  </si>
  <si>
    <t>Av João Olívio Megale 320</t>
  </si>
  <si>
    <t>06042443/0001-21</t>
  </si>
  <si>
    <t>35 9 9994 7179</t>
  </si>
  <si>
    <t>nordesteartes@yahoo.com.br</t>
  </si>
  <si>
    <t>LOJA: Rua José Pinto de Freitas, 151- centro</t>
  </si>
  <si>
    <t xml:space="preserve">50 Mb </t>
  </si>
  <si>
    <t>FÁBRICA: Rua Bernadete Megale, 98 - Santa Rita</t>
  </si>
  <si>
    <t xml:space="preserve">Residência Painho : Rua Oswaldo Barbosa Dias, 167 - </t>
  </si>
  <si>
    <t>50MB</t>
  </si>
  <si>
    <t xml:space="preserve">Residência Jefter: Rua Irmãs Dominicana 118 </t>
  </si>
  <si>
    <t xml:space="preserve">Fernando Melo de Oliveira </t>
  </si>
  <si>
    <t>mg13671432</t>
  </si>
  <si>
    <t>35 9710-7527</t>
  </si>
  <si>
    <t>Rua Oscar Gomes Lima  66 fundos</t>
  </si>
  <si>
    <t xml:space="preserve">Ana Paula Moura Calil </t>
  </si>
  <si>
    <t>11 995183044</t>
  </si>
  <si>
    <t>Rua Capitão Cipriano de Castro 543</t>
  </si>
  <si>
    <t>mg19746579</t>
  </si>
  <si>
    <t>Rua Carmem Moreira Tomazolli 99</t>
  </si>
  <si>
    <t>Thauany Pereira Santos</t>
  </si>
  <si>
    <t>35 9978-4668</t>
  </si>
  <si>
    <t>pereirathauany350@gmail.com</t>
  </si>
  <si>
    <t>Rua agripina Gouveia número 43 casa 1</t>
  </si>
  <si>
    <t>ADRIANA APARECIDA SILVA DO PRADO</t>
  </si>
  <si>
    <t>35 9848-4333</t>
  </si>
  <si>
    <t xml:space="preserve"> Rua Francisco Marques da costa 1207</t>
  </si>
  <si>
    <t>842.018.786-00</t>
  </si>
  <si>
    <t>M5185550</t>
  </si>
  <si>
    <t>35 9 9961 5071</t>
  </si>
  <si>
    <t>walquiriamegale@gmail.com</t>
  </si>
  <si>
    <t xml:space="preserve">Francisco Fagundes 220 </t>
  </si>
  <si>
    <t>MG117.906.14</t>
  </si>
  <si>
    <t>35 9 9740 4851</t>
  </si>
  <si>
    <t>Arnaldosilva93@icloud.com</t>
  </si>
  <si>
    <t>Rua 02, número 21</t>
  </si>
  <si>
    <t>123.670.886-59</t>
  </si>
  <si>
    <t>Mg-20.162.577</t>
  </si>
  <si>
    <t xml:space="preserve"> 27/11/1996 </t>
  </si>
  <si>
    <t>(35) 9-97291526</t>
  </si>
  <si>
    <t>carol.carolina.ana123@gmail.com</t>
  </si>
  <si>
    <t>Adélia Lopes da Silva, 269</t>
  </si>
  <si>
    <t>15704180 SSPMG</t>
  </si>
  <si>
    <t>35 9 9162 7309</t>
  </si>
  <si>
    <t>givaldopereirasilva@bol.com.br</t>
  </si>
  <si>
    <t xml:space="preserve"> Av Edna Maria da Silva Ribeiro, 921</t>
  </si>
  <si>
    <t xml:space="preserve">Camila do Carmo Rodrigues </t>
  </si>
  <si>
    <t>: 003.762.195.00-30</t>
  </si>
  <si>
    <t xml:space="preserve"> 35 9 9996 6162</t>
  </si>
  <si>
    <t xml:space="preserve"> pcfa792@gmail.com</t>
  </si>
  <si>
    <t>Rua Amélia Gouveia, 390</t>
  </si>
  <si>
    <t xml:space="preserve"> São Judas</t>
  </si>
  <si>
    <t>Fabio Machado Almeida loja</t>
  </si>
  <si>
    <t>35 9175-4458</t>
  </si>
  <si>
    <t>Fabio Machado Almeida</t>
  </si>
  <si>
    <t>024.377.126-66</t>
  </si>
  <si>
    <t xml:space="preserve"> M8508950</t>
  </si>
  <si>
    <t>35 9 9911 2146</t>
  </si>
  <si>
    <t>Rua Biase Paolielo, 33 - Sta Edvirges</t>
  </si>
  <si>
    <t xml:space="preserve"> Rua José Daniel da Costa, 155 - Nova Borda</t>
  </si>
  <si>
    <t>m8417425</t>
  </si>
  <si>
    <t>jorgeluizpsouza@hotmail.com</t>
  </si>
  <si>
    <t>Rua Erasto Pereira deToledo 105</t>
  </si>
  <si>
    <t xml:space="preserve">30 Mb </t>
  </si>
  <si>
    <t xml:space="preserve">Jr Metalização a Vacuo </t>
  </si>
  <si>
    <t>Mg 17083033</t>
  </si>
  <si>
    <t>luizfernandogoulart133@gmil.com</t>
  </si>
  <si>
    <t>Rua padre Bernardes leite ferreira N°1081</t>
  </si>
  <si>
    <t>091.254.216-03</t>
  </si>
  <si>
    <t>MG16347822</t>
  </si>
  <si>
    <t>Jonewillian3@gmail.com</t>
  </si>
  <si>
    <t>Rua Maria Gomes de Lima Martins 60</t>
  </si>
  <si>
    <t>Glaucio Marcelino Pires.</t>
  </si>
  <si>
    <t>066.795.506-29</t>
  </si>
  <si>
    <t>35 9 9811-8325.</t>
  </si>
  <si>
    <t xml:space="preserve"> julianacoutoo27@hotmail.com</t>
  </si>
  <si>
    <t>Rua: Deolindo José Machado, 31</t>
  </si>
  <si>
    <t>Promoção 50 megas  por um ano</t>
  </si>
  <si>
    <t>Av Alvarina Pereira Cintra  55</t>
  </si>
  <si>
    <t>MG 20398134</t>
  </si>
  <si>
    <t>35 9868-8572</t>
  </si>
  <si>
    <t>oserafael9798@gmail.com</t>
  </si>
  <si>
    <t>Rua João Rufino Xavier número 61</t>
  </si>
  <si>
    <t xml:space="preserve">Rafaela da Silva Lopes </t>
  </si>
  <si>
    <t>rafasilvalopes709@gmail.com</t>
  </si>
  <si>
    <t>Rua Vicente Gonçalves Pinto 160</t>
  </si>
  <si>
    <t>nossaSenhora de Fatima</t>
  </si>
  <si>
    <t>072.182.846-98</t>
  </si>
  <si>
    <t>MG 183 875 28</t>
  </si>
  <si>
    <t>35 9 9849 6302</t>
  </si>
  <si>
    <t>keila_a_silva@yahoo.com.br</t>
  </si>
  <si>
    <t xml:space="preserve">Rua Emiliana Cobra, 93 </t>
  </si>
  <si>
    <t>Márcia Cristina da Silva</t>
  </si>
  <si>
    <t>35 9 9749-4079</t>
  </si>
  <si>
    <t>mamcristina874@gmail.com</t>
  </si>
  <si>
    <t>avenida Lauro megale 10</t>
  </si>
  <si>
    <t>Nossa Senhora de fatima</t>
  </si>
  <si>
    <t xml:space="preserve">Loterica Monsenhor Pedro Cintra </t>
  </si>
  <si>
    <t>isenta</t>
  </si>
  <si>
    <t>35 999966909</t>
  </si>
  <si>
    <t>gtti2009@hotmail.com</t>
  </si>
  <si>
    <t>praca monsenhor Pedro Cintra n31 loja 3</t>
  </si>
  <si>
    <t>empresarial</t>
  </si>
  <si>
    <t>094.158.476-38</t>
  </si>
  <si>
    <t>Mg 13561008</t>
  </si>
  <si>
    <t>thi.biologia@yahoo.com.br</t>
  </si>
  <si>
    <t xml:space="preserve">Rua Joaquim Gabriel da Silva, 50. </t>
  </si>
  <si>
    <t xml:space="preserve">100 mb </t>
  </si>
  <si>
    <t>Mg12215890</t>
  </si>
  <si>
    <t>jizelinha@hotmail.com</t>
  </si>
  <si>
    <t>Rua Francisco Marques da Costa 115</t>
  </si>
  <si>
    <t>valmir26b@gmail.com</t>
  </si>
  <si>
    <t>rua Antônio Marques da SilvaZr</t>
  </si>
  <si>
    <t>Julyene Maria de Pádua</t>
  </si>
  <si>
    <t>054.045.866-05</t>
  </si>
  <si>
    <t>MG-12.334.221</t>
  </si>
  <si>
    <t>julyenepadua@gmail.com</t>
  </si>
  <si>
    <t>Rua Francisco Marques da Costa, 549</t>
  </si>
  <si>
    <t>MG-20.541.856</t>
  </si>
  <si>
    <t>carlos.dirt@gmail.com</t>
  </si>
  <si>
    <t xml:space="preserve">Rua Dom João Rezende Costa, 65 </t>
  </si>
  <si>
    <t>35 998787106</t>
  </si>
  <si>
    <t>silviojr257@gmail.com</t>
  </si>
  <si>
    <t>Rua Francisco Marques da Costa 801</t>
  </si>
  <si>
    <t>RAMIRO FRUGOLI FRANCO</t>
  </si>
  <si>
    <t>066.653.686-45</t>
  </si>
  <si>
    <t>(35) 99807-9623</t>
  </si>
  <si>
    <t>RAMIRO@IDEALANTENAS.COM.BR</t>
  </si>
  <si>
    <t>RUA VERGINIA RODRIGUES DE LIMA, 260, CASA.</t>
  </si>
  <si>
    <t>Rua Salvador Orlandi 127</t>
  </si>
  <si>
    <t>Ana Paula de Oliveira Souza</t>
  </si>
  <si>
    <t>Mg20020030</t>
  </si>
  <si>
    <t>Rua Hailton José Pinto Numero 35</t>
  </si>
  <si>
    <t>igreja Evangélica Assembleia de Deus Ministério de Cubatão</t>
  </si>
  <si>
    <t>067.369.166-74</t>
  </si>
  <si>
    <t>MG-8.347.611</t>
  </si>
  <si>
    <t>(35) 99920 7397</t>
  </si>
  <si>
    <t xml:space="preserve"> paulista_ef@hotmail.com</t>
  </si>
  <si>
    <t>R: Alfredo Borges Teixeira, 46.</t>
  </si>
  <si>
    <t>Claudinei De Aguiar Souza</t>
  </si>
  <si>
    <t>35 9928-9016</t>
  </si>
  <si>
    <t>Claudineisouzaaguiar@gmil.com</t>
  </si>
  <si>
    <t>Rua Mário messias de Pádua 260</t>
  </si>
  <si>
    <t>Jaime Bertolaccini costa</t>
  </si>
  <si>
    <t>Rua José Arlindo dos Santos Sobrinho 85</t>
  </si>
  <si>
    <t>naruto.uzumak2017@gmail.com</t>
  </si>
  <si>
    <t>rua Bueno Brandão 84</t>
  </si>
  <si>
    <t>Mg12138768</t>
  </si>
  <si>
    <t>35 9917-8785</t>
  </si>
  <si>
    <t>AvenidaAlvarina Pereira Cintra 268</t>
  </si>
  <si>
    <t>18.231.439/0001-90</t>
  </si>
  <si>
    <t>.0021593810016</t>
  </si>
  <si>
    <t>35 9727-6848</t>
  </si>
  <si>
    <t>Rua Simpliciano dias de Oliveira, n 150</t>
  </si>
  <si>
    <t>mg12387139</t>
  </si>
  <si>
    <t>Rua Arlindo Domingos dos Santos 79</t>
  </si>
  <si>
    <t xml:space="preserve">Nossa Senhora de Fatima </t>
  </si>
  <si>
    <t xml:space="preserve">30 mb </t>
  </si>
  <si>
    <t>MG-20.382.425</t>
  </si>
  <si>
    <t>05/041999</t>
  </si>
  <si>
    <t>(35)9.97050019</t>
  </si>
  <si>
    <t>Rua Vicente Xavier de Rezende 93</t>
  </si>
  <si>
    <t>iphonelucas vallim@gmailcom</t>
  </si>
  <si>
    <t>Av João Olívio megale, 1035, loja 2</t>
  </si>
  <si>
    <t>mariaangelagouveia@gmail.com</t>
  </si>
  <si>
    <t>Avenida Wilson Megale 913 b</t>
  </si>
  <si>
    <t>humberto.oriolo@gmail.com</t>
  </si>
  <si>
    <t>Rua Padre josé Oriolo, 42</t>
  </si>
  <si>
    <t xml:space="preserve">Preço de 50 megas </t>
  </si>
  <si>
    <t>(não instalado)</t>
  </si>
  <si>
    <t>Rua Agricola monteiro de Carvalho n100</t>
  </si>
  <si>
    <t>Casa em construção, cliente avisará quando estiver pronta a obra.</t>
  </si>
  <si>
    <t xml:space="preserve">Pedro Henrique Goulart Silva </t>
  </si>
  <si>
    <t>fevereiro</t>
  </si>
  <si>
    <t>Mg 20295409</t>
  </si>
  <si>
    <t>35 99727-6848</t>
  </si>
  <si>
    <t>pepe-goulart@hotmail.com</t>
  </si>
  <si>
    <t xml:space="preserve">Rua Professora Maria Nogueira,26 barracão verde </t>
  </si>
  <si>
    <t>Santa cruz</t>
  </si>
  <si>
    <t>preço de 50 megas fixo 79,90</t>
  </si>
  <si>
    <t xml:space="preserve">Alcides Albano Martins </t>
  </si>
  <si>
    <t>574.672.776-87</t>
  </si>
  <si>
    <t>RG m5 144.576</t>
  </si>
  <si>
    <t>(35) 997467099</t>
  </si>
  <si>
    <t>decormartins3@gmail.com</t>
  </si>
  <si>
    <t xml:space="preserve">Rua Darcy Ribeiro Dos Santos, 47 </t>
  </si>
  <si>
    <t xml:space="preserve">50 mb </t>
  </si>
  <si>
    <t xml:space="preserve">preço de 50 megas </t>
  </si>
  <si>
    <t xml:space="preserve">Harleston Fernando Junqueira Cobra </t>
  </si>
  <si>
    <t>m4109006</t>
  </si>
  <si>
    <t>35 99938-0143</t>
  </si>
  <si>
    <t>Totticelular@hotmail.com</t>
  </si>
  <si>
    <t>Rua salvador orlandi 33</t>
  </si>
  <si>
    <t xml:space="preserve"> pça nossa senhora do carmo 50 (obra)</t>
  </si>
  <si>
    <t xml:space="preserve"> rua eduardo amaral 394 centro apto 02( 100</t>
  </si>
  <si>
    <t xml:space="preserve">100 MB </t>
  </si>
  <si>
    <t xml:space="preserve"> Isabela Leticia Napoleao Inácio</t>
  </si>
  <si>
    <t>MG-20.041.411</t>
  </si>
  <si>
    <t>(35) 997131508</t>
  </si>
  <si>
    <t>Rua Doutor Pelegrino Franchi, N°40</t>
  </si>
  <si>
    <t>MG16580216</t>
  </si>
  <si>
    <t>35 9 9838 6974</t>
  </si>
  <si>
    <t>cicerog.silva@outlook.com</t>
  </si>
  <si>
    <t>Av João Olívio Megale, 1035 - loja 1</t>
  </si>
  <si>
    <t>108.074396-06</t>
  </si>
  <si>
    <t>Mg16719363</t>
  </si>
  <si>
    <t>35 9729-3855</t>
  </si>
  <si>
    <t>Rua Zoroastro Gouveia 38</t>
  </si>
  <si>
    <t xml:space="preserve">Ramirez Medeiros </t>
  </si>
  <si>
    <t>ramirezadvogado@hotmail.com</t>
  </si>
  <si>
    <t>Avenida Alvarina Pereira Cintra  41</t>
  </si>
  <si>
    <t>Promoção volta as aulas 100 megaspor 3 meses</t>
  </si>
  <si>
    <t>MG16377774</t>
  </si>
  <si>
    <t>victoriagabriela662@gmail.com</t>
  </si>
  <si>
    <t>Rua Antonio Ribeiro de Almeida, 271</t>
  </si>
  <si>
    <t xml:space="preserve">Joao Donizetti Batista de Souza </t>
  </si>
  <si>
    <t>Rua Bernadete Megale 65 (fundos)</t>
  </si>
  <si>
    <t>MG16685911</t>
  </si>
  <si>
    <t>Rua Bueno Brandão 59</t>
  </si>
  <si>
    <t>Santa Tereznha</t>
  </si>
  <si>
    <t>mg12073801</t>
  </si>
  <si>
    <t>35 9948-5437</t>
  </si>
  <si>
    <t>rua Getúlio Vargas n 33</t>
  </si>
  <si>
    <t>266004268-37</t>
  </si>
  <si>
    <t>Id 28828627-3</t>
  </si>
  <si>
    <t>18 09 1977</t>
  </si>
  <si>
    <t>, rodrigobike2010@gmail.com</t>
  </si>
  <si>
    <t>Rua Sebastião de Freitas 201</t>
  </si>
  <si>
    <t>Bairro amoreiras</t>
  </si>
  <si>
    <t>Roselainy Aparecida Ribeiro Francisco de Padua</t>
  </si>
  <si>
    <t>M7378347</t>
  </si>
  <si>
    <t>roselainypadua@yahoo.com.br</t>
  </si>
  <si>
    <t>Rua Silvio Monteiro de Carvalho 32</t>
  </si>
  <si>
    <t>100 nb</t>
  </si>
  <si>
    <t>Rua Eduardo Amaral 888</t>
  </si>
  <si>
    <t>200,00  mesmo boleto dois pontos rose</t>
  </si>
  <si>
    <t>chilearinstalacao@outlook.com</t>
  </si>
  <si>
    <t>Rua Benedito Marcondes de Souza n89</t>
  </si>
  <si>
    <t>Bairro Santa Edwirges</t>
  </si>
  <si>
    <t>50 Megas a 79,90 o ano todo</t>
  </si>
  <si>
    <t>danielacristina22@gmail.com</t>
  </si>
  <si>
    <t>Rua Santa Terezinha 93</t>
  </si>
  <si>
    <t>MG 14.342.155</t>
  </si>
  <si>
    <t>Aline Aparecida dos Santos - ME</t>
  </si>
  <si>
    <t xml:space="preserve">J &amp; F Petshop e Veterinária Ltda. </t>
  </si>
  <si>
    <t>Caio Gabrilli Ribeiro de Oliveira</t>
  </si>
  <si>
    <t>março</t>
  </si>
  <si>
    <t>35) 991144499</t>
  </si>
  <si>
    <t>Jose  Aparecido da Silva</t>
  </si>
  <si>
    <t>(35) 99714-6574</t>
  </si>
  <si>
    <t xml:space="preserve"> Camila do Carmo Rodrigues 11317679695</t>
  </si>
  <si>
    <t>35 9 9996 6162</t>
  </si>
  <si>
    <t xml:space="preserve">Fernanda Santos de Souza </t>
  </si>
  <si>
    <t>79,90 o ano todo</t>
  </si>
  <si>
    <t>Lucas Benedito da silva</t>
  </si>
  <si>
    <t>Diego Junior barreiro Moreira</t>
  </si>
  <si>
    <t>35 99924-4543</t>
  </si>
  <si>
    <t>100 Mb</t>
  </si>
  <si>
    <t>ETERCIDIO DA COSTA RODRIGUES FILHO</t>
  </si>
  <si>
    <t>Joao Paulo deMoraes</t>
  </si>
  <si>
    <t>35 9843-2631</t>
  </si>
  <si>
    <t>Rua conceição Borges dos Santos 75</t>
  </si>
  <si>
    <t xml:space="preserve"> Antonio Claret de moura</t>
  </si>
  <si>
    <t xml:space="preserve"> 35 9897-8683</t>
  </si>
  <si>
    <t xml:space="preserve"> João Roberto da Costa</t>
  </si>
  <si>
    <t>35 9 9983 2332</t>
  </si>
  <si>
    <t xml:space="preserve"> 35 9 9195 0087</t>
  </si>
  <si>
    <t>35 998530606</t>
  </si>
  <si>
    <t>Paulo Sergio Oliveira *************</t>
  </si>
  <si>
    <r>
      <t>: </t>
    </r>
    <r>
      <rPr>
        <sz val="7"/>
        <color rgb="FFAACCEE"/>
        <rFont val="Arial"/>
        <family val="2"/>
      </rPr>
      <t>(35) 99155-4943</t>
    </r>
  </si>
  <si>
    <t xml:space="preserve">Nathanael Nalbert de Souza Siqueira </t>
  </si>
  <si>
    <t>35 991493784</t>
  </si>
  <si>
    <t xml:space="preserve">Eterciana </t>
  </si>
  <si>
    <t>35 9978-5085</t>
  </si>
  <si>
    <t>(19) 97108-2851</t>
  </si>
  <si>
    <t>35) 99913-4208</t>
  </si>
  <si>
    <r>
      <t> </t>
    </r>
    <r>
      <rPr>
        <sz val="7"/>
        <color rgb="FFAACCEE"/>
        <rFont val="Arial"/>
        <family val="2"/>
      </rPr>
      <t>(35) 99813-4223</t>
    </r>
  </si>
  <si>
    <t>Tamires dos Reis Silva</t>
  </si>
  <si>
    <t>35) 99830-2340</t>
  </si>
  <si>
    <t>via 01</t>
  </si>
  <si>
    <t>Leila A Feliciano Moreira Repeti</t>
  </si>
  <si>
    <t>Marisa Souza Leite</t>
  </si>
  <si>
    <t>(35) 99896-3490</t>
  </si>
  <si>
    <t xml:space="preserve">Pâmela da Silva Gomes </t>
  </si>
  <si>
    <t>35) 99995-3006</t>
  </si>
  <si>
    <t>Maria Izabel de Lima cobra amaral</t>
  </si>
  <si>
    <t>(19) 97162-8819</t>
  </si>
  <si>
    <t>João Paulo bernades de Oliveira</t>
  </si>
  <si>
    <t>35) 9831-9804</t>
  </si>
  <si>
    <t>Selma Cesario dos Santos Almeida</t>
  </si>
  <si>
    <t>Rosana Albano Martins (Teofilo)</t>
  </si>
  <si>
    <r>
      <t>: </t>
    </r>
    <r>
      <rPr>
        <sz val="9"/>
        <color rgb="FFAACCEE"/>
        <rFont val="Arial"/>
        <family val="2"/>
      </rPr>
      <t>(35) 99161-6123</t>
    </r>
  </si>
  <si>
    <t>(35) 99968-4575</t>
  </si>
  <si>
    <t xml:space="preserve">Sirley Brandao de Souza </t>
  </si>
  <si>
    <r>
      <t> </t>
    </r>
    <r>
      <rPr>
        <sz val="9"/>
        <color rgb="FFAACCEE"/>
        <rFont val="Arial"/>
        <family val="2"/>
      </rPr>
      <t>(35) 99858-0317</t>
    </r>
  </si>
  <si>
    <t>35 9804-4935</t>
  </si>
  <si>
    <t xml:space="preserve"> Renan Barbosa Machado</t>
  </si>
  <si>
    <t>(19) 99474-6176</t>
  </si>
  <si>
    <r>
      <t> </t>
    </r>
    <r>
      <rPr>
        <sz val="9"/>
        <color rgb="FFAACCEE"/>
        <rFont val="Arial"/>
        <family val="2"/>
      </rPr>
      <t>(35) 99817-1257</t>
    </r>
  </si>
  <si>
    <t>Tiago de Oliveira Salgado</t>
  </si>
  <si>
    <t>(35) 99978-4383</t>
  </si>
  <si>
    <t>(35) 99984-7610</t>
  </si>
  <si>
    <t>Márcia de Cassia cordeiro silva</t>
  </si>
  <si>
    <t>35) 99834-9574</t>
  </si>
  <si>
    <t xml:space="preserve">Sirlene Aparecida Brandão </t>
  </si>
  <si>
    <r>
      <t> </t>
    </r>
    <r>
      <rPr>
        <sz val="9"/>
        <color rgb="FFAACCEE"/>
        <rFont val="Arial"/>
        <family val="2"/>
      </rPr>
      <t>(35) 99813-5012</t>
    </r>
  </si>
  <si>
    <t xml:space="preserve"> Thaís Rezende Pereira </t>
  </si>
  <si>
    <t>35) 99971-1074</t>
  </si>
  <si>
    <t xml:space="preserve"> Bruno Henrique de Freitas</t>
  </si>
  <si>
    <t>(35)99828 - 8229</t>
  </si>
  <si>
    <t>LINDAURA DE OLIVEIRA FRANCO</t>
  </si>
  <si>
    <t>(35)99918 - 7857</t>
  </si>
  <si>
    <t xml:space="preserve">Rodolfo Aparecido do Couto </t>
  </si>
  <si>
    <t>joão Olivo Megale Portugal Goncalves</t>
  </si>
  <si>
    <t>(35) 99838-7391</t>
  </si>
  <si>
    <t>(35) 99985-9766</t>
  </si>
  <si>
    <t xml:space="preserve">Patricia Moreira Bastos Maximo </t>
  </si>
  <si>
    <r>
      <t> </t>
    </r>
    <r>
      <rPr>
        <sz val="9"/>
        <color rgb="FFAACCEE"/>
        <rFont val="Arial"/>
        <family val="2"/>
      </rPr>
      <t>(35) 99977-5042</t>
    </r>
  </si>
  <si>
    <t xml:space="preserve">Rafael Marques Da Costa Junior </t>
  </si>
  <si>
    <t xml:space="preserve"> Thaiany Heloisa Moreira Maximo</t>
  </si>
  <si>
    <t>(35) 99805-6720</t>
  </si>
  <si>
    <t>Isabel Cristina Marçal</t>
  </si>
  <si>
    <t>(35) 99707-3982</t>
  </si>
  <si>
    <t>jose Carlos da Silva</t>
  </si>
  <si>
    <t>35) 9809-8132</t>
  </si>
  <si>
    <t>abril</t>
  </si>
  <si>
    <t>35 9972-4508</t>
  </si>
  <si>
    <t xml:space="preserve">Ana Carolina poinha </t>
  </si>
  <si>
    <t>(35) 99877-4585</t>
  </si>
  <si>
    <r>
      <t> </t>
    </r>
    <r>
      <rPr>
        <sz val="9"/>
        <color rgb="FFAACCEE"/>
        <rFont val="Arial"/>
        <family val="2"/>
      </rPr>
      <t>(35) 99957-7973</t>
    </r>
  </si>
  <si>
    <t xml:space="preserve"> Ivana Helena Delfino Henrique</t>
  </si>
  <si>
    <t>35 9802-0833</t>
  </si>
  <si>
    <t>(35) 99958-2157</t>
  </si>
  <si>
    <t xml:space="preserve"> Joel Rodrigues da Silva </t>
  </si>
  <si>
    <t>(35) 99128-0316</t>
  </si>
  <si>
    <t>Farmacia Estrela da Mata</t>
  </si>
  <si>
    <t xml:space="preserve">Ana Carolina Silva Teodoro </t>
  </si>
  <si>
    <t>(35) 99731-8974</t>
  </si>
  <si>
    <t xml:space="preserve"> Juliane Roberta de Freitas Motta </t>
  </si>
  <si>
    <t>19 98841-3936</t>
  </si>
  <si>
    <r>
      <t> </t>
    </r>
    <r>
      <rPr>
        <sz val="9"/>
        <color rgb="FFAACCEE"/>
        <rFont val="Arial"/>
        <family val="2"/>
      </rPr>
      <t>(35) 99241-6578</t>
    </r>
  </si>
  <si>
    <t>Michael marcelino de oliveira</t>
  </si>
  <si>
    <t>Maria Tereza Claret de melo</t>
  </si>
  <si>
    <t xml:space="preserve">Manoel Antenor de Araujo </t>
  </si>
  <si>
    <r>
      <t> </t>
    </r>
    <r>
      <rPr>
        <sz val="9"/>
        <color rgb="FFAACCEE"/>
        <rFont val="Arial"/>
        <family val="2"/>
      </rPr>
      <t>(35) 99734-9529</t>
    </r>
  </si>
  <si>
    <t xml:space="preserve"> Tiago Henrique F Lopes</t>
  </si>
  <si>
    <t xml:space="preserve">Divino Aurelio de Faria </t>
  </si>
  <si>
    <t xml:space="preserve">Felipe Antonio Monti Bottoni de Souza </t>
  </si>
  <si>
    <t xml:space="preserve"> 71 9281-9654</t>
  </si>
  <si>
    <t>Éder José cogue</t>
  </si>
  <si>
    <t>35 9940-8868</t>
  </si>
  <si>
    <t>12 99630-1593</t>
  </si>
  <si>
    <t>35 9926-1887</t>
  </si>
  <si>
    <t xml:space="preserve"> 35 9195-6448</t>
  </si>
  <si>
    <t>Bruno tironi Borges de Carvalho</t>
  </si>
  <si>
    <t xml:space="preserve">José Roberto de Oliveira </t>
  </si>
  <si>
    <t>35 9 9901 6218</t>
  </si>
  <si>
    <t>35 9953-1877</t>
  </si>
  <si>
    <t>35 9 9738 5546</t>
  </si>
  <si>
    <t>Maria de Fátima Silva,</t>
  </si>
  <si>
    <t>35 99706-0583</t>
  </si>
  <si>
    <t xml:space="preserve">Alexandre pereira tonetto </t>
  </si>
  <si>
    <t xml:space="preserve"> 35 99897-6518</t>
  </si>
  <si>
    <t>(35) 9886-6741</t>
  </si>
  <si>
    <t xml:space="preserve"> Davi Cervantes da Silva do Monte</t>
  </si>
  <si>
    <t>(35) 99930-5271</t>
  </si>
  <si>
    <t xml:space="preserve"> Luiz Humberto Silveira Filho</t>
  </si>
  <si>
    <t xml:space="preserve">Gracieli aparecida couto Araújo </t>
  </si>
  <si>
    <t>Alisson lincon marques Andrade</t>
  </si>
  <si>
    <t xml:space="preserve">Fabiany de Souza Pereira </t>
  </si>
  <si>
    <r>
      <t> </t>
    </r>
    <r>
      <rPr>
        <sz val="7"/>
        <color rgb="FFAACCEE"/>
        <rFont val="Arial"/>
        <family val="2"/>
      </rPr>
      <t>(35) 99173-4092</t>
    </r>
  </si>
  <si>
    <t>Ailton Fabiano Cabral</t>
  </si>
  <si>
    <t>(35) 9736-5107</t>
  </si>
  <si>
    <t>Mauro Henrique bauch</t>
  </si>
  <si>
    <t>Anderson Amorin  Machado</t>
  </si>
  <si>
    <r>
      <t> </t>
    </r>
    <r>
      <rPr>
        <sz val="7"/>
        <color rgb="FFAACCEE"/>
        <rFont val="Arial"/>
        <family val="2"/>
      </rPr>
      <t>(35) 9973-1586</t>
    </r>
  </si>
  <si>
    <t>DANIEL JUNQUEIRA HERCULANO</t>
  </si>
  <si>
    <t>Thamires Jesus de Araújo</t>
  </si>
  <si>
    <t>maio</t>
  </si>
  <si>
    <t xml:space="preserve">Flavia Nara de Souza </t>
  </si>
  <si>
    <t>Alexandre Coutinho GLoria</t>
  </si>
  <si>
    <t>Marcos Antonio Daqua Junior</t>
  </si>
  <si>
    <t>Miltez Francisca dos Santos</t>
  </si>
  <si>
    <t>Lucas Fernandes Rodrigues braga</t>
  </si>
  <si>
    <t xml:space="preserve">Poliana Andressa Rodrigues Melo </t>
  </si>
  <si>
    <t xml:space="preserve">Janete Quintale </t>
  </si>
  <si>
    <t>Juliano Souza Albano</t>
  </si>
  <si>
    <t>OK</t>
  </si>
  <si>
    <t>sabado</t>
  </si>
  <si>
    <t xml:space="preserve"> Andreia Aparecida Forchito</t>
  </si>
  <si>
    <t>segunda</t>
  </si>
  <si>
    <t>sexta</t>
  </si>
  <si>
    <t xml:space="preserve">Igor Alexandre </t>
  </si>
  <si>
    <t>Rudney da Silva</t>
  </si>
  <si>
    <t>terça</t>
  </si>
  <si>
    <t>junho</t>
  </si>
  <si>
    <t>quarta</t>
  </si>
  <si>
    <t>Alexandre Coutinho GLoria (Adega)</t>
  </si>
  <si>
    <t>Saulo Mario Matos</t>
  </si>
  <si>
    <t>quinta</t>
  </si>
  <si>
    <t xml:space="preserve">Taynara Machado Apolinário </t>
  </si>
  <si>
    <t>Edilson Bandeira da Silva</t>
  </si>
  <si>
    <t xml:space="preserve">quinta </t>
  </si>
  <si>
    <t xml:space="preserve">quarta </t>
  </si>
  <si>
    <t xml:space="preserve">Liliane de Cássia Santos </t>
  </si>
  <si>
    <t>Selma da Costa Gonçalves</t>
  </si>
  <si>
    <t>Paulo Sérgio lima</t>
  </si>
  <si>
    <t>Bruna de Cassia Dalo</t>
  </si>
  <si>
    <t>JULIANO PAULINO VALENTE</t>
  </si>
  <si>
    <t xml:space="preserve">Maria Celia de Paiva </t>
  </si>
  <si>
    <t xml:space="preserve"> A Mineira Decorações Ltda</t>
  </si>
  <si>
    <t>julho</t>
  </si>
  <si>
    <t xml:space="preserve">Amanda Anatarie dos Reis </t>
  </si>
  <si>
    <t xml:space="preserve">Bruna Ruana da Silva </t>
  </si>
  <si>
    <t xml:space="preserve"> Marco Meirelles</t>
  </si>
  <si>
    <t xml:space="preserve"> Adriana Carmem Brandani</t>
  </si>
  <si>
    <t>segun</t>
  </si>
  <si>
    <t xml:space="preserve"> Jose luis Nunes </t>
  </si>
  <si>
    <t>terca</t>
  </si>
  <si>
    <t>Kamila Franciele de mira</t>
  </si>
  <si>
    <t>Hewandro Phillip Meneses dos santos</t>
  </si>
  <si>
    <t>Wiliiam Lucateli</t>
  </si>
  <si>
    <t>Diego Lucateli</t>
  </si>
  <si>
    <t>Tiago Lucateli</t>
  </si>
  <si>
    <t>Rita de cassia Pereira</t>
  </si>
  <si>
    <t>Maria Oliveira Coutinho</t>
  </si>
  <si>
    <t xml:space="preserve"> Regina Maria Joia de Melo</t>
  </si>
  <si>
    <t xml:space="preserve">Jessica Aparecida Cezar </t>
  </si>
  <si>
    <t>Biana Marçal</t>
  </si>
  <si>
    <t xml:space="preserve">Maria de Lourdes Moreira </t>
  </si>
  <si>
    <t xml:space="preserve">José  SOLDANI </t>
  </si>
  <si>
    <t xml:space="preserve">Claudia Fernanda Pedroso </t>
  </si>
  <si>
    <t xml:space="preserve">Agosto </t>
  </si>
  <si>
    <t xml:space="preserve">Castorino Acacio de Padua </t>
  </si>
  <si>
    <t xml:space="preserve">agosto </t>
  </si>
  <si>
    <t>JESSICA DE MEIRELES OLIVEIRA ROSA (Filha)</t>
  </si>
  <si>
    <t xml:space="preserve">Juliano Piedade silva </t>
  </si>
  <si>
    <t xml:space="preserve"> Danilo Augusto Joia silva </t>
  </si>
  <si>
    <t xml:space="preserve">William Renan Cardoso de Morais </t>
  </si>
  <si>
    <t>Rezende &amp; Vilas Boas Ltda</t>
  </si>
  <si>
    <t xml:space="preserve">João Salvador da Silva </t>
  </si>
  <si>
    <t>Renato Benedito de Melo</t>
  </si>
  <si>
    <t>Diego O. Carvalho</t>
  </si>
  <si>
    <t>Ruth da Silva Silva</t>
  </si>
  <si>
    <t xml:space="preserve">Ana claudia Cordeiro </t>
  </si>
  <si>
    <t>Leonardo debran da Silva</t>
  </si>
  <si>
    <t>Gabriel martins</t>
  </si>
  <si>
    <t xml:space="preserve">José Ribeiro </t>
  </si>
  <si>
    <t xml:space="preserve">Erica silva </t>
  </si>
  <si>
    <t xml:space="preserve">José Manoel Rennó Moreira </t>
  </si>
  <si>
    <t xml:space="preserve">Alexandre Marques Ferreira </t>
  </si>
  <si>
    <t xml:space="preserve"> Luciel do Carmo Alves</t>
  </si>
  <si>
    <t xml:space="preserve"> Cátia Cristina Carvalho</t>
  </si>
  <si>
    <t xml:space="preserve">Harleny Junqueira cobra </t>
  </si>
  <si>
    <t>RAFAEL VICTOR MORENO</t>
  </si>
  <si>
    <t>Catia claret Pereira (Sidnei)</t>
  </si>
  <si>
    <t>setembro</t>
  </si>
  <si>
    <t>Camila de Lourdes Brandão do Carmo</t>
  </si>
  <si>
    <t>Francis Kelly Rezende</t>
  </si>
  <si>
    <t xml:space="preserve">Jennyfer Siqueira </t>
  </si>
  <si>
    <t>Matheus Scarone dos Santos</t>
  </si>
  <si>
    <t>Matheus Wilian dos Santos</t>
  </si>
  <si>
    <t xml:space="preserve">Gloria Maria de oliveira </t>
  </si>
  <si>
    <t xml:space="preserve">Higor Luiz dos Santos </t>
  </si>
  <si>
    <t>a marcar</t>
  </si>
  <si>
    <t>Sirlene aparecida Brandão</t>
  </si>
  <si>
    <t>Fernando Henrique Lima (Claudia)</t>
  </si>
  <si>
    <t>Sandei Antonio Justino oficina</t>
  </si>
  <si>
    <t xml:space="preserve">Sandei Antonio Justino casa </t>
  </si>
  <si>
    <t>Iraíde da Silva</t>
  </si>
  <si>
    <t>Gabriel Henrique Barroso</t>
  </si>
  <si>
    <t xml:space="preserve">Isabela Cristina Cardoso Zanzoti de Souza </t>
  </si>
  <si>
    <t xml:space="preserve">Marlene Lopes Barbosa </t>
  </si>
  <si>
    <t>Claudio Arruda Rodrigues Leite</t>
  </si>
  <si>
    <t xml:space="preserve">Ducimeire Tavares de Andrade </t>
  </si>
  <si>
    <t xml:space="preserve">Tiago Carlos Martins </t>
  </si>
  <si>
    <t>Herister de Moraes</t>
  </si>
  <si>
    <t>Tainara Calefi Pereira empresa</t>
  </si>
  <si>
    <t>Tainara Calefi Pereira casa</t>
  </si>
  <si>
    <t>Marinet do Carmo Poinha</t>
  </si>
  <si>
    <t xml:space="preserve">Tatiane Aparecida Souza Brandani </t>
  </si>
  <si>
    <t>Maura casa</t>
  </si>
  <si>
    <t>Maura Barezi</t>
  </si>
  <si>
    <t>Maura Lotérica</t>
  </si>
  <si>
    <t xml:space="preserve">Elisângela Vitorino da Silva </t>
  </si>
  <si>
    <t>Venancio da Costa Brandão Neto</t>
  </si>
  <si>
    <t>Éder Luiz Gouvêa</t>
  </si>
  <si>
    <t>Joao Vitor Sousa Rocha loja</t>
  </si>
  <si>
    <t>Joao Vitor Sousa Rocha casa</t>
  </si>
  <si>
    <t xml:space="preserve">Thainara Heloisa Sales Moreira </t>
  </si>
  <si>
    <t xml:space="preserve">sabado </t>
  </si>
  <si>
    <t>pk</t>
  </si>
  <si>
    <t>Rafael henrique Ferreira</t>
  </si>
  <si>
    <t>Jailson Batista Xavier dos Santo</t>
  </si>
  <si>
    <t>N. S. SERVICOS EIRELI</t>
  </si>
  <si>
    <t>Caixa Escolar João Rezende da Costa (Santa Rita)</t>
  </si>
  <si>
    <t>Caixa Escolar “ Professora Aurora Beraldo” (Nossa Senhora de Fatima)</t>
  </si>
  <si>
    <t>Avisará assim que estiver pronto a parte eletrica</t>
  </si>
  <si>
    <t>Caixa Escolar D. Alvarina Pereira Cintra (Santa Cruz)</t>
  </si>
  <si>
    <t>Caixa escolar Centro</t>
  </si>
  <si>
    <t xml:space="preserve">Creche Madre Tereza de Saldanha </t>
  </si>
  <si>
    <t>Marcos Antonio dos Santos</t>
  </si>
  <si>
    <t xml:space="preserve">Angélica Silva Moreira </t>
  </si>
  <si>
    <t>outubro</t>
  </si>
  <si>
    <t>Regina Celia</t>
  </si>
  <si>
    <t>Gustavo Nogueira vilas boas</t>
  </si>
  <si>
    <t xml:space="preserve">Edimara Figueiredo Xavier Barbosa </t>
  </si>
  <si>
    <t xml:space="preserve">felippe lemes paulino </t>
  </si>
  <si>
    <t>Maria da Conceição Teixeira Campos</t>
  </si>
  <si>
    <t>Jeissimara Karem Brandani</t>
  </si>
  <si>
    <t xml:space="preserve">Josiane de Fatima Pereira </t>
  </si>
  <si>
    <t>Maria Aparecida Alves</t>
  </si>
  <si>
    <t>Lorranny de Souza Alves</t>
  </si>
  <si>
    <t>Amanda Candida Silva Martins</t>
  </si>
  <si>
    <t>Gamma Textil Ind. e Com. Ltda</t>
  </si>
  <si>
    <t>Cooperativa Sollarcasa de Borda da Mata Ltda</t>
  </si>
  <si>
    <t xml:space="preserve">Nathália pedroso do carmo </t>
  </si>
  <si>
    <t>Suzana Aparecida souza</t>
  </si>
  <si>
    <t>Deonicia Aparecida da Silva</t>
  </si>
  <si>
    <t xml:space="preserve">Silvio Amaral Gomes Junior </t>
  </si>
  <si>
    <t xml:space="preserve">Ana Maria de Souza Lima </t>
  </si>
  <si>
    <t>kaka distribuidora de bebidas</t>
  </si>
  <si>
    <t>Halisson Bruno Marques Moreira</t>
  </si>
  <si>
    <t>pontilhao</t>
  </si>
  <si>
    <t>Supermercado Nsa Sra Aparecida EIRELI</t>
  </si>
  <si>
    <t>KALIL ALTIELE MORAES LTDA</t>
  </si>
  <si>
    <t xml:space="preserve">João Felício da Silva Neto </t>
  </si>
  <si>
    <t xml:space="preserve">Caio Gabrilli Ribeiro de Oliveira </t>
  </si>
  <si>
    <t>Ana Paula Moreira da Fraga casa</t>
  </si>
  <si>
    <t>Ana Paula Moreira da Fraga empresa</t>
  </si>
  <si>
    <t>Jennifer Cristina quintale Felippe</t>
  </si>
  <si>
    <t>Amanda Daniel Silva Souza</t>
  </si>
  <si>
    <t>Letícia Neres de Souza</t>
  </si>
  <si>
    <t xml:space="preserve">Fagner Andrade de Rezende </t>
  </si>
  <si>
    <t xml:space="preserve">Adriano Freitas </t>
  </si>
  <si>
    <t>Julio Cesar Borges Flauzino</t>
  </si>
  <si>
    <t>Kelly zanardi moreira</t>
  </si>
  <si>
    <t>novembro</t>
  </si>
  <si>
    <t>Afonso Caetano de Faria Escritorio</t>
  </si>
  <si>
    <t>Ellen Silveira Paradello</t>
  </si>
  <si>
    <t xml:space="preserve">Marcos Eduardo Ribeiro </t>
  </si>
  <si>
    <t>Rosemary De Lima Almeida</t>
  </si>
  <si>
    <t>Francisco Pedro da Silva</t>
  </si>
  <si>
    <t>Orivaldo Porfirio da Silva Junior comercio</t>
  </si>
  <si>
    <t xml:space="preserve">Robson José Coutinho </t>
  </si>
  <si>
    <t>Claudilene Cristina de Almeida (Bogari)</t>
  </si>
  <si>
    <t>Carlos Henrique de Almeida (Bogari)</t>
  </si>
  <si>
    <t>Joaquim Bonifacio Pinto (Bogari)</t>
  </si>
  <si>
    <t>Marcia Aparecida do Couto (Bogari)</t>
  </si>
  <si>
    <t>Instalar em Dezembro dia 22</t>
  </si>
  <si>
    <t>Amanda Cristina da Costa (Bogari)</t>
  </si>
  <si>
    <t>Marcelo Aparecido Ferreira (Bogari)</t>
  </si>
  <si>
    <t>Willian Matias Ribeiro Alves (Bogari)</t>
  </si>
  <si>
    <t>João Agripino da Silva (Bogari)</t>
  </si>
  <si>
    <t>Carlos Francisco de Carvalho (Bogari)</t>
  </si>
  <si>
    <t>Flavio de Castro Silva (Bogari)</t>
  </si>
  <si>
    <t>Guinalva Jose Ramos (Bogari)</t>
  </si>
  <si>
    <t>José Laercio Mianti (Bogari)</t>
  </si>
  <si>
    <t>Balduino Alexandre Ferreira (Bogari)</t>
  </si>
  <si>
    <t>Júlio Cézar Da Silva (Bogari)</t>
  </si>
  <si>
    <t>Pedro Carvalho de Arruda (Bogari)</t>
  </si>
  <si>
    <t>LUCIENE DO COUTO LEMMES ZUCARELLI (Bogari)</t>
  </si>
  <si>
    <t>Promo Black</t>
  </si>
  <si>
    <t>Luiz Augusto da Silva sabino</t>
  </si>
  <si>
    <t xml:space="preserve">Camila de Fátima Silveira </t>
  </si>
  <si>
    <t xml:space="preserve">Crislaine Aparecida Silva casa mãe </t>
  </si>
  <si>
    <t xml:space="preserve">Crislaine Aparecida Silva casa </t>
  </si>
  <si>
    <t>Camila Cassia leopoldino Ferreira</t>
  </si>
  <si>
    <t>Márcio Francisney Lopes casa</t>
  </si>
  <si>
    <t xml:space="preserve">Cleiber Augusto do Prado </t>
  </si>
  <si>
    <t>Andréa Aline Golo</t>
  </si>
  <si>
    <t>Andréa Aline Golo  Agencia de Viagens</t>
  </si>
  <si>
    <t>promo Black</t>
  </si>
  <si>
    <t xml:space="preserve">Rita de Cassia Silva </t>
  </si>
  <si>
    <t xml:space="preserve">Rodrigo Felix Candido </t>
  </si>
  <si>
    <t xml:space="preserve">Sara magagnini Brandão </t>
  </si>
  <si>
    <t>Maria Angela Possa Sales</t>
  </si>
  <si>
    <t>FABIELI DELFINO SOBREIRO</t>
  </si>
  <si>
    <t>Clayson Dias Correia</t>
  </si>
  <si>
    <t>William Cosme do Couto</t>
  </si>
  <si>
    <t>Augusto de Oliveira  Adriano</t>
  </si>
  <si>
    <t xml:space="preserve">Paulo daniel Teodoro Oliveira </t>
  </si>
  <si>
    <t xml:space="preserve">Luanda Priscila de Lima </t>
  </si>
  <si>
    <t>Nádia Rebeca Moreira Pires</t>
  </si>
  <si>
    <t>Daniel Ribeiro Braz Ponto02</t>
  </si>
  <si>
    <t>Rosenil Sebastião Rodrigues (BOGARI)</t>
  </si>
  <si>
    <t>instalar em janeiro 2022</t>
  </si>
  <si>
    <t>Neyde Rodrigues da Silva Oliveira (BOGARI)</t>
  </si>
  <si>
    <t xml:space="preserve">Wender Henrique dos Santos Gusmão </t>
  </si>
  <si>
    <t>dezembro</t>
  </si>
  <si>
    <t>TERça</t>
  </si>
  <si>
    <t>brucio</t>
  </si>
  <si>
    <t xml:space="preserve">Alex Eduardo da Silva </t>
  </si>
  <si>
    <t>Suely dos Santos Couto</t>
  </si>
  <si>
    <t>QUInta</t>
  </si>
  <si>
    <t>terca 11/01</t>
  </si>
  <si>
    <t>Antonio Carlos Soares Pintos</t>
  </si>
  <si>
    <t>bogari</t>
  </si>
  <si>
    <t xml:space="preserve">JANEIRO </t>
  </si>
  <si>
    <t xml:space="preserve">Brenda mikaeley Brito </t>
  </si>
  <si>
    <t>janeiro</t>
  </si>
  <si>
    <t xml:space="preserve">terca </t>
  </si>
  <si>
    <t>cortesia</t>
  </si>
  <si>
    <t>Allan Thomas Oliveira Franco</t>
  </si>
  <si>
    <t>Diogo Galvao de Souza</t>
  </si>
  <si>
    <t>Sergio Ribeiro Nunes</t>
  </si>
  <si>
    <t>vai se mudar e avisa</t>
  </si>
  <si>
    <t xml:space="preserve">Dorival Pereira dos Santos </t>
  </si>
  <si>
    <t>cafua</t>
  </si>
  <si>
    <t>Jansen Jean dos Santos Costa escritorio</t>
  </si>
  <si>
    <t xml:space="preserve">Jansen Jean dos Santos Costa casa </t>
  </si>
  <si>
    <t xml:space="preserve"> Jansen Jean dos Santos Costa casa da vo</t>
  </si>
  <si>
    <t>FEVEREIRO</t>
  </si>
  <si>
    <t>Juliano silva Ribeiro</t>
  </si>
  <si>
    <t xml:space="preserve">André Luiz Rodrigues Silva </t>
  </si>
  <si>
    <t xml:space="preserve">BT ENGENHARIA </t>
  </si>
  <si>
    <t>Colégio</t>
  </si>
  <si>
    <t xml:space="preserve">terça </t>
  </si>
  <si>
    <t>Adriana Ferreira de Matos</t>
  </si>
  <si>
    <t>Patricia (Blogueira)</t>
  </si>
  <si>
    <t xml:space="preserve">Rogério veiga junior </t>
  </si>
  <si>
    <t>Rosangela de Paula</t>
  </si>
  <si>
    <t xml:space="preserve"> Mailde Oliveira Lima e Silva</t>
  </si>
  <si>
    <t xml:space="preserve">Marco Aparecido de Souza </t>
  </si>
  <si>
    <t>Natany Roberta de Oliveira</t>
  </si>
  <si>
    <t>Sexta</t>
  </si>
  <si>
    <t>Janaína de Carvalho Morais</t>
  </si>
  <si>
    <t>Tabatha Belli Rutter  Salles Souza</t>
  </si>
  <si>
    <t>Quarta</t>
  </si>
  <si>
    <t xml:space="preserve">Quinta </t>
  </si>
  <si>
    <t>MARÇO</t>
  </si>
  <si>
    <t xml:space="preserve">Isabela Macario de Sousa </t>
  </si>
  <si>
    <t>Marlene Floriano giraldini</t>
  </si>
  <si>
    <t>Rafael Emílio Lopes</t>
  </si>
  <si>
    <t xml:space="preserve">Guilherme Henrique Pereira </t>
  </si>
  <si>
    <t>Veridiane Gamenha de oliveira</t>
  </si>
  <si>
    <t>Segunda</t>
  </si>
  <si>
    <t>JOSE BENEDITO FERREIRA (Mãe)</t>
  </si>
  <si>
    <t>Thamires jesus de Araujo Sitelli</t>
  </si>
  <si>
    <t>Moacir Donizette de Carvalho</t>
  </si>
  <si>
    <t>Andrea  Assis  de Paula Dias</t>
  </si>
  <si>
    <t>Cleiber Augusto do Prado</t>
  </si>
  <si>
    <t>ABRIL</t>
  </si>
  <si>
    <t xml:space="preserve">Percival Marques </t>
  </si>
  <si>
    <t>Prata Cerealista e Agropecuaria ltda</t>
  </si>
  <si>
    <t>Itiná Aparecida Paulino</t>
  </si>
  <si>
    <t>Carlos Henrique dos Santos Borges (Consultório)</t>
  </si>
  <si>
    <t>Carlos Henrique dos Santos Borges (Casa)</t>
  </si>
  <si>
    <t>Josias Rodrigues</t>
  </si>
  <si>
    <t>Márcio de Assis Honório dos Santos</t>
  </si>
  <si>
    <t>ikerson gabriel Sabino</t>
  </si>
  <si>
    <t xml:space="preserve">Otávio Policarpo se Souza </t>
  </si>
  <si>
    <t>Rafael Moreira</t>
  </si>
  <si>
    <t xml:space="preserve">Raiane Adriene Brandao </t>
  </si>
  <si>
    <t>Vanessa De Souza Silva</t>
  </si>
  <si>
    <t>Aline Correa Martins</t>
  </si>
  <si>
    <t>OLINDA IMPORTACAO E COMERCIO LTDA</t>
  </si>
  <si>
    <t xml:space="preserve"> Gian Augusto do Carmo</t>
  </si>
  <si>
    <t>Eletrosat veio  pela TV</t>
  </si>
  <si>
    <t>Amour Pet Confecções e Comercio LTDA</t>
  </si>
  <si>
    <t>indicação de cliente</t>
  </si>
  <si>
    <t xml:space="preserve">Donizeti da Silva </t>
  </si>
  <si>
    <t>Panfleto</t>
  </si>
  <si>
    <t>Deivit vicente dos santos</t>
  </si>
  <si>
    <t>era tubornet</t>
  </si>
  <si>
    <t>Artesanal</t>
  </si>
  <si>
    <t>Comercial textil</t>
  </si>
  <si>
    <t xml:space="preserve">Visita Carlos </t>
  </si>
  <si>
    <t xml:space="preserve">Iracema Amaro do Couto </t>
  </si>
  <si>
    <t>Allisson Augusto Palmeira Rodrigues</t>
  </si>
  <si>
    <t>Maria de Fatima souza</t>
  </si>
  <si>
    <t>Walisson José Aparecido costa</t>
  </si>
  <si>
    <t xml:space="preserve"> José Audeci Pereira</t>
  </si>
  <si>
    <t>comercial textil</t>
  </si>
  <si>
    <t>Evaldo Correa de Lima</t>
  </si>
  <si>
    <t xml:space="preserve">Valeria Tavares Simao </t>
  </si>
  <si>
    <t>roça galvão</t>
  </si>
  <si>
    <t>Ana Claudia de Mira Machado</t>
  </si>
  <si>
    <t>cliente 2° ponto</t>
  </si>
  <si>
    <t>Cleuzio Pereira de Rezende</t>
  </si>
  <si>
    <t>Jessica Duana da Silva</t>
  </si>
  <si>
    <t xml:space="preserve">segunda </t>
  </si>
  <si>
    <t>Josiane Amelia Silva</t>
  </si>
  <si>
    <t>Já foi cliente</t>
  </si>
  <si>
    <t xml:space="preserve">Marcelo da Silva Santos </t>
  </si>
  <si>
    <t>2 ponto</t>
  </si>
  <si>
    <t>pela internet</t>
  </si>
  <si>
    <t xml:space="preserve"> Janaina Coutinho </t>
  </si>
  <si>
    <t>2° ponto</t>
  </si>
  <si>
    <t xml:space="preserve">Matheus Da Silva Vieira </t>
  </si>
  <si>
    <t xml:space="preserve">Alessandro Augusto Machado </t>
  </si>
  <si>
    <t xml:space="preserve">Admilson José da Silva </t>
  </si>
  <si>
    <t xml:space="preserve">Isabela Joia Santos </t>
  </si>
  <si>
    <t>Patricia Ferreira de Almeida (Bogari)</t>
  </si>
  <si>
    <t>Maria Lúcia da rosa</t>
  </si>
  <si>
    <t xml:space="preserve">Gabriela Magagnini Brandão </t>
  </si>
  <si>
    <t>indicação Carlos Alberto</t>
  </si>
  <si>
    <t xml:space="preserve">Jeysa Gabrielly Silva </t>
  </si>
  <si>
    <t>Jessica Aparecida do Couto</t>
  </si>
  <si>
    <t>Méthodos Laboratório, Análises Clínicas e Hematologia Ltda.</t>
  </si>
  <si>
    <t>e-mail</t>
  </si>
  <si>
    <t xml:space="preserve">Francini de Cássia Souza marinelli </t>
  </si>
  <si>
    <t xml:space="preserve">passou em frente a loja </t>
  </si>
  <si>
    <t>era do julio</t>
  </si>
  <si>
    <t xml:space="preserve">Milena Andrade de Moraes </t>
  </si>
  <si>
    <t>25/07</t>
  </si>
  <si>
    <t xml:space="preserve">sexta </t>
  </si>
  <si>
    <t>Carlos Alberto</t>
  </si>
  <si>
    <t>Sabado</t>
  </si>
  <si>
    <t>26/07</t>
  </si>
  <si>
    <t>27/07</t>
  </si>
  <si>
    <t>Gustavo Silva Xavier</t>
  </si>
  <si>
    <t xml:space="preserve"> Fabrício Augusto da Silva Rosa (prédio)</t>
  </si>
  <si>
    <t>2° Ponto</t>
  </si>
  <si>
    <t>3° Ponto</t>
  </si>
  <si>
    <t>Gabriela Vieira coutinho</t>
  </si>
  <si>
    <t xml:space="preserve">Emily da Silveira Jacinto </t>
  </si>
  <si>
    <t xml:space="preserve"> Matheus Escotom Brandani </t>
  </si>
  <si>
    <t xml:space="preserve">Jhansem Ralph Mozer de Souza </t>
  </si>
  <si>
    <t xml:space="preserve">Fernando Aparecido Martins </t>
  </si>
  <si>
    <t>15/8/2022</t>
  </si>
  <si>
    <t>Eletrosat</t>
  </si>
  <si>
    <t>17/8/2022</t>
  </si>
  <si>
    <t>18/8/2022</t>
  </si>
  <si>
    <t>20/8/2022</t>
  </si>
  <si>
    <t>22/8/2022</t>
  </si>
  <si>
    <t>Marcia Mavilda da Silvia</t>
  </si>
  <si>
    <t xml:space="preserve">Santo Cruzeiro(Prefeitura) </t>
  </si>
  <si>
    <t>Ponto prefeitura</t>
  </si>
  <si>
    <t>23/8/2022</t>
  </si>
  <si>
    <t xml:space="preserve">Carolina Cristina Ribeiro da Silva </t>
  </si>
  <si>
    <t>25/8/2022</t>
  </si>
  <si>
    <t>Casa da mae (técnico)</t>
  </si>
  <si>
    <t>Michely Beatriz Pereira</t>
  </si>
  <si>
    <t>27/8/2022</t>
  </si>
  <si>
    <t xml:space="preserve">Rosemary Cardoso Arruda Moreira </t>
  </si>
  <si>
    <t>29/8/2022</t>
  </si>
  <si>
    <t>Indicação Tulio</t>
  </si>
  <si>
    <t>30/8/2022</t>
  </si>
  <si>
    <t>31/8/2022</t>
  </si>
  <si>
    <t>DOUGLAS DE SOUZA FELIPE</t>
  </si>
  <si>
    <t>Wilkens</t>
  </si>
  <si>
    <t xml:space="preserve">Carlos Eduardo de Padua Siqueira </t>
  </si>
  <si>
    <t xml:space="preserve">Maria Izabel Rodrigues de Carvalho </t>
  </si>
  <si>
    <t>Indicação Carlos</t>
  </si>
  <si>
    <t>Valda Helena da Silva</t>
  </si>
  <si>
    <t>Nilzete Jesus de Araujo Santos</t>
  </si>
  <si>
    <t>Iconecta</t>
  </si>
  <si>
    <t>Claucio</t>
  </si>
  <si>
    <t>14/09/2022</t>
  </si>
  <si>
    <t>Diego tavares dos santos</t>
  </si>
  <si>
    <t>Indicação luiz Guilherme</t>
  </si>
  <si>
    <t>15/09/2022</t>
  </si>
  <si>
    <t>Paulo César de Oliveira Adriano</t>
  </si>
  <si>
    <t>Katrine de cassia marcal dos santos.</t>
  </si>
  <si>
    <t>19/09/2022</t>
  </si>
  <si>
    <t xml:space="preserve">Pedro Inacio da Silva </t>
  </si>
  <si>
    <t>21/09/2022</t>
  </si>
  <si>
    <t xml:space="preserve"> Tathiana Laira Andrade e Silva</t>
  </si>
  <si>
    <t>Maria Lúcia da Silva tucunduva</t>
  </si>
  <si>
    <t>22/09/2022</t>
  </si>
  <si>
    <t>22/092022</t>
  </si>
  <si>
    <t>Andre Durval handan Figueiredo</t>
  </si>
  <si>
    <t>Alessandra Costa Vieira</t>
  </si>
  <si>
    <t>23/09/2022</t>
  </si>
  <si>
    <t>Turbonet</t>
  </si>
  <si>
    <t>26/09/2022</t>
  </si>
  <si>
    <t xml:space="preserve">Maria Aparecida do Nascimento Vieira </t>
  </si>
  <si>
    <t>27/09/2022</t>
  </si>
  <si>
    <t xml:space="preserve">Bianca Amaro de Souza </t>
  </si>
  <si>
    <t>William de castro santos</t>
  </si>
  <si>
    <t>panfleto</t>
  </si>
  <si>
    <t>28/09/2022</t>
  </si>
  <si>
    <t>Débora sabino de freitas</t>
  </si>
  <si>
    <t>logic link</t>
  </si>
  <si>
    <t>indicação Joao</t>
  </si>
  <si>
    <t xml:space="preserve">Alexandre Máximo Muniz </t>
  </si>
  <si>
    <t xml:space="preserve">Sabrina Toledo de Sousa </t>
  </si>
  <si>
    <t>Sirlene Oliveira Melo Garcia</t>
  </si>
  <si>
    <t xml:space="preserve">Graciela Cristina de Almeida Costa </t>
  </si>
  <si>
    <t>Maria Benedita da Slva</t>
  </si>
  <si>
    <t>agendou para novembro</t>
  </si>
  <si>
    <t>Live Amanda (StiloStore)</t>
  </si>
  <si>
    <t>Pedro José Dias Pereira</t>
  </si>
  <si>
    <t>Lisdalva Aparecida Toledo Lemes</t>
  </si>
  <si>
    <t>2°Ponto</t>
  </si>
  <si>
    <t>Rafael</t>
  </si>
  <si>
    <t>25/10//2022</t>
  </si>
  <si>
    <t>7° ponto</t>
  </si>
  <si>
    <t>Marli de Freitas</t>
  </si>
  <si>
    <t>Charles henrique faria</t>
  </si>
  <si>
    <t>Amanda Pereira dos  Santos</t>
  </si>
  <si>
    <t xml:space="preserve">Bárbara Andrade Coutinho </t>
  </si>
  <si>
    <t>Rafael/Eletrosat</t>
  </si>
  <si>
    <t>Cristiano Fernandes do Santos</t>
  </si>
  <si>
    <t xml:space="preserve">Airton dos santos </t>
  </si>
  <si>
    <t>Alan Trombetoni</t>
  </si>
  <si>
    <t xml:space="preserve">Fernanda Ferreira de Paula </t>
  </si>
  <si>
    <t>Turbonet/Rafael</t>
  </si>
  <si>
    <t>Airton dos santos (Loja)</t>
  </si>
  <si>
    <t>Rafael/Eletrosat/2° ponto</t>
  </si>
  <si>
    <t xml:space="preserve"> ILSON dos santos silva</t>
  </si>
  <si>
    <t>Logig Linkt/Rafael</t>
  </si>
  <si>
    <t xml:space="preserve">Higor Augusto Domingues </t>
  </si>
  <si>
    <t xml:space="preserve"> Franciele Aparecida Ribeiro</t>
  </si>
  <si>
    <t xml:space="preserve">Jose Tadeu Feitosa </t>
  </si>
  <si>
    <t xml:space="preserve">Gustavo Coutinho da Costa </t>
  </si>
  <si>
    <t>Maria OSMARINA DA Silva</t>
  </si>
  <si>
    <t>Marquinhos inquilino/irma Loja</t>
  </si>
  <si>
    <t>Marquinhos inquilino/irma casa</t>
  </si>
  <si>
    <t>Rafael/Eletrosat (2° Ponto)</t>
  </si>
  <si>
    <t>Silvia Marins de Oliveira</t>
  </si>
  <si>
    <t>Hard online/Rafael</t>
  </si>
  <si>
    <t>Michel Caetano de souza</t>
  </si>
  <si>
    <t>Vitoria Jakssane Ortiz da Costa</t>
  </si>
  <si>
    <t>indicação de cliente(Bogari)</t>
  </si>
  <si>
    <t xml:space="preserve">Lúcia Helena de Freitas </t>
  </si>
  <si>
    <t xml:space="preserve">Ana Cláudia Moreira </t>
  </si>
  <si>
    <t>Eletrosat/Rafael</t>
  </si>
  <si>
    <t>Manoela canadas de Souza</t>
  </si>
  <si>
    <t>Isadora Dentista</t>
  </si>
  <si>
    <t>Joao Pancinha</t>
  </si>
  <si>
    <t>Rafael/Oi</t>
  </si>
  <si>
    <t>Viviane (flavio)</t>
  </si>
  <si>
    <t xml:space="preserve">Ana Cláudia Damas Carvalho </t>
  </si>
  <si>
    <t xml:space="preserve">Francilene de Fátima Brandão </t>
  </si>
  <si>
    <t>Andressa prefeitura</t>
  </si>
  <si>
    <t>Rafael Peres Cavalcanti</t>
  </si>
  <si>
    <t xml:space="preserve">Etiene Martins Tome </t>
  </si>
  <si>
    <t>Yasmin Cristina Bandeira</t>
  </si>
  <si>
    <t xml:space="preserve">Francielly de Cassia Silva </t>
  </si>
  <si>
    <t>indicação Carlos</t>
  </si>
  <si>
    <t>Gustavo Vinicius</t>
  </si>
  <si>
    <t>Totonho</t>
  </si>
  <si>
    <t xml:space="preserve">Ana Cristina Moreira de Souza </t>
  </si>
  <si>
    <t>Fatima das Graças Santos Martins</t>
  </si>
  <si>
    <t>turbonet</t>
  </si>
  <si>
    <t>Tiago henrique Moreira</t>
  </si>
  <si>
    <t>EVILASIA DO CARMO DOS SANTOS SOUZA (gerar boleto)</t>
  </si>
  <si>
    <t>Julio Cesar Dentista</t>
  </si>
  <si>
    <t>Amanda Stilus store</t>
  </si>
  <si>
    <t>Rafael/Turbonet</t>
  </si>
  <si>
    <t>Maria de fatima Mira Moreira</t>
  </si>
  <si>
    <t xml:space="preserve">Joao Victor Mardegam </t>
  </si>
  <si>
    <t>Jorge Luiz Oliveira Dos Santos</t>
  </si>
  <si>
    <t>Marcelo leopoldo Alves da Silva</t>
  </si>
  <si>
    <t>Flavio (paloma)</t>
  </si>
  <si>
    <t>rafael/eletrosat</t>
  </si>
  <si>
    <t>Maria do Carmo(brucui)</t>
  </si>
  <si>
    <t xml:space="preserve">Maria Caroline </t>
  </si>
  <si>
    <t>loja</t>
  </si>
  <si>
    <t>Andre Santa Cruz</t>
  </si>
  <si>
    <t>n/instalado</t>
  </si>
  <si>
    <t>rafael</t>
  </si>
  <si>
    <t>kital ponto barracao anatex</t>
  </si>
  <si>
    <t>jose benedito lima</t>
  </si>
  <si>
    <t>rafael/logik link</t>
  </si>
  <si>
    <t>Sonia Helena de Mello silva</t>
  </si>
  <si>
    <t>Genivaldo benicio da cruz</t>
  </si>
  <si>
    <t>Prefeitura (coreto)</t>
  </si>
  <si>
    <t>Prefeitura</t>
  </si>
  <si>
    <t>Isadora Andrade</t>
  </si>
  <si>
    <t>Caixa Escolar Centro</t>
  </si>
  <si>
    <t>Edimar Vaz (chocolate)</t>
  </si>
  <si>
    <t xml:space="preserve">Vera Lucia </t>
  </si>
  <si>
    <t>Wilman Teixeira 2p</t>
  </si>
  <si>
    <t>Mario Bogari</t>
  </si>
  <si>
    <t>Marcio Paulo dos Santos</t>
  </si>
  <si>
    <t xml:space="preserve">Thalita Apoliana dos Santos </t>
  </si>
  <si>
    <t>via01</t>
  </si>
  <si>
    <t>Erica Tavares Escotom</t>
  </si>
  <si>
    <t>Maria Julia (tia do bill)</t>
  </si>
  <si>
    <t>Daniela Almeida (vizinha)</t>
  </si>
  <si>
    <t>Niandro Tabacaria Fire</t>
  </si>
  <si>
    <t>via01/eletrosat</t>
  </si>
  <si>
    <t>Thabata Victoria</t>
  </si>
  <si>
    <t>via 01/eletro</t>
  </si>
  <si>
    <t xml:space="preserve">Angela Aparecida Pereira </t>
  </si>
  <si>
    <t>Angela Aparecida Pereira 2° ponto</t>
  </si>
  <si>
    <t xml:space="preserve">Maria Izabel Rezende Gouvea </t>
  </si>
  <si>
    <t xml:space="preserve"> Rebeca Eduarda Tavares </t>
  </si>
  <si>
    <t xml:space="preserve">Valdinei Henrique da Silva </t>
  </si>
  <si>
    <t>Wanderléia Sobreiro da Silva (dividir com alessandra)</t>
  </si>
  <si>
    <t xml:space="preserve"> Eder Jose Cogui</t>
  </si>
  <si>
    <t>Ana Lucia Azevedo</t>
  </si>
  <si>
    <t>jaineiro</t>
  </si>
  <si>
    <t>indicacao de cliente</t>
  </si>
  <si>
    <t>Flavio Jose Mendes</t>
  </si>
  <si>
    <t>Carlos Gabriel Serapião da Silva/ com fire</t>
  </si>
  <si>
    <t>dia 20/01</t>
  </si>
  <si>
    <t xml:space="preserve">lucas Otavio Galvão Oliveira </t>
  </si>
  <si>
    <t>Kital</t>
  </si>
  <si>
    <t>Indicação Jonatas</t>
  </si>
  <si>
    <t>Luiz antonio machado</t>
  </si>
  <si>
    <t>Joao Victor Rocha</t>
  </si>
  <si>
    <t xml:space="preserve">Veio até o Bradesco e viu a loja </t>
  </si>
  <si>
    <t>ja foi cliente</t>
  </si>
  <si>
    <t>Paulo Fernando Peres De Melo</t>
  </si>
  <si>
    <t>Everton Luiz Brandao</t>
  </si>
  <si>
    <t>20/01/2023</t>
  </si>
  <si>
    <t xml:space="preserve">Marli de Souza Ribeiro </t>
  </si>
  <si>
    <t>Anderson Wenceslau candido</t>
  </si>
  <si>
    <t>Tatiane Chaves</t>
  </si>
  <si>
    <t>Glauciane Daiane Garcia</t>
  </si>
  <si>
    <t>Wilian Roberto Silva</t>
  </si>
  <si>
    <t>Maria Do Carmo Silva. madu</t>
  </si>
  <si>
    <t>Marcos Paulo De Castro</t>
  </si>
  <si>
    <t>VILMA ALVES BRANDAO</t>
  </si>
  <si>
    <t>VOLUY TELECOM EIRELI - ME (Forum</t>
  </si>
  <si>
    <t>fornecedor de link</t>
  </si>
  <si>
    <t>Daniel Benedito Do Couto</t>
  </si>
  <si>
    <t xml:space="preserve">Dinah Nogueira </t>
  </si>
  <si>
    <t>Diego Tadeu da Silva 2° ponto</t>
  </si>
  <si>
    <t>Ronilda Araujo De Almeida</t>
  </si>
  <si>
    <t>Claudineia Imaculada De Mello</t>
  </si>
  <si>
    <t>Joaquin Oliveira De Moraes (dividir com alessandra)</t>
  </si>
  <si>
    <t xml:space="preserve">hudson Fanis </t>
  </si>
  <si>
    <t>rafael/i conecta</t>
  </si>
  <si>
    <t>José Claudino de Moraes</t>
  </si>
  <si>
    <t>Leonardo Pedro Silva</t>
  </si>
  <si>
    <t xml:space="preserve">Jociane Job Silva </t>
  </si>
  <si>
    <t xml:space="preserve"> Diego Cezar Henrique</t>
  </si>
  <si>
    <t>rafael/turbo</t>
  </si>
  <si>
    <t xml:space="preserve">Maria Cecilia Amaro </t>
  </si>
  <si>
    <t>2°ponto</t>
  </si>
  <si>
    <t>Venicio Galvao Moreira (pontilhao)</t>
  </si>
  <si>
    <t xml:space="preserve">ok </t>
  </si>
  <si>
    <t>Gilberto Benedito dos Santos(dividir com Alessandra )</t>
  </si>
  <si>
    <t xml:space="preserve">Francisco Flavio De Souza </t>
  </si>
  <si>
    <t>Mario Dias Da Silva</t>
  </si>
  <si>
    <t>Luiz Rodrigo Santos Souza.</t>
  </si>
  <si>
    <t>Pauline  Ariane de Souza</t>
  </si>
  <si>
    <t>14/02/2023</t>
  </si>
  <si>
    <t xml:space="preserve">ok  </t>
  </si>
  <si>
    <t>Maria das Neves Silva Rosa(dividir com Alessandra)</t>
  </si>
  <si>
    <t xml:space="preserve">Gelasio Marinelli </t>
  </si>
  <si>
    <t>Amanda Heloiza de Prado Rodrigues</t>
  </si>
  <si>
    <t>Gláucia Maria Brandão Guilherme bonamichi Oliveira</t>
  </si>
  <si>
    <t xml:space="preserve">Gabriel Souza Santos </t>
  </si>
  <si>
    <t>16/02/2023</t>
  </si>
  <si>
    <t>Willian Peter Maier</t>
  </si>
  <si>
    <t>17/02/2023</t>
  </si>
  <si>
    <t>Antonio Simoes De Almeida</t>
  </si>
  <si>
    <t>Elenice lemes</t>
  </si>
  <si>
    <t>Pedro Henrique Ribeiro Silva (dividir com ale)</t>
  </si>
  <si>
    <t>22/02/2023</t>
  </si>
  <si>
    <t>Atelie Do Pijama</t>
  </si>
  <si>
    <t>quintra</t>
  </si>
  <si>
    <t>Maria do Carmo Carvalho Guimaraes</t>
  </si>
  <si>
    <t>Paulo Cezar dos Santos</t>
  </si>
  <si>
    <t>Kleiton Dos Santos Caetano</t>
  </si>
  <si>
    <t>segubda</t>
  </si>
  <si>
    <t xml:space="preserve">João Batista de Lima Simões </t>
  </si>
  <si>
    <t>24/02/2023</t>
  </si>
  <si>
    <t>Luciano Goulart</t>
  </si>
  <si>
    <t>27/02/2023</t>
  </si>
  <si>
    <t>Sebastiao Garcia de Resende</t>
  </si>
  <si>
    <t>28/02/2023</t>
  </si>
  <si>
    <t>Edna Francisca Pereira da Silva (div alessa)</t>
  </si>
  <si>
    <t>mandu</t>
  </si>
  <si>
    <t xml:space="preserve">Benjamin Santos da Silva (div ale) </t>
  </si>
  <si>
    <t>Camilo Rossi Mmoreira</t>
  </si>
  <si>
    <t>Mauro Sergio Lopes (Dividir com Ale)</t>
  </si>
  <si>
    <t>2° ponto pontilhao</t>
  </si>
  <si>
    <t>Ronan Aparecida Silva  (Dividir com Ale)</t>
  </si>
  <si>
    <t>Joao Batista de Almeida(dividir com ALe)</t>
  </si>
  <si>
    <t xml:space="preserve">Carlos Henrique </t>
  </si>
  <si>
    <t>rafael/turbo net</t>
  </si>
  <si>
    <t>Elaine Moreira da Costa (Dividir com Ale)</t>
  </si>
  <si>
    <t>79,90</t>
  </si>
  <si>
    <t>Luiz Antonio Machado</t>
  </si>
  <si>
    <t>79,9</t>
  </si>
  <si>
    <t>Sílvia Helena de Sousa</t>
  </si>
  <si>
    <t>Emerson silveira</t>
  </si>
  <si>
    <t>Heraldo Mauricio de lima  (dividir com Ale )</t>
  </si>
  <si>
    <t>rafael ind cliente</t>
  </si>
  <si>
    <t>Paulo Cezar Brandao</t>
  </si>
  <si>
    <t>Heraldo Mauricio de lima  (dividir com Ale Carlos fechou) 2p</t>
  </si>
  <si>
    <t>(n instalado)</t>
  </si>
  <si>
    <t xml:space="preserve">Laís Andrade Ambar </t>
  </si>
  <si>
    <t>Faixada da loja</t>
  </si>
  <si>
    <t xml:space="preserve">Jilmar Pereira </t>
  </si>
  <si>
    <t>Richard kawan chamarelli de lima</t>
  </si>
  <si>
    <t>MARINEIDE VITORIANO</t>
  </si>
  <si>
    <t>Adriana Cornelia da Silva div ale</t>
  </si>
  <si>
    <t>Pontilhao</t>
  </si>
  <si>
    <t>79´9</t>
  </si>
  <si>
    <t>Veio a loja</t>
  </si>
  <si>
    <t>20/03/2023</t>
  </si>
  <si>
    <t xml:space="preserve">Jose Maria Caetano </t>
  </si>
  <si>
    <t xml:space="preserve">março </t>
  </si>
  <si>
    <t>veio até a loja</t>
  </si>
  <si>
    <t xml:space="preserve">Maria da Penha Costas Santos </t>
  </si>
  <si>
    <t xml:space="preserve">Veio Loja </t>
  </si>
  <si>
    <t>Jose Tadeu Feitosa div ale</t>
  </si>
  <si>
    <t>marco</t>
  </si>
  <si>
    <t>21/03/2023</t>
  </si>
  <si>
    <t>Veio na loja</t>
  </si>
  <si>
    <t>22/03/2023</t>
  </si>
  <si>
    <t>willy bencoupert</t>
  </si>
  <si>
    <t>99,9</t>
  </si>
  <si>
    <t xml:space="preserve">Lorane Marila Fermino Rodrigues </t>
  </si>
  <si>
    <t>99,90</t>
  </si>
  <si>
    <t>novo</t>
  </si>
  <si>
    <t>Vinícius Franco Borella</t>
  </si>
  <si>
    <t>24/03/2023</t>
  </si>
  <si>
    <t>Jose Laercio</t>
  </si>
  <si>
    <t>27/03/2023</t>
  </si>
  <si>
    <t>Irene Monteiro coutinho de Mora</t>
  </si>
  <si>
    <t>28/03/2023</t>
  </si>
  <si>
    <t>Sandro H da Silva</t>
  </si>
  <si>
    <t>28/03/23</t>
  </si>
  <si>
    <t xml:space="preserve">loja </t>
  </si>
  <si>
    <t>29/03/2023</t>
  </si>
  <si>
    <t>Luciana de fatima Prado pereira</t>
  </si>
  <si>
    <t>30/03/2023</t>
  </si>
  <si>
    <t>31/03/23</t>
  </si>
  <si>
    <t xml:space="preserve">Juliana Maria de Melo Pereira </t>
  </si>
  <si>
    <t>2º ponto</t>
  </si>
  <si>
    <t>31/03/2023</t>
  </si>
  <si>
    <t xml:space="preserve">Ingrid mara   </t>
  </si>
  <si>
    <t>119,90</t>
  </si>
  <si>
    <t>rede deco</t>
  </si>
  <si>
    <t>31/01/2023</t>
  </si>
  <si>
    <t>Luiz Gustavo Teixeira de Sena</t>
  </si>
  <si>
    <t>ponte zinco</t>
  </si>
  <si>
    <t>FALTA FIRE</t>
  </si>
  <si>
    <t>JOAO PAULO RODRIGUES (Dividir Ale cliente fechou com a loja tbm)</t>
  </si>
  <si>
    <t>Robson da Silva Mendes</t>
  </si>
  <si>
    <t>Rosa Maria (div ale)</t>
  </si>
  <si>
    <t>Moabe Ednilson Santos Pereira</t>
  </si>
  <si>
    <t xml:space="preserve">Eduardo Henrique gomes </t>
  </si>
  <si>
    <t>99´9</t>
  </si>
  <si>
    <t xml:space="preserve"> Vicente Pereira de Sousa Filho</t>
  </si>
  <si>
    <t>Jennifer Silvia Ortiz da Costa</t>
  </si>
  <si>
    <t>79´90</t>
  </si>
  <si>
    <t>Adriana justino do Couto.</t>
  </si>
  <si>
    <t>rafael.</t>
  </si>
  <si>
    <t>barro amarelo</t>
  </si>
  <si>
    <t>17/04/2023</t>
  </si>
  <si>
    <t>Joao Victor  Souza Rocha</t>
  </si>
  <si>
    <t>18/04/2023</t>
  </si>
  <si>
    <t>Araci candida da silva</t>
  </si>
  <si>
    <t>19/04/2023</t>
  </si>
  <si>
    <t>20/04/2023</t>
  </si>
  <si>
    <t>rafael/Gp telecon</t>
  </si>
  <si>
    <t xml:space="preserve">Nivaldo Santos </t>
  </si>
  <si>
    <t>22/04/2023</t>
  </si>
  <si>
    <t>24/04/2023</t>
  </si>
  <si>
    <t>Marcio costa tranqueira</t>
  </si>
  <si>
    <t>25/04/2023</t>
  </si>
  <si>
    <t>Silvio Mauro silveira</t>
  </si>
  <si>
    <t>abrill</t>
  </si>
  <si>
    <t>26/04/2023</t>
  </si>
  <si>
    <t xml:space="preserve">Jonatas carlos da Silva </t>
  </si>
  <si>
    <t xml:space="preserve">Maria Aparecida Espíndola </t>
  </si>
  <si>
    <t xml:space="preserve">Flávio Diego Dos Santos </t>
  </si>
  <si>
    <t>Débora Sabino de Freitas</t>
  </si>
  <si>
    <t>MAIO</t>
  </si>
  <si>
    <t xml:space="preserve">Luiz Gustavo Prado Santana </t>
  </si>
  <si>
    <t>89´9</t>
  </si>
  <si>
    <t>veio pela faixada da loja</t>
  </si>
  <si>
    <t>Leonardo lavado</t>
  </si>
  <si>
    <t>esperando a luz</t>
  </si>
  <si>
    <t xml:space="preserve">Thais Regina de Almeida </t>
  </si>
  <si>
    <t>Elber Cristovão Barbosa div ale</t>
  </si>
  <si>
    <t>Alanjons guedes santana</t>
  </si>
  <si>
    <t xml:space="preserve"> Rafael Rezende Liao</t>
  </si>
  <si>
    <t xml:space="preserve">Thiago almeida </t>
  </si>
  <si>
    <t xml:space="preserve">Wendrey Martins dos Santos </t>
  </si>
  <si>
    <t>Delei de Abreu</t>
  </si>
  <si>
    <t>Samuel Couto BA dv ale</t>
  </si>
  <si>
    <t>rafael/gp tel</t>
  </si>
  <si>
    <t xml:space="preserve">Maria Luiza dos Santos </t>
  </si>
  <si>
    <t>Vanderley donizete de Abreu</t>
  </si>
  <si>
    <t>Jhonathan Michael Pereira</t>
  </si>
  <si>
    <t>Rosangela Simão Gomes</t>
  </si>
  <si>
    <t>ligação</t>
  </si>
  <si>
    <t>Thiago pereira dos santos cdntv na tv</t>
  </si>
  <si>
    <t>18/05/2023</t>
  </si>
  <si>
    <t>Jaqueline Fernanda de oliveira</t>
  </si>
  <si>
    <t xml:space="preserve">Leonardo Roberto de Souza Freitas </t>
  </si>
  <si>
    <t>RAfael - 2º ponto/eletrosat</t>
  </si>
  <si>
    <t>19/05/2023</t>
  </si>
  <si>
    <t>keila Aparecida de Oliveira</t>
  </si>
  <si>
    <t>(não intalado)</t>
  </si>
  <si>
    <t>instalacao dia 12</t>
  </si>
  <si>
    <t>Loja - veio atraves do genro que já tem a nossa</t>
  </si>
  <si>
    <t>22/05/2023</t>
  </si>
  <si>
    <t>Jander Costa</t>
  </si>
  <si>
    <t>23/05/2023</t>
  </si>
  <si>
    <t>Marcelo Jose dos Santos</t>
  </si>
  <si>
    <t>rafel/i coneta</t>
  </si>
  <si>
    <t>Samuel Couto (igreja)</t>
  </si>
  <si>
    <t>24/05/2023</t>
  </si>
  <si>
    <t>Geraldo Vitoriano</t>
  </si>
  <si>
    <t>25/05/2023</t>
  </si>
  <si>
    <t>Carlos Moreira De assis</t>
  </si>
  <si>
    <t>114,90</t>
  </si>
  <si>
    <t>26/05/2023</t>
  </si>
  <si>
    <t>José Galvão Moreira</t>
  </si>
  <si>
    <t>Antonio Cardoso Pinto Neto /dividir com Rafa</t>
  </si>
  <si>
    <t>29/05/2023</t>
  </si>
  <si>
    <t>Edson Pinheiro da Silva (Casa)</t>
  </si>
  <si>
    <t>Edson Pinheiro da Silva (Pastelaria)</t>
  </si>
  <si>
    <t>Wender Gabriel de Mira</t>
  </si>
  <si>
    <t>Davi Moreira de Almeida /div ale</t>
  </si>
  <si>
    <t>30/05/2023</t>
  </si>
  <si>
    <t>31/05/2023</t>
  </si>
  <si>
    <t>Supermercado Baleia</t>
  </si>
  <si>
    <t>AntonioAngelo rossi filho</t>
  </si>
  <si>
    <t>JUNHO</t>
  </si>
  <si>
    <t xml:space="preserve">Adenilson silva de </t>
  </si>
  <si>
    <t>Rita de CassiaSantana Silva bar</t>
  </si>
  <si>
    <t>Rita de CassiaSantana Silva casa</t>
  </si>
  <si>
    <t>Michel Felix</t>
  </si>
  <si>
    <t>rafal/logick</t>
  </si>
  <si>
    <t>Haraoldo Brandani de Carvalho</t>
  </si>
  <si>
    <t xml:space="preserve"> Lucas Evangelista de Oliveira</t>
  </si>
  <si>
    <t>Antônio Galvão Nogueira</t>
  </si>
  <si>
    <t xml:space="preserve">Rene Alves de Andrade </t>
  </si>
  <si>
    <t>viu o carro passando na rua</t>
  </si>
  <si>
    <t>Jonas de Oliveira da Silva</t>
  </si>
  <si>
    <t>13/06/2023</t>
  </si>
  <si>
    <t>14/06/2023</t>
  </si>
  <si>
    <t>Rivanio Araujo dos Santos div ale</t>
  </si>
  <si>
    <t xml:space="preserve">Marcelo Benedito Simoes </t>
  </si>
  <si>
    <t>faixada da loja</t>
  </si>
  <si>
    <t>16/06/2023</t>
  </si>
  <si>
    <t>indicacao de Joao Felipe</t>
  </si>
  <si>
    <t xml:space="preserve">Flavia Floriano Brentegani </t>
  </si>
  <si>
    <t>19/06/2023</t>
  </si>
  <si>
    <t>20/06/2023</t>
  </si>
  <si>
    <t>21/06/2023</t>
  </si>
  <si>
    <t>Carlos Roberto Lemes nathalia bar(div c ale)</t>
  </si>
  <si>
    <t>Carlos Roberto Lemes nathalia casa(div c ale)</t>
  </si>
  <si>
    <t>Diego Andrade dos Santos (Adega)</t>
  </si>
  <si>
    <t>Diego Andrade dos Santos (casa)</t>
  </si>
  <si>
    <t>22/06/2023</t>
  </si>
  <si>
    <t>23/06/2023</t>
  </si>
  <si>
    <t>26/06/2023</t>
  </si>
  <si>
    <t xml:space="preserve">Mercidio Villas Boas  div c ale </t>
  </si>
  <si>
    <t>27/06/2023</t>
  </si>
  <si>
    <t>Maria Eunice da silva reis</t>
  </si>
  <si>
    <t>28/06/2023</t>
  </si>
  <si>
    <t>29/06/2023</t>
  </si>
  <si>
    <t>Thiago Junior Saturno</t>
  </si>
  <si>
    <t>LIDIA FABIELE SILVA</t>
  </si>
  <si>
    <t>JULHO</t>
  </si>
  <si>
    <t xml:space="preserve">Regina Sgotte Lopes </t>
  </si>
  <si>
    <t>Wilian Roberto Leite Rigolon</t>
  </si>
  <si>
    <t>cliente nos achou pelo site</t>
  </si>
  <si>
    <t>06/072023</t>
  </si>
  <si>
    <t>Paulo Cesar Da Silva</t>
  </si>
  <si>
    <t>Jose algusto de moraes correa</t>
  </si>
  <si>
    <t>Marcia valente</t>
  </si>
  <si>
    <t>instalacao apos a festa</t>
  </si>
  <si>
    <t>Mariana Dirce  de Moraes</t>
  </si>
  <si>
    <t>Ja foi cliente</t>
  </si>
  <si>
    <t>13/07/2023</t>
  </si>
  <si>
    <t xml:space="preserve">Everton assis cunha </t>
  </si>
  <si>
    <t xml:space="preserve">Douglas Freitas Santos </t>
  </si>
  <si>
    <t>barraca</t>
  </si>
  <si>
    <t>Mariana ferreira</t>
  </si>
  <si>
    <t>17/03/2023</t>
  </si>
  <si>
    <t>17/07/2023</t>
  </si>
  <si>
    <t>18/07/2023</t>
  </si>
  <si>
    <t xml:space="preserve">Ana Cláudia Cândido div ale </t>
  </si>
  <si>
    <t>19/07/2023</t>
  </si>
  <si>
    <t xml:space="preserve">Idair batista </t>
  </si>
  <si>
    <t>20/05/2023</t>
  </si>
  <si>
    <t>Daniel Azevedo soares vicente</t>
  </si>
  <si>
    <t>20/07/2023</t>
  </si>
  <si>
    <t xml:space="preserve">Alexandra Soares Silva </t>
  </si>
  <si>
    <t>indicacao coffe days</t>
  </si>
  <si>
    <t>21/07/2023</t>
  </si>
  <si>
    <t>VOLUY TELECOM EIRELI</t>
  </si>
  <si>
    <t>Carlos</t>
  </si>
  <si>
    <t xml:space="preserve">Nivaldo Fonseca </t>
  </si>
  <si>
    <t>Marcelo Gomes</t>
  </si>
  <si>
    <t>24/11/2023</t>
  </si>
  <si>
    <t>25/07/2023</t>
  </si>
  <si>
    <t>Bruna de Andrade colti</t>
  </si>
  <si>
    <t>Pedro Julio Oliveira</t>
  </si>
  <si>
    <t>NATHANAEL NALBERT DE SOUZA SIQUEIRA</t>
  </si>
  <si>
    <t>Michel de Freitas</t>
  </si>
  <si>
    <t>Kelly Iolanda Brandina Toledo</t>
  </si>
  <si>
    <t xml:space="preserve">Sidney santos </t>
  </si>
  <si>
    <t>3° ponto</t>
  </si>
  <si>
    <t>lulho</t>
  </si>
  <si>
    <t>AGOSTO</t>
  </si>
  <si>
    <t xml:space="preserve">Luana Cristina Cardoso </t>
  </si>
  <si>
    <t xml:space="preserve">Claudia Ferreira Penteado (petKeka) </t>
  </si>
  <si>
    <t>Amiga Ale</t>
  </si>
  <si>
    <t>Amigo Ale</t>
  </si>
  <si>
    <t>Jose natal de almeida</t>
  </si>
  <si>
    <t>wilson felisberto de almeida</t>
  </si>
  <si>
    <t>Joao Lucio da Silva</t>
  </si>
  <si>
    <t>Matheus Mario Matos</t>
  </si>
  <si>
    <t>leads</t>
  </si>
  <si>
    <t xml:space="preserve">Leny Camargo Ribeiro </t>
  </si>
  <si>
    <t>Ryan willian</t>
  </si>
  <si>
    <t>agostyo</t>
  </si>
  <si>
    <t>etercidio rodrigues</t>
  </si>
  <si>
    <t>agosto</t>
  </si>
  <si>
    <t xml:space="preserve"> jaqueline jack</t>
  </si>
  <si>
    <t>agoso</t>
  </si>
  <si>
    <t>rafa</t>
  </si>
  <si>
    <t>SILTELBRA SISTEMA DE TELECOMUNICACOES DO BRASIL LTDA</t>
  </si>
  <si>
    <t xml:space="preserve">a marcar </t>
  </si>
  <si>
    <t>site</t>
  </si>
  <si>
    <t>veio a loja/ cliente wilkens</t>
  </si>
  <si>
    <t>29/08</t>
  </si>
  <si>
    <t>Ja foi Cliente</t>
  </si>
  <si>
    <t xml:space="preserve">Thales Eduardo </t>
  </si>
  <si>
    <t>Indicacao Carlos</t>
  </si>
  <si>
    <t>Jéssica Ramos da Silva</t>
  </si>
  <si>
    <t>Leads</t>
  </si>
  <si>
    <t>veio a loja</t>
  </si>
  <si>
    <t xml:space="preserve">Marcielly primor </t>
  </si>
  <si>
    <t>agosrto</t>
  </si>
  <si>
    <t>Indique um amigo 50% desconto</t>
  </si>
  <si>
    <t xml:space="preserve">Iraci Raimundo do nascimento </t>
  </si>
  <si>
    <t>Wellington Resende de Paula</t>
  </si>
  <si>
    <t>Jose Benedito de lima</t>
  </si>
  <si>
    <t>Carlos Gilberto Brandão</t>
  </si>
  <si>
    <t>veio na loja</t>
  </si>
  <si>
    <t>Benedito jurandir dos Santos</t>
  </si>
  <si>
    <t>fachada loja 12/09 instalação</t>
  </si>
  <si>
    <t>Cristiano Jose da Silva</t>
  </si>
  <si>
    <t>eletrosat</t>
  </si>
  <si>
    <t xml:space="preserve">ja foi cliente </t>
  </si>
  <si>
    <t>Deniel Aparecido Chagas</t>
  </si>
  <si>
    <t>Thamires oliveira martineli</t>
  </si>
  <si>
    <t xml:space="preserve">Luan de Freitas Antonio </t>
  </si>
  <si>
    <t> MARCOS ANTONIO DE SOUZA (Loja e Brucio)</t>
  </si>
  <si>
    <t>Paulo Verneck</t>
  </si>
  <si>
    <t>Vanderley Donizete Abreu</t>
  </si>
  <si>
    <t>Felipe Siqueira Santos</t>
  </si>
  <si>
    <t xml:space="preserve">Diego Luiz Vitoriano </t>
  </si>
  <si>
    <t xml:space="preserve"> LETICIA APARECIDA DA SILVA </t>
  </si>
  <si>
    <t xml:space="preserve">Joao </t>
  </si>
  <si>
    <t>Germana do nascimento Xavier</t>
  </si>
  <si>
    <t xml:space="preserve">leads </t>
  </si>
  <si>
    <t>Silvio Cezar de Lima Megale</t>
  </si>
  <si>
    <t xml:space="preserve">Fernanda Simoes </t>
  </si>
  <si>
    <t xml:space="preserve">Silvana Mantuani </t>
  </si>
  <si>
    <t> Brenda Nathalia Trotta</t>
  </si>
  <si>
    <t>23/10/203</t>
  </si>
  <si>
    <t>Prefeitura Policia</t>
  </si>
  <si>
    <t>Rodrigo</t>
  </si>
  <si>
    <t>Vai dedetizar</t>
  </si>
  <si>
    <t>Benedito Megale Júnior</t>
  </si>
  <si>
    <t>indicação Tulio</t>
  </si>
  <si>
    <t>200MB - 99,90</t>
  </si>
  <si>
    <t>Debora Luiza de Abreu (2° ponto)</t>
  </si>
  <si>
    <t>A Cortineira ltda</t>
  </si>
  <si>
    <t>Taylon Rian oliveira couto</t>
  </si>
  <si>
    <t>Thiago leandro Siteli</t>
  </si>
  <si>
    <t xml:space="preserve">Sicred </t>
  </si>
  <si>
    <t>13/11/2023</t>
  </si>
  <si>
    <t>Maria do Carmo  Moreira</t>
  </si>
  <si>
    <t>14/11/2023</t>
  </si>
  <si>
    <t xml:space="preserve">Novembro </t>
  </si>
  <si>
    <t>16/11/2023</t>
  </si>
  <si>
    <t>Maria Salome Silva</t>
  </si>
  <si>
    <t>Indicação Jordino</t>
  </si>
  <si>
    <t>17/11/2023</t>
  </si>
  <si>
    <t>Marlene da Silva</t>
  </si>
  <si>
    <t xml:space="preserve">Terça </t>
  </si>
  <si>
    <t xml:space="preserve">Matheus Máximo da Silva Cunha </t>
  </si>
  <si>
    <t>Maria do Carmo medeiros</t>
  </si>
  <si>
    <t>21/11/2023</t>
  </si>
  <si>
    <t xml:space="preserve">Marcela Pereira Furtado </t>
  </si>
  <si>
    <t>100MB - 79,90</t>
  </si>
  <si>
    <t>Eliana cristina fernandes</t>
  </si>
  <si>
    <t xml:space="preserve">Quinta 23/11 </t>
  </si>
  <si>
    <t>27/11/2023</t>
  </si>
  <si>
    <t>Benedito Oliveira</t>
  </si>
  <si>
    <t>Paulo Roberto Alves</t>
  </si>
  <si>
    <t>28/11/2023</t>
  </si>
  <si>
    <t>Chico Tamoyo</t>
  </si>
  <si>
    <t xml:space="preserve"> Centro de Formação de Condutores Arouca e Novato Ltda</t>
  </si>
  <si>
    <t>Elaine Jamile de Campos Castro kcz</t>
  </si>
  <si>
    <t xml:space="preserve">Maria do Carmo Cobra Ribeiro </t>
  </si>
  <si>
    <t>indicacao Luiz Guilherme</t>
  </si>
  <si>
    <t xml:space="preserve">Evilyn Nascimento de Oliveira </t>
  </si>
  <si>
    <t xml:space="preserve">Terezinha Auxiliadora </t>
  </si>
  <si>
    <t>Alessandra</t>
  </si>
  <si>
    <t xml:space="preserve">Dezembro </t>
  </si>
  <si>
    <t xml:space="preserve">Celia Borges do Couto </t>
  </si>
  <si>
    <t xml:space="preserve">Quarta </t>
  </si>
  <si>
    <t>13/12/2023</t>
  </si>
  <si>
    <t>14/12/2023</t>
  </si>
  <si>
    <t>15/12/2023</t>
  </si>
  <si>
    <t>3°ponto</t>
  </si>
  <si>
    <t>Igreja Batista Bíblica</t>
  </si>
  <si>
    <t>19/12/2023</t>
  </si>
  <si>
    <t> Fagner Andrade de Rezende</t>
  </si>
  <si>
    <t>20/12/2023</t>
  </si>
  <si>
    <t>21/12/2023</t>
  </si>
  <si>
    <t>22/12/2023</t>
  </si>
  <si>
    <t>Sebastião Arlindo</t>
  </si>
  <si>
    <t xml:space="preserve">Karina de Lima Gomes </t>
  </si>
  <si>
    <t>26/12/2023</t>
  </si>
  <si>
    <t>Francislene de Fátima Camarrgo</t>
  </si>
  <si>
    <t xml:space="preserve">Já foi cliente </t>
  </si>
  <si>
    <t xml:space="preserve">José Luiz Santos Oliveira </t>
  </si>
  <si>
    <t>Quinta</t>
  </si>
  <si>
    <t>27/12/2023</t>
  </si>
  <si>
    <t>Quinta 04/01</t>
  </si>
  <si>
    <t>28/12/2023</t>
  </si>
  <si>
    <t> José Augusto da Rosa Silva</t>
  </si>
  <si>
    <t>3º ponto</t>
  </si>
  <si>
    <t xml:space="preserve">Samir Neves dos Santos </t>
  </si>
  <si>
    <t>Du</t>
  </si>
  <si>
    <t>Du ( segundo ponto )</t>
  </si>
  <si>
    <t>29/12/2023</t>
  </si>
  <si>
    <t xml:space="preserve">Du </t>
  </si>
  <si>
    <t>30/12/2023</t>
  </si>
  <si>
    <t>Janeiro 2024</t>
  </si>
  <si>
    <t xml:space="preserve">Reinaldo dos Santos </t>
  </si>
  <si>
    <t xml:space="preserve">Murilo Carlos Coutinho </t>
  </si>
  <si>
    <t>Frampur Francisco de Assis Silva</t>
  </si>
  <si>
    <t>Maximilian Gonçalves dias</t>
  </si>
  <si>
    <t xml:space="preserve">Diego sanchez </t>
  </si>
  <si>
    <t xml:space="preserve">Shirley Lima Norberto </t>
  </si>
  <si>
    <t xml:space="preserve">Sexta </t>
  </si>
  <si>
    <t xml:space="preserve">Talita Sanguina Guardiã </t>
  </si>
  <si>
    <t>Daniela Cristina Aparecida euzebio do couto</t>
  </si>
  <si>
    <t>Celiane Roberta Pereira</t>
  </si>
  <si>
    <t>Luiz Guilherme</t>
  </si>
  <si>
    <t>17/012024</t>
  </si>
  <si>
    <t>Kaique Brito Da Silva</t>
  </si>
  <si>
    <t>Vitrine loja</t>
  </si>
  <si>
    <t>Keila aparecida de Oliveira Santos</t>
  </si>
  <si>
    <t xml:space="preserve">Segunda </t>
  </si>
  <si>
    <t>Emanuel Lajes Silva</t>
  </si>
  <si>
    <t xml:space="preserve">Jéssica Martins Cabral </t>
  </si>
  <si>
    <t>Antônio Angelo Rossi Filho</t>
  </si>
  <si>
    <t xml:space="preserve">Luana Flávia Costa </t>
  </si>
  <si>
    <t>Sidney luiz de Alvarenga</t>
  </si>
  <si>
    <t>Brucio/loja</t>
  </si>
  <si>
    <t>Segundo ponto</t>
  </si>
  <si>
    <t>Wellington Natan da Silva</t>
  </si>
  <si>
    <t xml:space="preserve">Natalia Lopes dos Santos </t>
  </si>
  <si>
    <t>Alieste Nogueira</t>
  </si>
  <si>
    <t>Tecelagem Borda Textil</t>
  </si>
  <si>
    <t>duh</t>
  </si>
  <si>
    <t xml:space="preserve"> Luan Donizete Sousa dos Santos</t>
  </si>
  <si>
    <t>Amanda cândida da Silva</t>
  </si>
  <si>
    <t>Nathan Henrique Goulart</t>
  </si>
  <si>
    <t xml:space="preserve"> Lucilene do Carmo Mariano</t>
  </si>
  <si>
    <t>sexta 08/03</t>
  </si>
  <si>
    <t xml:space="preserve">Victoria Santana Sousa Santos </t>
  </si>
  <si>
    <t>Sábado 09/03</t>
  </si>
  <si>
    <t xml:space="preserve">Alexandro Galvão de Souza </t>
  </si>
  <si>
    <t xml:space="preserve">Maria Lea Leopoldino </t>
  </si>
  <si>
    <t xml:space="preserve">Maria Eduarda Fernal Pereira </t>
  </si>
  <si>
    <t>Wal</t>
  </si>
  <si>
    <t>Jonh Erick Ortiz da Costa</t>
  </si>
  <si>
    <t xml:space="preserve"> Maria Teresa Pinheiro Bogoni</t>
  </si>
  <si>
    <t>Já era cliente</t>
  </si>
  <si>
    <t xml:space="preserve">Ricardo Gomes Martins </t>
  </si>
  <si>
    <t xml:space="preserve">Jeferson Vieira Sardinha </t>
  </si>
  <si>
    <t>Carolina Cobra Moraes</t>
  </si>
  <si>
    <t xml:space="preserve">2 ponto </t>
  </si>
  <si>
    <t xml:space="preserve">Jose Roberto Alves Correia </t>
  </si>
  <si>
    <t xml:space="preserve">Daniel Werneck Machado </t>
  </si>
  <si>
    <t xml:space="preserve">Carlos </t>
  </si>
  <si>
    <t xml:space="preserve">Neusa Mariana da Silva </t>
  </si>
  <si>
    <t xml:space="preserve">Daniela Gomes Valente </t>
  </si>
  <si>
    <t xml:space="preserve">Ana Rita Moreira </t>
  </si>
  <si>
    <t xml:space="preserve">2 PONTO </t>
  </si>
  <si>
    <t xml:space="preserve">Adriana Lima </t>
  </si>
  <si>
    <t xml:space="preserve"> Fernando Barbosa de Almeida</t>
  </si>
  <si>
    <t xml:space="preserve">Lucas Miranda </t>
  </si>
  <si>
    <t xml:space="preserve">Rodnei Pinheiro Duarte </t>
  </si>
  <si>
    <t>Maria Silvanete da Silveira Moraes</t>
  </si>
  <si>
    <t xml:space="preserve">Joao Paulo Mariano </t>
  </si>
  <si>
    <t xml:space="preserve">Nelson Gonçalves Júnior </t>
  </si>
  <si>
    <t xml:space="preserve">Walquiria Aparecida Carvalho de Oliveira </t>
  </si>
  <si>
    <t xml:space="preserve"> Dandara Teodoro Oliveira </t>
  </si>
  <si>
    <t xml:space="preserve">Raquel Cristina Mariano </t>
  </si>
  <si>
    <t xml:space="preserve">Silvana Vieira dos Santos </t>
  </si>
  <si>
    <t xml:space="preserve">Fabrine Nunes Pinto </t>
  </si>
  <si>
    <t xml:space="preserve">Rogerio Veiga Júnior </t>
  </si>
  <si>
    <t xml:space="preserve">Brucio </t>
  </si>
  <si>
    <t xml:space="preserve">Antonio Gomes da Silva </t>
  </si>
  <si>
    <t xml:space="preserve"> Juliana Costa Silveira Rodrigues</t>
  </si>
  <si>
    <t xml:space="preserve">Duh 2 ponto </t>
  </si>
  <si>
    <t xml:space="preserve">Célia Regina </t>
  </si>
  <si>
    <t xml:space="preserve">Paulo Cesar Polo Alexandrino </t>
  </si>
  <si>
    <t xml:space="preserve">Leandro Augusto Machado </t>
  </si>
  <si>
    <t>Júlia de melo Marçal Lopes</t>
  </si>
  <si>
    <t xml:space="preserve">Danubia </t>
  </si>
  <si>
    <t xml:space="preserve">Corina Monti Bottoni </t>
  </si>
  <si>
    <t xml:space="preserve"> Luiz Guilherme Moreira Máximo</t>
  </si>
  <si>
    <t xml:space="preserve">Milton Gomes dos Santos </t>
  </si>
  <si>
    <t xml:space="preserve">Maria de Lourdes  Ferreira </t>
  </si>
  <si>
    <t xml:space="preserve">      18/04/24 </t>
  </si>
  <si>
    <t xml:space="preserve">Duh </t>
  </si>
  <si>
    <t>Segunda 06/05</t>
  </si>
  <si>
    <t xml:space="preserve">Angélica Aparecida Soares Alvares </t>
  </si>
  <si>
    <t xml:space="preserve">Abril </t>
  </si>
  <si>
    <t xml:space="preserve">Loja Inconfidentes </t>
  </si>
  <si>
    <t>9 ponto</t>
  </si>
  <si>
    <t>João Carlos dos Santos</t>
  </si>
  <si>
    <t xml:space="preserve">Erica Aparecida da Silva </t>
  </si>
  <si>
    <t xml:space="preserve">Sandra Aparecida Vieira </t>
  </si>
  <si>
    <t>Fernando da Silva Cabral</t>
  </si>
  <si>
    <t>Renan</t>
  </si>
  <si>
    <t>John Passos</t>
  </si>
  <si>
    <t xml:space="preserve"> Luis Antonio Lopes da Silva</t>
  </si>
  <si>
    <t>Terča</t>
  </si>
  <si>
    <t>Denice Ramos</t>
  </si>
  <si>
    <t>Manoel Célio dos santos</t>
  </si>
  <si>
    <t>Débora dos santos de Assis</t>
  </si>
  <si>
    <t>Sábado</t>
  </si>
  <si>
    <t xml:space="preserve"> Jizele Costa de Oliveira Rezende</t>
  </si>
  <si>
    <t>Alfredo Gomes de Lima</t>
  </si>
  <si>
    <t xml:space="preserve">DUH </t>
  </si>
  <si>
    <t>Duh 2 ponto</t>
  </si>
  <si>
    <t xml:space="preserve"> Adriana Lopes Machado</t>
  </si>
  <si>
    <t>Terça 28/05</t>
  </si>
  <si>
    <t xml:space="preserve">Renata Pereira Dos Santos </t>
  </si>
  <si>
    <t>João Paulo do Couto Peçanha</t>
  </si>
  <si>
    <t xml:space="preserve"> Simone Montagnani de Sousa</t>
  </si>
  <si>
    <t>Terça</t>
  </si>
  <si>
    <t xml:space="preserve">Marcos da Silva Ribeiro </t>
  </si>
  <si>
    <t xml:space="preserve">Romilda Borges do Couto Pereira </t>
  </si>
  <si>
    <t>Maria  da Penha Custódio da Silva</t>
  </si>
  <si>
    <t>Maria Cecilia Amaro de Souza</t>
  </si>
  <si>
    <t>3 PONTO</t>
  </si>
  <si>
    <t xml:space="preserve"> Lucas Samuel Leopoldino</t>
  </si>
  <si>
    <t xml:space="preserve">Júlio Cesar Silva Oliveira </t>
  </si>
  <si>
    <t>ANA CAROLINE DE FREITAS VITÓRIO</t>
  </si>
  <si>
    <t>kelsen Henrique Barbosa Rodrigues</t>
  </si>
  <si>
    <t>DANUBIA</t>
  </si>
  <si>
    <t xml:space="preserve">Antônio Vicente Martins </t>
  </si>
  <si>
    <t>Terça Feira 18/06</t>
  </si>
  <si>
    <t xml:space="preserve">Sabado </t>
  </si>
  <si>
    <t xml:space="preserve">Terça Feira </t>
  </si>
  <si>
    <t>Victor</t>
  </si>
  <si>
    <t xml:space="preserve">Natalia Tainara Cândido Caetano </t>
  </si>
  <si>
    <t xml:space="preserve">Paulo Sérgio da Silva Girio Junior </t>
  </si>
  <si>
    <t>Cleuza job Moreira Souza</t>
  </si>
  <si>
    <t>Ana Claudia Damas Carvalho</t>
  </si>
  <si>
    <t>24/06/2024</t>
  </si>
  <si>
    <t>Ana Beatriz de Oliveira floriano</t>
  </si>
  <si>
    <t xml:space="preserve">Eduarda Caroline da Silveira </t>
  </si>
  <si>
    <t xml:space="preserve"> Geni Francisca Paulino</t>
  </si>
  <si>
    <t>Rosineia da Silva</t>
  </si>
  <si>
    <t>a</t>
  </si>
  <si>
    <t xml:space="preserve"> Emerson Henrique Toledo Gusmão Silva</t>
  </si>
  <si>
    <t xml:space="preserve"> Lessandra do Carmo Faria</t>
  </si>
  <si>
    <t xml:space="preserve">Elcera rosemary de Gusmão </t>
  </si>
  <si>
    <t>4° ponto</t>
  </si>
  <si>
    <t xml:space="preserve"> Alana Lissa Santos da Cruz </t>
  </si>
  <si>
    <t xml:space="preserve"> João Alves de Souza Filho</t>
  </si>
  <si>
    <t xml:space="preserve">2° ponto </t>
  </si>
  <si>
    <t xml:space="preserve">Denis Henrique consentino </t>
  </si>
  <si>
    <t>Luiz Guilherme Euzébio</t>
  </si>
  <si>
    <t xml:space="preserve">Beatriz da Silva garcia </t>
  </si>
  <si>
    <t>Prefeitura ponto estadio</t>
  </si>
  <si>
    <t>19/07/2024</t>
  </si>
  <si>
    <t xml:space="preserve">Jose Abenildo Cavalcante Ferreira </t>
  </si>
  <si>
    <t>Lausiane raquel Borges</t>
  </si>
  <si>
    <t>Gabryel kaua Nascimento Claudino</t>
  </si>
  <si>
    <t>Welisson</t>
  </si>
  <si>
    <t xml:space="preserve">Luana Heloise da Silva </t>
  </si>
  <si>
    <t xml:space="preserve">Maria Alcidinea de Toledo Zucarelli </t>
  </si>
  <si>
    <t>José Lopes Barbosa</t>
  </si>
  <si>
    <t xml:space="preserve">Gabriel Henrique Silva </t>
  </si>
  <si>
    <t>straming novo</t>
  </si>
  <si>
    <t>Ronaldo Silva Santos</t>
  </si>
  <si>
    <t>Alan Henrique Gonçalves</t>
  </si>
  <si>
    <t>Maria de Fátima Renó Moreira</t>
  </si>
  <si>
    <t>Rian Agusto Piedade</t>
  </si>
  <si>
    <t xml:space="preserve"> Município de Borda da Mata</t>
  </si>
  <si>
    <t xml:space="preserve">Eberson da Silva </t>
  </si>
  <si>
    <t>TIAGO GALVAO OLIVEIRA</t>
  </si>
  <si>
    <t>Jose Roberto dos Santos (Zambiro)</t>
  </si>
  <si>
    <t xml:space="preserve">Thábata Vitória Canadas De Souza </t>
  </si>
  <si>
    <t xml:space="preserve">Eder Luiz Gouveia </t>
  </si>
  <si>
    <t>17/09/2024</t>
  </si>
  <si>
    <t>18/09/2024</t>
  </si>
  <si>
    <t>Jessica da Silva</t>
  </si>
  <si>
    <t>Indicacao de cliente</t>
  </si>
  <si>
    <t>Dalawanda Chelsea Mayssa atanazio</t>
  </si>
  <si>
    <t xml:space="preserve">Zilda Siqueira de Carvalho </t>
  </si>
  <si>
    <t>21/09/2024</t>
  </si>
  <si>
    <t>Andrea Monsolin Wuelta</t>
  </si>
  <si>
    <t>Regina Raquel Custodio Santos</t>
  </si>
  <si>
    <t xml:space="preserve">Ana Paula da Silva </t>
  </si>
  <si>
    <t>Ruberley Dias Batista</t>
  </si>
  <si>
    <t>Paulo Roberto Barbosa</t>
  </si>
  <si>
    <t>Gabriela Bispo da Silva de Assis</t>
  </si>
  <si>
    <t>Eleusa de Souza Couto</t>
  </si>
  <si>
    <t>Ricardo Amaro</t>
  </si>
  <si>
    <t>LUIS FILIPE JORGE DOMINGUES DE OLIVEIRA</t>
  </si>
  <si>
    <t>Gisele de Jesus Amorim</t>
  </si>
  <si>
    <t xml:space="preserve">Israel Dias da Silva </t>
  </si>
  <si>
    <t>Gabrieli Godoi do Carmo Raimundo</t>
  </si>
  <si>
    <t>Valdinei Roberto da Silva</t>
  </si>
  <si>
    <t>Leny Ribeiro Camargo</t>
  </si>
  <si>
    <t xml:space="preserve">Outubro </t>
  </si>
  <si>
    <t>Mauriceia Martins de Souza Silva</t>
  </si>
  <si>
    <t>Girlene Alves Pinto Salgado</t>
  </si>
  <si>
    <t>Elizabeth Rosa Maia</t>
  </si>
  <si>
    <t>Lucelia Aparecida da Silva</t>
  </si>
  <si>
    <t>Mattos Calçados e Conffeções</t>
  </si>
  <si>
    <t>Josefa de Moraes Pereira</t>
  </si>
  <si>
    <t xml:space="preserve"> Mirely Rocha de Gouvea Freitas</t>
  </si>
  <si>
    <t>Juliana Alves de Andrade</t>
  </si>
  <si>
    <t>21/10/2024</t>
  </si>
  <si>
    <t>F H COMERCIO E SERVICOS LIDA</t>
  </si>
  <si>
    <t>Maria Luiza Coelho dos Santos</t>
  </si>
  <si>
    <t>Rafaelly Gomes de lima</t>
  </si>
  <si>
    <t>Thabata Belli Rutter Salles Souza</t>
  </si>
  <si>
    <t>Edson Mendes de Oliveira</t>
  </si>
  <si>
    <t>Luiz Miguel dos Santos</t>
  </si>
  <si>
    <t xml:space="preserve"> Isaac Rodrigues de Oliveira</t>
  </si>
  <si>
    <t>Carlos Eduardo de Padua Siqueira</t>
  </si>
  <si>
    <t>indicação Luiz Guilherme</t>
  </si>
  <si>
    <t>2 PONTO</t>
  </si>
  <si>
    <t xml:space="preserve">Talysson Gustavo Ramos Santos </t>
  </si>
  <si>
    <t>Paulo Sergio de Oliveira</t>
  </si>
  <si>
    <t>Elza Helena Nunes</t>
  </si>
  <si>
    <t>Ligia Maria Barbosa de Oliveira</t>
  </si>
  <si>
    <t>Alysson Souza Santos</t>
  </si>
  <si>
    <t>Edmilson Ribeiro Severiano</t>
  </si>
  <si>
    <t>Antonia Carolina Conceição Oliveira</t>
  </si>
  <si>
    <t>Marlene de Freitas Silva</t>
  </si>
  <si>
    <t>João Antonio Mariano</t>
  </si>
  <si>
    <t>Maria Jose Moreira</t>
  </si>
  <si>
    <t>Adelson Braz Barreto</t>
  </si>
  <si>
    <t>Maria Aparecida Soares Vitorino</t>
  </si>
  <si>
    <t>Edgar Cobra</t>
  </si>
  <si>
    <t>Florival Pinto Junior</t>
  </si>
  <si>
    <t>Natalie Anaise Sobreiro</t>
  </si>
  <si>
    <t>Carolina dos Santos Assis</t>
  </si>
  <si>
    <t>Nao instalado</t>
  </si>
  <si>
    <t>Jaciete de Castro Brandão Albano</t>
  </si>
  <si>
    <t>(Não instalado</t>
  </si>
  <si>
    <t>Clientes Via 01 Junho</t>
  </si>
  <si>
    <t>Motivo do cancelamento</t>
  </si>
  <si>
    <t>Data de ativação</t>
  </si>
  <si>
    <t>Valor da multa</t>
  </si>
  <si>
    <t>DATA</t>
  </si>
  <si>
    <t>Cliente trabalha com vendas de imoveis, por conta da taxa de mudança de endereço o cliente preferiu cancelar</t>
  </si>
  <si>
    <t>Mudança</t>
  </si>
  <si>
    <t>Não Gostou</t>
  </si>
  <si>
    <t>Diego/TV</t>
  </si>
  <si>
    <t>Cliente mudará de cidade. Irá pra São Paulo</t>
  </si>
  <si>
    <t>(2x)</t>
  </si>
  <si>
    <t xml:space="preserve">Cliente não quis colocar roteador melhor. Preferiu cancelar. </t>
  </si>
  <si>
    <t>Financeiro</t>
  </si>
  <si>
    <t>Isenta</t>
  </si>
  <si>
    <t>Cliente irá morar com a namorada que já é cliente nossa</t>
  </si>
  <si>
    <t>(3x)</t>
  </si>
  <si>
    <t>Cliente mudará de cidade</t>
  </si>
  <si>
    <t>(1x)</t>
  </si>
  <si>
    <t>Cliente cancelou um dos ponto para cortar gasto</t>
  </si>
  <si>
    <t>Cliente isento da multa</t>
  </si>
  <si>
    <t>Clientes Via 01 Julho</t>
  </si>
  <si>
    <t>Cliente cancelou pois não estava usando a internet</t>
  </si>
  <si>
    <t>Cliente não gostou da conexão</t>
  </si>
  <si>
    <t>Não gostou</t>
  </si>
  <si>
    <t xml:space="preserve">Cliente vai mudar de cidade </t>
  </si>
  <si>
    <t>Cliente mudou de cidade</t>
  </si>
  <si>
    <t>Cliente Faleceu</t>
  </si>
  <si>
    <t>Cliente se mudou pra roça</t>
  </si>
  <si>
    <t>Cliente mudou pra roça</t>
  </si>
  <si>
    <t>Clientes Via 01 AGOSTO</t>
  </si>
  <si>
    <t xml:space="preserve">Cliente cancelou por conta de estar apertada para efetuar os pagamentos </t>
  </si>
  <si>
    <t>Cliente inadimplente</t>
  </si>
  <si>
    <t>Cliente cancelou pois não está usando no momento, disse pedirá novamente após um tempo</t>
  </si>
  <si>
    <t>Cliente se mudou</t>
  </si>
  <si>
    <t xml:space="preserve">isenta </t>
  </si>
  <si>
    <t>Cliente esta com problemas financeiro</t>
  </si>
  <si>
    <t>Clientes Via 01 SETEMBRO</t>
  </si>
  <si>
    <t xml:space="preserve">Cliente irá mudar de cidade </t>
  </si>
  <si>
    <t>Cliente diz que não funciona em sua casa</t>
  </si>
  <si>
    <t>Cliente mudou pra São Paulo</t>
  </si>
  <si>
    <t>Clientes Via 01 OUTUBRO</t>
  </si>
  <si>
    <t xml:space="preserve">Cliente não está tendo condiçoes de pagar </t>
  </si>
  <si>
    <t>Retirada de equipamentos</t>
  </si>
  <si>
    <t>retirada de equipamentos</t>
  </si>
  <si>
    <t>Elizenir de Fatima Moraes</t>
  </si>
  <si>
    <t>não encontrado em casa</t>
  </si>
  <si>
    <t>Cliente se mudou e não avisou pra mudar o endereço, tecnicos localizaram a Onu na casa da nova moradora e retiraram</t>
  </si>
  <si>
    <t>cliente cancelou</t>
  </si>
  <si>
    <t>Cliente mudou pra Pouso Alegre</t>
  </si>
  <si>
    <t>Cliente Cancelou, não quis falar qual o motivo do cancelamento</t>
  </si>
  <si>
    <t>Cliente cancelou por conta de um amigo próximo que trabalha na Logic Link</t>
  </si>
  <si>
    <t>Diego / TV</t>
  </si>
  <si>
    <t>Cliente Cancelou pois irá voltar pra são Paulo</t>
  </si>
  <si>
    <t>Cliente Cancelou pois irá voltar pra Pouso Alegre</t>
  </si>
  <si>
    <t>Cliente fechou com Diego por consideração a amizade</t>
  </si>
  <si>
    <t xml:space="preserve">Cliente colocou plano com tv da logic link </t>
  </si>
  <si>
    <t xml:space="preserve">Cliente cancelou, segundo ele está passando por momento complicado e não está conseguindo pagar </t>
  </si>
  <si>
    <t>Cliente cancelou, segundo ele está passando por momento complicado e não está conseguindo pagar</t>
  </si>
  <si>
    <t>Cliente não usa muito. Preferiu manter um ponto só.</t>
  </si>
  <si>
    <t>Cliente Testou a internet do Wilkens com Tv e gostou
Fizemos proposta para o cliente de 300 megas por 79,90 mas o mesmo não quis, pois não tínhamos tv pra oferecer</t>
  </si>
  <si>
    <t>Cliente diz não ter condições pra seguir pagando as mensalidades, pois o irmão está desempregado. Foi proposto para a cliente 3 meses de isenção e abaixar sua mensalidade a 79,90 no plano de 100 megas, mas a mesma não aceitou.</t>
  </si>
  <si>
    <t>financeiro</t>
  </si>
  <si>
    <t>Cliente cancelou, disse que está sem condiçoes de pagar, oferecemos ao cliente pra pagar a metade do valor por 3 meses, o mesmo não aceitou. oferecia isenção por 3 meses mas ele disse que não ia querer mesmo.</t>
  </si>
  <si>
    <t>Cliente cancelou pois é amigo do Diego da logic link , fizemos varias propostas, inclusive de isenção de mensalidade, desconto de 50 % na mensalidade, mas o mesmo não aceitou.</t>
  </si>
  <si>
    <t>Cliente instalou em setembro, e abriu 3 chamados de problemas de conexao, foi trocado a Onu, mais ela disse que a internet não funcionava, ofereci desconto por 15  dias, disse que ia colocar um tplink e deixar de teste mais ela ja havia pedido para a logiclink colocar de volta, cancelou mesmo estava insatisfeita com nossos serviços.</t>
  </si>
  <si>
    <t>Cliente mudou para outra cidade</t>
  </si>
  <si>
    <t xml:space="preserve">A mãe do cliente veio cancelar pois os filhos foram embora de bordae ela não iria usar </t>
  </si>
  <si>
    <t xml:space="preserve">Cliente disse que marido contratou internet da logic link pra jogos e TV, testou  por um mês e achou melhor que a nossa. O mesmo não quis nem passar a oferta que teve, pra oferecermos uma proposta melhor. </t>
  </si>
  <si>
    <t>Cliente disse que recebeu proposta melhor da logic link com Tv. Fizemos 300 megas a 79,90, mas o mesmo não aceitou, pois não oferecemos serviços de tv pra cobrir a oferta. Cliente disse que o plano fechado e sem fidelidade.</t>
  </si>
  <si>
    <t>Falecimento</t>
  </si>
  <si>
    <t>Cliente cancelou pois se mudou de Borda, ela havia avisado quando contratou que não ficaria muito tempo</t>
  </si>
  <si>
    <t>cancelou, colocou da logiclink, por conta da tv, ofereci 300megas por 99,90, falei das nossas qualidades, do nosso serviço, mais mesmo assim ela quis cancelar por conta da tv.</t>
  </si>
  <si>
    <t>cancelou a internet mudou esta morando em pouso alegre</t>
  </si>
  <si>
    <t>cancelou por motivo de saude, familia mora fora e teve que ir passar uns tempos pra la, por isso pediu cancelanento</t>
  </si>
  <si>
    <t>cancelou, disse que fechou a loja e nao vai usar a internet mais</t>
  </si>
  <si>
    <t>retirar o equipamento cancelou porque vai estar alguns meses fora e nao estara usando a internet.</t>
  </si>
  <si>
    <t>colocou da turbonet, ofereceram um plano mais em conta eu oferecei o dobro pra ele disse que colocava com nossos equipamentos, mais ele disse que ja havia assinado o contrato</t>
  </si>
  <si>
    <t>trocou de provedor, preço</t>
  </si>
  <si>
    <t>devendo 4 meses de internet</t>
  </si>
  <si>
    <t>Mudou de provedor pois sua conexão estava ruim</t>
  </si>
  <si>
    <t>Cliente estava devendo 3 meses e disse não estar contente com a internet</t>
  </si>
  <si>
    <t>cancelou um ponto e ficou so com um, cortar gastos</t>
  </si>
  <si>
    <t>vendeu o ponto comercial, e o comprador não vai colocar a internet já</t>
  </si>
  <si>
    <t>cancelou mudou de cidade</t>
  </si>
  <si>
    <t>Cancelou pois não estava usando mais</t>
  </si>
  <si>
    <t>Não estava usando a internet ( Cliente inadinplente)</t>
  </si>
  <si>
    <t>Cliente cancelou pois namorado recebeu proposta melhor e optou por trocar</t>
  </si>
  <si>
    <t>cancelou por inadimplencia</t>
  </si>
  <si>
    <t xml:space="preserve">cliente foi embora e deixou a Onu na casa, quando fomos atender um cliente encontramos </t>
  </si>
  <si>
    <t>mudou o consultorio para a medclim e la ja tem a nossa internet</t>
  </si>
  <si>
    <t>cancelou disse que evitando gastos</t>
  </si>
  <si>
    <t>cliente não está usando mais</t>
  </si>
  <si>
    <t xml:space="preserve">Cliente se mudou pra outra cidade </t>
  </si>
  <si>
    <t>Cliente diz que está cortando gasto</t>
  </si>
  <si>
    <t>Clente inadimplente, colocou outro provedor</t>
  </si>
  <si>
    <t xml:space="preserve">Cliente inadimplente </t>
  </si>
  <si>
    <t>Cliente diz que está sem condições de pagar a internet por estar desempregado</t>
  </si>
  <si>
    <t>Cliente diz estar cortando gastos</t>
  </si>
  <si>
    <t>Cliente está cortando gasto</t>
  </si>
  <si>
    <t>Cliente irá morar em Ouro fino</t>
  </si>
  <si>
    <t>mudou</t>
  </si>
  <si>
    <t xml:space="preserve">Cliente Inadimplente </t>
  </si>
  <si>
    <t>Cliente foi morar com cunhado que já tem internet assim que mudar pra sua casa nova retornará com o plano</t>
  </si>
  <si>
    <t>Mudou se de cidade</t>
  </si>
  <si>
    <t>mudou para a logiclink</t>
  </si>
  <si>
    <t>Cliente teve proposta logic link e não quis sequer passar o que foi oferecido pra tentarmos cobrir a oferta</t>
  </si>
  <si>
    <t>Mudou pra Ouro Fino</t>
  </si>
  <si>
    <t>diz que esta usando da vivo</t>
  </si>
  <si>
    <t xml:space="preserve">cancelou disse que houve problemas financeiro </t>
  </si>
  <si>
    <t>Fechou a padaria</t>
  </si>
  <si>
    <t xml:space="preserve">colocou da Logiclink </t>
  </si>
  <si>
    <t xml:space="preserve">Cliente que cortar gastos </t>
  </si>
  <si>
    <t>Cliente quis ir pra logic link por conta da tv e telefone</t>
  </si>
  <si>
    <t>Cliente não quis falar o motivo do cancelamento</t>
  </si>
  <si>
    <t>colocou da Logiclink queria  TV nao quis esperar</t>
  </si>
  <si>
    <t>colocou eletrosat</t>
  </si>
  <si>
    <t>mudou porque tinha um plano inferior disse que nao funcionava mudou sem ao menos nos comunicar, nao teve dialogo</t>
  </si>
  <si>
    <t>Cliente cancelou sem falar o motivo</t>
  </si>
  <si>
    <t>Cliente mudou se de cidade</t>
  </si>
  <si>
    <t>Cliente cancelou, colocou de outro provedor e não avisou a empresa</t>
  </si>
  <si>
    <t>Cliente pediu pra cancelar pois fechou a empresa</t>
  </si>
  <si>
    <t>Mudou para Pouso Alegre</t>
  </si>
  <si>
    <t>Cancelou pois a mãe fechou com outro provedor</t>
  </si>
  <si>
    <t xml:space="preserve">Cancelou pois recebeu proposta melhor </t>
  </si>
  <si>
    <t>Cliente mudou-se de cidade</t>
  </si>
  <si>
    <t>Consultório(cliente foi pra Campinas)</t>
  </si>
  <si>
    <t>Cliente disse que voltará mais pra frente, no momento não está precisando</t>
  </si>
  <si>
    <t>Mudou para logic link</t>
  </si>
  <si>
    <t>Cliente disse que o pai que usava a conexão e faleceu.</t>
  </si>
  <si>
    <t>Cliente se mudou e não solicitou o cancelamento</t>
  </si>
  <si>
    <t>Cliente se mudou de casa, e na casa já havia internet, cliente preferiu ficar com a conexão existente</t>
  </si>
  <si>
    <t>Cliente  teve proposta da Logic Link</t>
  </si>
  <si>
    <t>Clientes Via 01 Maio</t>
  </si>
  <si>
    <t>Cliente cancelou disse não estar satisfeito co a qualidade (cliente usava plano de 20 megas , foi ofericido pra cliente migrar mas na epoca não quis migrar, oferecemos nosso roteador pra ela testar mas ela não quis, disse que teve outra proposta mais interessante pra empresa dela logic link com telefone  e cancelou</t>
  </si>
  <si>
    <t>Cliente está ficando pouco em Borda, fica mais em Pouso alegre</t>
  </si>
  <si>
    <t>Cliente fechou a clinica</t>
  </si>
  <si>
    <t>retirar 31/05</t>
  </si>
  <si>
    <t>cliente disse que esta se mudando de cidade</t>
  </si>
  <si>
    <t>Cliente instalou wikens/ demos o aparelho em comod. e mesmo assim ela preferiu cancelar</t>
  </si>
  <si>
    <t>sem condiçoes no momento pra pagar</t>
  </si>
  <si>
    <t>Cliente esta com problemas financeiro( desempregado)</t>
  </si>
  <si>
    <t>Retirada</t>
  </si>
  <si>
    <t xml:space="preserve">Cliente tinha duas conexões ativas e optou por desligar a nossa </t>
  </si>
  <si>
    <t>Cliente se mudou pra Palma</t>
  </si>
  <si>
    <t>Cliente não está usando mais o ponto</t>
  </si>
  <si>
    <t>Cliente fechou o Bar</t>
  </si>
  <si>
    <t>Cliente cancelou disse que vendeu a casa e novo dono não tem interesse de ficar</t>
  </si>
  <si>
    <t>Cliente mudou pra roça (corregos das pedras)</t>
  </si>
  <si>
    <t>Cliente disse que mudou e não quer mais usar a internet da Via01</t>
  </si>
  <si>
    <t>insatisfação</t>
  </si>
  <si>
    <t xml:space="preserve">Tainara Calefi Pereira </t>
  </si>
  <si>
    <t>Cliente colocou um ponto da logic link</t>
  </si>
  <si>
    <t>insatisfeita</t>
  </si>
  <si>
    <t>WALQUIRIA APARECIDA CARVALHO DE OLIVEIRA</t>
  </si>
  <si>
    <t>cliente inadimplente</t>
  </si>
  <si>
    <t>Não retirado</t>
  </si>
  <si>
    <t xml:space="preserve">Cliente se mudou e telefone não chama </t>
  </si>
  <si>
    <t>Cliente se mudou, não recebe ligações e não responde o whats só visualiza</t>
  </si>
  <si>
    <t>Ficou de avisar quando vir na casa pra abrir a casa</t>
  </si>
  <si>
    <t>Cliente se mudou pra Campinas e levou o equipamento</t>
  </si>
  <si>
    <t>Cliente se mudou, novo morador na casa</t>
  </si>
  <si>
    <t>Cliente cancelou disse que não estava usando</t>
  </si>
  <si>
    <t xml:space="preserve">Mudança de endereço mudou pra pouso </t>
  </si>
  <si>
    <t>Cliente cancelou ponto da filha pois ela não paga</t>
  </si>
  <si>
    <t>Cancelamento cliente mudou pra Santa Rita do Sapucaí</t>
  </si>
  <si>
    <t>Cliente mudou pra Incofidentes</t>
  </si>
  <si>
    <t>Cliente vendeu a casa</t>
  </si>
  <si>
    <t>Construção Borda Ltda</t>
  </si>
  <si>
    <t>Disse que está sem condições financeiras pra continuar pagando</t>
  </si>
  <si>
    <t xml:space="preserve">Vendeu  a casa </t>
  </si>
  <si>
    <t>cliente esta mudando de cidade</t>
  </si>
  <si>
    <t xml:space="preserve">outros </t>
  </si>
  <si>
    <t>sem condiçoes de pagar</t>
  </si>
  <si>
    <t xml:space="preserve">cliente nao esta usando mais </t>
  </si>
  <si>
    <t>disse que nao estava usando</t>
  </si>
  <si>
    <t>Disse que mora sozinha e os dados móveis está sendo suficiente</t>
  </si>
  <si>
    <t>vai trazer Roteador na loja</t>
  </si>
  <si>
    <t xml:space="preserve">Cliente disse que não fica em casa </t>
  </si>
  <si>
    <t>Cliente cancelou 2° ponto pois fechou a fabrica</t>
  </si>
  <si>
    <t>Não vai mais fazer o uso do ponto, estão se reestruturando</t>
  </si>
  <si>
    <t>Não quis expor o motivo</t>
  </si>
  <si>
    <t>Clientes Via 01 Agosto</t>
  </si>
  <si>
    <t>Cliente disse que estava sem condiçoes de pagar no momento</t>
  </si>
  <si>
    <t>Se mudou de cidade</t>
  </si>
  <si>
    <t>Cliente se mudou pra roça (não atendemos )</t>
  </si>
  <si>
    <t>Cliente se mudou pra São Paulo</t>
  </si>
  <si>
    <t>financeiro em atraso</t>
  </si>
  <si>
    <t>inadimplencia</t>
  </si>
  <si>
    <t>Sara Magagnini Brandão</t>
  </si>
  <si>
    <t>Não retirado equipamento, casa vazia (cobrado roteador)</t>
  </si>
  <si>
    <t>ok, ficou faltando a fonte</t>
  </si>
  <si>
    <t>Cliente não localizado</t>
  </si>
  <si>
    <t>Felipe Antonio Monti Bottoni de Souza</t>
  </si>
  <si>
    <t>cliente não encontrado, mas ficou de trazer o roteador na loja</t>
  </si>
  <si>
    <t>cliente não encontrado, recusa ligações e não recebe whats</t>
  </si>
  <si>
    <t>Gian Augusto do Carmo</t>
  </si>
  <si>
    <t>Fechou o estabelecimento</t>
  </si>
  <si>
    <t>Clientes Via 01 Setembro</t>
  </si>
  <si>
    <t>Governo não mandou verba para renovar contrato</t>
  </si>
  <si>
    <t>Insatisfação (via radio)</t>
  </si>
  <si>
    <t>Insatisfação disse que não funciona na tv dele</t>
  </si>
  <si>
    <t>Cliente foi transferido pra outra loja (Ex gerente da Edmil)</t>
  </si>
  <si>
    <t>Cliente cedeu o nome para amigo usar e ele faleceu</t>
  </si>
  <si>
    <t>Cliente se mudou para Ouro Fino</t>
  </si>
  <si>
    <t>Cliente disse que colocou outro provedor</t>
  </si>
  <si>
    <t>Thaline dos Santos (ponto da filha)</t>
  </si>
  <si>
    <t>Clientes Via 01 Outubro</t>
  </si>
  <si>
    <t>Cliente se mudou para Jundiai</t>
  </si>
  <si>
    <t>Cliente se mudou para Guarulhos</t>
  </si>
  <si>
    <t>Cliente pedirá novamente assim que governo mandar verba</t>
  </si>
  <si>
    <t>Cliente mudou para Pouso Alegre</t>
  </si>
  <si>
    <t>Clientes Via 01 Novembro</t>
  </si>
  <si>
    <t>Caixa Escolar João Rezende da Costa</t>
  </si>
  <si>
    <t xml:space="preserve">Cliente cancelou pois não usava a internet </t>
  </si>
  <si>
    <t>Cliente se separou de marido e voltou a morar com a mãe que já é cliente nossa</t>
  </si>
  <si>
    <t>Cliente pediu mudança de endereço porém desapareceu não atende telefone</t>
  </si>
  <si>
    <t xml:space="preserve">Cliente cancelou pois não irá usar mais internet </t>
  </si>
  <si>
    <t>Cancelou porque precisava de telefone com internet, a vivo lá não pega direito</t>
  </si>
  <si>
    <t>Cancelou pois não usa</t>
  </si>
  <si>
    <t>Cliente cancelou pois mudou salão pra endereço que ja tem instalação nossa ativa</t>
  </si>
  <si>
    <t>Cliente mudou para Monte Sião</t>
  </si>
  <si>
    <t>Cliente se mudou de ciddade</t>
  </si>
  <si>
    <t>não achou</t>
  </si>
  <si>
    <t>mudou/wal</t>
  </si>
  <si>
    <t>Cliente se mudou para casa de amigo que ja tinha internet em casa</t>
  </si>
  <si>
    <t>Cliente irá se mudar para campinas</t>
  </si>
  <si>
    <t>Eder Cogui</t>
  </si>
  <si>
    <t>clinete mudou pro sitio</t>
  </si>
  <si>
    <t>mudanca</t>
  </si>
  <si>
    <t>Cliente mudou-se para São Paulo</t>
  </si>
  <si>
    <t>Jaime Bertolacine</t>
  </si>
  <si>
    <t xml:space="preserve">mudou se </t>
  </si>
  <si>
    <t>trocou por causa do fixo</t>
  </si>
  <si>
    <t>trocou</t>
  </si>
  <si>
    <t xml:space="preserve">trocou </t>
  </si>
  <si>
    <t>Trocou de provedor</t>
  </si>
  <si>
    <t>Cliente mudou-se para outra cidade</t>
  </si>
  <si>
    <t>Cancelou</t>
  </si>
  <si>
    <t>Mudou-se para roça Bairro Contendas</t>
  </si>
  <si>
    <t>Mudou pra casa que ja tinha nossa conexão</t>
  </si>
  <si>
    <t>Mudou-se e não avisou a empresa (Davi foi entregar boleto e avisou)</t>
  </si>
  <si>
    <t>Fechou a loja</t>
  </si>
  <si>
    <t xml:space="preserve">Cliente mora fora e está vindo pouco na cidade </t>
  </si>
  <si>
    <t>Ganhou um ano gratis em sorteio</t>
  </si>
  <si>
    <t>Cliente mudou de Borda</t>
  </si>
  <si>
    <t>Insatisfação, trocou e não pediu nenhum suporte</t>
  </si>
  <si>
    <t>Contratou ponto da logic link por conta do telefone fixo</t>
  </si>
  <si>
    <t>Contratou ponto da logic link  Deigo fez desconto especial por ser 2 pontos</t>
  </si>
  <si>
    <t>RicardoAbrao de Carvalho</t>
  </si>
  <si>
    <t xml:space="preserve">mudou-se </t>
  </si>
  <si>
    <t>Cliente foi para Azilo</t>
  </si>
  <si>
    <t>Voltou a morar com a mãe</t>
  </si>
  <si>
    <t>mudou pro sitio</t>
  </si>
  <si>
    <t>cancelou 1 ponto pois não estão usando</t>
  </si>
  <si>
    <t>Disse que estava ruim  mas ninguém foi ver, porém não avisaram a empresa</t>
  </si>
  <si>
    <t>insatisfeito</t>
  </si>
  <si>
    <t>Alojamento de construtora / irão retornar após dois meses</t>
  </si>
  <si>
    <t>jose tadeu feitosa</t>
  </si>
  <si>
    <t>fechou a loja cancelou 1 ponto</t>
  </si>
  <si>
    <t>Cancelou pois voltou a morar com o pai que é cliente nosso</t>
  </si>
  <si>
    <t>Cliente está em São Paulo com a filha</t>
  </si>
  <si>
    <t>Cliente cancelou pois colocou de outra empresa</t>
  </si>
  <si>
    <t xml:space="preserve">Cliente colocou outro provedor </t>
  </si>
  <si>
    <t xml:space="preserve">Cliente mudou se </t>
  </si>
  <si>
    <t>Mudou pra Bueno Brandao</t>
  </si>
  <si>
    <t>Trocou de provedor  disse que nao tava atendendo as nececidades.</t>
  </si>
  <si>
    <t>insatisfeito disse que nao tava atendendo as nececidades.</t>
  </si>
  <si>
    <t>Cliente mudou pra Campinas</t>
  </si>
  <si>
    <t>faltou somente a fonte</t>
  </si>
  <si>
    <t>Cliente mudou pra casa de amigo que ja é cliente</t>
  </si>
  <si>
    <t>mudou para Monte Sião</t>
  </si>
  <si>
    <t>Cliente com financeiro em atraso</t>
  </si>
  <si>
    <t>wal mudou</t>
  </si>
  <si>
    <t>falta o fire stick</t>
  </si>
  <si>
    <t>Ninguem em casa</t>
  </si>
  <si>
    <t>Andre Durval Handan Figueiredo - ponto R: Rui Barbosa</t>
  </si>
  <si>
    <t>Mudou o restaurante pro emporio</t>
  </si>
  <si>
    <t>Fechou a fabrica</t>
  </si>
  <si>
    <t>Mudou para São Paulo</t>
  </si>
  <si>
    <t>Cliente voltou a morar no endereço antigo onde ja tinha conexão</t>
  </si>
  <si>
    <t>cliente mudou</t>
  </si>
  <si>
    <t>devolveu o roteador em 27/03 na loja</t>
  </si>
  <si>
    <t>Lucas Benedito da Silva - chacara</t>
  </si>
  <si>
    <t>cliente não estava usando mais.</t>
  </si>
  <si>
    <t>retiraram os equipamentos via rádio em 16/03/23</t>
  </si>
  <si>
    <t>motivos pessoais</t>
  </si>
  <si>
    <t>retiraram o equipamento em 28/03/23</t>
  </si>
  <si>
    <t>mudou para casa que já tem internet</t>
  </si>
  <si>
    <t>retiraram o equipamento em 30/03/23</t>
  </si>
  <si>
    <t>Patricia Ribeiro Mendes - ponto Benedito Rufino Xavier</t>
  </si>
  <si>
    <t>mudou para casa da mãe dela que era o segundo ponto dela.</t>
  </si>
  <si>
    <t>retiraram o equipamento em 30/03/23.</t>
  </si>
  <si>
    <t>Mudou e não avisou. Foi contactado para devolver o equipamento</t>
  </si>
  <si>
    <t>Foi para o exército e não vai usar mais a internet.</t>
  </si>
  <si>
    <t xml:space="preserve">Cliente irá mudar de Borda </t>
  </si>
  <si>
    <t>Cliente colocou outro provedor disse que a nossa estava ruim e não quis suporte</t>
  </si>
  <si>
    <t>22/12/2020</t>
  </si>
  <si>
    <t>Cliente colocou outro provedor</t>
  </si>
  <si>
    <t>16/12/2020</t>
  </si>
  <si>
    <t>Mudou pra Sao Paulo</t>
  </si>
  <si>
    <t>25/11/2020</t>
  </si>
  <si>
    <t>16/12/2021</t>
  </si>
  <si>
    <t>Adriana Aparecida Silva Prado</t>
  </si>
  <si>
    <t>fechou o barracão</t>
  </si>
  <si>
    <t>26/01/2021</t>
  </si>
  <si>
    <t>Cancelou pois colocou plano com telefone fixo do Wilkens</t>
  </si>
  <si>
    <t xml:space="preserve">Cliente mudou pra sao Paulo </t>
  </si>
  <si>
    <t>31/08/2021</t>
  </si>
  <si>
    <t>Cliente fechou ponto comercial</t>
  </si>
  <si>
    <t>23/11/2021</t>
  </si>
  <si>
    <t>cliente cancelou o 2° ponto por não está utilizando</t>
  </si>
  <si>
    <t>30/07/2021</t>
  </si>
  <si>
    <t>Cliente disse que não estava usando</t>
  </si>
  <si>
    <t>19/11/2021</t>
  </si>
  <si>
    <t>não entregou /wal</t>
  </si>
  <si>
    <t>27/05/2022</t>
  </si>
  <si>
    <t>cliente preso wal</t>
  </si>
  <si>
    <t>26/12/2022</t>
  </si>
  <si>
    <t>mudou wal</t>
  </si>
  <si>
    <t>25/11/2022</t>
  </si>
  <si>
    <t>Lucia Helena de Freitas</t>
  </si>
  <si>
    <t>19/11/2022</t>
  </si>
  <si>
    <t>28/12/2022</t>
  </si>
  <si>
    <t>17/09/2021</t>
  </si>
  <si>
    <t>23/08/2022</t>
  </si>
  <si>
    <t>Cliente está desempregado</t>
  </si>
  <si>
    <t>21/12/2020</t>
  </si>
  <si>
    <t>20/12/2020</t>
  </si>
  <si>
    <t>Cliente usa muito pouco</t>
  </si>
  <si>
    <t>27/11/2021</t>
  </si>
  <si>
    <t>Cliente não estava usando</t>
  </si>
  <si>
    <t>13/10/2021</t>
  </si>
  <si>
    <t>Cliente disse que esta sem condiçoes de pagar no momento</t>
  </si>
  <si>
    <t>28/07/2022</t>
  </si>
  <si>
    <t>Cliente mudou para roça que não atendemos</t>
  </si>
  <si>
    <t>Cliente mudou pra logic link devido a amizade com Wilkens</t>
  </si>
  <si>
    <t>Cancelou pq colocou fibra na roça e teve que mudar os dois pontos pro provedor</t>
  </si>
  <si>
    <t>27/01/2022</t>
  </si>
  <si>
    <t>Retirar equipamento cliente colocou outro provedor</t>
  </si>
  <si>
    <t>18/12/2020</t>
  </si>
  <si>
    <t>Devolveu na loja 04/05</t>
  </si>
  <si>
    <t>14/10/2021</t>
  </si>
  <si>
    <t>devolveu o equipamento em 17/05/23</t>
  </si>
  <si>
    <t>cliente mudou para SP</t>
  </si>
  <si>
    <t>devolveu equipamento em 15/05</t>
  </si>
  <si>
    <t>15/02/2023</t>
  </si>
  <si>
    <t xml:space="preserve">Ponto do Pai - senhor idoso não está usando </t>
  </si>
  <si>
    <t>Jonathas retirou em 16/05</t>
  </si>
  <si>
    <t>não está usando mais, só tinha por causa da escola online dos netos</t>
  </si>
  <si>
    <t>Tony retirou Bridgie em 19/05/23</t>
  </si>
  <si>
    <t>vai fazer cirurgia e vai pra casa da filha</t>
  </si>
  <si>
    <t>Jonathas retirou em 19/05</t>
  </si>
  <si>
    <t>22/10/2021</t>
  </si>
  <si>
    <t>mudou para outra cidade</t>
  </si>
  <si>
    <t>insatisfeita com o serviço prestado.</t>
  </si>
  <si>
    <t>Renan retirou em 19/05</t>
  </si>
  <si>
    <t>22/12/2022</t>
  </si>
  <si>
    <t xml:space="preserve">Pino Jose Soldani </t>
  </si>
  <si>
    <t xml:space="preserve">cliente mudou e já tem internet </t>
  </si>
  <si>
    <t>Devolveu na loja em 20/05/23</t>
  </si>
  <si>
    <t>cliente mudou-se e deixou ponto para o irmao</t>
  </si>
  <si>
    <t>Devolveu na loja em 23/05/23</t>
  </si>
  <si>
    <t>24/01/2022</t>
  </si>
  <si>
    <t>Cliente mudou para Jundiai</t>
  </si>
  <si>
    <t>Retirado 05/06 Renan</t>
  </si>
  <si>
    <t>Cliente cancelou</t>
  </si>
  <si>
    <t>Retirado 02/06 Jhonatas</t>
  </si>
  <si>
    <t>13/12/2021</t>
  </si>
  <si>
    <t>Cliente mudou pra casa que ja tinha internet</t>
  </si>
  <si>
    <t>Renan retirou em 27/05</t>
  </si>
  <si>
    <t>13/11/2020</t>
  </si>
  <si>
    <t>Cliente disse que não irá precisar de internet (ficou apenas uma semana)</t>
  </si>
  <si>
    <t>Cliente trouxe na loja os equipamentos28/05</t>
  </si>
  <si>
    <t>16/05/2023</t>
  </si>
  <si>
    <t>RAfael Henrique Ferreira</t>
  </si>
  <si>
    <t>Retirado 02/06 Renan</t>
  </si>
  <si>
    <t>24/09/2021</t>
  </si>
  <si>
    <t>Mudança pra outra cidade</t>
  </si>
  <si>
    <t>Renan retirou 31/05</t>
  </si>
  <si>
    <t>29/11/2021</t>
  </si>
  <si>
    <t>cliente abandonou a casa, só achamos o roteador pq outra cliente fechou e o técnico encontrou o equipamento dentro da casa</t>
  </si>
  <si>
    <t xml:space="preserve">Cliente trocou de provedor </t>
  </si>
  <si>
    <t>30/12/2020</t>
  </si>
  <si>
    <t>Cliente mudou pra Pouso</t>
  </si>
  <si>
    <t>Trouxe na loja 13/06</t>
  </si>
  <si>
    <t>16/12/2022</t>
  </si>
  <si>
    <t>18/06/2021</t>
  </si>
  <si>
    <t>Trouxe na loja 03/06</t>
  </si>
  <si>
    <t xml:space="preserve">Cliente não usará mais </t>
  </si>
  <si>
    <t xml:space="preserve">Cliente faleceu </t>
  </si>
  <si>
    <t>amigo devolveu equipamento e roku</t>
  </si>
  <si>
    <t>23/02/2022</t>
  </si>
  <si>
    <t>Cliente não esta usando</t>
  </si>
  <si>
    <t>Trouxe na loja 09/06</t>
  </si>
  <si>
    <t>Cliente disse que não está usando mais</t>
  </si>
  <si>
    <t>Renan retirou 12/06</t>
  </si>
  <si>
    <t>Renan retirou 15/06</t>
  </si>
  <si>
    <t>Cliente cancelou pois esta sem condiçoes de pagar no momento</t>
  </si>
  <si>
    <t>Renan retirou 16/06</t>
  </si>
  <si>
    <t>18/08/2021</t>
  </si>
  <si>
    <t>Cancelou pois mudou de cidade</t>
  </si>
  <si>
    <t>19/10/2022</t>
  </si>
  <si>
    <t>Trouxe na loja 17/06</t>
  </si>
  <si>
    <t>31/03/2022</t>
  </si>
  <si>
    <t>Renan retrou  23/06</t>
  </si>
  <si>
    <t>Cliente tinha multa de 400,00 na turbonet e não viu antes de instalar</t>
  </si>
  <si>
    <t>Renan retirou 29/06</t>
  </si>
  <si>
    <t>Cliente colocou outro provedor, sem nos avisar que estava com a conexão ruim</t>
  </si>
  <si>
    <t>Renan retirou 20/06</t>
  </si>
  <si>
    <t>Jonas Retirou 03/07</t>
  </si>
  <si>
    <t>Cliente não encontrado</t>
  </si>
  <si>
    <t>20/02/2023</t>
  </si>
  <si>
    <t>30/06/2021</t>
  </si>
  <si>
    <t>26/01/2023</t>
  </si>
  <si>
    <t>Cliente cancelou pois não queria pagar a mais pra colocar roku na tv</t>
  </si>
  <si>
    <t>Renan retrou  27/06</t>
  </si>
  <si>
    <t>Cliente  largou da esposa e voltou a morar com a mae que ja é cliente nossa</t>
  </si>
  <si>
    <t xml:space="preserve">Clente cancelou pois tem parceria com o Marcos da eletrosat </t>
  </si>
  <si>
    <t>Retirado 30/06 Jhonatas</t>
  </si>
  <si>
    <t>José de Mira</t>
  </si>
  <si>
    <t>Renan retirou 08/07</t>
  </si>
  <si>
    <t>15/01/2021</t>
  </si>
  <si>
    <t>Cliente diz que esta sem condiçoes pra pagar, ofereci desconto mas mesmo assim não quis ficar</t>
  </si>
  <si>
    <t>Trouxe na loja 10/07</t>
  </si>
  <si>
    <t>Devolvido na loja 22/07</t>
  </si>
  <si>
    <t>Davi Moreira de Almeida</t>
  </si>
  <si>
    <t xml:space="preserve">Retirado roteador ficou roku </t>
  </si>
  <si>
    <t>Era cliente via radio mas trocou pra provedor que atende na fibra</t>
  </si>
  <si>
    <t>antena do cliente</t>
  </si>
  <si>
    <t>Cliente cancelou pq no dia da troca de poste ficou sem conexão</t>
  </si>
  <si>
    <t>Retirado 07/07 Renan</t>
  </si>
  <si>
    <t>Cliente trocou para iconecta disse que ja havia instalado e não tinha interesse em ouvir proposta</t>
  </si>
  <si>
    <t>Retirado 10/07 Renan</t>
  </si>
  <si>
    <t>Cliente disse que trocou pra iconecta pois a conexão estava muito ruim aos finais de semana</t>
  </si>
  <si>
    <t>Renan retirou 14/07</t>
  </si>
  <si>
    <t>17/05/2021</t>
  </si>
  <si>
    <t>Cliente mudou pra logic link devido a plano com telefone do Wilkens</t>
  </si>
  <si>
    <t>Renan retirou 10/07</t>
  </si>
  <si>
    <t>Cliente fechou estabelecimento</t>
  </si>
  <si>
    <t>ok cliente trouxe na loja 18/07</t>
  </si>
  <si>
    <t>Jonas Retirou 20/07</t>
  </si>
  <si>
    <t>14/07/2021</t>
  </si>
  <si>
    <t xml:space="preserve">Cliente esta passando por um tratamento de cancer e não esta ficando em casa pra usar </t>
  </si>
  <si>
    <t>Renan retirou 25/07</t>
  </si>
  <si>
    <t>Trouxe equipamento na loja 26/07</t>
  </si>
  <si>
    <t>Trouxe na loja 28/07</t>
  </si>
  <si>
    <t>28/04/2022</t>
  </si>
  <si>
    <t>Jonas Retirou 28/07</t>
  </si>
  <si>
    <t>Jonas retirou 29/07</t>
  </si>
  <si>
    <t>17/08/2022</t>
  </si>
  <si>
    <t>Cliente foi morar com a filha que já é cliente nossa</t>
  </si>
  <si>
    <t>Jonas retirou07/08</t>
  </si>
  <si>
    <t>Cliente mudou para zona rural (Pouso Alegre)</t>
  </si>
  <si>
    <t>(Wal) Não conseguiu tirar</t>
  </si>
  <si>
    <t>15/12/2021</t>
  </si>
  <si>
    <t>Cliente colocou Logic link por conta de telefone</t>
  </si>
  <si>
    <t>Cliente extremamente mal educado cancelou pq a internet cai</t>
  </si>
  <si>
    <t>Renan Retirou 05/08</t>
  </si>
  <si>
    <t>Trouxe na loja 07/08</t>
  </si>
  <si>
    <t>27/06/2022</t>
  </si>
  <si>
    <t>Cliente não quis informar o motivo</t>
  </si>
  <si>
    <t>Renan Retirou 11/08</t>
  </si>
  <si>
    <t>Mudou para Sao Paulo</t>
  </si>
  <si>
    <t>Jonas Retirou 15/08</t>
  </si>
  <si>
    <t>Deniel aparecido Gouvea chagas</t>
  </si>
  <si>
    <t>Mudou para Monte Siao</t>
  </si>
  <si>
    <t>Cliente pediu um conhecido pra entregar na loja</t>
  </si>
  <si>
    <t>Renan Retirou 17/08</t>
  </si>
  <si>
    <t>Colocou telefone fixo do wilkens</t>
  </si>
  <si>
    <t>trouxe na loja 21/08</t>
  </si>
  <si>
    <t>Cliente não está mais usando</t>
  </si>
  <si>
    <t>Renan Retirou 23/08</t>
  </si>
  <si>
    <t>Cliente esta sem condiçoes de manter a internet</t>
  </si>
  <si>
    <t>Renan Retirou 24/08</t>
  </si>
  <si>
    <t>Cliente  não esta usando mais</t>
  </si>
  <si>
    <t>Renan Retirou 19/09</t>
  </si>
  <si>
    <t>Jonas Retirou 25/08</t>
  </si>
  <si>
    <t>Cliente colocou pra alugar a casa</t>
  </si>
  <si>
    <t>jonas retirou 15/09 falta fonte</t>
  </si>
  <si>
    <t xml:space="preserve"> JR Metalização</t>
  </si>
  <si>
    <t>Jonas Retirou 23/08</t>
  </si>
  <si>
    <t>JL INJECAO DE ACESSORIOS PLASTICOS</t>
  </si>
  <si>
    <t>Jonas Retirou 24/08</t>
  </si>
  <si>
    <t>Trouxe na loja 25/08</t>
  </si>
  <si>
    <t>mudou pra Pouso Alegre</t>
  </si>
  <si>
    <t>Jonatas retirou 28/08</t>
  </si>
  <si>
    <t>Trouxe na loja 29/08</t>
  </si>
  <si>
    <t>Retirado29/06 Jhonatas</t>
  </si>
  <si>
    <t>Cliente voltou a morar com a mãe</t>
  </si>
  <si>
    <t>Retirado28/06 Jhonatas</t>
  </si>
  <si>
    <t>Paulo Cesar da Silva Tavares</t>
  </si>
  <si>
    <t>Renan Retirou 31/08</t>
  </si>
  <si>
    <t>Jonas Retirou 30/08</t>
  </si>
  <si>
    <t>Trouxe na loja 31/08</t>
  </si>
  <si>
    <t>Renan Retirou 04/09</t>
  </si>
  <si>
    <t>Mudança de cidade</t>
  </si>
  <si>
    <t xml:space="preserve">Vai morar com o namorado e lá ja tem turbonet </t>
  </si>
  <si>
    <t>trouxe na loja 19/09</t>
  </si>
  <si>
    <t>Mudou-se de cidade</t>
  </si>
  <si>
    <t>Mudou para o Contendas (Zona Rural)</t>
  </si>
  <si>
    <t>Cliente trouxe na loja 13/09</t>
  </si>
  <si>
    <t xml:space="preserve">Cliente disse que voltou a morar com a mãe que ja é cliente </t>
  </si>
  <si>
    <t>Jonas retirou 12/09</t>
  </si>
  <si>
    <t>colocou de outro provedor insatisfação</t>
  </si>
  <si>
    <t>Jonas retirou 13/09</t>
  </si>
  <si>
    <t>Renan retirou 16/09</t>
  </si>
  <si>
    <t>Renan retrou 13/09</t>
  </si>
  <si>
    <t>Disse que não precisa mais da coneão</t>
  </si>
  <si>
    <t>Renan Retirou 18/09</t>
  </si>
  <si>
    <t>mudou pra roça</t>
  </si>
  <si>
    <t>Cliente trouxe na loja 18/09</t>
  </si>
  <si>
    <t>colocou Wilkens telefone fixo</t>
  </si>
  <si>
    <t>Jonas retirou 29/09</t>
  </si>
  <si>
    <t>Renan retirou 25/09</t>
  </si>
  <si>
    <t>Fechou com outro provedor (Cliente não quis aceitar nenhuma proposta)</t>
  </si>
  <si>
    <t>Renam retirou 27/09</t>
  </si>
  <si>
    <t>Cliente esta com problemas pessoais</t>
  </si>
  <si>
    <t>Renan retirou 29/09</t>
  </si>
  <si>
    <t xml:space="preserve">Cliente fechou o lava rapido </t>
  </si>
  <si>
    <t>Cliente pediu cancelamento ha um mes pra funcionario loiro e não foi retirar colocou outro provedor</t>
  </si>
  <si>
    <t>Jonas Retirou 06/10</t>
  </si>
  <si>
    <t>Cliente ganhou conexão gratuita da Eletrosat</t>
  </si>
  <si>
    <t>Trouxe na loja 05/10</t>
  </si>
  <si>
    <t>Edimara Figueiredo Xavier Barbosa</t>
  </si>
  <si>
    <t>Cliente mudou para parte de cima do mercado que ja é cliente também</t>
  </si>
  <si>
    <t>Cliente ficou insatisfeita ao ser bloqueada com 10 dias de atraso, avisamos que ja havia mudado mas ela não quis permanecer</t>
  </si>
  <si>
    <t>Jonas Retirou 14/11</t>
  </si>
  <si>
    <t>Cliente esta com problemas pessoais e financeiros no momento não consegue ficar</t>
  </si>
  <si>
    <t>Jonas retirou 07/10</t>
  </si>
  <si>
    <t>Vai mudar de cidade</t>
  </si>
  <si>
    <t>Jonas Retirou 04/10</t>
  </si>
  <si>
    <t>Cliente trouxe na loja</t>
  </si>
  <si>
    <t>Cliente mudou e levou equipamento (Wal)</t>
  </si>
  <si>
    <t>Jonas retirou 30/10</t>
  </si>
  <si>
    <t>Cliente mudou e levou equipamento</t>
  </si>
  <si>
    <t>Jonas retirou 03/11</t>
  </si>
  <si>
    <t>Cliente está com problemas financeiro e esta usando a internet da vizinha até melhorar as coisas</t>
  </si>
  <si>
    <t>Jonas Retirou 07/10</t>
  </si>
  <si>
    <t>Cliente não usará mais fechou a loja</t>
  </si>
  <si>
    <t>Cliente teve proposta com telefone e 200 megas a 60,00 da logic link</t>
  </si>
  <si>
    <t>Renan retirou 09/10</t>
  </si>
  <si>
    <t>Cliente está passando por momento dificil de saude e dinheiro</t>
  </si>
  <si>
    <t>Renan Retirou 23/09</t>
  </si>
  <si>
    <t>Cancelou pois fechou loja de antena</t>
  </si>
  <si>
    <t>Renan Retirou 25/09</t>
  </si>
  <si>
    <t>Mudou de cidade</t>
  </si>
  <si>
    <t>Renan retirou 16/10</t>
  </si>
  <si>
    <t xml:space="preserve">Cliente mudou para casa que ja tinha internet nossa </t>
  </si>
  <si>
    <t>Cliente cancelou pois esta sem condiçoes de manter (financeiro em atraso)</t>
  </si>
  <si>
    <t>Cliente trouxe na loja 22/11</t>
  </si>
  <si>
    <t xml:space="preserve">Cliente cancelou disse que está cortando gastos na casa da mae </t>
  </si>
  <si>
    <t>Renam retirou 21/10</t>
  </si>
  <si>
    <t>Cliente fechou o estabelecimento</t>
  </si>
  <si>
    <t>Trouxe na loja 20/10</t>
  </si>
  <si>
    <t>Cliente esta voltando para Curitiba (tio Alexandre Fabiani)</t>
  </si>
  <si>
    <t>Welisson Retirou 23/10</t>
  </si>
  <si>
    <t>Cliente colocou outro provedor e não ouviu proposta nossa, por já ter instalado outra internet</t>
  </si>
  <si>
    <t>Insatisfação (ha tempo que a internet está inconstante, muitos momentos de lentidão)</t>
  </si>
  <si>
    <t>Renam retirou 25/10</t>
  </si>
  <si>
    <t>Fechou o estabelecimento da agencia de turismo e levou pra casa dela (permanece com um ponto ainda)</t>
  </si>
  <si>
    <t>Trouxe na loja 22/11</t>
  </si>
  <si>
    <t>Mudou pra São Roque</t>
  </si>
  <si>
    <t>Cliente mudou para casa que ja tem conexão via 01</t>
  </si>
  <si>
    <t>Mudou pra Santos</t>
  </si>
  <si>
    <t>Cliente trabalha com construção civil, terminou a obra e voltou pra cidade dele</t>
  </si>
  <si>
    <t>Trouxe na loja 31/10</t>
  </si>
  <si>
    <t>Cliente não quis expor motivo de cancelamento,pediu apenas pra cancelar o serviço que não iria continuar</t>
  </si>
  <si>
    <t>Jonas retirou 31/10</t>
  </si>
  <si>
    <t>Cliente trouxe na loja 06/11</t>
  </si>
  <si>
    <t>Wal/ Renan passou 03/11 não localizou a cliente/ sem contato telefonico</t>
  </si>
  <si>
    <t>Antonio Vicente Martins - Rua Jose Rodrigues Borba</t>
  </si>
  <si>
    <t>Carlos Gabriel Serapião da Silva - já estava com OS de cancelamento, eu só arrumei o financeiro - tem que ver se já retirou o equipamento. (não foi cancelado por motivo financeiro não)</t>
  </si>
  <si>
    <t>Wal / Cliente se mudou Jonas passou em 06/11  sem contato telefonico</t>
  </si>
  <si>
    <t>outra cliente assumiu o ponto em nome de - Eychala Santos</t>
  </si>
  <si>
    <t>Jonas retirou 07/11</t>
  </si>
  <si>
    <t>25/06/2022</t>
  </si>
  <si>
    <t>Cliemte quebrou o roteador (Wal)</t>
  </si>
  <si>
    <t>Wal / Cliente não localizado</t>
  </si>
  <si>
    <t>wal Jonas passou 21/11 não localizou a cliente/ sem contato telefonico</t>
  </si>
  <si>
    <t>Wal/ cliente não localizada</t>
  </si>
  <si>
    <t>24/05/2021</t>
  </si>
  <si>
    <t xml:space="preserve">Jonas retirou  21/11 </t>
  </si>
  <si>
    <t>29/01/2022</t>
  </si>
  <si>
    <t>Não consegui contato- Passei pra Wal</t>
  </si>
  <si>
    <t>18/11/2021</t>
  </si>
  <si>
    <t>wal Jonas passou 21/11 não localizou a cliente/ sem contato telefonico/passei pra Wal</t>
  </si>
  <si>
    <t>13/12/2022</t>
  </si>
  <si>
    <t>Jonas retirou 22/11</t>
  </si>
  <si>
    <t>Renan Retirou 08/11</t>
  </si>
  <si>
    <t>Wal / não encontrou o cliente e sem contato telefonico</t>
  </si>
  <si>
    <t>Jonas Retirou 08/11</t>
  </si>
  <si>
    <t>Wal/Renan passou 08/11 não localizou a cliente/ sem contato telefonico</t>
  </si>
  <si>
    <t>18/01/2023</t>
  </si>
  <si>
    <t>Jonas retirou 21/11</t>
  </si>
  <si>
    <t>Wal/ Jonas passou 21/11 não localizou a cliente/ sem contato telefonico</t>
  </si>
  <si>
    <t>Wal/cliente mudou, havia outras pessoas morando na casa</t>
  </si>
  <si>
    <t>Renan Retirou 11/11</t>
  </si>
  <si>
    <t>Renan Retirou 16/11</t>
  </si>
  <si>
    <t>24/07/2023</t>
  </si>
  <si>
    <t>31/03/2021</t>
  </si>
  <si>
    <t xml:space="preserve">Cliente esta viajando e nao tem previsao de voltar pra cidade </t>
  </si>
  <si>
    <t>15/07/2023</t>
  </si>
  <si>
    <t xml:space="preserve">Mudanca de cidade </t>
  </si>
  <si>
    <t>Jonas Retirou  01/12</t>
  </si>
  <si>
    <t>trouxe o equipamento na loja 09/11</t>
  </si>
  <si>
    <t>14/12/2020</t>
  </si>
  <si>
    <t xml:space="preserve">Cliente está com problemas financeiro </t>
  </si>
  <si>
    <t>Jonas Retirou 14/11 Faltou o Roku</t>
  </si>
  <si>
    <t>Cliente tinha dois pontos, separou do marido e cancelou o ponto que usava com ele (ficou com um apenas)</t>
  </si>
  <si>
    <t>Trouxe na loja 08/11</t>
  </si>
  <si>
    <t xml:space="preserve">Cliente mudou pra roça, e já tem internet no local </t>
  </si>
  <si>
    <t>Trouxe na loja 30/11</t>
  </si>
  <si>
    <t>Cliente cancelou pois não esta usando mais o ponto</t>
  </si>
  <si>
    <t xml:space="preserve">Jonas Retirou 17/11 </t>
  </si>
  <si>
    <t>Cliente mudou para Palma</t>
  </si>
  <si>
    <t>Cliente trouxe na loja 21/11</t>
  </si>
  <si>
    <t>Cliente colocou Logic link pelo telefone fixo</t>
  </si>
  <si>
    <t xml:space="preserve">Jonas Retirou  21/11 </t>
  </si>
  <si>
    <t>Cliente se mudou para santa rita</t>
  </si>
  <si>
    <t>Cliente cancelou por conta de estar com problemas de saude e estar morando em sao paulo temporariamente.</t>
  </si>
  <si>
    <t xml:space="preserve">Jonas Retirou  29/11 </t>
  </si>
  <si>
    <t>15/12/2020</t>
  </si>
  <si>
    <t xml:space="preserve">Cliente mudou de cidade </t>
  </si>
  <si>
    <t>Cliente não quis falar o motivo</t>
  </si>
  <si>
    <t>18/09/2023</t>
  </si>
  <si>
    <t>Cliente faleceu (Esposa fez novo ponto pa ela)</t>
  </si>
  <si>
    <t>Retirada ok</t>
  </si>
  <si>
    <t>Cliente cancelou pois esta sem condiçoes de manter (perdeu emprego)</t>
  </si>
  <si>
    <t>Jonas retirou 04/12</t>
  </si>
  <si>
    <t>Alene Carolina Apartamento</t>
  </si>
  <si>
    <t>Trouxe na loja 07/12</t>
  </si>
  <si>
    <t>Alene Carolina comercial</t>
  </si>
  <si>
    <t>Renan Retirou 06/12</t>
  </si>
  <si>
    <t>28/10/2020</t>
  </si>
  <si>
    <t>Cliente trouxe na loja 09/01</t>
  </si>
  <si>
    <t>Carlos trouxe 11/12</t>
  </si>
  <si>
    <t>Entregue na loja 12/12</t>
  </si>
  <si>
    <t>24/11/2021</t>
  </si>
  <si>
    <t>Cliente colocou outra internet pq a tv desconecta muito do login</t>
  </si>
  <si>
    <t>Renan Retirou 14/12</t>
  </si>
  <si>
    <t>Mudou para bairro rural corrego das pedras</t>
  </si>
  <si>
    <t>16/06/2021</t>
  </si>
  <si>
    <t>Fica mais na casa da mãe e não está usando a internet</t>
  </si>
  <si>
    <t>Cooperativa Sollarcred de Borda da Mata Ltda</t>
  </si>
  <si>
    <t>Cliente trocou de provedor por conta do telefone fixo wilkens</t>
  </si>
  <si>
    <t>Jonas retirou 15/12</t>
  </si>
  <si>
    <t>Cliente foi morar com a filha que ja é cliente</t>
  </si>
  <si>
    <t>Jonas retirou 18/12</t>
  </si>
  <si>
    <t>Mudou para pouso alegre</t>
  </si>
  <si>
    <t>Jonas retirou 16/12</t>
  </si>
  <si>
    <t>22/11/2023</t>
  </si>
  <si>
    <t xml:space="preserve"> MARIA SALOME SILVA DE MELLO</t>
  </si>
  <si>
    <t>Cliente cancelou por insatisfação e foi mal educada em telefone</t>
  </si>
  <si>
    <t>18/11/2023</t>
  </si>
  <si>
    <t xml:space="preserve">Cliente mudou para Rezende Costa </t>
  </si>
  <si>
    <t>Entregue na loja 20/12</t>
  </si>
  <si>
    <t xml:space="preserve">Cliente cancelou 1 ponto porque fechou o barracão ond trabalhava, manteve 1 ponto </t>
  </si>
  <si>
    <t>Entregou na loja 26/02</t>
  </si>
  <si>
    <t xml:space="preserve">Cliente se mudou para São Paulo </t>
  </si>
  <si>
    <t>15/08/2022</t>
  </si>
  <si>
    <t>Entregue na loja 26/12</t>
  </si>
  <si>
    <t>Jonas tirou 26/12</t>
  </si>
  <si>
    <t>26/11/2021</t>
  </si>
  <si>
    <t>Cliente mudou pra casa da mãe que ja é cliente</t>
  </si>
  <si>
    <t>Trouxe na loja 26/12</t>
  </si>
  <si>
    <t>Cliente disse que a nossa internet não estava atendendo ela e contratou  outro provedor</t>
  </si>
  <si>
    <t>Jonas retirou 08/01</t>
  </si>
  <si>
    <t>26/03/2021</t>
  </si>
  <si>
    <t>Cliente mudou para roça onde não temos fibra Contendas</t>
  </si>
  <si>
    <t>Trouxe na loja 05/01</t>
  </si>
  <si>
    <t>Ponto casa/ Insatisfação</t>
  </si>
  <si>
    <t>Jonas retirou 03/01</t>
  </si>
  <si>
    <t>Insatisfeita com Cdntv</t>
  </si>
  <si>
    <t>Cliente não estava usando um ponto</t>
  </si>
  <si>
    <t>Jonas retirou 09/01</t>
  </si>
  <si>
    <t>22/07/2021</t>
  </si>
  <si>
    <t>Cliente se mudou mas voltará em breve</t>
  </si>
  <si>
    <t>Mudou para casa que ja havia internet</t>
  </si>
  <si>
    <t>Jonas retirou 10/01</t>
  </si>
  <si>
    <t>16/09/2021</t>
  </si>
  <si>
    <t xml:space="preserve">Cliente disse que marido esta trabalhando em provedor e ganhou a internet da empresa </t>
  </si>
  <si>
    <t>Jonas retirou 12/01</t>
  </si>
  <si>
    <t>Jonas retirou 13/01</t>
  </si>
  <si>
    <t>Cliente cancelou pois irá mudar pra uma casa que ja tem internet</t>
  </si>
  <si>
    <t>jonas retirou 15/01</t>
  </si>
  <si>
    <t>Mudou para Jacutinga</t>
  </si>
  <si>
    <t>Cliente trouxe na loja 18/01</t>
  </si>
  <si>
    <t>26/10/2021</t>
  </si>
  <si>
    <t>Mudou-se para Tocos</t>
  </si>
  <si>
    <t>Renan Retirou 20/01</t>
  </si>
  <si>
    <t>Mudou-se para Itapira</t>
  </si>
  <si>
    <t>Jonas retirou 24/01</t>
  </si>
  <si>
    <t>Mudou-se pra outra cidade</t>
  </si>
  <si>
    <t>Jonas retirou 25/01</t>
  </si>
  <si>
    <t>Fechou o bar</t>
  </si>
  <si>
    <t>Trouxe na loja 01/02</t>
  </si>
  <si>
    <t>Insatisfação/ Colocou outro provedor</t>
  </si>
  <si>
    <t>Heitor retirou 30/01</t>
  </si>
  <si>
    <t>13/08/2021</t>
  </si>
  <si>
    <t>Cliente irá se mudar</t>
  </si>
  <si>
    <t>Heitor retirou 02/02</t>
  </si>
  <si>
    <t>28/04/2023</t>
  </si>
  <si>
    <t>Trouxe na loja 03/02</t>
  </si>
  <si>
    <t>17/10/2023</t>
  </si>
  <si>
    <t>Cliente se mudou de cidade</t>
  </si>
  <si>
    <t>Renan retirou 03/02</t>
  </si>
  <si>
    <t>Trouxe na loja 06/02</t>
  </si>
  <si>
    <t>Heitor retirou 07/02</t>
  </si>
  <si>
    <t>Trouxe na loja 08/02</t>
  </si>
  <si>
    <t>17/05/2023</t>
  </si>
  <si>
    <t>Cliente cancelou por insatisfação</t>
  </si>
  <si>
    <t>Renan retirou 14/02</t>
  </si>
  <si>
    <t>25/01/2022</t>
  </si>
  <si>
    <t>Trouxe na loja 19/02</t>
  </si>
  <si>
    <t>26/08/2021</t>
  </si>
  <si>
    <t>Cliente foi morar com amigo que ja tem nossa internet</t>
  </si>
  <si>
    <t>Renan retirou 26/02</t>
  </si>
  <si>
    <t xml:space="preserve">Tatiana Ferreira </t>
  </si>
  <si>
    <t>Cancelou por insatisfação</t>
  </si>
  <si>
    <t>Renan retirou 06/03</t>
  </si>
  <si>
    <t>19/01/2024</t>
  </si>
  <si>
    <t xml:space="preserve">Mudou de cidade - Bom Repouso </t>
  </si>
  <si>
    <t xml:space="preserve">Wal- cliente não deu retorno de forma alguma </t>
  </si>
  <si>
    <t>Cliente que usava faleceu</t>
  </si>
  <si>
    <t>Luiz trouxe 02/04</t>
  </si>
  <si>
    <t>Renan Retirou 07/03</t>
  </si>
  <si>
    <t> CAIO GABRILLI RIBEIRO DE OLIVEIRA</t>
  </si>
  <si>
    <t>Colocou Wilkens por conta do telefone fixo</t>
  </si>
  <si>
    <t>Welisson retirou 06/03</t>
  </si>
  <si>
    <t>Tem 3 pontos, cancelou 1 pois passou o escritório para casa dele</t>
  </si>
  <si>
    <t>16/08/2022</t>
  </si>
  <si>
    <t>cancelou pois ira mudar para uma roça em Inconfidentes que não atendemos</t>
  </si>
  <si>
    <t>20/04/2021</t>
  </si>
  <si>
    <t>Mudou para Itapeva</t>
  </si>
  <si>
    <t>Cliente trouxe na loja 05/04</t>
  </si>
  <si>
    <t>cancelou pois estávamos com a agenda cheia, tentei marcar com ela a hora que ela pediu cancelamento mais ja tinha contratado outro provedor</t>
  </si>
  <si>
    <t>20/12/2021</t>
  </si>
  <si>
    <t>cancelou pois estava na Borda a trabalho e foi transferido para outra cidade</t>
  </si>
  <si>
    <t>Cancelou pois ira mudar para Belo Horizonte</t>
  </si>
  <si>
    <t>cancelou pois se mudou para São Paulo</t>
  </si>
  <si>
    <t>duh retirou 29/05</t>
  </si>
  <si>
    <t>16/10/2023</t>
  </si>
  <si>
    <t>tem 3 pontos, cancelou 1 ponto pois fechou a barbearia</t>
  </si>
  <si>
    <t>23/10/2021</t>
  </si>
  <si>
    <t>Maria Lea Leopoldino</t>
  </si>
  <si>
    <t>13/09/2021</t>
  </si>
  <si>
    <t>Trouxe na loja 04/04</t>
  </si>
  <si>
    <t xml:space="preserve">Larissa Rezende dos Santos </t>
  </si>
  <si>
    <t xml:space="preserve">Cancelou pois fechou o salão </t>
  </si>
  <si>
    <t xml:space="preserve"> Jose Augusto da Rosa Silva</t>
  </si>
  <si>
    <t>Mudou para casa nova onde ja tem um ponto nosso</t>
  </si>
  <si>
    <t xml:space="preserve">Mudou-se </t>
  </si>
  <si>
    <t>Wal/cobrar roku</t>
  </si>
  <si>
    <t>Rodnei Pinheiro Duarte</t>
  </si>
  <si>
    <t>cancelou por insatisfação, tentei conversar mais veio até com os equipamentos e disse que a internet é instável</t>
  </si>
  <si>
    <t>15/03/2024</t>
  </si>
  <si>
    <t>levou o ponto para comercio para casa</t>
  </si>
  <si>
    <t>Cliente trouxe na loja 30/04</t>
  </si>
  <si>
    <t>Cliente mudou para São Paulo</t>
  </si>
  <si>
    <t>Insatisfação cliente queria cdntv com legenda porém não temos essa opção</t>
  </si>
  <si>
    <t>Welisson retirou 04/04</t>
  </si>
  <si>
    <t xml:space="preserve">Cancelou, pois mudou para sua casa e a internet estava na mãe e não estava usando </t>
  </si>
  <si>
    <t>trouxe na loja 03/04</t>
  </si>
  <si>
    <t xml:space="preserve">Sebastiao Arlindo dos santos </t>
  </si>
  <si>
    <t>mudou de casa, e onde mudou ja tem internet</t>
  </si>
  <si>
    <t>Trouxe na loja 09/04</t>
  </si>
  <si>
    <t>Welisson retirou 05/04</t>
  </si>
  <si>
    <t>Mudou se par Bueno Brandão</t>
  </si>
  <si>
    <t>Victor retirou 12/04</t>
  </si>
  <si>
    <t>Welisson retirou 11/04</t>
  </si>
  <si>
    <t xml:space="preserve">Cliente fechou o ponto </t>
  </si>
  <si>
    <t>Renan retirou 19/06</t>
  </si>
  <si>
    <t>Cancelou pois esta morando com o namorado que ja tem nossa internet</t>
  </si>
  <si>
    <t>Duh retirou 07/05</t>
  </si>
  <si>
    <t>Cliente mudou para Bom Repouso</t>
  </si>
  <si>
    <t>Duh retirou 15/04</t>
  </si>
  <si>
    <t>Trouxe na loja 15/04</t>
  </si>
  <si>
    <t>Cancelou pois mudou para Mogi Guaçu</t>
  </si>
  <si>
    <t>Renan retirou 29/04</t>
  </si>
  <si>
    <t>mudou para Palma</t>
  </si>
  <si>
    <t>Cliente trouxe na loja 07/05</t>
  </si>
  <si>
    <t>cancelou 1 ponto pois não estava usando, e já estava com mais de 5 boletos abertos</t>
  </si>
  <si>
    <t>Renan retirou 08/05</t>
  </si>
  <si>
    <t xml:space="preserve">Financeiro em atraso </t>
  </si>
  <si>
    <t>Passado pra Wal cliente não encontrado em casa visitamos 5x</t>
  </si>
  <si>
    <t>Wal - não tem ninguém morando</t>
  </si>
  <si>
    <t xml:space="preserve">Wal/ cliente não foi encontrado 4x </t>
  </si>
  <si>
    <t>Renan retirou 06/05</t>
  </si>
  <si>
    <t>Renan retirou 27/05</t>
  </si>
  <si>
    <t>Wal/Outro morador no local não sabe do equipamento</t>
  </si>
  <si>
    <t>wal/cliente não encontrado</t>
  </si>
  <si>
    <t>Wal/cliente disse que não achou o roteador pra devolver</t>
  </si>
  <si>
    <t>Trouxe na loja 13/02</t>
  </si>
  <si>
    <t>13/02/2023</t>
  </si>
  <si>
    <t>Wal - não achado a casa / cliente mudou de numero</t>
  </si>
  <si>
    <t>Wal/ cliente mudou-se de lá</t>
  </si>
  <si>
    <t>13/10/2023</t>
  </si>
  <si>
    <t>Duh retirou 30/04</t>
  </si>
  <si>
    <t>Welisson retirou 02/05</t>
  </si>
  <si>
    <t>27/10/2023</t>
  </si>
  <si>
    <t>Renan retirou 30/04</t>
  </si>
  <si>
    <t>Retirou 20/05</t>
  </si>
  <si>
    <t>Passado pra Wal cliente não encontrado em casa visitamos 4x</t>
  </si>
  <si>
    <t>22/06/2021</t>
  </si>
  <si>
    <t>Passado pra Wal cliente não encontrado técnico não localizou o endereço e não consegue contato telefonico</t>
  </si>
  <si>
    <t>24/02/2022</t>
  </si>
  <si>
    <t>Debora Luiza de Abreu - Ponto da Rua Duque de Caxias - combinar horário para retirada</t>
  </si>
  <si>
    <t>Duh retirou 03/05</t>
  </si>
  <si>
    <t>Wal/sem contato com o cliente</t>
  </si>
  <si>
    <t>renan retirou 27/05</t>
  </si>
  <si>
    <t>Cliente disse que mudou para Pouso Alegre</t>
  </si>
  <si>
    <t>29/04/2024</t>
  </si>
  <si>
    <t xml:space="preserve">Cliente mudou para Jacutinga </t>
  </si>
  <si>
    <t>Duh retirou 30/04 faltou onu bridge</t>
  </si>
  <si>
    <t xml:space="preserve">duh retirou 30/04 faltou controle </t>
  </si>
  <si>
    <t xml:space="preserve">Jaqueline Valeria Gomes </t>
  </si>
  <si>
    <t>wal/cliente faleceu e familia não entregou equipamento</t>
  </si>
  <si>
    <t>Se mudou para o Cortume</t>
  </si>
  <si>
    <t>retirado equipamento</t>
  </si>
  <si>
    <t>Colocou iconecta e não nos comunicou pra cobrirmos a oferta</t>
  </si>
  <si>
    <t>Trouxe na loja 30/04</t>
  </si>
  <si>
    <t>16/08/2021</t>
  </si>
  <si>
    <t>mudou para congonhal</t>
  </si>
  <si>
    <t>Duh retirou 24/06</t>
  </si>
  <si>
    <t>cancelou pois se mudou para Ouro Fino.</t>
  </si>
  <si>
    <t>Renan retirou 04/05</t>
  </si>
  <si>
    <t>cancelou um ponto porque mudou para casa da mãe dela onde a mesma já tem um ponto nosso</t>
  </si>
  <si>
    <t>14/09/2021</t>
  </si>
  <si>
    <t>Cliente trouxe na loja 06/05</t>
  </si>
  <si>
    <t>Marco Antonio da Silva</t>
  </si>
  <si>
    <t>Não estava mais usando no barracão</t>
  </si>
  <si>
    <t>Duh retirou 08/05</t>
  </si>
  <si>
    <t>cancelou por conta do cdntv ter falhas</t>
  </si>
  <si>
    <t>Duh retirou 16/05</t>
  </si>
  <si>
    <t>Mudou-se para Belo Horizonte</t>
  </si>
  <si>
    <t>Trouxe na loja 17/05</t>
  </si>
  <si>
    <t>26/02/2024</t>
  </si>
  <si>
    <t>Está se mudando pra Jacutinga</t>
  </si>
  <si>
    <t>Trouxe na loja 20/05</t>
  </si>
  <si>
    <t>Duh retirou 22/05</t>
  </si>
  <si>
    <t>25/10/2023</t>
  </si>
  <si>
    <t>João Vitor Sousa Rocha</t>
  </si>
  <si>
    <t>cancelou pois o ponto era na casa do pai e ele tinha esquecido de pagar o boleto, foi bloqueado pelo sistema e o pai não quis mais a internet</t>
  </si>
  <si>
    <t>Renan retirado 24/05</t>
  </si>
  <si>
    <t xml:space="preserve"> renan retirado 01/06</t>
  </si>
  <si>
    <t>Angélica Erbenia</t>
  </si>
  <si>
    <t>retirado 29/05</t>
  </si>
  <si>
    <t>14/09/2023</t>
  </si>
  <si>
    <t>wal/cliente disse que não é cliente e não devolveu o equipamento</t>
  </si>
  <si>
    <t>Duh retirou 28/05</t>
  </si>
  <si>
    <t>Renan retirou 13/06</t>
  </si>
  <si>
    <t>26/01/2024</t>
  </si>
  <si>
    <t>20/10/2023</t>
  </si>
  <si>
    <t xml:space="preserve">Wal/ cliente não foi encontrado </t>
  </si>
  <si>
    <t>Renan retirou 06/06</t>
  </si>
  <si>
    <t>25/02/2023</t>
  </si>
  <si>
    <t>27/04/2023</t>
  </si>
  <si>
    <t>vai dividir internet com vizinho</t>
  </si>
  <si>
    <t>Trouxe na loja 10/06</t>
  </si>
  <si>
    <t>Matheus Máximo da Silva Cunha</t>
  </si>
  <si>
    <t>voltou a morar com o pai</t>
  </si>
  <si>
    <t>Mudou -se para Bom Repouso</t>
  </si>
  <si>
    <t xml:space="preserve">duh retirou 03/06 </t>
  </si>
  <si>
    <t>26/11/2022</t>
  </si>
  <si>
    <t>fechou a imobiliaria</t>
  </si>
  <si>
    <t>welisson retirou 03/06</t>
  </si>
  <si>
    <t>20/08/2021</t>
  </si>
  <si>
    <t>Cancelou um ponto pois fechou a Adega</t>
  </si>
  <si>
    <t>Trouxe na loja 04/06</t>
  </si>
  <si>
    <t>21/03/2024</t>
  </si>
  <si>
    <t>Boletim de ocorrencia / equipamento roubado</t>
  </si>
  <si>
    <t>Cancelou pois não estava satisfeita com a net e contratou outra</t>
  </si>
  <si>
    <t>Duh retirou 26/06</t>
  </si>
  <si>
    <t>Mudou para Bom Repouso</t>
  </si>
  <si>
    <t>Duh retirou 11/06</t>
  </si>
  <si>
    <t>cancelou porque mudou para Ouro Fino</t>
  </si>
  <si>
    <t>Trouxe na loja 21/06</t>
  </si>
  <si>
    <t>18/03/2024</t>
  </si>
  <si>
    <t>Cancelou para cortar gastos</t>
  </si>
  <si>
    <t>20/10/2022</t>
  </si>
  <si>
    <t xml:space="preserve">Gabrielli Madalena Batista dos Santos </t>
  </si>
  <si>
    <t>cancelou pois a mulher pediu a casa que eles estavam morando e foi morar com a mãe que já tem internet nossa.</t>
  </si>
  <si>
    <t>Renan retirou 14/06</t>
  </si>
  <si>
    <t>13/01/2024</t>
  </si>
  <si>
    <t>Mudou para o bairro Areião</t>
  </si>
  <si>
    <t>Renan retirou 17/06</t>
  </si>
  <si>
    <t>cancelou porque mudou para o Sertãozinho</t>
  </si>
  <si>
    <t>Mudou se para Silvianópolis</t>
  </si>
  <si>
    <t>Mudou para Cambui</t>
  </si>
  <si>
    <t>cancelou porque colocou a mesma internet da fábrica dele, fizeram uma proposta pra ele e ele aceitou. Tentei reverter mas já instalaram pra ele</t>
  </si>
  <si>
    <t>19/01/2021</t>
  </si>
  <si>
    <t>Cancelou pois irá mudar o ponto e ja possui uma conexão no local</t>
  </si>
  <si>
    <t>welisson retirou 25/06</t>
  </si>
  <si>
    <t>29/03/2022</t>
  </si>
  <si>
    <t xml:space="preserve">Cancelou pois filha trocou de internet sem autorização da mãe  (Bogari) </t>
  </si>
  <si>
    <t>Trouxe na loja 25/06</t>
  </si>
  <si>
    <t>30/09/2022</t>
  </si>
  <si>
    <t>Victor retirou 06/07</t>
  </si>
  <si>
    <t>retirou somente roteador/ falta fire stick 01/07 duh</t>
  </si>
  <si>
    <t>27/02/2024</t>
  </si>
  <si>
    <t xml:space="preserve">Empresa foi vendida pra outro grupo que trabalha somente com operadoras grande </t>
  </si>
  <si>
    <t>Welisson retirou 08/08</t>
  </si>
  <si>
    <t>20/07/2022</t>
  </si>
  <si>
    <t>Mudou-se de Borda</t>
  </si>
  <si>
    <t>Welisson retirou 08/07</t>
  </si>
  <si>
    <t>27/05/2024</t>
  </si>
  <si>
    <t>Welisson retirou 09/07</t>
  </si>
  <si>
    <t>Cancelou pois voltou a morar com a mãe</t>
  </si>
  <si>
    <t>Welisson retirou 12/07</t>
  </si>
  <si>
    <t>mudou de endereço e ja tem internet na casa</t>
  </si>
  <si>
    <t>trouxe na loja 17/07</t>
  </si>
  <si>
    <t>22/07/2023</t>
  </si>
  <si>
    <t>Insatisfação com Cdntv (desconexões)</t>
  </si>
  <si>
    <t>Vitor retirou 17/07</t>
  </si>
  <si>
    <t>23/02/2024</t>
  </si>
  <si>
    <t>Cliente disse que se mudará pra Guaxupé</t>
  </si>
  <si>
    <t>trouxe na loja 22/07</t>
  </si>
  <si>
    <t>Cliente disse que mudou pra casa da irmã e ja possui internet</t>
  </si>
  <si>
    <t>Cliente trouxe na loja 29/07</t>
  </si>
  <si>
    <t>Cliente se mudou para roça contendas</t>
  </si>
  <si>
    <t>Welisson retirou 24/07</t>
  </si>
  <si>
    <t>Cliente cancelou pois não estava usando mais a conexão</t>
  </si>
  <si>
    <t>Welisson retirou 23/07</t>
  </si>
  <si>
    <t>Cliente mudou pra Barro amarelo e colocou eletrosat</t>
  </si>
  <si>
    <t>19/02/2024</t>
  </si>
  <si>
    <t>Cancelou pois foi transferido de cidade (funcionario Baleia)</t>
  </si>
  <si>
    <t>Welisson retirou 25/07</t>
  </si>
  <si>
    <t>Mudou-se para Pouso Alegre</t>
  </si>
  <si>
    <t>Trouxe na loja 24/07</t>
  </si>
  <si>
    <t>25/11/2021</t>
  </si>
  <si>
    <t xml:space="preserve">Fechou a loja </t>
  </si>
  <si>
    <t>Welisson retirou 01/08</t>
  </si>
  <si>
    <t>15/06/2022</t>
  </si>
  <si>
    <t>29/07/2022</t>
  </si>
  <si>
    <t>Fechou o lava jato</t>
  </si>
  <si>
    <t>17/05/2024</t>
  </si>
  <si>
    <t>Vitor retirou 06/08</t>
  </si>
  <si>
    <t>29/04/2022</t>
  </si>
  <si>
    <t xml:space="preserve">lucilene Santos Borges </t>
  </si>
  <si>
    <t>Vitor retirou 29/08</t>
  </si>
  <si>
    <t xml:space="preserve">Paulo Cesar Polo Alexandrino - </t>
  </si>
  <si>
    <t>Mudou-se pra Ouro fino</t>
  </si>
  <si>
    <t>Trouxe na loja 09/08</t>
  </si>
  <si>
    <t>Cliente não quis conexão usou somente 6 dias disse que vai usar com a filha mesmo</t>
  </si>
  <si>
    <t>trouxe na loja 12/08</t>
  </si>
  <si>
    <t>Petrus Alves de Paiva</t>
  </si>
  <si>
    <t>Contratou telefone de outro provedor e ganhou a internet</t>
  </si>
  <si>
    <t>WelissonRetirou 14/08</t>
  </si>
  <si>
    <t>Cancelou pois mae colocou telefone fixo Wilkens</t>
  </si>
  <si>
    <t>Renan retirou 17/08</t>
  </si>
  <si>
    <t xml:space="preserve">Mudou pra roça </t>
  </si>
  <si>
    <t>Trouxe na loja 17/08</t>
  </si>
  <si>
    <t>Wal/varias visitas mas ninguem em casa</t>
  </si>
  <si>
    <t>Welisson retirou 28/08</t>
  </si>
  <si>
    <t>19/02/2022</t>
  </si>
  <si>
    <t>Mudou-se pra Pouso Alegre</t>
  </si>
  <si>
    <t>Trouxe na loja 26/08</t>
  </si>
  <si>
    <t>Jose Roberto Alves Correia</t>
  </si>
  <si>
    <t>Insatisfação a internet estava muito ruim</t>
  </si>
  <si>
    <t>Renan retirou 30/08</t>
  </si>
  <si>
    <t>Vctor retirou 30/08 - wal cobrar roku</t>
  </si>
  <si>
    <t>Lucilene do Carmo Mariano</t>
  </si>
  <si>
    <t>Está indo morar com o marido que já tem internet nossa</t>
  </si>
  <si>
    <t>Victor retirou 30/08</t>
  </si>
  <si>
    <t>Não usa mais a internet</t>
  </si>
  <si>
    <t>Trouxe na loja 03/09/2024</t>
  </si>
  <si>
    <t>Trouxe na loja 06/09</t>
  </si>
  <si>
    <t>24/10/2023</t>
  </si>
  <si>
    <t>Trouxe na loja 06/09/2024</t>
  </si>
  <si>
    <t>cancelou o ponto pois fechou a loja, tentei passar para casa dela mas ela mora no campo onde a gente não atende</t>
  </si>
  <si>
    <t>Welisson retirou 10/09</t>
  </si>
  <si>
    <t>Cancelou pois filha voltou a morar com a mãe (cliente tinha dois ponto, manteve um)</t>
  </si>
  <si>
    <t>Cancelou um ponto que é o da mãe por não está usando</t>
  </si>
  <si>
    <t>Duh retirou 12/09</t>
  </si>
  <si>
    <t xml:space="preserve">Aline Correa Martins </t>
  </si>
  <si>
    <t>Welisson retirou 19/09</t>
  </si>
  <si>
    <t>25/03/2022</t>
  </si>
  <si>
    <t>Wal/ele mudou de casa e não consegue contato</t>
  </si>
  <si>
    <t>Victor retirou 19/09 ficou faltando 2 fontes</t>
  </si>
  <si>
    <t>Debora dos Santos Assis</t>
  </si>
  <si>
    <t>Victor retirou 02/10</t>
  </si>
  <si>
    <t>Duh retirou 17/10</t>
  </si>
  <si>
    <t>17/01/2024</t>
  </si>
  <si>
    <t xml:space="preserve">Paulo Henrique da Silva </t>
  </si>
  <si>
    <t>29/08/2023</t>
  </si>
  <si>
    <t>Wal / retirada não feita outro casal morando na casa</t>
  </si>
  <si>
    <t>25/09/2023</t>
  </si>
  <si>
    <t>Victor retirou 18/09</t>
  </si>
  <si>
    <t>21/02/2024</t>
  </si>
  <si>
    <t>Welisson retirou 27/09</t>
  </si>
  <si>
    <t xml:space="preserve">Irá mudar de estado </t>
  </si>
  <si>
    <t>Trouxe na loja 18/09</t>
  </si>
  <si>
    <t>25/05/2022</t>
  </si>
  <si>
    <t>Cliente cancelou ira usar eletrosat (pai Renan)</t>
  </si>
  <si>
    <t>Trouxe na loja 19/09</t>
  </si>
  <si>
    <t>24/08/2021</t>
  </si>
  <si>
    <t>Cliente cancelou pois não estava usando</t>
  </si>
  <si>
    <t>23/02/2021</t>
  </si>
  <si>
    <t>Tony retrou 23/09</t>
  </si>
  <si>
    <t>20/09/2022</t>
  </si>
  <si>
    <t>Não usa muito a internet</t>
  </si>
  <si>
    <t>Trouxe na loja 24/09</t>
  </si>
  <si>
    <t xml:space="preserve"> Ana Beatriz de Oliveira Floriano</t>
  </si>
  <si>
    <t>Se mudou para Pouso Alegre</t>
  </si>
  <si>
    <t>Renan Hamilton Freita Marques</t>
  </si>
  <si>
    <t>Ex funcionário</t>
  </si>
  <si>
    <t>Trouxe na loja</t>
  </si>
  <si>
    <t>Insatisfação a internet estava muito ruim, segundo sogro que usava</t>
  </si>
  <si>
    <t>29/02/2024</t>
  </si>
  <si>
    <t>Cliente disse que se mudou</t>
  </si>
  <si>
    <t xml:space="preserve">Edmar Vaz da Silva </t>
  </si>
  <si>
    <t>Welisson retirou 03/10</t>
  </si>
  <si>
    <t>15/02/2024</t>
  </si>
  <si>
    <t>Cliente mudou pra cambuquira</t>
  </si>
  <si>
    <t>Retirado 01/10/2024</t>
  </si>
  <si>
    <t>Trouxe na loja 10/10</t>
  </si>
  <si>
    <t>Colocou internet de outro provedor</t>
  </si>
  <si>
    <t>cancelou pois teve outra proposta de provedor</t>
  </si>
  <si>
    <t>Welisson retirou 16/10</t>
  </si>
  <si>
    <t>Duh retirou 08/10</t>
  </si>
  <si>
    <t>Retirou 10/10</t>
  </si>
  <si>
    <t>Mudou-se pra roça</t>
  </si>
  <si>
    <t xml:space="preserve">Victor retirou 14/10 </t>
  </si>
  <si>
    <t>Irá fazer um tratamento em SP e irá voltar só em Janeiro</t>
  </si>
  <si>
    <t>Welisson retirou 15/10</t>
  </si>
  <si>
    <t>Mudou para congonhal</t>
  </si>
  <si>
    <t>Duh retirou 18/10</t>
  </si>
  <si>
    <t>Joao Alves de Souza Filho</t>
  </si>
  <si>
    <t>Estava a trabalho em Borda, voltou para Bahia porque terminou o serviço</t>
  </si>
  <si>
    <t>Duh retirou 28/10</t>
  </si>
  <si>
    <t>17/07/2024</t>
  </si>
  <si>
    <t>Foi despejada da casa e esta sem casa pra morar</t>
  </si>
  <si>
    <t>Trouxe na loja 19/10/2024</t>
  </si>
  <si>
    <t>Mudou - se para Pouso Alegre</t>
  </si>
  <si>
    <t>Welisson 21/10</t>
  </si>
  <si>
    <t>26/06/2024</t>
  </si>
  <si>
    <t>Cancelou, disse que foi viajar e a mãe ficou sem internet (bloqueou pq ele tem duas em aberto)</t>
  </si>
  <si>
    <t xml:space="preserve">Luiz Gonzaga Teixeira </t>
  </si>
  <si>
    <t>cancelou pois está se mudando para Caldas</t>
  </si>
  <si>
    <t>Trouxe na loja 24/10</t>
  </si>
  <si>
    <t>cancelou pois mudou para Botelhos</t>
  </si>
  <si>
    <t>Trouxe na loja 26/10</t>
  </si>
  <si>
    <t xml:space="preserve">Denis Henrique Consentino </t>
  </si>
  <si>
    <t>Elaine Moreira da Costa - ponto da R Francisco Marques da Costa - 323</t>
  </si>
  <si>
    <t>Welisson retirou 31/10 falta o roku/ wal</t>
  </si>
  <si>
    <t>15/03/2023</t>
  </si>
  <si>
    <t>Evelyn Toledo Cavalcante</t>
  </si>
  <si>
    <t>Rogerio retirou 09/11</t>
  </si>
  <si>
    <t xml:space="preserve">Johnatan Eduardo da Silva Pains </t>
  </si>
  <si>
    <t>Leandro da Silva Souza</t>
  </si>
  <si>
    <t>Paulo Cezar Ribeiro - os dois roteadores é pra tirar no ponto da fábrica.</t>
  </si>
  <si>
    <t>Welisson retirou 30/10</t>
  </si>
  <si>
    <t xml:space="preserve">Trouxe na loja </t>
  </si>
  <si>
    <t xml:space="preserve">Rener Machado Homem </t>
  </si>
  <si>
    <t>Wal / cliente não achado em casa</t>
  </si>
  <si>
    <t>13/01/2021</t>
  </si>
  <si>
    <t>Wellington Alves de Lima</t>
  </si>
  <si>
    <t>Welisson retirou 04/11</t>
  </si>
  <si>
    <t>Cliente mudou-se pra Belo Horizonte</t>
  </si>
  <si>
    <t>Trouxe na loja faltou cabo hdmi</t>
  </si>
  <si>
    <t>16/08/2024</t>
  </si>
  <si>
    <t>Cliente mudou-se pra Jundiai</t>
  </si>
  <si>
    <t>Welisson retirou 29/10</t>
  </si>
  <si>
    <t>25/09/2024</t>
  </si>
  <si>
    <t>Estava com financeiro em atraso e cancelou porque está diminuindo os gastos</t>
  </si>
  <si>
    <t>Maria Lucia Cassia de Melo</t>
  </si>
  <si>
    <t xml:space="preserve">Insatisfação </t>
  </si>
  <si>
    <t>Duh retirou 30/10</t>
  </si>
  <si>
    <t>Cliente mudou ha mais de mes da Borda, outra pessoa que nos avisou</t>
  </si>
  <si>
    <t>Welisson retirou 31/10 falta o roku</t>
  </si>
  <si>
    <t>Cliente cancelou pois mudou pra casa que ja tinha internet</t>
  </si>
  <si>
    <t xml:space="preserve">Rafael Marques da Costa </t>
  </si>
  <si>
    <t>Cancelou pois não usava muito</t>
  </si>
  <si>
    <t>Trouxe na loja 04/11</t>
  </si>
  <si>
    <t>Welisson retirou 05/11</t>
  </si>
  <si>
    <t>Welisson retirou 06/11</t>
  </si>
  <si>
    <t>Welisson retirou 21/11</t>
  </si>
  <si>
    <t xml:space="preserve">Alexandre de Jesus Medeiros </t>
  </si>
  <si>
    <t>cancelou pois estava insatisfeito do jeito que ficou a instalação na casa dele e disse que a conexão estava péssima.</t>
  </si>
  <si>
    <t>Welisson retirou 14/11</t>
  </si>
  <si>
    <t xml:space="preserve">Trouxe roteador na loja </t>
  </si>
  <si>
    <t>25/10/2022</t>
  </si>
  <si>
    <t xml:space="preserve"> Luis Andre dos Santos</t>
  </si>
  <si>
    <t>Cancelamento revertido</t>
  </si>
  <si>
    <t>Cacelamento feito</t>
  </si>
  <si>
    <t>x</t>
  </si>
  <si>
    <t xml:space="preserve">Prata Cerealista e Agropecuária Ltda </t>
  </si>
  <si>
    <t>Silvia Helena de Sousa</t>
  </si>
  <si>
    <t>Isabel Cristina dos santos</t>
  </si>
  <si>
    <t>José Augusto de Moraes Correa</t>
  </si>
  <si>
    <t>Jaime Brandão Silva Jr</t>
  </si>
  <si>
    <t xml:space="preserve"> Jociane Job Silva</t>
  </si>
  <si>
    <t xml:space="preserve"> Luzia de paulo da silva</t>
  </si>
  <si>
    <t>Douglas Henrique Pereira</t>
  </si>
  <si>
    <t>Diego Adega</t>
  </si>
  <si>
    <t>Alexandra Aparecida Godinho(coffe)</t>
  </si>
  <si>
    <t>Alexandra Aparecida Godinho(sogra)</t>
  </si>
  <si>
    <t>Alene Carolina (casa mae)</t>
  </si>
  <si>
    <t xml:space="preserve">Amanda Pereira </t>
  </si>
  <si>
    <t>Sandei</t>
  </si>
  <si>
    <t>Sandei oficina</t>
  </si>
  <si>
    <t>Mauricio</t>
  </si>
  <si>
    <t>mauricio</t>
  </si>
  <si>
    <t>Rene Alves de Andrade</t>
  </si>
  <si>
    <t> Pedro Henrique Monteiro</t>
  </si>
  <si>
    <t> LUCELIA APARECIDA MARIANO PEREIRA</t>
  </si>
  <si>
    <t xml:space="preserve">Milene Santos Moreira </t>
  </si>
  <si>
    <t>Antonio Galvão Nogueira</t>
  </si>
  <si>
    <t>Wendrey Martins dos SAntos</t>
  </si>
  <si>
    <t>Luiz Rafael da Silva - Rua Eduardo Amaral</t>
  </si>
  <si>
    <t>Jose Nogueira de Padua</t>
  </si>
  <si>
    <t>Tiago junior saturno</t>
  </si>
  <si>
    <t xml:space="preserve">Solemara </t>
  </si>
  <si>
    <t>Wilson de Vera cruz</t>
  </si>
  <si>
    <t>Michel de FreiTas Capazolli</t>
  </si>
  <si>
    <t xml:space="preserve">Rosilene Fernandes Silva </t>
  </si>
  <si>
    <t>Guilherme Augusto Costa de Jesu</t>
  </si>
  <si>
    <t xml:space="preserve"> Etercidio da Costa Rodrigues Filho</t>
  </si>
  <si>
    <t>Ana Paula Moreira da fraga</t>
  </si>
  <si>
    <t xml:space="preserve"> Gustavo Wellyngthon Brentegani</t>
  </si>
  <si>
    <t>Lisdalva Aparecida Toledo Leme</t>
  </si>
  <si>
    <t xml:space="preserve"> Lisdalva Aparecida Toledo Lemes</t>
  </si>
  <si>
    <t>João Paulo Mariano</t>
  </si>
  <si>
    <t>Maria Lúcia Mello</t>
  </si>
  <si>
    <t>X</t>
  </si>
  <si>
    <t>Maria José de Lima</t>
  </si>
  <si>
    <t>Lucio Carlos de Meirelles</t>
  </si>
  <si>
    <t>Pedro Henrique Silva da Fonsec</t>
  </si>
  <si>
    <t>Jose de carlos de Souza</t>
  </si>
  <si>
    <t xml:space="preserve">Clientes </t>
  </si>
  <si>
    <t>Valor</t>
  </si>
  <si>
    <t>20/08/2024</t>
  </si>
  <si>
    <t>Radio ativa</t>
  </si>
  <si>
    <t>Samuel Paiva</t>
  </si>
  <si>
    <t>22/8/2024</t>
  </si>
  <si>
    <t>Eterciana Santos Rodrigues</t>
  </si>
  <si>
    <t>Boleto enviado</t>
  </si>
  <si>
    <t>27/08/2024</t>
  </si>
  <si>
    <t>24/09/2024</t>
  </si>
  <si>
    <t>23/09/2024</t>
  </si>
  <si>
    <t xml:space="preserve">Jéssica da Silva </t>
  </si>
  <si>
    <t>Mes junho</t>
  </si>
  <si>
    <t>Troca motivo</t>
  </si>
  <si>
    <t xml:space="preserve">Alessandra </t>
  </si>
  <si>
    <t>Mes julho</t>
  </si>
  <si>
    <t>Mes Agosto</t>
  </si>
  <si>
    <t>Dia dos pais Ale viaja dia 10 (Alessandravem no lugar )</t>
  </si>
  <si>
    <t>Welisson  vem no lugar da Ale</t>
  </si>
  <si>
    <t>Mes Setembro</t>
  </si>
  <si>
    <t>Mes Outubro</t>
  </si>
  <si>
    <t>Mes Novembro</t>
  </si>
  <si>
    <t>Mes Dezembro</t>
  </si>
  <si>
    <t xml:space="preserve">Plano </t>
  </si>
  <si>
    <t>Plano  atualizado</t>
  </si>
  <si>
    <t>100 megas</t>
  </si>
  <si>
    <t>400 megas</t>
  </si>
  <si>
    <t>200 megas</t>
  </si>
  <si>
    <t>300 megas</t>
  </si>
  <si>
    <t>Quantidade</t>
  </si>
  <si>
    <t>Valor Adicional</t>
  </si>
  <si>
    <t xml:space="preserve">200 megas </t>
  </si>
  <si>
    <t>100 Megas</t>
  </si>
  <si>
    <t xml:space="preserve">400 megas </t>
  </si>
  <si>
    <t>Joao Batista De Souza</t>
  </si>
  <si>
    <t>20 megas</t>
  </si>
  <si>
    <t>Maria Aparecida Moreira</t>
  </si>
  <si>
    <t>ativo</t>
  </si>
  <si>
    <t xml:space="preserve"> ronaldo batista da costa</t>
  </si>
  <si>
    <t xml:space="preserve">Erica benedita </t>
  </si>
  <si>
    <t>Sonia Aparecida</t>
  </si>
  <si>
    <t>200megas</t>
  </si>
  <si>
    <t>karla Aparecida Rodrigues</t>
  </si>
  <si>
    <t>Franscisco Paulo dos Reis</t>
  </si>
  <si>
    <t>Milene  Alencar</t>
  </si>
  <si>
    <t>100megas</t>
  </si>
  <si>
    <t>Luana AP Costa</t>
  </si>
  <si>
    <t xml:space="preserve"> Paulo Sergio da Silva</t>
  </si>
  <si>
    <t xml:space="preserve">300 megas </t>
  </si>
  <si>
    <t>Augusto Nogueira De Padua</t>
  </si>
  <si>
    <t>Acacio Braz Do Couto</t>
  </si>
  <si>
    <t xml:space="preserve">20 megas </t>
  </si>
  <si>
    <t xml:space="preserve">500 megas </t>
  </si>
  <si>
    <t>300megas</t>
  </si>
  <si>
    <t>Maria Auxiliadora Leite Ferreira</t>
  </si>
  <si>
    <t>30megas</t>
  </si>
  <si>
    <t>Fátima Aparecida Costa Prestes</t>
  </si>
  <si>
    <t>20megas</t>
  </si>
  <si>
    <t>Juliana de Almeida Moraes</t>
  </si>
  <si>
    <t>colocar deco (2)</t>
  </si>
  <si>
    <t>Brucio fechou</t>
  </si>
  <si>
    <t>Maria Lúcia da Silva Tucunduva</t>
  </si>
  <si>
    <t>Telma Pereira Santos Souza 2° ponto</t>
  </si>
  <si>
    <t>Leonardo Roberto de Souza</t>
  </si>
  <si>
    <t>Cleuza Mira</t>
  </si>
  <si>
    <t>Jose de Mira</t>
  </si>
  <si>
    <t>Elaine Cristina Mendes Tavare</t>
  </si>
  <si>
    <t xml:space="preserve">Alexandro Luiz </t>
  </si>
  <si>
    <t>500megas</t>
  </si>
  <si>
    <t xml:space="preserve"> Geniani Aparecida Moreira</t>
  </si>
  <si>
    <t>400megas</t>
  </si>
  <si>
    <t xml:space="preserve">Paulo Henrique Peixoto </t>
  </si>
  <si>
    <t xml:space="preserve">Amanda Anatarie </t>
  </si>
  <si>
    <t xml:space="preserve">Mayse </t>
  </si>
  <si>
    <t xml:space="preserve"> Marcio Flausino</t>
  </si>
  <si>
    <t xml:space="preserve">30 megas </t>
  </si>
  <si>
    <t>Taila Cristina dos Santos</t>
  </si>
  <si>
    <t xml:space="preserve">Alencar Tadeu Silva </t>
  </si>
  <si>
    <t> VALNICEIA MARA DE ABREU MIRA</t>
  </si>
  <si>
    <t>100 megs</t>
  </si>
  <si>
    <t>Pedro Zarotti</t>
  </si>
  <si>
    <t>Jose Joao dos Santos</t>
  </si>
  <si>
    <t>Gilberto Ratzs Brazil</t>
  </si>
  <si>
    <t>Maria Isabel Mira do Couto</t>
  </si>
  <si>
    <t>R$                     124,90</t>
  </si>
  <si>
    <t>500 megas</t>
  </si>
  <si>
    <t>R$                          139,90</t>
  </si>
  <si>
    <t>R$    15,00</t>
  </si>
  <si>
    <t xml:space="preserve"> Alessandro Sergio Teixeira</t>
  </si>
  <si>
    <t>R$                       79,90</t>
  </si>
  <si>
    <t>R$                            99,90</t>
  </si>
  <si>
    <t>R$     20,00</t>
  </si>
  <si>
    <t xml:space="preserve">Jessica Meireles </t>
  </si>
  <si>
    <t>Guilherme vitorino</t>
  </si>
  <si>
    <t xml:space="preserve"> Rosilene de Oliveira Rosa</t>
  </si>
  <si>
    <t xml:space="preserve">Josy Cristiane dos Santos </t>
  </si>
  <si>
    <t xml:space="preserve">Luiz Carlos Gomes da Costa </t>
  </si>
  <si>
    <t>200 megs</t>
  </si>
  <si>
    <t>Celio de Almeida Custódio</t>
  </si>
  <si>
    <t xml:space="preserve"> Claudia Benedita Chaves</t>
  </si>
  <si>
    <t>Antonio Galvão Cobra de Carvalho</t>
  </si>
  <si>
    <t>Colocou mais roteador pra meh shore</t>
  </si>
  <si>
    <t>Gizele Maria Pereira</t>
  </si>
  <si>
    <t>Marcelo Benedito Simoes</t>
  </si>
  <si>
    <t>Luiz Antonio Cardoso Arruda</t>
  </si>
  <si>
    <t>Cesario Marques da Costa Neto</t>
  </si>
  <si>
    <t>700 megas</t>
  </si>
  <si>
    <t xml:space="preserve">Tomaz Paiva </t>
  </si>
  <si>
    <t xml:space="preserve">Filomena Maria Costa de Siqueira </t>
  </si>
  <si>
    <t xml:space="preserve">Jose Augusto da Rosa Silva </t>
  </si>
  <si>
    <t xml:space="preserve">400 mega </t>
  </si>
  <si>
    <t xml:space="preserve"> Maria Angelica Moreno Bazoli</t>
  </si>
  <si>
    <t>Grafica Tiradentes</t>
  </si>
  <si>
    <t xml:space="preserve"> LUCIMAR MARIA DA SILVEIRA PEREIRA</t>
  </si>
  <si>
    <t xml:space="preserve">700 megas </t>
  </si>
  <si>
    <t xml:space="preserve">mesh </t>
  </si>
  <si>
    <t>mesh</t>
  </si>
  <si>
    <t xml:space="preserve">Marco Antonio da silva </t>
  </si>
  <si>
    <t>mesh e roku</t>
  </si>
  <si>
    <t>roku</t>
  </si>
  <si>
    <t>2 roku</t>
  </si>
  <si>
    <t>300 MEGAS</t>
  </si>
  <si>
    <t>Igreja Presbiteriana Independente</t>
  </si>
  <si>
    <t>Rosangela Maria Leopoldino</t>
  </si>
  <si>
    <t>Roteador</t>
  </si>
  <si>
    <t>Armando Andrade Pereira</t>
  </si>
  <si>
    <t>Roku</t>
  </si>
  <si>
    <t xml:space="preserve">roku e mesh </t>
  </si>
  <si>
    <t xml:space="preserve">roku </t>
  </si>
  <si>
    <t xml:space="preserve"> Maria Tereza Bueno de Mello Prado Ribeiro</t>
  </si>
  <si>
    <t>Germano Jose Ribeiro</t>
  </si>
  <si>
    <t>plano</t>
  </si>
  <si>
    <t>Jessica Tainara de Souza</t>
  </si>
  <si>
    <t>Rede mesh</t>
  </si>
  <si>
    <t>Cezar Romero da Silva</t>
  </si>
  <si>
    <t>Regina Celia Pereira</t>
  </si>
  <si>
    <t>Amanda Moreira Correa</t>
  </si>
  <si>
    <t>roku Inconfidentes</t>
  </si>
  <si>
    <t xml:space="preserve"> EVILASIO CORREA DA CRUZ OLIVEIRA(PIO)</t>
  </si>
  <si>
    <t>20 Megas</t>
  </si>
  <si>
    <t>roteador</t>
  </si>
  <si>
    <t>upgrade só</t>
  </si>
  <si>
    <t>Empire Gym</t>
  </si>
  <si>
    <t>Isabela de Almeida Maximiano</t>
  </si>
  <si>
    <t xml:space="preserve"> FABIO MACHADO DE ALMEIDA</t>
  </si>
  <si>
    <t>Narciza de Cassia Rosa Custodio Souza</t>
  </si>
  <si>
    <t>Mês</t>
  </si>
  <si>
    <t>Data de Instalação</t>
  </si>
  <si>
    <t>Como cliente nos conheceu</t>
  </si>
  <si>
    <t>SHORELINE</t>
  </si>
  <si>
    <t>atualizado</t>
  </si>
  <si>
    <t xml:space="preserve">Antônio Carlos da Costa </t>
  </si>
  <si>
    <t xml:space="preserve">(Instalado) </t>
  </si>
  <si>
    <t>quinta 31/08 14:00</t>
  </si>
  <si>
    <t xml:space="preserve">Janeiro </t>
  </si>
  <si>
    <t xml:space="preserve">Fevereiro </t>
  </si>
  <si>
    <t xml:space="preserve">Maio </t>
  </si>
  <si>
    <t xml:space="preserve">Junho </t>
  </si>
  <si>
    <t xml:space="preserve">Julho </t>
  </si>
  <si>
    <t>Quarta 30/08 16:00</t>
  </si>
  <si>
    <t xml:space="preserve">Loja </t>
  </si>
  <si>
    <t>HGU</t>
  </si>
  <si>
    <t>quarta 30/08 14:00</t>
  </si>
  <si>
    <t xml:space="preserve">Rodrigo José Cantuária Teixeira (Cancelou) </t>
  </si>
  <si>
    <t>quinta 31/08 16:30</t>
  </si>
  <si>
    <t xml:space="preserve">João José Rosa Nazaréno da Silva </t>
  </si>
  <si>
    <t>Sexta 01/09 11:00</t>
  </si>
  <si>
    <t xml:space="preserve">Siony Soldani </t>
  </si>
  <si>
    <t>Quarta 30/08 10:30</t>
  </si>
  <si>
    <t>Raisecom</t>
  </si>
  <si>
    <t xml:space="preserve">Edgar Pintaúdi </t>
  </si>
  <si>
    <t>Quinta 31/08 10:30</t>
  </si>
  <si>
    <t xml:space="preserve">Veio pelo panfleto </t>
  </si>
  <si>
    <t xml:space="preserve">Total </t>
  </si>
  <si>
    <t xml:space="preserve">Thales Augusto de Freitas Machado (Cancelou) </t>
  </si>
  <si>
    <t>Sexta 01/09 09:00</t>
  </si>
  <si>
    <t xml:space="preserve">Gabriel Antunes da Silva </t>
  </si>
  <si>
    <t xml:space="preserve">Quarta 30/08 09:00 </t>
  </si>
  <si>
    <t>30/08/2023</t>
  </si>
  <si>
    <t xml:space="preserve">Tiago Reis da Silva (Cancelou) </t>
  </si>
  <si>
    <t>Quarta 30/08 11:30</t>
  </si>
  <si>
    <t xml:space="preserve">Jonathas </t>
  </si>
  <si>
    <t xml:space="preserve">José Maria Rodrigues da Luz (Cancelou) </t>
  </si>
  <si>
    <t xml:space="preserve">Sexta 01/09 13:30 </t>
  </si>
  <si>
    <t>31/08/2023</t>
  </si>
  <si>
    <t>Sexta 01/09 09:30</t>
  </si>
  <si>
    <t>José Altair</t>
  </si>
  <si>
    <t>Proprio</t>
  </si>
  <si>
    <t xml:space="preserve">Segunda 04/09 09:00 </t>
  </si>
  <si>
    <t>XX230</t>
  </si>
  <si>
    <t>Breno Almeida</t>
  </si>
  <si>
    <t xml:space="preserve">Segunda 04/09 13:30 </t>
  </si>
  <si>
    <t xml:space="preserve">                                                  Setembro</t>
  </si>
  <si>
    <t>Giovani Marcio Coura</t>
  </si>
  <si>
    <t>Sexta 01/09 15:00</t>
  </si>
  <si>
    <t xml:space="preserve">Sexta 01/09 15:30 </t>
  </si>
  <si>
    <t xml:space="preserve">Letícia Bárbara Vieira </t>
  </si>
  <si>
    <t>quarta 06/09 16:30</t>
  </si>
  <si>
    <t xml:space="preserve">Dayse Priscila Antunes Venâncio </t>
  </si>
  <si>
    <t xml:space="preserve">Diana Yun My Colquehuanca </t>
  </si>
  <si>
    <t>Terça 05/09 09:00</t>
  </si>
  <si>
    <t xml:space="preserve">Sexta 08/09 09:00 </t>
  </si>
  <si>
    <t xml:space="preserve">Sexta 08/09 11:00 </t>
  </si>
  <si>
    <t xml:space="preserve">Wilson José de Andrade </t>
  </si>
  <si>
    <t xml:space="preserve">Quarta 06/09 10:30 </t>
  </si>
  <si>
    <t xml:space="preserve">Aline Cristina Barbosa (Cancelou) </t>
  </si>
  <si>
    <t xml:space="preserve">Segunga 11/09 09:00 </t>
  </si>
  <si>
    <t xml:space="preserve">Ana Flávia Aparecida Amâncio </t>
  </si>
  <si>
    <t xml:space="preserve">Quarta 13/09 11:00 </t>
  </si>
  <si>
    <t>Tony</t>
  </si>
  <si>
    <t>13/09/2023</t>
  </si>
  <si>
    <t xml:space="preserve">Marielly Eduarda Souza Silva </t>
  </si>
  <si>
    <t xml:space="preserve">Quarta 13/09 14:00 </t>
  </si>
  <si>
    <t xml:space="preserve">Quinta 14/09 14:00 </t>
  </si>
  <si>
    <t xml:space="preserve">Tony </t>
  </si>
  <si>
    <t xml:space="preserve">Débora Arruda Rodrigues </t>
  </si>
  <si>
    <t xml:space="preserve">Quinta 14/09 17:00 </t>
  </si>
  <si>
    <t xml:space="preserve">roteador </t>
  </si>
  <si>
    <t xml:space="preserve">Quarta 20/09 09:00 </t>
  </si>
  <si>
    <t>15/09/2023</t>
  </si>
  <si>
    <t xml:space="preserve">Kely de Lima Martinez </t>
  </si>
  <si>
    <t xml:space="preserve">Segunda 18/09 14:00 </t>
  </si>
  <si>
    <t xml:space="preserve">Auto Peças Bonamigo </t>
  </si>
  <si>
    <t xml:space="preserve">Segunda 18/09 09:00 </t>
  </si>
  <si>
    <t>19/09/2023</t>
  </si>
  <si>
    <t xml:space="preserve">Daniela da Silva </t>
  </si>
  <si>
    <t>Terça 19/09 11:30</t>
  </si>
  <si>
    <t xml:space="preserve">Jovina Pereira de Souza </t>
  </si>
  <si>
    <t xml:space="preserve">Quarta 20/09 14:00 </t>
  </si>
  <si>
    <t xml:space="preserve">Jordana de Fátima Alkmin Arantes (Cancelou) </t>
  </si>
  <si>
    <t>Terça 19/09 15:30</t>
  </si>
  <si>
    <t>22/09/2023</t>
  </si>
  <si>
    <t xml:space="preserve">Rodrigo Martinelli Rosão </t>
  </si>
  <si>
    <t>Segunda 25/09 09:00</t>
  </si>
  <si>
    <t>23/09/2023</t>
  </si>
  <si>
    <t xml:space="preserve">Minor dos Reis Silva (Cancelou) </t>
  </si>
  <si>
    <t>Segunda 25/09 14:00</t>
  </si>
  <si>
    <t xml:space="preserve">Gabriela de Cássia Ferraz (Cancelou) </t>
  </si>
  <si>
    <t xml:space="preserve">Segunda 25/09 17:00 </t>
  </si>
  <si>
    <t>x220</t>
  </si>
  <si>
    <t>27/09/2023</t>
  </si>
  <si>
    <t xml:space="preserve">Adriano Lemes Garcia </t>
  </si>
  <si>
    <t>Terça 03/10 11:00</t>
  </si>
  <si>
    <t>Tplink Mesh</t>
  </si>
  <si>
    <t>x230 + X220</t>
  </si>
  <si>
    <t>Quinta 28/09 13:00</t>
  </si>
  <si>
    <t>Terça 26/09 14:00</t>
  </si>
  <si>
    <t>Mesh 2 Rot</t>
  </si>
  <si>
    <t>Clube de Campo Libertas</t>
  </si>
  <si>
    <t>Quinta 28/09 09:00</t>
  </si>
  <si>
    <t xml:space="preserve">Luiz Fernando de Paiva (Cancelou) </t>
  </si>
  <si>
    <t>Segunda 04/09 10:30</t>
  </si>
  <si>
    <t xml:space="preserve">                                                    Outubro</t>
  </si>
  <si>
    <t xml:space="preserve">Liane Ferreira Shaki (Cancelou) </t>
  </si>
  <si>
    <t xml:space="preserve">Segunda 02/10 10:30 </t>
  </si>
  <si>
    <t>Terça 03/10 9:00</t>
  </si>
  <si>
    <t xml:space="preserve">Siony Soldani (Lima Veículos) </t>
  </si>
  <si>
    <t>Terça 03/10 10:30</t>
  </si>
  <si>
    <t xml:space="preserve">Larissa Paronetti Galo </t>
  </si>
  <si>
    <t>Quarta 04/10 09:00</t>
  </si>
  <si>
    <t xml:space="preserve">João </t>
  </si>
  <si>
    <t>Terça 03/10 15:00</t>
  </si>
  <si>
    <t xml:space="preserve">Loja(Indicação Tiago) </t>
  </si>
  <si>
    <t xml:space="preserve">Kemilly Muniz da Silva (Cancelou) </t>
  </si>
  <si>
    <t xml:space="preserve">Terça 03/10 16:30 </t>
  </si>
  <si>
    <t xml:space="preserve">Henrique Aparecido Lopes (Cancelou) </t>
  </si>
  <si>
    <t xml:space="preserve">Quinta 05/10 09:00 </t>
  </si>
  <si>
    <t>tplink</t>
  </si>
  <si>
    <t xml:space="preserve">Sabrina Aparecida Muniz </t>
  </si>
  <si>
    <t>Quinta 05/10 14:00</t>
  </si>
  <si>
    <t xml:space="preserve"> Paulo Henrique Marques Duarte</t>
  </si>
  <si>
    <t xml:space="preserve">João Vitor Rodrigues da Silva </t>
  </si>
  <si>
    <t>Sexta 06/10 15:30</t>
  </si>
  <si>
    <t>xx230</t>
  </si>
  <si>
    <t>Segunda 09/10 09:00</t>
  </si>
  <si>
    <t>Sexta 06/10 09:00</t>
  </si>
  <si>
    <t xml:space="preserve">João(Indicação Tiago) </t>
  </si>
  <si>
    <t xml:space="preserve">Jeniffer Micaela da Silva (Cancelou) </t>
  </si>
  <si>
    <t>Segunda 09/10 10:30</t>
  </si>
  <si>
    <t xml:space="preserve">João(Indicação Paulo H.) </t>
  </si>
  <si>
    <t>Segunda 30/10 09:00</t>
  </si>
  <si>
    <t>João</t>
  </si>
  <si>
    <t xml:space="preserve">Célia Regina Veronese de Souza </t>
  </si>
  <si>
    <t xml:space="preserve">Sexta 13/10 09:00 </t>
  </si>
  <si>
    <t xml:space="preserve"> não atualizado</t>
  </si>
  <si>
    <t xml:space="preserve">Marcos Eduardo Cústodio </t>
  </si>
  <si>
    <t>Quarta 11/10 14:00</t>
  </si>
  <si>
    <t xml:space="preserve">Benoni Teixeira </t>
  </si>
  <si>
    <t>Sexta 06/10 10:00</t>
  </si>
  <si>
    <t xml:space="preserve">Wellington Alexandre Brandão José (Cancelou) </t>
  </si>
  <si>
    <t xml:space="preserve">Terça 17/10 14:00 </t>
  </si>
  <si>
    <t xml:space="preserve">Dorival Gonçalves da Costa (Cancelou) </t>
  </si>
  <si>
    <t xml:space="preserve">Terça 17/10 10:30 </t>
  </si>
  <si>
    <t>VERIFICAR</t>
  </si>
  <si>
    <t>ACESSO REMOTO</t>
  </si>
  <si>
    <t>Quinta 19/10 10:30</t>
  </si>
  <si>
    <t xml:space="preserve">Caio Nascimento da Silva (Cancelou) </t>
  </si>
  <si>
    <t>Quinta 19/10 09:00</t>
  </si>
  <si>
    <t xml:space="preserve">Quinta 19/10 14:00 </t>
  </si>
  <si>
    <t xml:space="preserve">Segunda 23/10 09:00 </t>
  </si>
  <si>
    <t xml:space="preserve">Siony Soldani da Silva Lima (3 ponto) </t>
  </si>
  <si>
    <t xml:space="preserve">Sexta 20/10 09:00 </t>
  </si>
  <si>
    <t xml:space="preserve">Siony Soldani da Silva Lima (3 ponto cortesia) </t>
  </si>
  <si>
    <t xml:space="preserve">Sexta 20/10 10:30 </t>
  </si>
  <si>
    <t xml:space="preserve">Elizeu Bibiano Guedes </t>
  </si>
  <si>
    <t>Sexta 20/10 14:00</t>
  </si>
  <si>
    <t xml:space="preserve">Djalma Lopes Abs (Cancelou) </t>
  </si>
  <si>
    <t>23/10/2023</t>
  </si>
  <si>
    <t xml:space="preserve">Gilberto Geraldo Braz </t>
  </si>
  <si>
    <t>Quinta 26/10 14:00</t>
  </si>
  <si>
    <t xml:space="preserve">Bruna Maduro da Silva </t>
  </si>
  <si>
    <t>Segunda 23/10 15:00</t>
  </si>
  <si>
    <t xml:space="preserve">Adriano Ramos </t>
  </si>
  <si>
    <t>Terça 24/10 17:00</t>
  </si>
  <si>
    <t xml:space="preserve">Filipe Pires </t>
  </si>
  <si>
    <t xml:space="preserve">Terça 24/10 15:00 </t>
  </si>
  <si>
    <t>MESH 1 ROT atualizado</t>
  </si>
  <si>
    <t xml:space="preserve">Israel Luis Lucas </t>
  </si>
  <si>
    <t>Quinta 26/10 09:00</t>
  </si>
  <si>
    <t xml:space="preserve">Israel Luis Lucas (2 ponto cortesia) </t>
  </si>
  <si>
    <t>Qunta 26/10 15:30</t>
  </si>
  <si>
    <t xml:space="preserve">Vinicius da Cruz Martins (Cancelou) </t>
  </si>
  <si>
    <t>Sexta 27/10 09:00</t>
  </si>
  <si>
    <t>X220</t>
  </si>
  <si>
    <t xml:space="preserve">Wellington Mendes </t>
  </si>
  <si>
    <t xml:space="preserve">Quinta 26/10 10:30 </t>
  </si>
  <si>
    <t>26/10/2023</t>
  </si>
  <si>
    <t xml:space="preserve">Gilberto Geraldo Braz (2 ponto) </t>
  </si>
  <si>
    <t xml:space="preserve">Terça 06/02 15:00 </t>
  </si>
  <si>
    <t xml:space="preserve">Marcelo Bueno Gonçalves </t>
  </si>
  <si>
    <t xml:space="preserve">Sexta 27/10 10:30 </t>
  </si>
  <si>
    <t xml:space="preserve">Edmeia Félix de Lima Siqueira </t>
  </si>
  <si>
    <t xml:space="preserve">Segunda 30/10 14:00 </t>
  </si>
  <si>
    <t>31/10/2023</t>
  </si>
  <si>
    <t xml:space="preserve">Maria Aparecida Antunes </t>
  </si>
  <si>
    <t>Segunda 06/11 09:00</t>
  </si>
  <si>
    <t>Quarta 01/11 09:00</t>
  </si>
  <si>
    <r>
      <rPr>
        <sz val="11"/>
        <color rgb="FF000000"/>
        <rFont val="Calibri"/>
        <family val="2"/>
      </rPr>
      <t xml:space="preserve">                                               </t>
    </r>
    <r>
      <rPr>
        <b/>
        <sz val="11"/>
        <color rgb="FF000000"/>
        <rFont val="Calibri"/>
        <family val="2"/>
      </rPr>
      <t xml:space="preserve">    Novembro </t>
    </r>
  </si>
  <si>
    <t>Terça 07/11 10:30</t>
  </si>
  <si>
    <t xml:space="preserve">Gilberto Lima Trettin (Cancelou) </t>
  </si>
  <si>
    <t>Quarta 08/11 18:00</t>
  </si>
  <si>
    <t xml:space="preserve">Márcia Ramos Trettin </t>
  </si>
  <si>
    <t>Terça 07/11 18:00</t>
  </si>
  <si>
    <t xml:space="preserve">Sérgio Mariano dos Santos </t>
  </si>
  <si>
    <t xml:space="preserve">Segunda 06/11 14:00 </t>
  </si>
  <si>
    <t>João(Indicação Paula-Neguinho)</t>
  </si>
  <si>
    <t xml:space="preserve">Leonardo Aparecido Caetano (Cancelou) </t>
  </si>
  <si>
    <t>Segunda 13/11 17:00</t>
  </si>
  <si>
    <t xml:space="preserve">Everton Lima de Souza </t>
  </si>
  <si>
    <t>Sexta 10/11 08:30</t>
  </si>
  <si>
    <t xml:space="preserve">Weriton Aparecido Muniz </t>
  </si>
  <si>
    <t>Sexta 10/11 10:30</t>
  </si>
  <si>
    <t>Loja Borda</t>
  </si>
  <si>
    <t xml:space="preserve">Diego Narciso Buarque Pereira  </t>
  </si>
  <si>
    <t xml:space="preserve">Sexta 10/11 14:00 </t>
  </si>
  <si>
    <t>Segunda 13/11 09:00</t>
  </si>
  <si>
    <t xml:space="preserve">Paola de Souza </t>
  </si>
  <si>
    <t>Quinta 16/11 14:00</t>
  </si>
  <si>
    <t>Christiane Donizete Teodoro de Paula</t>
  </si>
  <si>
    <t>Quinta 16/11 16:00</t>
  </si>
  <si>
    <t xml:space="preserve">Terça 21/11 09:00 </t>
  </si>
  <si>
    <t xml:space="preserve">Gabriel de Moraes de Souza (Cancelou) </t>
  </si>
  <si>
    <t>Terça 21/11 16:30</t>
  </si>
  <si>
    <t>Quarta 22/11 15:30</t>
  </si>
  <si>
    <t xml:space="preserve">Marcio de Resende </t>
  </si>
  <si>
    <t>Quarta 22/11 14:00</t>
  </si>
  <si>
    <t xml:space="preserve">Ana Caroline Barbosa </t>
  </si>
  <si>
    <t>Quarta 22/11 10:00</t>
  </si>
  <si>
    <t>Terça 21/11 11:30</t>
  </si>
  <si>
    <t xml:space="preserve">Jacson Elias da Cruz (Cancelou) </t>
  </si>
  <si>
    <t>Terça 21/11 15:30</t>
  </si>
  <si>
    <t xml:space="preserve">Quinta 23/11 09:00 </t>
  </si>
  <si>
    <t>23/11/2023</t>
  </si>
  <si>
    <t xml:space="preserve">Julio Cesar Guimaraes de Souza (Cancelou) </t>
  </si>
  <si>
    <t>(Instalado)</t>
  </si>
  <si>
    <t>Segunda 11/12 09:00</t>
  </si>
  <si>
    <t xml:space="preserve">Terça 02/01 15:30 </t>
  </si>
  <si>
    <t>MESH atualizado</t>
  </si>
  <si>
    <t xml:space="preserve">Sexta 24/11 10:30 </t>
  </si>
  <si>
    <t xml:space="preserve">Loja   </t>
  </si>
  <si>
    <t>25/11/2023</t>
  </si>
  <si>
    <t xml:space="preserve">Tainara Pereira da Silva </t>
  </si>
  <si>
    <t xml:space="preserve">Segunda 27/11 17:30 </t>
  </si>
  <si>
    <t xml:space="preserve">Caroline Roberta do Prado Maduro (Cancelou) </t>
  </si>
  <si>
    <t>Terça 28/11 14:00</t>
  </si>
  <si>
    <t xml:space="preserve">Caroline Roberta do Prado Maduro 2 ponto (Cancelou) </t>
  </si>
  <si>
    <t>Quarta 29/11 14:30</t>
  </si>
  <si>
    <t>29/11/2023</t>
  </si>
  <si>
    <t xml:space="preserve">Quarta 29/11 16:00 </t>
  </si>
  <si>
    <t xml:space="preserve">Quinta 30/11 14:00 </t>
  </si>
  <si>
    <t xml:space="preserve">29/11/2023 </t>
  </si>
  <si>
    <t xml:space="preserve">Ilma dos Santos de Souza </t>
  </si>
  <si>
    <t xml:space="preserve">Quinta 30/11 16:00 </t>
  </si>
  <si>
    <t>30/11/2023</t>
  </si>
  <si>
    <t xml:space="preserve">Silvania Helen de Souza Meira </t>
  </si>
  <si>
    <t>Sexta 01/12 14:00</t>
  </si>
  <si>
    <t xml:space="preserve">Manoel Anisio da Silva </t>
  </si>
  <si>
    <t>Sexta 01/12 16:00</t>
  </si>
  <si>
    <t xml:space="preserve">30/11/2023 </t>
  </si>
  <si>
    <t xml:space="preserve">Rogério Francisco de Souza </t>
  </si>
  <si>
    <t xml:space="preserve">Daniel Samuel Ferreira Fenandes (Cancelou) </t>
  </si>
  <si>
    <t>Terça 05/12 09:00</t>
  </si>
  <si>
    <r>
      <rPr>
        <sz val="11"/>
        <color rgb="FF000000"/>
        <rFont val="Calibri"/>
        <family val="2"/>
      </rPr>
      <t xml:space="preserve">                                            </t>
    </r>
    <r>
      <rPr>
        <b/>
        <sz val="11"/>
        <color rgb="FF000000"/>
        <rFont val="Calibri"/>
        <family val="2"/>
      </rPr>
      <t xml:space="preserve">     Dezembro </t>
    </r>
  </si>
  <si>
    <t xml:space="preserve">Segunda 04/12 14:30 </t>
  </si>
  <si>
    <t xml:space="preserve">Oscar Cezar Kido Siqueira </t>
  </si>
  <si>
    <t xml:space="preserve">Quarta 06/12 09:30 </t>
  </si>
  <si>
    <t>João/Danúbia</t>
  </si>
  <si>
    <t xml:space="preserve">Segunda 11/12 10:30 </t>
  </si>
  <si>
    <t xml:space="preserve">Quinta 07/12 09:00 </t>
  </si>
  <si>
    <t xml:space="preserve">Associação Comunidade Aliança Jave Nissi </t>
  </si>
  <si>
    <t xml:space="preserve">Terça 12/12 10:30 </t>
  </si>
  <si>
    <t>Paróquia São Geraldo Magela</t>
  </si>
  <si>
    <t xml:space="preserve">Terça 12/12 15:30 </t>
  </si>
  <si>
    <t>Quinta 07/12 17:00</t>
  </si>
  <si>
    <t>Terça 12/12 14:00</t>
  </si>
  <si>
    <t xml:space="preserve">Terça 12/12 09:00 </t>
  </si>
  <si>
    <t xml:space="preserve">Sexta 23/02 14:00 </t>
  </si>
  <si>
    <t xml:space="preserve">Sexta 15/12 16:30 </t>
  </si>
  <si>
    <t xml:space="preserve">Segunda 11/12 16:30 </t>
  </si>
  <si>
    <t xml:space="preserve">New York Pizzaria </t>
  </si>
  <si>
    <t xml:space="preserve">Sexta 15/12 09:00 </t>
  </si>
  <si>
    <t xml:space="preserve">Helena Aparecida da Silva </t>
  </si>
  <si>
    <t>Quarta 13/12 10:00</t>
  </si>
  <si>
    <t xml:space="preserve">13/12/2023 </t>
  </si>
  <si>
    <t xml:space="preserve">Valdir Jacinto </t>
  </si>
  <si>
    <t xml:space="preserve">Quinta 14/12 14:00 </t>
  </si>
  <si>
    <t xml:space="preserve">Regiane Helena Becalete </t>
  </si>
  <si>
    <t xml:space="preserve">Quinta 14/12 15:30 </t>
  </si>
  <si>
    <t>raisecom</t>
  </si>
  <si>
    <t xml:space="preserve">14/12/2023 </t>
  </si>
  <si>
    <t xml:space="preserve">Sexta 15/12 14:00 </t>
  </si>
  <si>
    <t xml:space="preserve">Fundação Rocha </t>
  </si>
  <si>
    <t xml:space="preserve">Segunda 26/02 09:00 </t>
  </si>
  <si>
    <t xml:space="preserve">Wanessa Ribeiro Rocha </t>
  </si>
  <si>
    <t xml:space="preserve">Josue Ribeiro Dionisio Junior </t>
  </si>
  <si>
    <t xml:space="preserve">Quinta 14/12 16:00 </t>
  </si>
  <si>
    <t xml:space="preserve">18/12/2023 </t>
  </si>
  <si>
    <t xml:space="preserve">Ana Paula de Almeida </t>
  </si>
  <si>
    <t xml:space="preserve">Segunda 18/12 10:00 </t>
  </si>
  <si>
    <t xml:space="preserve">19/12/2023 </t>
  </si>
  <si>
    <t xml:space="preserve">Quarta 20/12 14:00 </t>
  </si>
  <si>
    <t>atualizar 2 roteadores</t>
  </si>
  <si>
    <t xml:space="preserve">Quarta 20/12 15:30 </t>
  </si>
  <si>
    <t xml:space="preserve">Quinta 21/12 09:00 </t>
  </si>
  <si>
    <t xml:space="preserve">21/12/2023 </t>
  </si>
  <si>
    <t xml:space="preserve">Thamiris Jacinto de Oliveira </t>
  </si>
  <si>
    <t xml:space="preserve">Quarta 27/12 09:00 </t>
  </si>
  <si>
    <t xml:space="preserve">Mayara Eliza Jacinto </t>
  </si>
  <si>
    <t xml:space="preserve">Quarta 27/12 14:00 </t>
  </si>
  <si>
    <t xml:space="preserve">23/12/2023 </t>
  </si>
  <si>
    <t xml:space="preserve">Edson Lucas Ferreira da Silva </t>
  </si>
  <si>
    <t xml:space="preserve">Sábado 23/12 10:30 </t>
  </si>
  <si>
    <t>MESH ATUALIZAO</t>
  </si>
  <si>
    <t xml:space="preserve">26/12/2023 </t>
  </si>
  <si>
    <t xml:space="preserve">Solange Ceribeli </t>
  </si>
  <si>
    <t xml:space="preserve">Terça 26/12 11:30 </t>
  </si>
  <si>
    <t xml:space="preserve">Solange Ceribeli 2 ponto (Cancelou) </t>
  </si>
  <si>
    <t xml:space="preserve">Terça 26/12 17:00 </t>
  </si>
  <si>
    <t xml:space="preserve">Geralda Braz Mendes 2 ponto </t>
  </si>
  <si>
    <t xml:space="preserve">Quinta 28/12 10:30 </t>
  </si>
  <si>
    <t xml:space="preserve">Joel Inacio Ferraz </t>
  </si>
  <si>
    <t xml:space="preserve">Quarta 27/12 16:30 </t>
  </si>
  <si>
    <t xml:space="preserve">Suelen Simão Gomes </t>
  </si>
  <si>
    <t xml:space="preserve">Quarta 27/12 15:30 </t>
  </si>
  <si>
    <t xml:space="preserve">27/12/2023 </t>
  </si>
  <si>
    <t xml:space="preserve">Thiago Vitor de Oliveira (Cancelou) </t>
  </si>
  <si>
    <t xml:space="preserve">Quinta 28/12 09:00 </t>
  </si>
  <si>
    <t xml:space="preserve">Loja Borda </t>
  </si>
  <si>
    <t>Tplinl</t>
  </si>
  <si>
    <t>Maicon Cosme José Da Silva</t>
  </si>
  <si>
    <t xml:space="preserve">Quinta 28/12 14:00 </t>
  </si>
  <si>
    <t xml:space="preserve">Sexta 05/01 15:30 </t>
  </si>
  <si>
    <t xml:space="preserve">28/12/2023 </t>
  </si>
  <si>
    <t xml:space="preserve">Ronaldo Donizeti Rodrigues </t>
  </si>
  <si>
    <t xml:space="preserve">Sexta 29/12 10:30 </t>
  </si>
  <si>
    <t xml:space="preserve">Sexta 29/12 09:00 </t>
  </si>
  <si>
    <r>
      <rPr>
        <sz val="11"/>
        <color rgb="FF000000"/>
        <rFont val="Calibri"/>
        <family val="2"/>
      </rPr>
      <t xml:space="preserve">                                           </t>
    </r>
    <r>
      <rPr>
        <b/>
        <sz val="11"/>
        <color rgb="FF000000"/>
        <rFont val="Calibri"/>
        <family val="2"/>
      </rPr>
      <t xml:space="preserve">     Janeiro </t>
    </r>
  </si>
  <si>
    <t xml:space="preserve">Itamar Faria Moreira (Cancelou) </t>
  </si>
  <si>
    <t>Quarta 03/01 09:00</t>
  </si>
  <si>
    <t xml:space="preserve">Maisa de Souza Damaceno </t>
  </si>
  <si>
    <t>Terça 02/01 14:00</t>
  </si>
  <si>
    <t xml:space="preserve">Rafael Borges </t>
  </si>
  <si>
    <t xml:space="preserve">Sexta 05/01 14:00 </t>
  </si>
  <si>
    <t xml:space="preserve">Marco Aurélio Senibalde Monteiro (Cancelou) </t>
  </si>
  <si>
    <t>branco</t>
  </si>
  <si>
    <t xml:space="preserve">Janaina Pereira </t>
  </si>
  <si>
    <t xml:space="preserve">Segunda 08/01 17:30 </t>
  </si>
  <si>
    <t xml:space="preserve">Quarta 10/01 10:30 </t>
  </si>
  <si>
    <t xml:space="preserve">tplink </t>
  </si>
  <si>
    <t xml:space="preserve">João Paulo Rosa de Araújo </t>
  </si>
  <si>
    <t xml:space="preserve">Sábado 13/01 09:00 </t>
  </si>
  <si>
    <t xml:space="preserve">13/01/2024 </t>
  </si>
  <si>
    <t xml:space="preserve">Cleber Custodio Jorge </t>
  </si>
  <si>
    <t xml:space="preserve">Segunda 15/01 09:00 </t>
  </si>
  <si>
    <t xml:space="preserve">15/01/2024 </t>
  </si>
  <si>
    <t xml:space="preserve">Lazara Mira de Souza </t>
  </si>
  <si>
    <t xml:space="preserve">Segunda 15/01 14:00 </t>
  </si>
  <si>
    <t xml:space="preserve">Andréia Correa Ferrari </t>
  </si>
  <si>
    <t xml:space="preserve">Quarta 17/01 09:00 </t>
  </si>
  <si>
    <t xml:space="preserve">18/01/2024 </t>
  </si>
  <si>
    <t xml:space="preserve">Maisa Rayra dos Santos (Cancelou) </t>
  </si>
  <si>
    <t xml:space="preserve">Sexta 19/01 09:00 </t>
  </si>
  <si>
    <t xml:space="preserve">Tplink </t>
  </si>
  <si>
    <t>EX220</t>
  </si>
  <si>
    <t xml:space="preserve">Igor Jhonatan da Silva Domingues </t>
  </si>
  <si>
    <t xml:space="preserve">Sexta 19/01 10:30 </t>
  </si>
  <si>
    <t xml:space="preserve">Câmara Municipal Inconfidentes </t>
  </si>
  <si>
    <t xml:space="preserve">Segunda 29/01 09:00 </t>
  </si>
  <si>
    <t xml:space="preserve">22/01/2024 </t>
  </si>
  <si>
    <t xml:space="preserve">Francisco José da Costa </t>
  </si>
  <si>
    <t xml:space="preserve">Terça 23/01 17:00 </t>
  </si>
  <si>
    <t>Josemi correa oliveira</t>
  </si>
  <si>
    <t xml:space="preserve">Segunda 22/01 17:30 </t>
  </si>
  <si>
    <t xml:space="preserve">24/01/2024 </t>
  </si>
  <si>
    <t xml:space="preserve">Maria Aparecida da Paixão (Cancelou) </t>
  </si>
  <si>
    <t xml:space="preserve">Quinta 25/01 10:00 </t>
  </si>
  <si>
    <t>Loja Borda (leads)</t>
  </si>
  <si>
    <t xml:space="preserve">Rubens Moreira </t>
  </si>
  <si>
    <t xml:space="preserve">Quinta 25/01 14:00 </t>
  </si>
  <si>
    <t xml:space="preserve">25/01/2024 </t>
  </si>
  <si>
    <t xml:space="preserve">Quinta 25/01 16:00 </t>
  </si>
  <si>
    <t>Sexta 26/01 10:30</t>
  </si>
  <si>
    <t xml:space="preserve">João Paulo Bartholo Favilla </t>
  </si>
  <si>
    <t>Sexta 26/01 09:00</t>
  </si>
  <si>
    <t>X230 + X220</t>
  </si>
  <si>
    <t xml:space="preserve">26/01/2024 </t>
  </si>
  <si>
    <t xml:space="preserve">Villegas Gastrobar </t>
  </si>
  <si>
    <t xml:space="preserve">Quarta 07/02 09:00 </t>
  </si>
  <si>
    <t xml:space="preserve">Sexta 26/01 17:30 </t>
  </si>
  <si>
    <r>
      <rPr>
        <sz val="11"/>
        <color rgb="FF000000"/>
        <rFont val="Calibri"/>
        <family val="2"/>
      </rPr>
      <t xml:space="preserve">                                            </t>
    </r>
    <r>
      <rPr>
        <b/>
        <sz val="11"/>
        <color rgb="FF000000"/>
        <rFont val="Calibri"/>
        <family val="2"/>
      </rPr>
      <t xml:space="preserve">  Fevereiro </t>
    </r>
  </si>
  <si>
    <t xml:space="preserve">Maria Regina da Silva </t>
  </si>
  <si>
    <t xml:space="preserve">Quinta 01/02 09:00 </t>
  </si>
  <si>
    <t xml:space="preserve">Camila Ribeiro Lisboa </t>
  </si>
  <si>
    <t>Sexta 02/02 09:00</t>
  </si>
  <si>
    <t xml:space="preserve">Segunda 05/02 09:00 </t>
  </si>
  <si>
    <t xml:space="preserve">Caixa Escolar Monsenhor Teófilo Guimarães 2 ponto </t>
  </si>
  <si>
    <t xml:space="preserve">Segunda 05/02 10:30 </t>
  </si>
  <si>
    <t xml:space="preserve">Maria Fernanda Cardoso </t>
  </si>
  <si>
    <t xml:space="preserve">Sexta 02/02 16:00 </t>
  </si>
  <si>
    <t xml:space="preserve">Sábado 03/02 11:00 </t>
  </si>
  <si>
    <t xml:space="preserve">Larissa Ellen Specie Leonardi </t>
  </si>
  <si>
    <t xml:space="preserve">Segunda 05/02 15:30 </t>
  </si>
  <si>
    <t xml:space="preserve">Paula Tatiane Pereira </t>
  </si>
  <si>
    <t xml:space="preserve">Terça 06/02 10:30 </t>
  </si>
  <si>
    <t xml:space="preserve">Mickaella Cristiany Alves da Cunha </t>
  </si>
  <si>
    <t xml:space="preserve">Quarta 07/02 14:00 </t>
  </si>
  <si>
    <t xml:space="preserve">Quarta 14/02 13:00 </t>
  </si>
  <si>
    <t xml:space="preserve">Tatiane Moreira (Cancelou) </t>
  </si>
  <si>
    <t>Quinta 08/02 10:00</t>
  </si>
  <si>
    <t>14/02/2024</t>
  </si>
  <si>
    <t xml:space="preserve">Quarta 14/02 15:00 </t>
  </si>
  <si>
    <t xml:space="preserve">15/02/2024 </t>
  </si>
  <si>
    <t xml:space="preserve">Maria da Penha Godoi de Lima </t>
  </si>
  <si>
    <t xml:space="preserve">Segunda 19/02 10:30  </t>
  </si>
  <si>
    <t xml:space="preserve">16/02/2024 </t>
  </si>
  <si>
    <t xml:space="preserve">Segunda 19/02 14:00 </t>
  </si>
  <si>
    <t xml:space="preserve">Erivaldo Vincenth Sousa (Cancelou) </t>
  </si>
  <si>
    <t xml:space="preserve">Segunda 19/02 09:00 </t>
  </si>
  <si>
    <t xml:space="preserve">17/02/2024 </t>
  </si>
  <si>
    <t>Gabriela Natali de Lima</t>
  </si>
  <si>
    <t xml:space="preserve">Segunda 19//02 16:00 </t>
  </si>
  <si>
    <t xml:space="preserve">19/02/2024 </t>
  </si>
  <si>
    <t xml:space="preserve">João Pedro França </t>
  </si>
  <si>
    <t xml:space="preserve">Segunda 19/02 15:00 </t>
  </si>
  <si>
    <t xml:space="preserve">Ronaldo Souza Santos </t>
  </si>
  <si>
    <t xml:space="preserve">Sexta 23/02 10:30 </t>
  </si>
  <si>
    <t xml:space="preserve">20/02/2024 </t>
  </si>
  <si>
    <t xml:space="preserve">Sexta 23/02 09:00 </t>
  </si>
  <si>
    <t xml:space="preserve">Otávio Lopes Costa (Cancelou) </t>
  </si>
  <si>
    <t xml:space="preserve">Quarta 23/02 17:00 </t>
  </si>
  <si>
    <t xml:space="preserve">Ingrid Fernanda Martins Lanzi (Cancelou) </t>
  </si>
  <si>
    <t xml:space="preserve">Sexta 23/02 15:30 </t>
  </si>
  <si>
    <t xml:space="preserve">22/02/2024 </t>
  </si>
  <si>
    <t xml:space="preserve">Camila Ferreira Fernandes  </t>
  </si>
  <si>
    <t xml:space="preserve">Quarta 28/02 09:30 </t>
  </si>
  <si>
    <t xml:space="preserve">23/02/2024 </t>
  </si>
  <si>
    <t xml:space="preserve">Terça 27/02 09:00 </t>
  </si>
  <si>
    <t xml:space="preserve">27/02/2024 </t>
  </si>
  <si>
    <t xml:space="preserve">Terça 27/02 14:00 </t>
  </si>
  <si>
    <t xml:space="preserve">Jefferson Luis Dias </t>
  </si>
  <si>
    <t xml:space="preserve">Quarta 28/02 10:30 </t>
  </si>
  <si>
    <r>
      <rPr>
        <sz val="11"/>
        <color rgb="FF000000"/>
        <rFont val="Calibri"/>
        <family val="2"/>
      </rPr>
      <t xml:space="preserve">                                         </t>
    </r>
    <r>
      <rPr>
        <b/>
        <sz val="11"/>
        <color rgb="FF000000"/>
        <rFont val="Calibri"/>
        <family val="2"/>
      </rPr>
      <t xml:space="preserve">    Março </t>
    </r>
  </si>
  <si>
    <t xml:space="preserve">Edmilson Barbosa </t>
  </si>
  <si>
    <t xml:space="preserve">Março </t>
  </si>
  <si>
    <t xml:space="preserve">Segunda 04/03 17:30 </t>
  </si>
  <si>
    <t xml:space="preserve">Severino José de Oliveira </t>
  </si>
  <si>
    <t xml:space="preserve">Segunda 04/03 10:30 </t>
  </si>
  <si>
    <t xml:space="preserve">Gabriel Araújo Junqueira Ferraz </t>
  </si>
  <si>
    <t xml:space="preserve">Segunda 04/03 16:00 </t>
  </si>
  <si>
    <t xml:space="preserve">Nilson Aparecido Gois </t>
  </si>
  <si>
    <t xml:space="preserve">Terça 05/03 16:00 </t>
  </si>
  <si>
    <t xml:space="preserve">Denis Ribeiro Marques </t>
  </si>
  <si>
    <t>Terça 05/03 14:00</t>
  </si>
  <si>
    <t xml:space="preserve">Raiane Moreira Correia (Cancelou) </t>
  </si>
  <si>
    <t xml:space="preserve">Quinta 07/03 10:30 </t>
  </si>
  <si>
    <t>Terça 06/03 09:00</t>
  </si>
  <si>
    <t xml:space="preserve">Francieli Erica Muniz </t>
  </si>
  <si>
    <t xml:space="preserve">Quinta 07/03 09:00 </t>
  </si>
  <si>
    <t xml:space="preserve">João Vitor Soares dos Santos </t>
  </si>
  <si>
    <t xml:space="preserve">Sexta 08/03 14:00 </t>
  </si>
  <si>
    <t xml:space="preserve">Allana Cabral Pereira </t>
  </si>
  <si>
    <t xml:space="preserve">Sexta 08/03 10:00 </t>
  </si>
  <si>
    <t xml:space="preserve">Rafael Lopes Junqueira </t>
  </si>
  <si>
    <t xml:space="preserve">Segunda 25/03 16:30 </t>
  </si>
  <si>
    <t xml:space="preserve">Terça 12/03 14:00 </t>
  </si>
  <si>
    <t xml:space="preserve">Marta Isabel Duarte Peixoto (Cancelou) </t>
  </si>
  <si>
    <t xml:space="preserve">Quarta 13/03 14:00 </t>
  </si>
  <si>
    <t xml:space="preserve">Everton Rafael de Rezende </t>
  </si>
  <si>
    <t xml:space="preserve">Quarta 13/03 15:30 </t>
  </si>
  <si>
    <t xml:space="preserve">Igor Jhonatan da Silva Domingues 2 ponto (Cancelou) </t>
  </si>
  <si>
    <t xml:space="preserve">Quarta 13/03 09:00 </t>
  </si>
  <si>
    <t xml:space="preserve">13/03/2024 </t>
  </si>
  <si>
    <t xml:space="preserve">Sexta 15/03 09:00 </t>
  </si>
  <si>
    <t>14/03/2024</t>
  </si>
  <si>
    <t xml:space="preserve">Sabrina Moreira (Cancelou) </t>
  </si>
  <si>
    <t xml:space="preserve">Sexta 15/03 10:30 </t>
  </si>
  <si>
    <t xml:space="preserve">Sexta 15/03 14:00 </t>
  </si>
  <si>
    <t xml:space="preserve">20/03/2024 </t>
  </si>
  <si>
    <t xml:space="preserve">Quarta 20/03 11:00 </t>
  </si>
  <si>
    <t xml:space="preserve">Marcio de Paula Silva </t>
  </si>
  <si>
    <t xml:space="preserve">Quarta 20/03 09:30 </t>
  </si>
  <si>
    <t xml:space="preserve">21/03/2024 </t>
  </si>
  <si>
    <t xml:space="preserve">Vitória Veronez de Souza Bueno 2 ponto </t>
  </si>
  <si>
    <t xml:space="preserve">Terça 26/03 09:00 </t>
  </si>
  <si>
    <t xml:space="preserve">Vitória Veronez de Souza Bueno 3 ponto </t>
  </si>
  <si>
    <t xml:space="preserve">Terça 26/03 10:30 </t>
  </si>
  <si>
    <t xml:space="preserve">Vitória Veronez de Souza Bueno 4 ponto </t>
  </si>
  <si>
    <t xml:space="preserve">Terça 26/03 14:00 </t>
  </si>
  <si>
    <t xml:space="preserve">Vitória Veronez de Souza Bueno 5 ponto </t>
  </si>
  <si>
    <t xml:space="preserve">Terça 26/03 16:00 </t>
  </si>
  <si>
    <t xml:space="preserve">Vitória Veronez de Souza Bueno 6 ponto </t>
  </si>
  <si>
    <t xml:space="preserve">Quinta 04/04 10:30 </t>
  </si>
  <si>
    <t xml:space="preserve">22/03/2024 </t>
  </si>
  <si>
    <t xml:space="preserve">Ivoneide Alves Soares 2 ponto </t>
  </si>
  <si>
    <t xml:space="preserve">Sábado 23/03 09:30 </t>
  </si>
  <si>
    <t xml:space="preserve">25/03/2024 </t>
  </si>
  <si>
    <t xml:space="preserve">Lucas Tadeu Maduro da Silva </t>
  </si>
  <si>
    <t xml:space="preserve">Segunda 25/03 10:30 </t>
  </si>
  <si>
    <t xml:space="preserve">Segunda 25/03 14:00 </t>
  </si>
  <si>
    <t>25/03/2024</t>
  </si>
  <si>
    <t xml:space="preserve">Laércio de Freitas Bueno </t>
  </si>
  <si>
    <t xml:space="preserve">Quarta 27/03 17:00 </t>
  </si>
  <si>
    <r>
      <rPr>
        <sz val="11"/>
        <color rgb="FF000000"/>
        <rFont val="Calibri"/>
      </rPr>
      <t xml:space="preserve">                                  </t>
    </r>
    <r>
      <rPr>
        <b/>
        <sz val="11"/>
        <color rgb="FF000000"/>
        <rFont val="Calibri"/>
      </rPr>
      <t xml:space="preserve">          Abril </t>
    </r>
  </si>
  <si>
    <t xml:space="preserve">Talia do Prado Braga </t>
  </si>
  <si>
    <t xml:space="preserve">Terça 02/04 10:00 </t>
  </si>
  <si>
    <t xml:space="preserve">Tais Leite Pereira </t>
  </si>
  <si>
    <t xml:space="preserve">Segunda 08/04 09:00 </t>
  </si>
  <si>
    <t>Ivoneide Alves Soares 3 ponto (Cancelou)</t>
  </si>
  <si>
    <t xml:space="preserve">Terça 16/04 09:00 </t>
  </si>
  <si>
    <t xml:space="preserve">Segunda 08/04 16:00 </t>
  </si>
  <si>
    <t xml:space="preserve">Claudete Natalia de Mira </t>
  </si>
  <si>
    <t xml:space="preserve">Segunda 08/04 14:00 </t>
  </si>
  <si>
    <t xml:space="preserve">Michel do Couto de Souza </t>
  </si>
  <si>
    <t xml:space="preserve">Terça 09/04 10:30 </t>
  </si>
  <si>
    <t xml:space="preserve">Jefferson Luis Dias 2 ponto </t>
  </si>
  <si>
    <t xml:space="preserve">Quarta 10/04 14:00 </t>
  </si>
  <si>
    <t xml:space="preserve">Segunda 15/04 09:00 </t>
  </si>
  <si>
    <t xml:space="preserve">15/04/2024 </t>
  </si>
  <si>
    <t xml:space="preserve">Sexta 19/04 10:30 </t>
  </si>
  <si>
    <t xml:space="preserve">José Carlos Pires </t>
  </si>
  <si>
    <t xml:space="preserve">Quinta 18/04 10:30 </t>
  </si>
  <si>
    <t xml:space="preserve">18/04/2024 </t>
  </si>
  <si>
    <t xml:space="preserve">Quinta 18/04 17:30 </t>
  </si>
  <si>
    <t xml:space="preserve">22/04/2024 </t>
  </si>
  <si>
    <t xml:space="preserve">José Ulisses de Moraes (Cancelou) </t>
  </si>
  <si>
    <t>Segunda 22/04 15:30</t>
  </si>
  <si>
    <t xml:space="preserve">23/04/2024 </t>
  </si>
  <si>
    <t xml:space="preserve">Eliana da Silva </t>
  </si>
  <si>
    <t xml:space="preserve">Terça 23/04 16:00 </t>
  </si>
  <si>
    <t xml:space="preserve">Eduardo Baptista de Carvalho </t>
  </si>
  <si>
    <t xml:space="preserve">Terça 23/04 15:00 </t>
  </si>
  <si>
    <t xml:space="preserve">29/04/2024 </t>
  </si>
  <si>
    <t xml:space="preserve">Erika Adriana Martinelli Inacio </t>
  </si>
  <si>
    <t xml:space="preserve">Segunda 29/04 15:30 </t>
  </si>
  <si>
    <r>
      <rPr>
        <sz val="11"/>
        <color rgb="FF000000"/>
        <rFont val="Calibri"/>
      </rPr>
      <t xml:space="preserve">                                           </t>
    </r>
    <r>
      <rPr>
        <b/>
        <sz val="11"/>
        <color rgb="FF000000"/>
        <rFont val="Calibri"/>
      </rPr>
      <t xml:space="preserve">  Maio </t>
    </r>
  </si>
  <si>
    <t xml:space="preserve">Emile Nascimento Marques Duarte </t>
  </si>
  <si>
    <t xml:space="preserve">Quarta 08/05 15:30 </t>
  </si>
  <si>
    <t xml:space="preserve">Paulo Henrique Rodrigues </t>
  </si>
  <si>
    <t xml:space="preserve">Quarta 08/05 11:30 </t>
  </si>
  <si>
    <t xml:space="preserve">Quinta 09/05 09:00 </t>
  </si>
  <si>
    <t xml:space="preserve">Quinta 09/05 14:00 </t>
  </si>
  <si>
    <t xml:space="preserve">Angélica Monteiro Limeira </t>
  </si>
  <si>
    <t>Sexta 10/5 14:00</t>
  </si>
  <si>
    <t xml:space="preserve">Nilva da Silva Lopes </t>
  </si>
  <si>
    <t>Sabado 11/05 10:30</t>
  </si>
  <si>
    <t>13/05/24</t>
  </si>
  <si>
    <t xml:space="preserve">José Roberto Bueno </t>
  </si>
  <si>
    <t>Terça 13/05 14:30</t>
  </si>
  <si>
    <t>Terça 14/05 16:00</t>
  </si>
  <si>
    <t>Terça 14/05 17:00</t>
  </si>
  <si>
    <t xml:space="preserve">20/05/2024 </t>
  </si>
  <si>
    <t xml:space="preserve">Segunda 20/05 15:00 </t>
  </si>
  <si>
    <t xml:space="preserve">21/05/2024 </t>
  </si>
  <si>
    <t xml:space="preserve">Quarta 22/05 09:00 </t>
  </si>
  <si>
    <t xml:space="preserve">22/05/2024 </t>
  </si>
  <si>
    <t xml:space="preserve">Maria Regina da Silva 2 ponto </t>
  </si>
  <si>
    <t xml:space="preserve">Quarta 22/05 17:00 </t>
  </si>
  <si>
    <t xml:space="preserve">27/05/2024 </t>
  </si>
  <si>
    <t xml:space="preserve">Centro de Formação de Condutores Silva e Soares </t>
  </si>
  <si>
    <t>Terça 27/05 09:00</t>
  </si>
  <si>
    <r>
      <rPr>
        <sz val="11"/>
        <color rgb="FF000000"/>
        <rFont val="Calibri"/>
      </rPr>
      <t xml:space="preserve">                                           </t>
    </r>
    <r>
      <rPr>
        <b/>
        <sz val="11"/>
        <color rgb="FF000000"/>
        <rFont val="Calibri"/>
      </rPr>
      <t xml:space="preserve">  Junho </t>
    </r>
  </si>
  <si>
    <t xml:space="preserve">Segunda 24/06 10:30 </t>
  </si>
  <si>
    <t xml:space="preserve">José dos Santos Espinola </t>
  </si>
  <si>
    <t>Terça 04/06 14:00</t>
  </si>
  <si>
    <t xml:space="preserve">Luiz Flavio Reis Fernandes </t>
  </si>
  <si>
    <t xml:space="preserve">Segunda 03/06 15:30 </t>
  </si>
  <si>
    <t>João Pedro da SIlva de Oliveira</t>
  </si>
  <si>
    <t>Terça 04/06 09:00</t>
  </si>
  <si>
    <t xml:space="preserve">Antônio Marcos Alves da Silva </t>
  </si>
  <si>
    <t xml:space="preserve">Quinta 06/06 09:00 </t>
  </si>
  <si>
    <t xml:space="preserve">Segunda 10/06 16:00 </t>
  </si>
  <si>
    <t xml:space="preserve">Maria Helena Daló </t>
  </si>
  <si>
    <t xml:space="preserve">Terça 11/06 09:00 </t>
  </si>
  <si>
    <t xml:space="preserve">Carla Mariane Lucas </t>
  </si>
  <si>
    <t xml:space="preserve">Quarta 12/06 09:00 </t>
  </si>
  <si>
    <t xml:space="preserve">17/06/2024 </t>
  </si>
  <si>
    <t xml:space="preserve">Denis Ribeiro Marques 2 ponto </t>
  </si>
  <si>
    <t xml:space="preserve">Segunda 17/06 17:00 </t>
  </si>
  <si>
    <t xml:space="preserve">18/06/2024 </t>
  </si>
  <si>
    <t xml:space="preserve">Quarta 19/06 09:00 </t>
  </si>
  <si>
    <t xml:space="preserve">Marina de Melo Bombachi 2 ponto </t>
  </si>
  <si>
    <t xml:space="preserve">Quarta 19/06 10:30 </t>
  </si>
  <si>
    <t xml:space="preserve">Loja  </t>
  </si>
  <si>
    <t xml:space="preserve">André Reche Alonso Filho </t>
  </si>
  <si>
    <t xml:space="preserve">Sexta 21/06 14:00 </t>
  </si>
  <si>
    <t xml:space="preserve">Luiz Antônio Faustino </t>
  </si>
  <si>
    <t xml:space="preserve">Sábado 22/06 09:00 </t>
  </si>
  <si>
    <t xml:space="preserve">21/06/2024 </t>
  </si>
  <si>
    <t xml:space="preserve">Sábado 21/06 10:30 </t>
  </si>
  <si>
    <t xml:space="preserve">                                         Julho</t>
  </si>
  <si>
    <t xml:space="preserve">Vitoria Almeida Mendes </t>
  </si>
  <si>
    <t xml:space="preserve">Segunda 01/07 09:00 </t>
  </si>
  <si>
    <t xml:space="preserve">Quinta 04/07 17:00 </t>
  </si>
  <si>
    <t xml:space="preserve">Terça 02/07 09:00 </t>
  </si>
  <si>
    <t xml:space="preserve">Segunda 01/07 16:00 </t>
  </si>
  <si>
    <t>Terça 02/07 17:00</t>
  </si>
  <si>
    <t xml:space="preserve">Quarta 03/07 15:30 </t>
  </si>
  <si>
    <t xml:space="preserve">Quinta 04/07 09:00 </t>
  </si>
  <si>
    <t xml:space="preserve">Quinta 04/07 10:30 </t>
  </si>
  <si>
    <t xml:space="preserve">Quinta 04/07 14:00 </t>
  </si>
  <si>
    <t xml:space="preserve">Débora Arruda Rodrigues 2 ponto </t>
  </si>
  <si>
    <t xml:space="preserve">Sexta 05/07 15:00 </t>
  </si>
  <si>
    <t xml:space="preserve">Segunda 08/07 14:00 </t>
  </si>
  <si>
    <t xml:space="preserve">Juliano Aurélio Silvério </t>
  </si>
  <si>
    <t xml:space="preserve">Segunda 08/07 15:30 </t>
  </si>
  <si>
    <t xml:space="preserve">Gilmar Junior do Couto Faria </t>
  </si>
  <si>
    <t xml:space="preserve">Segunda 29/07 14:00 </t>
  </si>
  <si>
    <t xml:space="preserve">Bruno Manoel </t>
  </si>
  <si>
    <t xml:space="preserve">Sexta 12/07 09:00 </t>
  </si>
  <si>
    <t xml:space="preserve">Sexta 12/07 10:30 </t>
  </si>
  <si>
    <t xml:space="preserve">Quarta 24/07 10:30 </t>
  </si>
  <si>
    <t xml:space="preserve">18/07/2024 </t>
  </si>
  <si>
    <t xml:space="preserve">Sabrina Moreira 2 ponto </t>
  </si>
  <si>
    <t xml:space="preserve">Sexta 19/07 09:00 </t>
  </si>
  <si>
    <t xml:space="preserve">Elenice Lemes 2 ponto </t>
  </si>
  <si>
    <t xml:space="preserve">Sábado 20/07 09:00 </t>
  </si>
  <si>
    <t xml:space="preserve">22/07/2024 </t>
  </si>
  <si>
    <t xml:space="preserve">Segunda 22/07 09:30 </t>
  </si>
  <si>
    <t xml:space="preserve">25/07/2024 </t>
  </si>
  <si>
    <t xml:space="preserve">Luceli Gonçalves </t>
  </si>
  <si>
    <t xml:space="preserve">Sexta 26/07 09:00 </t>
  </si>
  <si>
    <t xml:space="preserve">                                         Agosto </t>
  </si>
  <si>
    <t xml:space="preserve">Jair de Freitas Neto </t>
  </si>
  <si>
    <t xml:space="preserve">Sexta 02/08 09:30 </t>
  </si>
  <si>
    <t xml:space="preserve">Quinta 08/08 09:00 </t>
  </si>
  <si>
    <t xml:space="preserve">Sábado 17/08 09:00 </t>
  </si>
  <si>
    <t>Guilherme Bueno Araujo</t>
  </si>
  <si>
    <t xml:space="preserve">Sexta 09/08 09:00 </t>
  </si>
  <si>
    <t xml:space="preserve">Nadir Jacinto da Silva </t>
  </si>
  <si>
    <t xml:space="preserve">Sábado 10/08 10:30 </t>
  </si>
  <si>
    <t xml:space="preserve">Pollyanna de Fátima Borges </t>
  </si>
  <si>
    <t xml:space="preserve">Terça 13/08 09:00 </t>
  </si>
  <si>
    <t xml:space="preserve">13/08/2024 </t>
  </si>
  <si>
    <t>Josiele De Cássia Da Silva</t>
  </si>
  <si>
    <t xml:space="preserve">Quarta 14/08 09:00 </t>
  </si>
  <si>
    <t>14/08/2024</t>
  </si>
  <si>
    <t xml:space="preserve">Juan Carlos Maculan </t>
  </si>
  <si>
    <t xml:space="preserve">Quarta 14/08 14:00 </t>
  </si>
  <si>
    <t xml:space="preserve">21/08/2024 </t>
  </si>
  <si>
    <t>Maria Jose dos Santos Dallo</t>
  </si>
  <si>
    <t xml:space="preserve">Quarta 22/08 09:00 </t>
  </si>
  <si>
    <t xml:space="preserve">26/08/2024 </t>
  </si>
  <si>
    <t xml:space="preserve">Gislaine da Silva </t>
  </si>
  <si>
    <t xml:space="preserve">Segunda 26/08 16:30 </t>
  </si>
  <si>
    <t xml:space="preserve">                                         Setembro </t>
  </si>
  <si>
    <t xml:space="preserve">Joice Dalló </t>
  </si>
  <si>
    <t>Segunda 02/09 10:00</t>
  </si>
  <si>
    <t xml:space="preserve">Segunda 09/09 14:00 </t>
  </si>
  <si>
    <t xml:space="preserve">Maria Aparecida Delfino dos Santos </t>
  </si>
  <si>
    <t xml:space="preserve">Quarta 11/09 09:30 </t>
  </si>
  <si>
    <t xml:space="preserve">Suiani Dallo Gois </t>
  </si>
  <si>
    <t xml:space="preserve">Setembro </t>
  </si>
  <si>
    <t xml:space="preserve">Quinta 12/09 14:00 </t>
  </si>
  <si>
    <t>14/09/2024</t>
  </si>
  <si>
    <t xml:space="preserve">Leonardo Paiva Fernandes </t>
  </si>
  <si>
    <t xml:space="preserve"> Sábado 14/09 11:30</t>
  </si>
  <si>
    <t xml:space="preserve">18/09/2024 </t>
  </si>
  <si>
    <t xml:space="preserve">Ana Flávia Aparecida Amâncio 2 ponto </t>
  </si>
  <si>
    <t xml:space="preserve">Quarta 18/09 09:30 </t>
  </si>
  <si>
    <t xml:space="preserve">Willian Henrique Fernandes </t>
  </si>
  <si>
    <t xml:space="preserve">Quinta 19/09 19:00 </t>
  </si>
  <si>
    <t>Alex de Souza Floriano</t>
  </si>
  <si>
    <t xml:space="preserve">Quinta 19/09 09:00  </t>
  </si>
  <si>
    <t xml:space="preserve">20/09/2024 </t>
  </si>
  <si>
    <t xml:space="preserve">Fábio Henrique Marques Duarte </t>
  </si>
  <si>
    <t xml:space="preserve">Segunda 23/09 09:30 </t>
  </si>
  <si>
    <t>Jonatas Lopes Cezar</t>
  </si>
  <si>
    <t xml:space="preserve">Segunda 23/09 10:30 </t>
  </si>
  <si>
    <t xml:space="preserve">25/09/2024 </t>
  </si>
  <si>
    <t xml:space="preserve">Karina dos Santos Mazolini </t>
  </si>
  <si>
    <t xml:space="preserve">Quarta 25/09 16:30 </t>
  </si>
  <si>
    <t xml:space="preserve">Amanda Moreira Correa </t>
  </si>
  <si>
    <t xml:space="preserve">Quarta 25/09 15:00 </t>
  </si>
  <si>
    <t xml:space="preserve">26/09/2024 </t>
  </si>
  <si>
    <t xml:space="preserve">José Maria Rodrigues da Luz 2 ponto </t>
  </si>
  <si>
    <t xml:space="preserve">Sexta 27/09 09:00 </t>
  </si>
  <si>
    <t>23/10/2024</t>
  </si>
  <si>
    <t xml:space="preserve">Katia Aparecida Sales Simões </t>
  </si>
  <si>
    <t xml:space="preserve">Segunda 23/10 14:00 </t>
  </si>
  <si>
    <t xml:space="preserve">                                         Outubro </t>
  </si>
  <si>
    <t xml:space="preserve">Silvino José Santos Pimenta </t>
  </si>
  <si>
    <t xml:space="preserve">Segunda 07/10 14:00 </t>
  </si>
  <si>
    <t xml:space="preserve">Bárbara Couto de Vasconcelos </t>
  </si>
  <si>
    <t xml:space="preserve">Terça 01/10 10:30 </t>
  </si>
  <si>
    <t xml:space="preserve">Bárbara Marinho Braz </t>
  </si>
  <si>
    <t xml:space="preserve">Terça 08/10 09:00 </t>
  </si>
  <si>
    <t xml:space="preserve">Flávia Geomara Moreira </t>
  </si>
  <si>
    <t xml:space="preserve">Sexta 04/10 09:00 </t>
  </si>
  <si>
    <t xml:space="preserve">Flávia Geomara Moreira 2 ponto </t>
  </si>
  <si>
    <t xml:space="preserve">Sexta 04/10 10:30 </t>
  </si>
  <si>
    <t xml:space="preserve">Danilo Juliano Dalo </t>
  </si>
  <si>
    <t xml:space="preserve">Quarta 09/10 09:00 </t>
  </si>
  <si>
    <t>Isadora Lopes do Prado</t>
  </si>
  <si>
    <t xml:space="preserve">Sexta 11/10 09:00 </t>
  </si>
  <si>
    <t xml:space="preserve">14/10/2024 </t>
  </si>
  <si>
    <t xml:space="preserve">Jovina da Silva Dalo </t>
  </si>
  <si>
    <t xml:space="preserve">Terça 15/10 09:00 </t>
  </si>
  <si>
    <t xml:space="preserve">17/10/2024 </t>
  </si>
  <si>
    <t xml:space="preserve">Quinta 17/10 16:00 </t>
  </si>
  <si>
    <t xml:space="preserve">Flavia Geomara Moreira 3 ponto </t>
  </si>
  <si>
    <t>Terça 22/10  15:00</t>
  </si>
  <si>
    <t>Milene de Carvalho</t>
  </si>
  <si>
    <t>Quarta 23/10 15:00</t>
  </si>
  <si>
    <t xml:space="preserve">                                         Novembro </t>
  </si>
  <si>
    <t xml:space="preserve">Jovana Maria da Silva Lopes </t>
  </si>
  <si>
    <t xml:space="preserve">Quinta 31/10 18:00 </t>
  </si>
  <si>
    <t>Davi Wesley da Silva Domingues</t>
  </si>
  <si>
    <t xml:space="preserve">Segunda 11/10 10:00 </t>
  </si>
  <si>
    <t>Elaine Regina Branco</t>
  </si>
  <si>
    <t>Segunda 04/11 9:00</t>
  </si>
  <si>
    <t>Loja de Borda</t>
  </si>
  <si>
    <t>Estela Maris Bueno de Souza</t>
  </si>
  <si>
    <t xml:space="preserve">Segunda 04/11 10:30 </t>
  </si>
  <si>
    <t xml:space="preserve">Funerária Sefex </t>
  </si>
  <si>
    <t xml:space="preserve">Terça 05/11 09:00 </t>
  </si>
  <si>
    <t xml:space="preserve">Luiz Ricardo Dias </t>
  </si>
  <si>
    <t xml:space="preserve">Segunda 11/11 14:00 </t>
  </si>
  <si>
    <t>Segunda 11/11 15:30</t>
  </si>
  <si>
    <t>Rosemary Guimarães Garcia Martinelli</t>
  </si>
  <si>
    <t xml:space="preserve">Segunda 11/11 09:00 </t>
  </si>
  <si>
    <t>Alexsander do Couto</t>
  </si>
  <si>
    <t xml:space="preserve">Segunda 11/11 17:30 </t>
  </si>
  <si>
    <t xml:space="preserve">Catarine Aparecida Souza </t>
  </si>
  <si>
    <t xml:space="preserve">Segunda 18/11 10:00  </t>
  </si>
  <si>
    <t xml:space="preserve">13/11/2024 </t>
  </si>
  <si>
    <t>Nestor Rodrigues de Almeida Neto</t>
  </si>
  <si>
    <t xml:space="preserve">Quinta 14/11 16:30 </t>
  </si>
  <si>
    <t>14/11/2024</t>
  </si>
  <si>
    <t xml:space="preserve">Lucimari Bueno </t>
  </si>
  <si>
    <t>Segunda 18/11 14:00</t>
  </si>
  <si>
    <t xml:space="preserve">Giovanna Fernandes Prisco </t>
  </si>
  <si>
    <t xml:space="preserve">Quinta 14/11 15:30 </t>
  </si>
  <si>
    <t>Erica Maia de Jesus Souza</t>
  </si>
  <si>
    <t>Quinta 14/11 09:00</t>
  </si>
  <si>
    <t xml:space="preserve">  </t>
  </si>
  <si>
    <t xml:space="preserve">Retirada </t>
  </si>
  <si>
    <t>Caroline Roberta do Prado Maduro</t>
  </si>
  <si>
    <t xml:space="preserve">Retirada ok (07/12/23) </t>
  </si>
  <si>
    <t>Cancelamento</t>
  </si>
  <si>
    <t xml:space="preserve">Caroline Roberta do Prado Maduro 2 ponto </t>
  </si>
  <si>
    <t>Daniel Samuel Ferreira Fernandes</t>
  </si>
  <si>
    <t xml:space="preserve">Retirada ok (11/12/23) </t>
  </si>
  <si>
    <t>Dorival Goncalves da Costa</t>
  </si>
  <si>
    <t xml:space="preserve">Retirada ok (12/12/23) </t>
  </si>
  <si>
    <t xml:space="preserve">Wellington Alexandre Brandão José </t>
  </si>
  <si>
    <t xml:space="preserve">Mudou-se para a zona rural </t>
  </si>
  <si>
    <t xml:space="preserve">Retirada ok (05/02/2024) Falta ONU </t>
  </si>
  <si>
    <t>Gilberto Lima Trettin</t>
  </si>
  <si>
    <t xml:space="preserve">Retirada ok (31/01/2024) </t>
  </si>
  <si>
    <t xml:space="preserve">Luiz Fernando de Paiva </t>
  </si>
  <si>
    <t xml:space="preserve">Retirada ok (23/02/2024) </t>
  </si>
  <si>
    <t>Jeniffer Micaele da Silva</t>
  </si>
  <si>
    <t xml:space="preserve">Retirada ok (08/02/2024) </t>
  </si>
  <si>
    <t>Erivaldo Vincenth Sousa Silvestre</t>
  </si>
  <si>
    <t xml:space="preserve">Cliente estava com problemas financeiros </t>
  </si>
  <si>
    <t xml:space="preserve">Retirada ok (18/03/2024) </t>
  </si>
  <si>
    <t>Djalma Lopes Abs</t>
  </si>
  <si>
    <t>Outro provedor fez uma proposta com valor mais atrativo</t>
  </si>
  <si>
    <t xml:space="preserve">Retirada ok (20/03/2024) </t>
  </si>
  <si>
    <t>Maria Aparecida da Paixão</t>
  </si>
  <si>
    <t xml:space="preserve">Retirada ok (23/03/2024) </t>
  </si>
  <si>
    <t xml:space="preserve">Tiago Reis da Silva </t>
  </si>
  <si>
    <t xml:space="preserve">Cliente irá dividir a internet com o vizinho </t>
  </si>
  <si>
    <t xml:space="preserve">Retirada ok (02/04/2024) </t>
  </si>
  <si>
    <t>Vinicius da Cruz Martins</t>
  </si>
  <si>
    <t xml:space="preserve">Retirada ok (03/04/2024) </t>
  </si>
  <si>
    <t>Rodrigo José Cantuária Teixeira</t>
  </si>
  <si>
    <t xml:space="preserve">Retirada ok (29/04/2024) </t>
  </si>
  <si>
    <t>Itamar Faria Moreira</t>
  </si>
  <si>
    <t xml:space="preserve">Retirada ok (30/04/2024) </t>
  </si>
  <si>
    <t>Tatiane Moreira</t>
  </si>
  <si>
    <t xml:space="preserve">Cliente mudou para Monte Sião </t>
  </si>
  <si>
    <t xml:space="preserve">Retirada ok (06/05/2024) </t>
  </si>
  <si>
    <t>Maisa Rayra dos Santos</t>
  </si>
  <si>
    <t xml:space="preserve">Cliente mudou para o Rio de Janeiro </t>
  </si>
  <si>
    <t>Julio Cesar Guimaraes de Souza</t>
  </si>
  <si>
    <t xml:space="preserve">Retirada ok (09/05/2024) </t>
  </si>
  <si>
    <t xml:space="preserve">Jacson Elias da Cruz </t>
  </si>
  <si>
    <t xml:space="preserve">Mudou-se para Monte Sião </t>
  </si>
  <si>
    <t xml:space="preserve">Retirada ok (14/06/2024) </t>
  </si>
  <si>
    <t>Thiago Vitor de Oliveira</t>
  </si>
  <si>
    <t xml:space="preserve">Cliente se mudou para uma casa que já tem internet </t>
  </si>
  <si>
    <t xml:space="preserve">Retirada ok (18/06/2024) </t>
  </si>
  <si>
    <t xml:space="preserve">Minor dos Reis Silva </t>
  </si>
  <si>
    <t xml:space="preserve">Cliente comprou um aparelho de televisão </t>
  </si>
  <si>
    <t xml:space="preserve">Retirada ok (20/06/2024) </t>
  </si>
  <si>
    <t xml:space="preserve">Jordana de Fátima Alkmin Arantes </t>
  </si>
  <si>
    <t xml:space="preserve">Cliente se mudou para Juíz de Fora </t>
  </si>
  <si>
    <t xml:space="preserve">Cliente fechou o salão </t>
  </si>
  <si>
    <t xml:space="preserve">Retirada ok (22/06/2024) </t>
  </si>
  <si>
    <t xml:space="preserve">Caio Nascimento da Silva </t>
  </si>
  <si>
    <t xml:space="preserve">Cliente se mudou para zona rural </t>
  </si>
  <si>
    <t xml:space="preserve">Retirada ok (28/06/2024) </t>
  </si>
  <si>
    <t>Thales Augusto de Freitas Machado</t>
  </si>
  <si>
    <t xml:space="preserve">Retirada ok (03/07/2024) </t>
  </si>
  <si>
    <t>Henrique Aparecido Lopes</t>
  </si>
  <si>
    <t xml:space="preserve">Retirada ok (03/07/2024) Falta o Roku TV </t>
  </si>
  <si>
    <t xml:space="preserve">Raiane Moreira Correia </t>
  </si>
  <si>
    <t xml:space="preserve">Retirada ok (19/07/2024) </t>
  </si>
  <si>
    <t>Otávio Lopes Costa</t>
  </si>
  <si>
    <t xml:space="preserve">Se mudou de casa e quis cancelar </t>
  </si>
  <si>
    <t xml:space="preserve">Retirada ok (22/07/2024) </t>
  </si>
  <si>
    <t xml:space="preserve">Igor Jhonatan da Silva Domingues 2 ponto </t>
  </si>
  <si>
    <t xml:space="preserve">Cliente teve que fechar a malharia por conta de uma denúncia </t>
  </si>
  <si>
    <t xml:space="preserve">Retirada ok (25/07/2024) </t>
  </si>
  <si>
    <t>Kemilly Muniz da Silva</t>
  </si>
  <si>
    <t xml:space="preserve">Cliente se mudou </t>
  </si>
  <si>
    <t xml:space="preserve">Retirada ok (07/08/2024) </t>
  </si>
  <si>
    <t>Ingrid Fernanda Martins Lanzi</t>
  </si>
  <si>
    <t xml:space="preserve">Retirada ok (14/08/2024) </t>
  </si>
  <si>
    <t xml:space="preserve">Retirada ok (15/08/2024) </t>
  </si>
  <si>
    <t>Liane Ferreira Shaki</t>
  </si>
  <si>
    <t xml:space="preserve">Cliente voltou para o Rio de Janeiro </t>
  </si>
  <si>
    <t xml:space="preserve">Retirada ok (24/08/2024) </t>
  </si>
  <si>
    <t xml:space="preserve">Leonardo Aparecido Caetano </t>
  </si>
  <si>
    <t xml:space="preserve">Retirada ok (26/08/2024) Falta o controle do Roku TV </t>
  </si>
  <si>
    <t xml:space="preserve">José Maria Rodrigues da Luz </t>
  </si>
  <si>
    <t xml:space="preserve">Rteirada ok (23/09/2024) </t>
  </si>
  <si>
    <t xml:space="preserve">Aline Cristina Barbosa de Lima </t>
  </si>
  <si>
    <t xml:space="preserve">Cliente não devolveu os equipamentos </t>
  </si>
  <si>
    <t>Gabriel de Moraes de Souza</t>
  </si>
  <si>
    <t xml:space="preserve">Retirada ok (02/09/2024) </t>
  </si>
  <si>
    <t xml:space="preserve">Cliente se mudou para o alojamneto, onde já tem internet </t>
  </si>
  <si>
    <t xml:space="preserve">Retirada ok (17/09/2024) </t>
  </si>
  <si>
    <t xml:space="preserve">Retirada ok (24/09/2024) </t>
  </si>
  <si>
    <t xml:space="preserve">Cliente estava ausente </t>
  </si>
  <si>
    <r>
      <rPr>
        <b/>
        <sz val="11"/>
        <color rgb="FF000000"/>
        <rFont val="Calibri"/>
      </rPr>
      <t>Outubro</t>
    </r>
    <r>
      <rPr>
        <sz val="11"/>
        <color rgb="FF000000"/>
        <rFont val="Calibri"/>
      </rPr>
      <t xml:space="preserve"> </t>
    </r>
  </si>
  <si>
    <t xml:space="preserve">Sabrina Moreira </t>
  </si>
  <si>
    <t xml:space="preserve">Cliente se mudou para a casa da mãe, onde já tem Via01 </t>
  </si>
  <si>
    <t xml:space="preserve">Retirada ok (05/10/2024) </t>
  </si>
  <si>
    <t xml:space="preserve">Cliente colocou internet do tio </t>
  </si>
  <si>
    <t xml:space="preserve">Retirada ok (17/10/2024) </t>
  </si>
  <si>
    <t>Cliene se mudou pra Viçosa</t>
  </si>
  <si>
    <t>Trouxe na loja 25/10</t>
  </si>
  <si>
    <t xml:space="preserve">Cliente mudou para a zona rural </t>
  </si>
  <si>
    <t xml:space="preserve">Retirada ok (09/11/2024) </t>
  </si>
  <si>
    <t xml:space="preserve">Retirada ok (14/11/2024) </t>
  </si>
  <si>
    <t xml:space="preserve">Juliana Aparecida Muniz </t>
  </si>
  <si>
    <t xml:space="preserve">Cliente se mudou para Bueno Brandão </t>
  </si>
  <si>
    <t>Retirada ok (08/11/2024)</t>
  </si>
  <si>
    <t xml:space="preserve">Retirada ok (18/11/2024) </t>
  </si>
  <si>
    <t xml:space="preserve">Cliente mudou para o Pinhalzinho </t>
  </si>
  <si>
    <t xml:space="preserve">Larissa Eduarda Martinez </t>
  </si>
  <si>
    <t xml:space="preserve">Vanilza Alves de Freitas </t>
  </si>
  <si>
    <t xml:space="preserve">Rodrigo José Cantuária </t>
  </si>
  <si>
    <t xml:space="preserve">   01/092023</t>
  </si>
  <si>
    <t xml:space="preserve">Thales Augusto de Freitas </t>
  </si>
  <si>
    <t xml:space="preserve">João José Rosa Nazaréno </t>
  </si>
  <si>
    <t>Aline Cristina Barbosa de Lima</t>
  </si>
  <si>
    <t xml:space="preserve">300 megas 3 primeiros meses 50% de desconto </t>
  </si>
  <si>
    <t xml:space="preserve">           R$114.90</t>
  </si>
  <si>
    <t>200 megas por 79,90</t>
  </si>
  <si>
    <t xml:space="preserve">Breno Almeida da Silva </t>
  </si>
  <si>
    <t xml:space="preserve">           R$139,90</t>
  </si>
  <si>
    <t>Bernadete A. Teodoro Emídio</t>
  </si>
  <si>
    <t>400 megas por 99,90</t>
  </si>
  <si>
    <t>100 megas por 79,90 porém com Roku</t>
  </si>
  <si>
    <t xml:space="preserve">Dayse Priscila A. Venâncio </t>
  </si>
  <si>
    <t xml:space="preserve">Daniela Ceribeli </t>
  </si>
  <si>
    <t>400 megas por 99,990</t>
  </si>
  <si>
    <t xml:space="preserve">Ana Flávia A. Amâncio </t>
  </si>
  <si>
    <t>400 megas po 99,90</t>
  </si>
  <si>
    <t xml:space="preserve">Jordana de Fátima A. Arantes </t>
  </si>
  <si>
    <t xml:space="preserve">200 megas por 79,90 </t>
  </si>
  <si>
    <t xml:space="preserve">Paulo Cezar Guimarães </t>
  </si>
  <si>
    <t>300 megas por 99,90</t>
  </si>
  <si>
    <t xml:space="preserve">Paula Batista da Silva </t>
  </si>
  <si>
    <t xml:space="preserve">Tiago Rafael Marques Duarte </t>
  </si>
  <si>
    <t xml:space="preserve">José Altair Ferreira </t>
  </si>
  <si>
    <t>300 megas por 49,90(3 primeiros meses, dps 99,90)</t>
  </si>
  <si>
    <t>Wellington Alexandre Brandão</t>
  </si>
  <si>
    <t>500 megas por 99,90</t>
  </si>
  <si>
    <t>Dorival Gonçalves da Costa</t>
  </si>
  <si>
    <t>100 megas por 69,90</t>
  </si>
  <si>
    <t>200 megas por 49,90 (três meses, depois por 79,90)</t>
  </si>
  <si>
    <t xml:space="preserve">Djalma Lopes Abs </t>
  </si>
  <si>
    <t>300 megas por 79,90</t>
  </si>
  <si>
    <t xml:space="preserve">Siony Soldani 2 ponto </t>
  </si>
  <si>
    <t xml:space="preserve">Siony Soldani 3 ponto </t>
  </si>
  <si>
    <t xml:space="preserve"> 23/11/2023</t>
  </si>
  <si>
    <t>23/11/2024</t>
  </si>
  <si>
    <t xml:space="preserve">Edinelson Janiel Cezar </t>
  </si>
  <si>
    <t xml:space="preserve"> 22/11/2023</t>
  </si>
  <si>
    <t>22/11/2024</t>
  </si>
  <si>
    <t xml:space="preserve">Gabriel de Moraes de Souza </t>
  </si>
  <si>
    <t xml:space="preserve">Rafael Lopes </t>
  </si>
  <si>
    <t>200 megas por 89,90</t>
  </si>
  <si>
    <t xml:space="preserve">             R$89,90  </t>
  </si>
  <si>
    <t>300 megas por 89,90</t>
  </si>
  <si>
    <t>25/11/2024</t>
  </si>
  <si>
    <t xml:space="preserve">100 megas por 79,90 (6 meses de cortesia) </t>
  </si>
  <si>
    <t>20/04/2024</t>
  </si>
  <si>
    <t>20/05/2025</t>
  </si>
  <si>
    <t xml:space="preserve">Omar Ricardo de Castro </t>
  </si>
  <si>
    <t xml:space="preserve">200 megas por 79,90 porém com Roku </t>
  </si>
  <si>
    <t xml:space="preserve">20/12/2024 </t>
  </si>
  <si>
    <t xml:space="preserve">Piachentino Aparecido Muroni </t>
  </si>
  <si>
    <t xml:space="preserve">100 megas por 69,90 </t>
  </si>
  <si>
    <t xml:space="preserve">Luzia Kely Rodrigues Pinto </t>
  </si>
  <si>
    <t xml:space="preserve">13/12/2024 </t>
  </si>
  <si>
    <t xml:space="preserve">20/06/2024 </t>
  </si>
  <si>
    <t xml:space="preserve">20/06/2025 </t>
  </si>
  <si>
    <t xml:space="preserve">20/12/2023 </t>
  </si>
  <si>
    <t xml:space="preserve">300 megas 3 primeiros 50% de desconto </t>
  </si>
  <si>
    <t xml:space="preserve">21/12/2024 </t>
  </si>
  <si>
    <t xml:space="preserve">22/12/2023 </t>
  </si>
  <si>
    <t xml:space="preserve">22/12/2024 </t>
  </si>
  <si>
    <t xml:space="preserve">27/12/2024 </t>
  </si>
  <si>
    <t xml:space="preserve">Rogério de Cássio Rodrigues </t>
  </si>
  <si>
    <t xml:space="preserve">20/01/2024 </t>
  </si>
  <si>
    <t xml:space="preserve">20/01/2025 </t>
  </si>
  <si>
    <t xml:space="preserve">Ligia Maria Dias Garcia </t>
  </si>
  <si>
    <t xml:space="preserve">27/01/2024 </t>
  </si>
  <si>
    <t xml:space="preserve">27/01/2025 </t>
  </si>
  <si>
    <t>15/02/2025</t>
  </si>
  <si>
    <t xml:space="preserve">Tatiane Moreira </t>
  </si>
  <si>
    <t>Paula Roberta Rodrigues G.</t>
  </si>
  <si>
    <t xml:space="preserve">300 megas por 89,90 (3 meses por 59,90) </t>
  </si>
  <si>
    <t xml:space="preserve">             R$89.90  </t>
  </si>
  <si>
    <t xml:space="preserve">15/02/2025 </t>
  </si>
  <si>
    <t xml:space="preserve">Erivaldo Vincenth Sousa S. </t>
  </si>
  <si>
    <t xml:space="preserve">25/02/2024 </t>
  </si>
  <si>
    <t xml:space="preserve">25/02/2025 </t>
  </si>
  <si>
    <t xml:space="preserve">Geralda Braz </t>
  </si>
  <si>
    <t xml:space="preserve">100 megas por R$39,95 </t>
  </si>
  <si>
    <t xml:space="preserve">             R$39.95</t>
  </si>
  <si>
    <t xml:space="preserve">22/02/2025 </t>
  </si>
  <si>
    <t xml:space="preserve">24/02/2024 </t>
  </si>
  <si>
    <t xml:space="preserve">24/02/2025 </t>
  </si>
  <si>
    <t xml:space="preserve">             R$79.90</t>
  </si>
  <si>
    <t xml:space="preserve">Mickaella Cristiany Alves </t>
  </si>
  <si>
    <t xml:space="preserve">             R$79.90 </t>
  </si>
  <si>
    <t>28/02/2024</t>
  </si>
  <si>
    <t>28/02/2025</t>
  </si>
  <si>
    <t xml:space="preserve">Gabriel Araújo Junqueira </t>
  </si>
  <si>
    <t xml:space="preserve">400 megas por 99,90 (3 meses por 79,90) </t>
  </si>
  <si>
    <t xml:space="preserve">             R$99.90</t>
  </si>
  <si>
    <t xml:space="preserve">15/03/2024 </t>
  </si>
  <si>
    <t xml:space="preserve">15/03/2025 </t>
  </si>
  <si>
    <t xml:space="preserve">Marta Isabel Duarte Peixoto </t>
  </si>
  <si>
    <t xml:space="preserve">200 megas por R$79,90 (Indicado) </t>
  </si>
  <si>
    <t xml:space="preserve">             R$79.90  </t>
  </si>
  <si>
    <t xml:space="preserve">14/03/2024 </t>
  </si>
  <si>
    <t xml:space="preserve">14/03/2025 </t>
  </si>
  <si>
    <t xml:space="preserve">Moises Pereira Augusto </t>
  </si>
  <si>
    <t xml:space="preserve">20/03/2025 </t>
  </si>
  <si>
    <t xml:space="preserve">25/03/2025 </t>
  </si>
  <si>
    <t xml:space="preserve">Lucas Tadeu Maduro Silva </t>
  </si>
  <si>
    <t xml:space="preserve">200 megas porém com dois roteadores </t>
  </si>
  <si>
    <t xml:space="preserve">15/04/2025 </t>
  </si>
  <si>
    <t xml:space="preserve">Edson Pereira </t>
  </si>
  <si>
    <t xml:space="preserve">             R$99.90 </t>
  </si>
  <si>
    <t xml:space="preserve">400 megas por 114,90 </t>
  </si>
  <si>
    <t xml:space="preserve">            R$114.90 </t>
  </si>
  <si>
    <t xml:space="preserve">20/04/2024 </t>
  </si>
  <si>
    <t xml:space="preserve">20/04/2025 </t>
  </si>
  <si>
    <t xml:space="preserve">18/052025 </t>
  </si>
  <si>
    <t xml:space="preserve">25/04/2024 </t>
  </si>
  <si>
    <t xml:space="preserve">25/04/2025 </t>
  </si>
  <si>
    <t xml:space="preserve">Rogerio Francisco de Souza </t>
  </si>
  <si>
    <t xml:space="preserve">200 megas 79,90 (3 meses por 59,90) </t>
  </si>
  <si>
    <t xml:space="preserve">             R$79,90 </t>
  </si>
  <si>
    <t xml:space="preserve">20/05/2025 </t>
  </si>
  <si>
    <t xml:space="preserve">João Vitor da Silva </t>
  </si>
  <si>
    <t xml:space="preserve">             R$89,90 </t>
  </si>
  <si>
    <t xml:space="preserve">Ana Paula Alves </t>
  </si>
  <si>
    <t xml:space="preserve">200 megas por 79,90 (2 meses de graça) </t>
  </si>
  <si>
    <t xml:space="preserve">             R$79,90</t>
  </si>
  <si>
    <t xml:space="preserve">14/05/2024 </t>
  </si>
  <si>
    <t xml:space="preserve">14/05/2025 </t>
  </si>
  <si>
    <t xml:space="preserve">23/05/2024 </t>
  </si>
  <si>
    <t xml:space="preserve">23/05/2025 </t>
  </si>
  <si>
    <t xml:space="preserve">15/06/2024 </t>
  </si>
  <si>
    <t xml:space="preserve">15/06/2025 </t>
  </si>
  <si>
    <t xml:space="preserve">200 megas por R$69,90 </t>
  </si>
  <si>
    <t xml:space="preserve">             R$69,90 </t>
  </si>
  <si>
    <t xml:space="preserve">22/06/2024 </t>
  </si>
  <si>
    <t xml:space="preserve">22/06/2025 </t>
  </si>
  <si>
    <t xml:space="preserve">             R$89,90 500 </t>
  </si>
  <si>
    <t xml:space="preserve">25/06/2024 </t>
  </si>
  <si>
    <t xml:space="preserve">25/06/2025 </t>
  </si>
  <si>
    <t xml:space="preserve">Vitória Almeida Mendes </t>
  </si>
  <si>
    <t xml:space="preserve">15/07/2024 </t>
  </si>
  <si>
    <t xml:space="preserve">15/07/2025 </t>
  </si>
  <si>
    <t xml:space="preserve">Almir Rogério Antunes Vieira </t>
  </si>
  <si>
    <t xml:space="preserve">Maria Ines Martinelli </t>
  </si>
  <si>
    <t xml:space="preserve">             R$89,90</t>
  </si>
  <si>
    <t xml:space="preserve">25/07/2025 </t>
  </si>
  <si>
    <t xml:space="preserve">Elenice Lemes </t>
  </si>
  <si>
    <t xml:space="preserve">20/07/2024 </t>
  </si>
  <si>
    <t xml:space="preserve">20/07/2025 </t>
  </si>
  <si>
    <t xml:space="preserve">Vilma Célia Barbosa de Lima </t>
  </si>
  <si>
    <t xml:space="preserve">              R$89,90</t>
  </si>
  <si>
    <t xml:space="preserve">15/08/2025 </t>
  </si>
  <si>
    <t xml:space="preserve">              R$99,90  </t>
  </si>
  <si>
    <t xml:space="preserve">26/08/2025 </t>
  </si>
  <si>
    <t xml:space="preserve">              R$79,90 </t>
  </si>
  <si>
    <t xml:space="preserve">Alex de Souza Floriano </t>
  </si>
  <si>
    <t>19/09/2024</t>
  </si>
  <si>
    <t>19/09/2025</t>
  </si>
  <si>
    <t xml:space="preserve">Joice Dallo </t>
  </si>
  <si>
    <t xml:space="preserve">300 megas por 89,90 com Roku </t>
  </si>
  <si>
    <t xml:space="preserve">Isadora Lopes do Prado </t>
  </si>
  <si>
    <t xml:space="preserve">300 megas por 79,90 </t>
  </si>
  <si>
    <t xml:space="preserve">              R$79,90   </t>
  </si>
  <si>
    <t>Jovina da Silva Dalo</t>
  </si>
  <si>
    <t>20/10/2024</t>
  </si>
  <si>
    <t>20/10/2025</t>
  </si>
  <si>
    <t xml:space="preserve">200 megas por R$65,00 </t>
  </si>
  <si>
    <t xml:space="preserve">              R$65,00  </t>
  </si>
  <si>
    <t xml:space="preserve">25/10/2024 </t>
  </si>
  <si>
    <t xml:space="preserve">25/10/2025 </t>
  </si>
  <si>
    <t>23/10/2025</t>
  </si>
  <si>
    <t xml:space="preserve">400 megas por R$79,90 </t>
  </si>
  <si>
    <t xml:space="preserve">Davi Wesley da Silva Domingues </t>
  </si>
  <si>
    <t xml:space="preserve">Alexsander do Couto </t>
  </si>
  <si>
    <t xml:space="preserve">400 megas por 114,90 (Três meses de graça) </t>
  </si>
  <si>
    <t xml:space="preserve">           R$114,90 </t>
  </si>
  <si>
    <t>15/11//2024</t>
  </si>
  <si>
    <t>15/11/2025</t>
  </si>
  <si>
    <t>20/11/2024</t>
  </si>
  <si>
    <t>20/11/2025</t>
  </si>
  <si>
    <t xml:space="preserve">14/11/2024 </t>
  </si>
  <si>
    <t xml:space="preserve">14/11/2025 </t>
  </si>
  <si>
    <t>Clientes</t>
  </si>
  <si>
    <t xml:space="preserve">Valor </t>
  </si>
  <si>
    <t xml:space="preserve">Plano atualizado </t>
  </si>
  <si>
    <t>R$                         79,90</t>
  </si>
  <si>
    <t>R$                             99,90</t>
  </si>
  <si>
    <t xml:space="preserve">Ativo </t>
  </si>
  <si>
    <t xml:space="preserve">Geraldo Magela da Silva </t>
  </si>
  <si>
    <t xml:space="preserve">100 meags </t>
  </si>
  <si>
    <t xml:space="preserve">R$                         99,90 </t>
  </si>
  <si>
    <t>R$                          114,90</t>
  </si>
  <si>
    <t>R$                            89,90</t>
  </si>
  <si>
    <t>R$                        79,90</t>
  </si>
  <si>
    <t>R$                        89,90</t>
  </si>
  <si>
    <t>R$                        99,90</t>
  </si>
  <si>
    <t xml:space="preserve">R$                          119,90 </t>
  </si>
  <si>
    <t>Roku TV</t>
  </si>
  <si>
    <t xml:space="preserve">Roku TV </t>
  </si>
  <si>
    <t>R$                           114,90</t>
  </si>
  <si>
    <t xml:space="preserve">Rede mesh </t>
  </si>
  <si>
    <t xml:space="preserve">R$                        89,90 </t>
  </si>
  <si>
    <t>R$                           109,90</t>
  </si>
  <si>
    <t>R$                      114,90</t>
  </si>
  <si>
    <t xml:space="preserve">R$                           139,90 </t>
  </si>
  <si>
    <t xml:space="preserve">R$                           114,90 </t>
  </si>
  <si>
    <t xml:space="preserve">R$                        89,90  </t>
  </si>
  <si>
    <t xml:space="preserve">R$                            99,90 </t>
  </si>
  <si>
    <t xml:space="preserve">R$                         79,90 </t>
  </si>
  <si>
    <t>Fábio Henrique Marques Duarte</t>
  </si>
  <si>
    <t xml:space="preserve">400 megs </t>
  </si>
  <si>
    <t xml:space="preserve">R$                         89,90 </t>
  </si>
  <si>
    <t xml:space="preserve">R$10,00 </t>
  </si>
  <si>
    <t xml:space="preserve">R$20,00 </t>
  </si>
  <si>
    <r>
      <rPr>
        <sz val="11"/>
        <color rgb="FF000000"/>
        <rFont val="Calibri"/>
      </rPr>
      <t xml:space="preserve">                                        </t>
    </r>
    <r>
      <rPr>
        <b/>
        <sz val="11"/>
        <color rgb="FF000000"/>
        <rFont val="Calibri"/>
      </rPr>
      <t xml:space="preserve">  Cliente </t>
    </r>
  </si>
  <si>
    <t xml:space="preserve">Descrição </t>
  </si>
  <si>
    <t xml:space="preserve">Combo 200 megas </t>
  </si>
  <si>
    <t xml:space="preserve">Desconto 75,00 </t>
  </si>
  <si>
    <t xml:space="preserve">Desconto 69,90 </t>
  </si>
  <si>
    <t xml:space="preserve">2 pontos </t>
  </si>
  <si>
    <t>Combo 200 Megas Inconfidentes</t>
  </si>
  <si>
    <t>Funerária Sefex</t>
  </si>
  <si>
    <t>Desconto 59,90</t>
  </si>
  <si>
    <t xml:space="preserve">Suelen Simão Gomes 2 ponto </t>
  </si>
  <si>
    <t>Desconto 65,00</t>
  </si>
  <si>
    <t>Bárbara Couto de Vasconcelos</t>
  </si>
  <si>
    <t>Willian Henrique Fernandes</t>
  </si>
  <si>
    <t xml:space="preserve">Ver depois </t>
  </si>
  <si>
    <t xml:space="preserve">Clienta paga 1 mensalidade ao ano </t>
  </si>
  <si>
    <t xml:space="preserve">Cliente paga 39,95 </t>
  </si>
  <si>
    <t>Descrição</t>
  </si>
  <si>
    <t>Jovana Maria da Silva Lopes</t>
  </si>
  <si>
    <t>Combo 300 Megas Inconfidentes contrato</t>
  </si>
  <si>
    <t>Desconto de 114,90 para 89,90</t>
  </si>
  <si>
    <t xml:space="preserve">Plano 300 Megas + Bonus 200 Megas </t>
  </si>
  <si>
    <t xml:space="preserve">Paga 114,90 mas sem desconto </t>
  </si>
  <si>
    <t>Desconto de 114,90 para 99,90</t>
  </si>
  <si>
    <t>Catarine Aparecida Souza</t>
  </si>
  <si>
    <t>Combo 300 Megas com contrato Inconfidentes</t>
  </si>
  <si>
    <t>Desconto de 89,90 para 79,90</t>
  </si>
  <si>
    <t xml:space="preserve">Três meses por 59,90 </t>
  </si>
  <si>
    <t>Flávia Geomara Moreira</t>
  </si>
  <si>
    <t>Combo 400 Megas Inconfidentes</t>
  </si>
  <si>
    <t>Acréscimo de 99,90 p/ 114,90</t>
  </si>
  <si>
    <t xml:space="preserve">Plano 200 Megas + Bonus 200 Megas </t>
  </si>
  <si>
    <t>Silvino José Santos Pimenta</t>
  </si>
  <si>
    <t>Karina dos Santos Mazolini</t>
  </si>
  <si>
    <t>Certo/ Porém ela vai pagar 79,90 em 2025</t>
  </si>
  <si>
    <t>Acréscimo de 99,90 p/ 119,90</t>
  </si>
  <si>
    <t>Acréscimo de 99,90 p/ 109,90</t>
  </si>
  <si>
    <t>Angelica Monteiro Limeira</t>
  </si>
  <si>
    <t xml:space="preserve">Desconto 99,90 p/ 89,90 </t>
  </si>
  <si>
    <t xml:space="preserve">Acréscimo de 99,90 p/ 119,90 </t>
  </si>
  <si>
    <t>Combo 400 Megas</t>
  </si>
  <si>
    <t xml:space="preserve">Desconto 99,90 p/ 79,90 </t>
  </si>
  <si>
    <t>Combo 300 megas liberado 500</t>
  </si>
  <si>
    <t>Desconto 114,90 p/ 79,90</t>
  </si>
  <si>
    <t>Combo 500 Megas Inconfidentes</t>
  </si>
  <si>
    <t xml:space="preserve">Desconto 139,90 p/ 99,90 </t>
  </si>
  <si>
    <t xml:space="preserve">Desconto 139,90 p/ 119,90 </t>
  </si>
  <si>
    <t xml:space="preserve">Desconto 139,90 p/ 114,90 </t>
  </si>
  <si>
    <t>Combo 500 Megas</t>
  </si>
  <si>
    <t>Bárbara Marinho Braz</t>
  </si>
  <si>
    <t>Combo 700 Megas Inconfidentes</t>
  </si>
  <si>
    <t xml:space="preserve">Acréscimo 159,90 p/ 179,90 </t>
  </si>
  <si>
    <t>Combo 700 Megas</t>
  </si>
  <si>
    <t>Desconto 159,90 p/ 139,90</t>
  </si>
  <si>
    <t>Wellington Alexandre Brandão José</t>
  </si>
  <si>
    <t>Combo 300 Megas (500 megas liberado)</t>
  </si>
  <si>
    <t>Leonardo Aparecido Caetano</t>
  </si>
  <si>
    <t>Wellison</t>
  </si>
  <si>
    <t>Walquiria</t>
  </si>
  <si>
    <t>Renan (plantão)</t>
  </si>
  <si>
    <t>Robo</t>
  </si>
  <si>
    <t>Comissão Rafa Novembro</t>
  </si>
  <si>
    <t>Totonho 2° ponto</t>
  </si>
  <si>
    <t>Comissão Rafa Dezembro</t>
  </si>
  <si>
    <t>flavio (paloma)</t>
  </si>
  <si>
    <t>edimar vaz (chocolate)</t>
  </si>
  <si>
    <t>wilman teixeira</t>
  </si>
  <si>
    <t>wilman teixeira 2p</t>
  </si>
  <si>
    <t>josuel pereira</t>
  </si>
  <si>
    <t>maria julia(tia do bill)</t>
  </si>
  <si>
    <t>daniela almeida (vizinha)</t>
  </si>
  <si>
    <t>Tv 200 megas pra cima</t>
  </si>
  <si>
    <t>Matheus scarone dos sanros</t>
  </si>
  <si>
    <t>JESSICA DE MEIRELES OLIVEIRA ROSa</t>
  </si>
  <si>
    <t>José Lucas Bueno de Mello</t>
  </si>
  <si>
    <t>flávio de Castro</t>
  </si>
  <si>
    <t>Genivaldo Benicio Da Cruz</t>
  </si>
  <si>
    <t>Edimar Vaz Da Silva</t>
  </si>
  <si>
    <t>Jose Benedito De lima</t>
  </si>
  <si>
    <t>Flavio Gomes Da Silva Junior</t>
  </si>
  <si>
    <t>Carlos Gabriel Serapião da Silva</t>
  </si>
  <si>
    <t>Elisama Norberto</t>
  </si>
  <si>
    <t>Barbara Andrade Coutinho</t>
  </si>
  <si>
    <t>Cliente Tv 79,90</t>
  </si>
  <si>
    <t>Boleto  20,00</t>
  </si>
  <si>
    <t>Passado para o cliente ?</t>
  </si>
  <si>
    <t>ok/ whatsapp</t>
  </si>
  <si>
    <t>Lucas Benedito Santos Coito</t>
  </si>
  <si>
    <t>boleto impresso</t>
  </si>
  <si>
    <t xml:space="preserve">Marcia de Cassia cordeiro </t>
  </si>
  <si>
    <t>Nilton Cezar Moreira Junior</t>
  </si>
  <si>
    <t>pix</t>
  </si>
  <si>
    <t>Letícia Aparecida Moreira</t>
  </si>
  <si>
    <t>mes que vem</t>
  </si>
  <si>
    <t>Leandro Aparecido sabino</t>
  </si>
  <si>
    <t>2 pontos</t>
  </si>
  <si>
    <t>isento</t>
  </si>
  <si>
    <t>(cliente queria cancelar)</t>
  </si>
  <si>
    <t>Boleto impresso</t>
  </si>
  <si>
    <t>4 pontos</t>
  </si>
  <si>
    <t>Walter Anderson Correia</t>
  </si>
  <si>
    <t>ok/whats</t>
  </si>
  <si>
    <t>dois pontos</t>
  </si>
  <si>
    <t>cliente isento</t>
  </si>
  <si>
    <t>jJosicleide Maria da Silva Franco</t>
  </si>
  <si>
    <t>Tatiane de Fatima Almeida Lopes Ferreira</t>
  </si>
  <si>
    <t>dois pontos isento</t>
  </si>
  <si>
    <t>Andre Fabiano de Souza</t>
  </si>
  <si>
    <t>whats</t>
  </si>
  <si>
    <t>isento dois pontos</t>
  </si>
  <si>
    <t>nao quis</t>
  </si>
  <si>
    <t>pendente</t>
  </si>
  <si>
    <t>não tem contato</t>
  </si>
  <si>
    <t>pag 22</t>
  </si>
  <si>
    <t>funcionario</t>
  </si>
  <si>
    <t>isento no primeiro ano</t>
  </si>
  <si>
    <t>Ale</t>
  </si>
  <si>
    <t xml:space="preserve"> Katrine de Cassia MArçal dos Santos</t>
  </si>
  <si>
    <t>Willy Bencupert Silva</t>
  </si>
  <si>
    <t>foi junto com a instalação</t>
  </si>
  <si>
    <t>Julio Cesar dos Santos - Av Magalhães</t>
  </si>
  <si>
    <t>Whats</t>
  </si>
  <si>
    <t>Vinicius Borella</t>
  </si>
  <si>
    <t>Meses</t>
  </si>
  <si>
    <t>Semana</t>
  </si>
  <si>
    <t>Final de Semana</t>
  </si>
  <si>
    <t>Seg</t>
  </si>
  <si>
    <t>Ter</t>
  </si>
  <si>
    <t>Quar</t>
  </si>
  <si>
    <t>Qui</t>
  </si>
  <si>
    <t>Sex</t>
  </si>
  <si>
    <t>Sab</t>
  </si>
  <si>
    <t>Dom</t>
  </si>
  <si>
    <t>Feriados</t>
  </si>
  <si>
    <t>(Carlos)</t>
  </si>
  <si>
    <t xml:space="preserve">21/03 - </t>
  </si>
  <si>
    <t>07/04 - Sexta Feira Santa</t>
  </si>
  <si>
    <t>21/04 - Tiradentes</t>
  </si>
  <si>
    <t>01/05- Dia do trabalho</t>
  </si>
  <si>
    <t>08/06 - Corpus Christi</t>
  </si>
  <si>
    <t>SETEMBRO</t>
  </si>
  <si>
    <t>07/09 - Idependencia do Brasil</t>
  </si>
  <si>
    <t>OUTUBRO</t>
  </si>
  <si>
    <t>12/10 - Nossa Senhora Aparecida</t>
  </si>
  <si>
    <t>02/11 - Finados</t>
  </si>
  <si>
    <t>NOVEMBRO</t>
  </si>
  <si>
    <t>15/11 -  Proclamação da Republica</t>
  </si>
  <si>
    <t>DEZEMBRO</t>
  </si>
  <si>
    <t>25/12 - Natal</t>
  </si>
  <si>
    <t>modelo deco</t>
  </si>
  <si>
    <t>Combo 300 Megas</t>
  </si>
  <si>
    <t>M4 (2 unidades)</t>
  </si>
  <si>
    <t>Combo 200 Megas</t>
  </si>
  <si>
    <t>M4 (3 unidades)</t>
  </si>
  <si>
    <t>Clientes testando até dezembro</t>
  </si>
  <si>
    <t xml:space="preserve">Boleto </t>
  </si>
  <si>
    <t xml:space="preserve">Futuros clientes </t>
  </si>
  <si>
    <t>não laçado ainda</t>
  </si>
  <si>
    <t>Entrega em mãos</t>
  </si>
  <si>
    <t>Caixa correio</t>
  </si>
  <si>
    <t>Assinatura</t>
  </si>
  <si>
    <t>N.S. De Fatima</t>
  </si>
  <si>
    <t>Alessandra do Carmo Miranda</t>
  </si>
  <si>
    <t>- IF - BORDA DA MATA LTDA</t>
  </si>
  <si>
    <t>N.S.Aparecida</t>
  </si>
  <si>
    <t>Márcio Francisney Lopes</t>
  </si>
  <si>
    <t>Eonice Moreira Da Costa</t>
  </si>
  <si>
    <t>N S de Fatima</t>
  </si>
  <si>
    <t>Clientes Bogari</t>
  </si>
  <si>
    <t>Júlio Cézar Da Silva</t>
  </si>
  <si>
    <t>INDICAÇÃO PREMIADA 24/01/21</t>
  </si>
  <si>
    <t>Indicado</t>
  </si>
  <si>
    <t xml:space="preserve">Válido </t>
  </si>
  <si>
    <t>Numeração</t>
  </si>
  <si>
    <t>Tania Maria</t>
  </si>
  <si>
    <t>+55 19 99304-3518</t>
  </si>
  <si>
    <t>Ana Lívia</t>
  </si>
  <si>
    <t>+55 35 9274-4543</t>
  </si>
  <si>
    <t>Andreza Prima</t>
  </si>
  <si>
    <t>+55 35 9937-8681</t>
  </si>
  <si>
    <t>Banana</t>
  </si>
  <si>
    <t>+55 35 8403-1245</t>
  </si>
  <si>
    <t>Bethania</t>
  </si>
  <si>
    <t>+55 35 9221-3295</t>
  </si>
  <si>
    <t>Bruno Facul</t>
  </si>
  <si>
    <t>+55 35 9941-2528</t>
  </si>
  <si>
    <t>Bruno Silva</t>
  </si>
  <si>
    <t>+55 35 9931-5477</t>
  </si>
  <si>
    <t>Cidao</t>
  </si>
  <si>
    <t>+55 35 9990-7851</t>
  </si>
  <si>
    <t>Cristiano</t>
  </si>
  <si>
    <t>+55 35 9820-7625</t>
  </si>
  <si>
    <t>Elton</t>
  </si>
  <si>
    <t>+55 35 9858-4191</t>
  </si>
  <si>
    <t>Erika</t>
  </si>
  <si>
    <t>+55 35 9844-1904</t>
  </si>
  <si>
    <t>Fagner Novo</t>
  </si>
  <si>
    <t>+55 35 8429-7916</t>
  </si>
  <si>
    <t>Felipe</t>
  </si>
  <si>
    <t>+55 35 9944-6070</t>
  </si>
  <si>
    <t>Felipe Primo</t>
  </si>
  <si>
    <t>+55 35 9878-7148</t>
  </si>
  <si>
    <t>Fernando</t>
  </si>
  <si>
    <t>+55 35 9967-8227</t>
  </si>
  <si>
    <t>Flavia Regina</t>
  </si>
  <si>
    <t>+55 35 9832-6412</t>
  </si>
  <si>
    <t>Gabi</t>
  </si>
  <si>
    <t>(35) 9714-7131</t>
  </si>
  <si>
    <t>Gabriel Primo Advogado</t>
  </si>
  <si>
    <t>+55 35 9262-8617</t>
  </si>
  <si>
    <t>Gabriel Santos</t>
  </si>
  <si>
    <t>+55 35 9813-1900</t>
  </si>
  <si>
    <t>Ganuia</t>
  </si>
  <si>
    <t>+55 35 9843-3821</t>
  </si>
  <si>
    <t>Henrique Primo</t>
  </si>
  <si>
    <t>+55 35 9877-6696</t>
  </si>
  <si>
    <t>Ingrid Mara</t>
  </si>
  <si>
    <t>+55 35 9740-3931</t>
  </si>
  <si>
    <t>Isabela Maximiano</t>
  </si>
  <si>
    <t>+55 11 95371-0149</t>
  </si>
  <si>
    <t>Ismael</t>
  </si>
  <si>
    <t>+55 35 9923-7246</t>
  </si>
  <si>
    <t>Jailson</t>
  </si>
  <si>
    <t>+55 35 9903-9086</t>
  </si>
  <si>
    <t>Bernadete Passos</t>
  </si>
  <si>
    <t>35 9735-8653</t>
  </si>
  <si>
    <t>Cintia</t>
  </si>
  <si>
    <t>35 9824-5199</t>
  </si>
  <si>
    <t>Claudia Klayton</t>
  </si>
  <si>
    <t>35 9702-5960</t>
  </si>
  <si>
    <t>35 9277-4280</t>
  </si>
  <si>
    <t>Dila Claudio</t>
  </si>
  <si>
    <t>19 99185-8551</t>
  </si>
  <si>
    <t>Dona Maria</t>
  </si>
  <si>
    <t>35 9856-8359</t>
  </si>
  <si>
    <t>Eliane</t>
  </si>
  <si>
    <t>(35) 9751-6458</t>
  </si>
  <si>
    <t>Elisa</t>
  </si>
  <si>
    <t>35 9986-9833</t>
  </si>
  <si>
    <t>Elisangela</t>
  </si>
  <si>
    <t>35 9961-3616</t>
  </si>
  <si>
    <t>Espaço Dona Bela</t>
  </si>
  <si>
    <t>35 9830-9128</t>
  </si>
  <si>
    <t xml:space="preserve">Fabiele </t>
  </si>
  <si>
    <t>35 9804-4021</t>
  </si>
  <si>
    <t>Fatinha Mãe da Isa</t>
  </si>
  <si>
    <t xml:space="preserve"> 35 9950-1846</t>
  </si>
  <si>
    <t>Frank</t>
  </si>
  <si>
    <t>35 9828-7414</t>
  </si>
  <si>
    <t>Juilha</t>
  </si>
  <si>
    <t>35 9709-3017</t>
  </si>
  <si>
    <t xml:space="preserve">Lu Cunhada </t>
  </si>
  <si>
    <t>35 9767-5439</t>
  </si>
  <si>
    <t>Lucas Tim</t>
  </si>
  <si>
    <t>35 9180-4436</t>
  </si>
  <si>
    <t>Mari</t>
  </si>
  <si>
    <t xml:space="preserve"> 35 9954-7458</t>
  </si>
  <si>
    <t>Valdete</t>
  </si>
  <si>
    <t>35 9735-5497</t>
  </si>
  <si>
    <t>Diana</t>
  </si>
  <si>
    <t>35 9947-3676</t>
  </si>
  <si>
    <t>Dilsinho</t>
  </si>
  <si>
    <t xml:space="preserve"> 35 9857-6554</t>
  </si>
  <si>
    <t>Meire</t>
  </si>
  <si>
    <t>35 9957-9218</t>
  </si>
  <si>
    <t>Neia</t>
  </si>
  <si>
    <t>35 9826-6815</t>
  </si>
  <si>
    <t>Nice</t>
  </si>
  <si>
    <t>35 9871-5749</t>
  </si>
  <si>
    <t>Paloma</t>
  </si>
  <si>
    <t>35 9864-7845</t>
  </si>
  <si>
    <t>Mateus</t>
  </si>
  <si>
    <t>35 9846-2702</t>
  </si>
  <si>
    <t>Lucas Souza</t>
  </si>
  <si>
    <t>35 9934-6362</t>
  </si>
  <si>
    <t>Andre</t>
  </si>
  <si>
    <t>+55 35 9953-6665</t>
  </si>
  <si>
    <t>Mary</t>
  </si>
  <si>
    <t>+55 35 9714-9716</t>
  </si>
  <si>
    <t>Rian</t>
  </si>
  <si>
    <t>+55 35 9762-6673</t>
  </si>
  <si>
    <t>Vitoria</t>
  </si>
  <si>
    <t>+55 35 9104-2981</t>
  </si>
  <si>
    <t>Cris</t>
  </si>
  <si>
    <t>+55 35 9714-6516</t>
  </si>
  <si>
    <t>Flávia</t>
  </si>
  <si>
    <t>+55 35 9993-5259</t>
  </si>
  <si>
    <t>Camila</t>
  </si>
  <si>
    <t>+55 11 99857-0934</t>
  </si>
  <si>
    <t>Cristhofer</t>
  </si>
  <si>
    <t>+55 35 9973-0739</t>
  </si>
  <si>
    <t>Lisia</t>
  </si>
  <si>
    <t>+55 35 9750-5179</t>
  </si>
  <si>
    <t>Manu</t>
  </si>
  <si>
    <t>+55 35 9755-0278</t>
  </si>
  <si>
    <t>Marcos</t>
  </si>
  <si>
    <t>+55 35 9843-7097</t>
  </si>
  <si>
    <t>Mingau Lanches</t>
  </si>
  <si>
    <t>+55 35 9968-7909</t>
  </si>
  <si>
    <t xml:space="preserve">nao </t>
  </si>
  <si>
    <t>Rúbia</t>
  </si>
  <si>
    <t>+55 35 9246-9924</t>
  </si>
  <si>
    <t>Bruna</t>
  </si>
  <si>
    <t>João Agripino da Silva</t>
  </si>
  <si>
    <t>Celso MG</t>
  </si>
  <si>
    <t>+55 35 9867-2891</t>
  </si>
  <si>
    <t>Chaves</t>
  </si>
  <si>
    <t>+55 35 9975-3372</t>
  </si>
  <si>
    <t>Cibele</t>
  </si>
  <si>
    <t>+55 35 9708-8038</t>
  </si>
  <si>
    <t>Daiane Celso</t>
  </si>
  <si>
    <t>+55 35 9752-5097</t>
  </si>
  <si>
    <t>Depósito Joara</t>
  </si>
  <si>
    <t>+55 35 9937-4801</t>
  </si>
  <si>
    <t>Erde Pereira Posto BR Borda</t>
  </si>
  <si>
    <t>+55 35 9815-0749</t>
  </si>
  <si>
    <t>Escritório Simac</t>
  </si>
  <si>
    <t>+55 35 9827-6982</t>
  </si>
  <si>
    <t>Gráfica Rápida Borda</t>
  </si>
  <si>
    <t>+55 35 9195-2321</t>
  </si>
  <si>
    <t>Guadalupe</t>
  </si>
  <si>
    <t>+55 35 9891-0874</t>
  </si>
  <si>
    <t>Jean De Ze Do Oridio</t>
  </si>
  <si>
    <t>+55 35 9940-9535</t>
  </si>
  <si>
    <t>Jefferson MG</t>
  </si>
  <si>
    <t>+55 35 9830-2203</t>
  </si>
  <si>
    <t>Joaquim MG</t>
  </si>
  <si>
    <t>+55 35 9963-5976</t>
  </si>
  <si>
    <t>Lua</t>
  </si>
  <si>
    <t>+55 35 9732-5919</t>
  </si>
  <si>
    <t>Luciana Painho</t>
  </si>
  <si>
    <t>+55 35 9994-7179</t>
  </si>
  <si>
    <t>Madeireira Paloma</t>
  </si>
  <si>
    <t>‎035 9</t>
  </si>
  <si>
    <t>Mecânico Borda</t>
  </si>
  <si>
    <t>+55 35 9219-4416</t>
  </si>
  <si>
    <t>Painho Tim</t>
  </si>
  <si>
    <t>+55 35 9172-7142</t>
  </si>
  <si>
    <t>Papelaria Artec Edna</t>
  </si>
  <si>
    <t>+55 35 8823-6491</t>
  </si>
  <si>
    <t>Pousada 2</t>
  </si>
  <si>
    <t>+55 35 9836-5573</t>
  </si>
  <si>
    <t>Rapaz Da Roça</t>
  </si>
  <si>
    <t>+55 35 9959-0314</t>
  </si>
  <si>
    <t>Samuel Uber</t>
  </si>
  <si>
    <t>+55 35 9982-6474</t>
  </si>
  <si>
    <t>Sérgio MG 2</t>
  </si>
  <si>
    <t>+55 35 9972-1275</t>
  </si>
  <si>
    <t>Valtinho</t>
  </si>
  <si>
    <t>+55 35 9827-2560</t>
  </si>
  <si>
    <t>35 9895-8596</t>
  </si>
  <si>
    <t>Leandro Gesso</t>
  </si>
  <si>
    <t>35 9915-5329</t>
  </si>
  <si>
    <t>Bunda Branca</t>
  </si>
  <si>
    <t>35 9809-1989</t>
  </si>
  <si>
    <t>Valdireni Luzia Da Silva</t>
  </si>
  <si>
    <t>35 9843-5017</t>
  </si>
  <si>
    <t>Wagner</t>
  </si>
  <si>
    <t>35 9938-8716</t>
  </si>
  <si>
    <t>Bigodera</t>
  </si>
  <si>
    <t>35 9996-5239</t>
  </si>
  <si>
    <t>Gordinho</t>
  </si>
  <si>
    <t>35 9897-6518</t>
  </si>
  <si>
    <t>Chorão</t>
  </si>
  <si>
    <t xml:space="preserve"> 35 9828-7019</t>
  </si>
  <si>
    <t>Leandro Tintas</t>
  </si>
  <si>
    <t>35 9892-0554</t>
  </si>
  <si>
    <t>Valdir Pc</t>
  </si>
  <si>
    <t>35 9119-7896</t>
  </si>
  <si>
    <t>Roseneia</t>
  </si>
  <si>
    <t>35 9954-8906</t>
  </si>
  <si>
    <t>Robert</t>
  </si>
  <si>
    <t>35 9824-6025</t>
  </si>
  <si>
    <t>Sara Galvão de Souza</t>
  </si>
  <si>
    <t>Alex Filho 2</t>
  </si>
  <si>
    <t xml:space="preserve"> 35 9978-0163</t>
  </si>
  <si>
    <t>Angela Calbis</t>
  </si>
  <si>
    <t>19 99805-9774</t>
  </si>
  <si>
    <t>Mãe</t>
  </si>
  <si>
    <t>35 9765-6802</t>
  </si>
  <si>
    <t>SIm</t>
  </si>
  <si>
    <t>Padrinho/Irmão</t>
  </si>
  <si>
    <t>35 9767-0963</t>
  </si>
  <si>
    <t>Alarhaa Sup.Baleia</t>
  </si>
  <si>
    <t>35 9844-6694</t>
  </si>
  <si>
    <t xml:space="preserve">Amor </t>
  </si>
  <si>
    <t>35 9979-8304</t>
  </si>
  <si>
    <t>Aninha</t>
  </si>
  <si>
    <t>35 9874-8852</t>
  </si>
  <si>
    <t>Brunao Mercado</t>
  </si>
  <si>
    <t>35 9713-5659</t>
  </si>
  <si>
    <t>Carlos Sertãozinho</t>
  </si>
  <si>
    <t>35 9766-3694</t>
  </si>
  <si>
    <t>Chiquinho Baleia</t>
  </si>
  <si>
    <t>35 9957-4539</t>
  </si>
  <si>
    <t>Compadre Isaías</t>
  </si>
  <si>
    <t>35 9986-3711</t>
  </si>
  <si>
    <t>Daniel Da Bruna</t>
  </si>
  <si>
    <t>35 9976-2292</t>
  </si>
  <si>
    <t>Eliezer</t>
  </si>
  <si>
    <t>35 9879-3024</t>
  </si>
  <si>
    <t>Felippe Mercado Nova Borda</t>
  </si>
  <si>
    <t>35 9967-0994</t>
  </si>
  <si>
    <t>Filho Da Paula</t>
  </si>
  <si>
    <t>35 9915-1882</t>
  </si>
  <si>
    <t>Gabriel Sup. Nova Borda</t>
  </si>
  <si>
    <t>35 9931-7928</t>
  </si>
  <si>
    <t>Gordim Sup. Mercado</t>
  </si>
  <si>
    <t>35 9856-8279</t>
  </si>
  <si>
    <t>Gustavo</t>
  </si>
  <si>
    <t>35 9802-1339</t>
  </si>
  <si>
    <t>Helton Baleia</t>
  </si>
  <si>
    <t xml:space="preserve"> 35 9899-5320</t>
  </si>
  <si>
    <t>Israel Super Baleia</t>
  </si>
  <si>
    <t xml:space="preserve"> 35 9868-9197</t>
  </si>
  <si>
    <t>Lucas Sup. Baleia</t>
  </si>
  <si>
    <t>35 9820-8055</t>
  </si>
  <si>
    <t>Adriana Unha</t>
  </si>
  <si>
    <t>35 9886-4770</t>
  </si>
  <si>
    <t>Alessandra chácara</t>
  </si>
  <si>
    <t>35 9995-6156</t>
  </si>
  <si>
    <t>Andréia</t>
  </si>
  <si>
    <t>35 9742-8843</t>
  </si>
  <si>
    <t>Bene Primo</t>
  </si>
  <si>
    <t>35 9804-6568</t>
  </si>
  <si>
    <t>Camila (Marcos)</t>
  </si>
  <si>
    <t>35 9845-2920</t>
  </si>
  <si>
    <t>Cássia ( Camila)</t>
  </si>
  <si>
    <t xml:space="preserve"> 35 9807-1307</t>
  </si>
  <si>
    <t>Chico pintor</t>
  </si>
  <si>
    <t>35 9116-7418</t>
  </si>
  <si>
    <t>Cleber (Cida)</t>
  </si>
  <si>
    <t xml:space="preserve"> 35 9936-8742</t>
  </si>
  <si>
    <t>Darsuile (Mercado)</t>
  </si>
  <si>
    <t>35 9968-4112</t>
  </si>
  <si>
    <t>Deinha</t>
  </si>
  <si>
    <t>35 9953-0177</t>
  </si>
  <si>
    <t>Denise Clarice</t>
  </si>
  <si>
    <t>35 9808-0701</t>
  </si>
  <si>
    <t>Flaviane</t>
  </si>
  <si>
    <t>35 9966-0866</t>
  </si>
  <si>
    <t>Dulce (Camila)</t>
  </si>
  <si>
    <t>35 9703-3210</t>
  </si>
  <si>
    <t>Ione (restaurante)</t>
  </si>
  <si>
    <t>35 9700-6237</t>
  </si>
  <si>
    <t>Ivanilza</t>
  </si>
  <si>
    <t>35 9909-5118</t>
  </si>
  <si>
    <t>Junior Da Arno</t>
  </si>
  <si>
    <t xml:space="preserve"> 35 9703-0319</t>
  </si>
  <si>
    <t>Lena(Santo Antônio)</t>
  </si>
  <si>
    <t>35 9729-0393</t>
  </si>
  <si>
    <t>Márcia cabeleira</t>
  </si>
  <si>
    <t xml:space="preserve"> 35 9741-6260</t>
  </si>
  <si>
    <t>Márcia Mota</t>
  </si>
  <si>
    <t>35 9188-5986</t>
  </si>
  <si>
    <t>Marcos (Pinheiro)</t>
  </si>
  <si>
    <t xml:space="preserve"> 35 9917-7094</t>
  </si>
  <si>
    <t>Patrícia (Dito)</t>
  </si>
  <si>
    <t>35 9828-6501</t>
  </si>
  <si>
    <t>Regina (Amiga)</t>
  </si>
  <si>
    <t>35 93300-3148</t>
  </si>
  <si>
    <t>Renata (Manicure)</t>
  </si>
  <si>
    <t>35 9754-4544</t>
  </si>
  <si>
    <t>Sílvio Denise</t>
  </si>
  <si>
    <t>35 9808-9532</t>
  </si>
  <si>
    <t>Sirlei Clarice</t>
  </si>
  <si>
    <t>35 9828-4560</t>
  </si>
  <si>
    <t>Sool</t>
  </si>
  <si>
    <t>35 9841-8247</t>
  </si>
  <si>
    <t>Suilly</t>
  </si>
  <si>
    <t>35 9876-0339</t>
  </si>
  <si>
    <t>Toninho Ypê</t>
  </si>
  <si>
    <t>35 9826-9964</t>
  </si>
  <si>
    <t>Vânia BM</t>
  </si>
  <si>
    <t>35 9920-7311</t>
  </si>
  <si>
    <t>Waldir (asilo)</t>
  </si>
  <si>
    <t>35 9953-0149</t>
  </si>
  <si>
    <t>Ze Jurana Torre</t>
  </si>
  <si>
    <t>S</t>
  </si>
  <si>
    <t>Rosana Psicóloga</t>
  </si>
  <si>
    <t>35 9844-7909</t>
  </si>
  <si>
    <t>Amiga Rosana</t>
  </si>
  <si>
    <t xml:space="preserve"> 35 9865-2726</t>
  </si>
  <si>
    <t>Bruna Cassia</t>
  </si>
  <si>
    <t>35 9836-5720</t>
  </si>
  <si>
    <t>Camila Brant</t>
  </si>
  <si>
    <t>Carlinha Vizinha Novo</t>
  </si>
  <si>
    <t xml:space="preserve"> 35 9910-7032</t>
  </si>
  <si>
    <t>Dandara Bruno</t>
  </si>
  <si>
    <t xml:space="preserve"> 35 9902-8619</t>
  </si>
  <si>
    <t>Danila Pozinho</t>
  </si>
  <si>
    <t>35 9761-6382</t>
  </si>
  <si>
    <t>Dheny Visinha</t>
  </si>
  <si>
    <t>35 9983-8913</t>
  </si>
  <si>
    <t>Dr Joao</t>
  </si>
  <si>
    <t xml:space="preserve"> 35 8402-4215</t>
  </si>
  <si>
    <t>Edina Dede</t>
  </si>
  <si>
    <t>35 9896-7143</t>
  </si>
  <si>
    <t>Elisangela Vizinha</t>
  </si>
  <si>
    <t>35 9877-2806</t>
  </si>
  <si>
    <t>Ernani Gois Lemes</t>
  </si>
  <si>
    <t xml:space="preserve"> 35 9895-1385</t>
  </si>
  <si>
    <t>Fio Novo</t>
  </si>
  <si>
    <t>35 9891-0870</t>
  </si>
  <si>
    <t>Gabi Vizinha</t>
  </si>
  <si>
    <t>35 9732-9883</t>
  </si>
  <si>
    <t>Genivaldo</t>
  </si>
  <si>
    <t>35 9977-8690</t>
  </si>
  <si>
    <t>Gil Miguxa</t>
  </si>
  <si>
    <t>35 9898-3928</t>
  </si>
  <si>
    <t>Giovanna Luara</t>
  </si>
  <si>
    <t>35 9850-4641</t>
  </si>
  <si>
    <t>Gleise</t>
  </si>
  <si>
    <t>35 9748-7316</t>
  </si>
  <si>
    <t>Huliana Rodrigues Unhas</t>
  </si>
  <si>
    <t>35 9882-4490</t>
  </si>
  <si>
    <t>Iara Suele</t>
  </si>
  <si>
    <t xml:space="preserve"> 35 9939-0625</t>
  </si>
  <si>
    <t>Ivan Firma Novo Novo</t>
  </si>
  <si>
    <t>35 9264-1957</t>
  </si>
  <si>
    <t>Izildinha</t>
  </si>
  <si>
    <t xml:space="preserve"> 35 9765-2254</t>
  </si>
  <si>
    <t>Jekao</t>
  </si>
  <si>
    <t>35 9979-2114</t>
  </si>
  <si>
    <t>Joyce Linda Renata ✨</t>
  </si>
  <si>
    <t xml:space="preserve"> 35 9926-0014</t>
  </si>
  <si>
    <t>Jussara</t>
  </si>
  <si>
    <t xml:space="preserve"> 35 9705-0787</t>
  </si>
  <si>
    <t>Jussara Pereira</t>
  </si>
  <si>
    <t xml:space="preserve"> 35 9896-9947</t>
  </si>
  <si>
    <t>Amanda Loja STA RITA TINTA</t>
  </si>
  <si>
    <t xml:space="preserve"> 35 9904-5751</t>
  </si>
  <si>
    <t>Amand@ Praia</t>
  </si>
  <si>
    <t>35 9837-2746</t>
  </si>
  <si>
    <t>Andre Tarta Rizal</t>
  </si>
  <si>
    <t xml:space="preserve"> 35 9927-4203</t>
  </si>
  <si>
    <t>Betinho Cafe Rivelino</t>
  </si>
  <si>
    <t>35 9967-0217</t>
  </si>
  <si>
    <t>Danilo Academia</t>
  </si>
  <si>
    <t>35 9927-6608</t>
  </si>
  <si>
    <t>Adriana Tia Fátima</t>
  </si>
  <si>
    <t>35 9867-8194</t>
  </si>
  <si>
    <t>Adriana Tri</t>
  </si>
  <si>
    <t xml:space="preserve"> 35 9886-4770</t>
  </si>
  <si>
    <t>Airine</t>
  </si>
  <si>
    <t xml:space="preserve"> 35 9912-7301</t>
  </si>
  <si>
    <t>35 8412-5226</t>
  </si>
  <si>
    <t>Alessandra Santos</t>
  </si>
  <si>
    <t>Amanda</t>
  </si>
  <si>
    <t xml:space="preserve"> 35 9969-7979</t>
  </si>
  <si>
    <t>Ana Maria (Suilly)</t>
  </si>
  <si>
    <t xml:space="preserve"> 35 9966-2071</t>
  </si>
  <si>
    <t>Andreia Gaspar</t>
  </si>
  <si>
    <t>35 9978-0305</t>
  </si>
  <si>
    <t>Andreia Rock</t>
  </si>
  <si>
    <t>35 9868-8562</t>
  </si>
  <si>
    <t>Auxiliadora Mercadinho</t>
  </si>
  <si>
    <t>35 9902-2901</t>
  </si>
  <si>
    <t>Bel Lila</t>
  </si>
  <si>
    <t xml:space="preserve"> 35 9867-1403</t>
  </si>
  <si>
    <t>Belinha</t>
  </si>
  <si>
    <t>35 9963-2330</t>
  </si>
  <si>
    <t>Bia Maquiagem</t>
  </si>
  <si>
    <t xml:space="preserve"> 35 9928-1312</t>
  </si>
  <si>
    <t>Boy Bicicleta</t>
  </si>
  <si>
    <t>35 9906-8028</t>
  </si>
  <si>
    <t>carlinho gás</t>
  </si>
  <si>
    <t xml:space="preserve"> 35 9819-7878</t>
  </si>
  <si>
    <t>Carlo Irmão</t>
  </si>
  <si>
    <t>35 99859-0050</t>
  </si>
  <si>
    <t>Carma Lila</t>
  </si>
  <si>
    <t>35 9802-0169</t>
  </si>
  <si>
    <t>Carminha Mãe Silva Ferreira</t>
  </si>
  <si>
    <t xml:space="preserve"> 35 9826-5890</t>
  </si>
  <si>
    <t>Claret Gardernia</t>
  </si>
  <si>
    <t xml:space="preserve"> 35 3445-1770</t>
  </si>
  <si>
    <t>Cláudia Lucas Novo</t>
  </si>
  <si>
    <t>35 9917-1835</t>
  </si>
  <si>
    <t>Delfina</t>
  </si>
  <si>
    <t xml:space="preserve"> 35 9768-3604</t>
  </si>
  <si>
    <t>Elis Prof</t>
  </si>
  <si>
    <t>35 9911-4253</t>
  </si>
  <si>
    <t>Ernani</t>
  </si>
  <si>
    <t>Evalaura</t>
  </si>
  <si>
    <t>35 9953-5282</t>
  </si>
  <si>
    <t>Flavinha Dri</t>
  </si>
  <si>
    <t xml:space="preserve"> 35 8433-8589</t>
  </si>
  <si>
    <t>Geórgia</t>
  </si>
  <si>
    <t xml:space="preserve"> 35 9856-2321</t>
  </si>
  <si>
    <t>Geovana Prima</t>
  </si>
  <si>
    <t>35 9755-0105</t>
  </si>
  <si>
    <t>Gian Voluntário</t>
  </si>
  <si>
    <t>35 9851-6757</t>
  </si>
  <si>
    <t>Harleny Cobra</t>
  </si>
  <si>
    <t>35 8404-9909</t>
  </si>
  <si>
    <t>Henrique Da Rose</t>
  </si>
  <si>
    <t>35 9952-4261</t>
  </si>
  <si>
    <t>Jander Voluntário</t>
  </si>
  <si>
    <t xml:space="preserve"> 35 9906-9806</t>
  </si>
  <si>
    <t>Katia</t>
  </si>
  <si>
    <t>35 9864-7832</t>
  </si>
  <si>
    <t>Leandro Da Água</t>
  </si>
  <si>
    <t xml:space="preserve"> 35 99923-6957</t>
  </si>
  <si>
    <t>Leide Voluntária Igreja</t>
  </si>
  <si>
    <t xml:space="preserve"> 35 9888-3436</t>
  </si>
  <si>
    <t>Lelé</t>
  </si>
  <si>
    <t>35 99910-7890</t>
  </si>
  <si>
    <t>Letícia B Malhas</t>
  </si>
  <si>
    <t xml:space="preserve"> 35 9736-0718</t>
  </si>
  <si>
    <t>Lisandra</t>
  </si>
  <si>
    <t>35 9759-9159</t>
  </si>
  <si>
    <t>Luana Enfermeira Enf. Novo</t>
  </si>
  <si>
    <t>35 9889-7706</t>
  </si>
  <si>
    <t>Lúcia Couto</t>
  </si>
  <si>
    <t xml:space="preserve"> 35 9846-6216</t>
  </si>
  <si>
    <t>Luciene Cardoso</t>
  </si>
  <si>
    <t xml:space="preserve"> 35 9149-9274</t>
  </si>
  <si>
    <t>Luciene Comunidade</t>
  </si>
  <si>
    <t>35 9908-6091</t>
  </si>
  <si>
    <t>Luizinho Dengue</t>
  </si>
  <si>
    <t xml:space="preserve"> 35 9995-5601</t>
  </si>
  <si>
    <t>Lurdonna</t>
  </si>
  <si>
    <t>35 9940-3777</t>
  </si>
  <si>
    <t>Marcinha Gama Prima</t>
  </si>
  <si>
    <t xml:space="preserve"> 35 9850-8391</t>
  </si>
  <si>
    <t>Marisa</t>
  </si>
  <si>
    <t>35 9925-2338</t>
  </si>
  <si>
    <t>Marlene Costureira</t>
  </si>
  <si>
    <t>35 9954-8608</t>
  </si>
  <si>
    <t>Marly Brinquedo</t>
  </si>
  <si>
    <t xml:space="preserve"> 35 8445-2414</t>
  </si>
  <si>
    <t>Mileide Prof Borda</t>
  </si>
  <si>
    <t>35 9955-6207</t>
  </si>
  <si>
    <t>Mônica Rezende</t>
  </si>
  <si>
    <t>35 9859-8677</t>
  </si>
  <si>
    <t>Nágela Eva</t>
  </si>
  <si>
    <t xml:space="preserve"> 35 9949-4699</t>
  </si>
  <si>
    <t>Narciza</t>
  </si>
  <si>
    <t>35 9805-8611</t>
  </si>
  <si>
    <t>Maria Rosa</t>
  </si>
  <si>
    <t>998 585333</t>
  </si>
  <si>
    <t>Neis</t>
  </si>
  <si>
    <t xml:space="preserve"> 35 9831-7015</t>
  </si>
  <si>
    <t>Nilva</t>
  </si>
  <si>
    <t xml:space="preserve"> 35 9881-3670</t>
  </si>
  <si>
    <t>Nilza</t>
  </si>
  <si>
    <t>35 9858-9446</t>
  </si>
  <si>
    <t>Noemi Bela Malhas</t>
  </si>
  <si>
    <t>35 9878-3075</t>
  </si>
  <si>
    <t>Paula Erika Irmã</t>
  </si>
  <si>
    <t>35 99887-9892</t>
  </si>
  <si>
    <t>Priscila Prof Creche Bm</t>
  </si>
  <si>
    <t xml:space="preserve"> 35 9728-7571</t>
  </si>
  <si>
    <t>Rafaely</t>
  </si>
  <si>
    <t>35 9912-7232</t>
  </si>
  <si>
    <t>Regiane</t>
  </si>
  <si>
    <t xml:space="preserve"> 35 9708-4366</t>
  </si>
  <si>
    <t>Regiane G Oração</t>
  </si>
  <si>
    <t xml:space="preserve"> 35 9882-8337</t>
  </si>
  <si>
    <t>Rita Rodrigues</t>
  </si>
  <si>
    <t xml:space="preserve"> 35 9952-3122</t>
  </si>
  <si>
    <t>Rosana Gardênia</t>
  </si>
  <si>
    <t xml:space="preserve"> 35 9949-2492</t>
  </si>
  <si>
    <t>Rutyeli Cílios</t>
  </si>
  <si>
    <t>35 9962-1002</t>
  </si>
  <si>
    <t>Sabrina Escola</t>
  </si>
  <si>
    <t>35 9941-1759</t>
  </si>
  <si>
    <t>Salatiel</t>
  </si>
  <si>
    <t>35 9835-6727</t>
  </si>
  <si>
    <t>Solange Prof</t>
  </si>
  <si>
    <t>35 9808-6120</t>
  </si>
  <si>
    <t>Sônia Costa</t>
  </si>
  <si>
    <t xml:space="preserve"> 35 9804-4128</t>
  </si>
  <si>
    <t>Tati</t>
  </si>
  <si>
    <t>35 9914-6174</t>
  </si>
  <si>
    <t>Thaynara Junqueira</t>
  </si>
  <si>
    <t>35 9919-7839</t>
  </si>
  <si>
    <t>Tonhão Copasa</t>
  </si>
  <si>
    <t>35 9954-3876</t>
  </si>
  <si>
    <t>Valéria Matos</t>
  </si>
  <si>
    <t xml:space="preserve"> 35 9841-7174</t>
  </si>
  <si>
    <t>Zeza</t>
  </si>
  <si>
    <t>35 9997-1622</t>
  </si>
  <si>
    <t>Maria Eduarda - Comercial</t>
  </si>
  <si>
    <t xml:space="preserve"> 35 9725-8919</t>
  </si>
  <si>
    <t>Evilasio Correia da Cruz Oliveira</t>
  </si>
  <si>
    <t>Batista</t>
  </si>
  <si>
    <t xml:space="preserve"> 35 9714-7263</t>
  </si>
  <si>
    <t>Maria Lúcia</t>
  </si>
  <si>
    <t>35 999721746</t>
  </si>
  <si>
    <t>Afonso Carteiro Tim</t>
  </si>
  <si>
    <t>35 9136-2115</t>
  </si>
  <si>
    <t>Aline Correios B M</t>
  </si>
  <si>
    <t>35 9767-7670</t>
  </si>
  <si>
    <t>Ana Cristina Correios Novo</t>
  </si>
  <si>
    <t>35 92001-5202</t>
  </si>
  <si>
    <t>Ana Lucia Delpol B M</t>
  </si>
  <si>
    <t>35 9948-4486</t>
  </si>
  <si>
    <t>Andreia Correios</t>
  </si>
  <si>
    <t>35 9752-4884</t>
  </si>
  <si>
    <t>Donizete Correios</t>
  </si>
  <si>
    <t xml:space="preserve"> 35 9889-3892</t>
  </si>
  <si>
    <t>Jaime Ger. CorreiosBM</t>
  </si>
  <si>
    <t xml:space="preserve"> 35 92000-3080</t>
  </si>
  <si>
    <t>Sérgio Correio</t>
  </si>
  <si>
    <t xml:space="preserve"> 35 9995-3468</t>
  </si>
  <si>
    <t>Waldemir Correios</t>
  </si>
  <si>
    <t xml:space="preserve"> 35 9843-2044</t>
  </si>
  <si>
    <t>Fabio de Cássio Oliveira</t>
  </si>
  <si>
    <t>Rener Machado homem</t>
  </si>
  <si>
    <t>Elter</t>
  </si>
  <si>
    <t>leonardo</t>
  </si>
  <si>
    <t xml:space="preserve"> 35 9917-4426</t>
  </si>
  <si>
    <t>Contato</t>
  </si>
  <si>
    <t>Grau de interesse com Observação</t>
  </si>
  <si>
    <t>Responsavel pelo contato</t>
  </si>
  <si>
    <t>sim, ela tem interesse, a tv é comum, e hoje não tem nada nenhum canal.</t>
  </si>
  <si>
    <t>Taty</t>
  </si>
  <si>
    <t>35 9855-3620</t>
  </si>
  <si>
    <t>Cliente não tem interesse, já tem Tv por assinatura em casa</t>
  </si>
  <si>
    <t>(35) 99851-9575</t>
  </si>
  <si>
    <t>Cliente achou bacana a pro</t>
  </si>
  <si>
    <t>(35)99894-6054</t>
  </si>
  <si>
    <t>Não tem interesse, já tem os canais aberto e a tv smart</t>
  </si>
  <si>
    <t>para ela nao compensa subir o valor, ela ja paga 30,00 a mais da tvbox</t>
  </si>
  <si>
    <t>Rosemary Conceição da Silva</t>
  </si>
  <si>
    <t>35)98437-3060</t>
  </si>
  <si>
    <t>Cliente ficou de ver com o Filho</t>
  </si>
  <si>
    <t>(35) 99919-9801</t>
  </si>
  <si>
    <t>por enquanto não quando ela se mudar em janeiro talvez ela mude, tv ja é smart</t>
  </si>
  <si>
    <t>(35) 99873-7934</t>
  </si>
  <si>
    <t>vai ve com a familia e me retorna, a tv é comum mais com entrada hdmi</t>
  </si>
  <si>
    <t>taty</t>
  </si>
  <si>
    <t>cliente tem interesse se for manter o msm plano e so comprar o aparelho a tv é normal mais tem entrada hadmi</t>
  </si>
  <si>
    <t>por enquanto nao, esta apertada para subir a internet, a tv é comun com entrada hdmi</t>
  </si>
  <si>
    <t xml:space="preserve">Cliente Tem interesse, avisá-lo se caso quiser </t>
  </si>
  <si>
    <t xml:space="preserve">Cliente não tem interesse, pois assina varias plataformas Streaming  </t>
  </si>
  <si>
    <t>Cliente se interessou bastante, disse que se tiver mesmo pode ligar que ela troca o plano</t>
  </si>
  <si>
    <t>cliente nao tem interesse em mudar de plano, fim de ano tem muitos gastos, tv comum com hdmi</t>
  </si>
  <si>
    <t>(35)99837 - 9274</t>
  </si>
  <si>
    <t>cliente tem sky em casa, não tem interesse</t>
  </si>
  <si>
    <t>cliente ja tem um aplicativo de canais, mais acha interessante sim.</t>
  </si>
  <si>
    <t>Cliente Acha legal a idéia mas não pode aumentar a velocidade no momento</t>
  </si>
  <si>
    <t>Cliente achou muito interessante a proposta</t>
  </si>
  <si>
    <t>cliente ligou pra saber se temos o aparelho para converter a tv, falei sobre nosso projeto se interessou em comprar mais a mens permanecer o valor</t>
  </si>
  <si>
    <t>CLIENTES QUE QUEREM TV COM CERTEZA</t>
  </si>
  <si>
    <t>instalação</t>
  </si>
  <si>
    <t>Valor pago  Conexão Bm</t>
  </si>
  <si>
    <t>Orlando Domingues Dos Santos, 20</t>
  </si>
  <si>
    <t>20/01/2021 - R$ 79,90</t>
  </si>
  <si>
    <t>MG-11.92.93.4</t>
  </si>
  <si>
    <t>Rua Herculano Cobra, 439</t>
  </si>
  <si>
    <t>30/01/2021 -R$ 79,90</t>
  </si>
  <si>
    <t>Jaqueline Valeria Gomes (Loja 02)</t>
  </si>
  <si>
    <t>mg 14.732.498</t>
  </si>
  <si>
    <t>(35) 99927-8742</t>
  </si>
  <si>
    <t>jackygomes26@hotmail.com</t>
  </si>
  <si>
    <t>Wilson Megale - 905</t>
  </si>
  <si>
    <t>20/01/2021-  R$ 79,90</t>
  </si>
  <si>
    <t>(35) 3592-0720</t>
  </si>
  <si>
    <t>medicortopedia.mg@gmail.com</t>
  </si>
  <si>
    <t>Avenida Wilson Megale, 602</t>
  </si>
  <si>
    <t>30/01/2021 - R$ 79,90</t>
  </si>
  <si>
    <t>255.313.488-60</t>
  </si>
  <si>
    <t>((11) 94717-8278</t>
  </si>
  <si>
    <t>Rua Antenor Rodrigues Da Silva, 265</t>
  </si>
  <si>
    <t>067.430.236-20</t>
  </si>
  <si>
    <t>R. Geraldo De Souza Megale, 64</t>
  </si>
  <si>
    <t>15/12/2020 - R$ 70,00</t>
  </si>
  <si>
    <t>(11) 998175-2672</t>
  </si>
  <si>
    <t>digital_camisetas@hotmail.com</t>
  </si>
  <si>
    <t>Rua João Porfirio da Silva, 196</t>
  </si>
  <si>
    <t xml:space="preserve">05/12/2020 - R$ 77,24 </t>
  </si>
  <si>
    <t>mg 2612930</t>
  </si>
  <si>
    <t>cidasilva180@hotmail.com</t>
  </si>
  <si>
    <t>Rua Professor Afonso Florenciano 180</t>
  </si>
  <si>
    <t>MG 19.422.087</t>
  </si>
  <si>
    <t>3599966-0351</t>
  </si>
  <si>
    <t>nohfernanda@gmail.com</t>
  </si>
  <si>
    <t xml:space="preserve">Rua Jose Cesario Santos, 126, </t>
  </si>
  <si>
    <t>25/12/2020 - R$ 79,90</t>
  </si>
  <si>
    <t>11 9 81448844</t>
  </si>
  <si>
    <t>Rua Raul Cobra, 43</t>
  </si>
  <si>
    <t>10/12/2020 - R$ 79,90</t>
  </si>
  <si>
    <t>mg15745834</t>
  </si>
  <si>
    <t>RUA: DUQUE DE CAXIAS 26</t>
  </si>
  <si>
    <t xml:space="preserve">25/01/202 - R$ 79,90 </t>
  </si>
  <si>
    <t>não tem whars</t>
  </si>
  <si>
    <t>5.569.686.7</t>
  </si>
  <si>
    <t>(35)99492-951_</t>
  </si>
  <si>
    <t>PÇA. MONSENHOR PEDRO CINTRA N° 54</t>
  </si>
  <si>
    <t>RUA EVA PEREIRA DA CRUZ, 81</t>
  </si>
  <si>
    <t>15/01/2021 - R$ 79,90</t>
  </si>
  <si>
    <t>m5269602</t>
  </si>
  <si>
    <t>(35)99909153</t>
  </si>
  <si>
    <t>DARIO NOGUEIRA 131</t>
  </si>
  <si>
    <t>mg-19.749.905</t>
  </si>
  <si>
    <t>35 9847-9374</t>
  </si>
  <si>
    <t>Rua Antonio Caetano Junior 117</t>
  </si>
  <si>
    <t>M6557079</t>
  </si>
  <si>
    <t>(35)99731-6831</t>
  </si>
  <si>
    <t>R.OSCAR GOMES DE LIMA Nº52</t>
  </si>
  <si>
    <t>Ligar segunda</t>
  </si>
  <si>
    <t>R:CAP. CIPRIANO DE CASTRO, 185</t>
  </si>
  <si>
    <t>m 9218119</t>
  </si>
  <si>
    <t>OSCAR GOMES DE LIMA - 120</t>
  </si>
  <si>
    <t>m2.381.523</t>
  </si>
  <si>
    <t>(35)999204930</t>
  </si>
  <si>
    <t>FELICIO GONÇALVES MARTINS N°120</t>
  </si>
  <si>
    <t>10/01/2021 - R$ 70,00</t>
  </si>
  <si>
    <t>mg14703416</t>
  </si>
  <si>
    <t>RUA JOSE PINTO DE FREITAS,124</t>
  </si>
  <si>
    <t>05/12/2021 - R$ 66,58</t>
  </si>
  <si>
    <t>14-208-876</t>
  </si>
  <si>
    <t>nivaldosil.78@gmail.com</t>
  </si>
  <si>
    <t>R. JOSE XAVIER DA CRUZ 72</t>
  </si>
  <si>
    <t>Nova borda</t>
  </si>
  <si>
    <t>30/12/2020 - R$ 79,90</t>
  </si>
  <si>
    <t>M2334810</t>
  </si>
  <si>
    <t>35 99833-2091</t>
  </si>
  <si>
    <t>646.435.818-91</t>
  </si>
  <si>
    <t>m-273.127</t>
  </si>
  <si>
    <t>R.ESTERLINA DO CARMO BARBOSA, 259</t>
  </si>
  <si>
    <t>25/12/2020 - R$ 139,90</t>
  </si>
  <si>
    <t>309.672.606-04</t>
  </si>
  <si>
    <t>m 1.348.226</t>
  </si>
  <si>
    <t>FRANCISCO FAGUNDES- 156</t>
  </si>
  <si>
    <t>10/12/2020 - R$ 73,90</t>
  </si>
  <si>
    <t>531.407.376-53</t>
  </si>
  <si>
    <t>mg4.194.544</t>
  </si>
  <si>
    <t>R. OLEGARIO MACIEL 129</t>
  </si>
  <si>
    <t>no</t>
  </si>
  <si>
    <t>20/12/2020 - R$ 79,90</t>
  </si>
  <si>
    <t>42 481 417-1</t>
  </si>
  <si>
    <t>RUA OLEGARIO MACIEL 121</t>
  </si>
  <si>
    <t>nova borda</t>
  </si>
  <si>
    <t>15/01/2020 - R$ 79,90</t>
  </si>
  <si>
    <t>Jones Brandino  dos Santos Filho</t>
  </si>
  <si>
    <t>19 97151-0689</t>
  </si>
  <si>
    <t>funerariabrandinos@gmail.com</t>
  </si>
  <si>
    <t>Rua Joao Porfiro 233</t>
  </si>
  <si>
    <t>Nilton Jorge Da Silva</t>
  </si>
  <si>
    <t>8725909SSP</t>
  </si>
  <si>
    <t xml:space="preserve"> 11 94872-1830</t>
  </si>
  <si>
    <t>RUA VICENTE GONCALVES PINTO,195</t>
  </si>
  <si>
    <t>237.579.816-34</t>
  </si>
  <si>
    <t>mg3181307</t>
  </si>
  <si>
    <t>(35)84350-960_</t>
  </si>
  <si>
    <t>MARIA AUGUSTA SANTOS CASTRO 28</t>
  </si>
  <si>
    <t>10/12/2020 - R$ 77,24</t>
  </si>
  <si>
    <t>RUA HERCULANO COBRA 381</t>
  </si>
  <si>
    <t>m2769073</t>
  </si>
  <si>
    <t>MARIO MESSIAS DE PADUA - 33</t>
  </si>
  <si>
    <t>Nossa SENHORA DE FATIMA</t>
  </si>
  <si>
    <t>10/01/2021 - R$ 79,90</t>
  </si>
  <si>
    <t>Rua Walce Gabrili  80</t>
  </si>
  <si>
    <t>PG  10/12/2020 - R$ 19,90</t>
  </si>
  <si>
    <t>mg6621108</t>
  </si>
  <si>
    <t>RUA BENEDITO RUFINO XAVIER 100</t>
  </si>
  <si>
    <t>10/01/2021 - R$ 74,57</t>
  </si>
  <si>
    <t>MG12542999</t>
  </si>
  <si>
    <t>RUA VICENTE GONÇALVES PINTO,187</t>
  </si>
  <si>
    <t>Nossa senhORA DE FATIMA</t>
  </si>
  <si>
    <t>20/01/2020- R$ 79,90</t>
  </si>
  <si>
    <t>049.622.446-80</t>
  </si>
  <si>
    <t>MG 11811321</t>
  </si>
  <si>
    <t>35 99807-7979</t>
  </si>
  <si>
    <t>JOSE ALVES DE GUSMAO - 27</t>
  </si>
  <si>
    <t>Luciane Pereira De Toledo   (Wizard)</t>
  </si>
  <si>
    <t>m-6.557.651</t>
  </si>
  <si>
    <t>35 98429-9100</t>
  </si>
  <si>
    <t>R: JOAO BERALDO ,  64</t>
  </si>
  <si>
    <t>20/01/2020 - R$ 79,90</t>
  </si>
  <si>
    <t xml:space="preserve">Luciane Pereira De Toledo   </t>
  </si>
  <si>
    <t>Rua Raul Cobra n 30</t>
  </si>
  <si>
    <t>mg-20.222.480</t>
  </si>
  <si>
    <t>35 99806-8810</t>
  </si>
  <si>
    <t>BENEDITO COBRA 165</t>
  </si>
  <si>
    <t>15/01/2020 -R$ 79,90</t>
  </si>
  <si>
    <t>mg 13285553</t>
  </si>
  <si>
    <t>35 999817963</t>
  </si>
  <si>
    <t>Rua Sebastião Tomaz de Freitas 610</t>
  </si>
  <si>
    <t>.02829475666</t>
  </si>
  <si>
    <t>25/12/2020 - R$79,90</t>
  </si>
  <si>
    <t>MG18687870</t>
  </si>
  <si>
    <t>+55 35 9722-9553</t>
  </si>
  <si>
    <t>JOSE LEOPOLDINO GONCALVES, 182</t>
  </si>
  <si>
    <t>20/01/2021  - R$ 79,90</t>
  </si>
  <si>
    <t>3599890-6343</t>
  </si>
  <si>
    <t>R.JOSE BENJAMIM DE OLIVEIRA - 200</t>
  </si>
  <si>
    <t>santa Rita</t>
  </si>
  <si>
    <t>M7262465</t>
  </si>
  <si>
    <t>35 997603888</t>
  </si>
  <si>
    <t>RUA LUCINDA CATELLI 91</t>
  </si>
  <si>
    <t>15/01/2021 -  R$ 79,90</t>
  </si>
  <si>
    <t>m 4.406.150</t>
  </si>
  <si>
    <t>R: JOSE PINTO BRANDAO, 201</t>
  </si>
  <si>
    <t>sao judas</t>
  </si>
  <si>
    <t>10/12/2020 - R$ 69,25</t>
  </si>
  <si>
    <t xml:space="preserve">Solemara Gomes de Oliveira </t>
  </si>
  <si>
    <t>.07953818671</t>
  </si>
  <si>
    <t>Mg 15059 318</t>
  </si>
  <si>
    <t>Rua  Francisco de Souza Costa  86</t>
  </si>
  <si>
    <t xml:space="preserve">Sao judas </t>
  </si>
  <si>
    <t>mg.14.777255</t>
  </si>
  <si>
    <t>R: JOSE LUIZ BRANDAO, 107</t>
  </si>
  <si>
    <t>25/12/2020 - 79,90</t>
  </si>
  <si>
    <t>mg17882127</t>
  </si>
  <si>
    <t>35 999285262</t>
  </si>
  <si>
    <t>R.ADELIA LOPES DA SILVA,  49</t>
  </si>
  <si>
    <t>mg15758402</t>
  </si>
  <si>
    <t>RUA ANTONIO RIBEIRO DE ALMEIDA, 122</t>
  </si>
  <si>
    <t>15/01/2021 -R$ 79,90</t>
  </si>
  <si>
    <t>mg12.339.106</t>
  </si>
  <si>
    <t>35 99745-5142</t>
  </si>
  <si>
    <t>Rua Vicente Xavier de Rezende  N° 25</t>
  </si>
  <si>
    <t>ANTENOR RODRIGUES DA SILVA 146</t>
  </si>
  <si>
    <t>(35)998417174</t>
  </si>
  <si>
    <t>Rua Mario Marineli  n 20</t>
  </si>
  <si>
    <t>era 20 mas mudou pro dia 05</t>
  </si>
  <si>
    <t>05/01/2021 - R$ 79,90</t>
  </si>
  <si>
    <t>M-6.621.899</t>
  </si>
  <si>
    <t>R: MARIA TEREZA DE OLIVEIRA, 96</t>
  </si>
  <si>
    <t>m6.621.093</t>
  </si>
  <si>
    <t>(35)998100022</t>
  </si>
  <si>
    <t>HAYLTON JOSE PINTO - 62</t>
  </si>
  <si>
    <t>SaNTO ANTONIO</t>
  </si>
  <si>
    <t>35 999920310</t>
  </si>
  <si>
    <t>RUA PEREGRINO FRANKLIN 306</t>
  </si>
  <si>
    <t>(35)99572-619_</t>
  </si>
  <si>
    <t>RUA ANTONIO RIBEIRO DE ALMEIDA- 20</t>
  </si>
  <si>
    <t>35 992686776</t>
  </si>
  <si>
    <t>RUA RAQUEL GOUVEIA 375</t>
  </si>
  <si>
    <t>15/12/2020 - R$ 79,90</t>
  </si>
  <si>
    <t>Maria  Aparecida De Camargo Gonçalves Alcebiades</t>
  </si>
  <si>
    <t>MG6557633</t>
  </si>
  <si>
    <t>RAUL COBRA 139</t>
  </si>
  <si>
    <t>M7 295 399 SSP M</t>
  </si>
  <si>
    <t>(35)99812-1791</t>
  </si>
  <si>
    <t xml:space="preserve">CANDIDO LAMI 130 </t>
  </si>
  <si>
    <t>MG 166.173.15</t>
  </si>
  <si>
    <t>35 9942-8140</t>
  </si>
  <si>
    <t>EOLINO JOSE MACHADO 21</t>
  </si>
  <si>
    <t>m8.098.718</t>
  </si>
  <si>
    <t>CAPITÃO CIPRIANO DE CASTRO  515</t>
  </si>
  <si>
    <t>nossa senhora Aparecida</t>
  </si>
  <si>
    <t>RUA LUCINDA CATELLI 161</t>
  </si>
  <si>
    <t>20/12/2020 - R$ 71,91</t>
  </si>
  <si>
    <t>R:PADRE BERNARDES LEITE FERREIRA 1089</t>
  </si>
  <si>
    <t>Sao Bemedito</t>
  </si>
  <si>
    <t>VICENTE GONçALVES PINTO - 417</t>
  </si>
  <si>
    <t>nossa SENHORA DE FATIMA</t>
  </si>
  <si>
    <t>20/01/2021- R$ 79,90</t>
  </si>
  <si>
    <t>Construcoes Borda Ltda</t>
  </si>
  <si>
    <t xml:space="preserve">AVENIDA JOAO OLIVIO MEGALE sn </t>
  </si>
  <si>
    <t>25/01/2021 - R$ 79,90</t>
  </si>
  <si>
    <t>MG16308541</t>
  </si>
  <si>
    <t>RUA AMELIA GOUVEA  329</t>
  </si>
  <si>
    <t xml:space="preserve">20/12/2020- R$ 66,58 </t>
  </si>
  <si>
    <t>mg13804140</t>
  </si>
  <si>
    <t>JOSE PINTO BRANDAO 227</t>
  </si>
  <si>
    <t>mg13042531</t>
  </si>
  <si>
    <t>R. ALFEU DUARTE N°147</t>
  </si>
  <si>
    <t xml:space="preserve">sao judas </t>
  </si>
  <si>
    <t>m-6.286.286</t>
  </si>
  <si>
    <t>R:  FELICIO GONÇALVES MARTINS,  140</t>
  </si>
  <si>
    <t>10/01/2021 - R$ 69,90</t>
  </si>
  <si>
    <t xml:space="preserve">Marcio José Da Silva </t>
  </si>
  <si>
    <t>mg 14.226.904</t>
  </si>
  <si>
    <t>3599923-6966</t>
  </si>
  <si>
    <t>R: BUENO BRANDAO,  28</t>
  </si>
  <si>
    <t>15/12/2020 - R$ 69,90</t>
  </si>
  <si>
    <t>m2.999.5</t>
  </si>
  <si>
    <t>R. FRANCISCO COUTINHO DE REZENDE N°100</t>
  </si>
  <si>
    <t>NoSSA sENHora Aparecida</t>
  </si>
  <si>
    <t>35 999127232</t>
  </si>
  <si>
    <t>DELAMARE PIRES RIBEIRO -80</t>
  </si>
  <si>
    <t>Sao Judas tadeu</t>
  </si>
  <si>
    <t>57.283.503.6</t>
  </si>
  <si>
    <t>R. CARMEM MOREIRA TOMAZOLLI 151</t>
  </si>
  <si>
    <t xml:space="preserve">Jesus De Rezende Araujo  </t>
  </si>
  <si>
    <t>mg.11410.048</t>
  </si>
  <si>
    <t>35 998538855</t>
  </si>
  <si>
    <t>Rua Agricola Monteiro de Carvalho 436</t>
  </si>
  <si>
    <t>R:CARMEM MOREIRA TOMAZOLLI 130</t>
  </si>
  <si>
    <t>m-2118757</t>
  </si>
  <si>
    <t>EDUARDO AMARAL 943</t>
  </si>
  <si>
    <t>(35)34451-450_</t>
  </si>
  <si>
    <t>DUQUE DE CAXIAS -856</t>
  </si>
  <si>
    <t>Rua Herculano Cobra  567</t>
  </si>
  <si>
    <t>m-5.145.542</t>
  </si>
  <si>
    <t>R: VICENTE GONÇALVES PINTO, 113</t>
  </si>
  <si>
    <t>Nossa senhoRA DE FATIMA</t>
  </si>
  <si>
    <t>R.FRANCISCO JOSE RENNA 39</t>
  </si>
  <si>
    <t xml:space="preserve">Ronan Aparecido de souza </t>
  </si>
  <si>
    <t>JOSE PINTO BRANDAO 130</t>
  </si>
  <si>
    <t>mg15628939</t>
  </si>
  <si>
    <t>RUA DUQUE DE CAXIA S 763</t>
  </si>
  <si>
    <t>mg 14722829</t>
  </si>
  <si>
    <t>R: AMELIA GOUVEIA 394</t>
  </si>
  <si>
    <t>Sao judas tadeu</t>
  </si>
  <si>
    <t>R. FRANCISCO DE ALVARO SOBREIRO N°485</t>
  </si>
  <si>
    <t>R: JOAO PORFIRIO  252</t>
  </si>
  <si>
    <t>MG.18.863.937</t>
  </si>
  <si>
    <t>(35)999793224</t>
  </si>
  <si>
    <t>RUA ANTONIO VIEIRA 105</t>
  </si>
  <si>
    <t>mg 13.504.750</t>
  </si>
  <si>
    <t>35 9709-8228</t>
  </si>
  <si>
    <t>JUVENAL MONTEIRO 22</t>
  </si>
  <si>
    <t>Wagner Nunes Poveda  (Residenc</t>
  </si>
  <si>
    <t>AV. WILSON MEGALE 620</t>
  </si>
  <si>
    <t>10/12/2020 - R$ 103,41</t>
  </si>
  <si>
    <t>MG15 853896</t>
  </si>
  <si>
    <t>35 99878-7119</t>
  </si>
  <si>
    <t>WALLACE GABRILLI - 39</t>
  </si>
  <si>
    <t>25/01/ 2021 - R$79,90</t>
  </si>
  <si>
    <t>n2378806</t>
  </si>
  <si>
    <t>NARCISIO FERREIRA DOS SANTOS - 40</t>
  </si>
  <si>
    <t>10/01/2021 -R$ 79,90</t>
  </si>
  <si>
    <t>AVENIDA LAURO MEGALE 249</t>
  </si>
  <si>
    <t>42368717/7</t>
  </si>
  <si>
    <t>35 984253482</t>
  </si>
  <si>
    <t>RUA CARLOS PEREIRA DE TOLEDO 162</t>
  </si>
  <si>
    <t>RUA CARLOS PEREIRA DE TOLEDO 80</t>
  </si>
  <si>
    <t>noSSA SENHORA DE FATIMA</t>
  </si>
  <si>
    <t>mg11735668</t>
  </si>
  <si>
    <t>RUA MARIA JOSE COUTINHO 101</t>
  </si>
  <si>
    <t>m 8.690956</t>
  </si>
  <si>
    <t>35 998257497</t>
  </si>
  <si>
    <t xml:space="preserve">JOSE XAVIER DA CRUZ 51  </t>
  </si>
  <si>
    <t>R: SEVERIANO FRANCISCO DOS SANTOS 150</t>
  </si>
  <si>
    <t xml:space="preserve">10/01/2021 - R$ 79,90 </t>
  </si>
  <si>
    <t>MG-15.103.107</t>
  </si>
  <si>
    <t xml:space="preserve">RUA CARLOS PEREIRA DE TOLEDO 77 </t>
  </si>
  <si>
    <t>nOSSA SENHORA DE FATIMA</t>
  </si>
  <si>
    <t>mg.20.813.129</t>
  </si>
  <si>
    <t>35 99729-5397</t>
  </si>
  <si>
    <t>RUA SEBASTIAO DE FREITAS n 500</t>
  </si>
  <si>
    <t>RUA CAPITAO CIPRIANO DE CASTRO 370</t>
  </si>
  <si>
    <t>ANTONIO MARQUES DA SILVA 244</t>
  </si>
  <si>
    <t>santa Cruz</t>
  </si>
  <si>
    <t>12.334.031 MG</t>
  </si>
  <si>
    <t>AVENIDA LAURO MEGALE 643</t>
  </si>
  <si>
    <t>15/01/2021- R$ 79,90</t>
  </si>
  <si>
    <t>RUA ROQUE BENTO DA SILVA 59</t>
  </si>
  <si>
    <t>FELIPE JOSE ALVES PINTO escritorio</t>
  </si>
  <si>
    <t>Thiago Julidori Vasconcelos</t>
  </si>
  <si>
    <t>080.759.126.24</t>
  </si>
  <si>
    <t>MG-11476932</t>
  </si>
  <si>
    <t>(35)997641933</t>
  </si>
  <si>
    <t>thiago.juidori@hotmail.com</t>
  </si>
  <si>
    <t>R. TIRADENTES 40</t>
  </si>
  <si>
    <t>063.811.226-50</t>
  </si>
  <si>
    <t>mg.13.892.252</t>
  </si>
  <si>
    <t>R. SEBASTIÃO MAXIMO  35</t>
  </si>
  <si>
    <t>MG6270087</t>
  </si>
  <si>
    <t>RUA SAO JUDAS TADEU 116</t>
  </si>
  <si>
    <t>mg13964256</t>
  </si>
  <si>
    <t>(35)999082865</t>
  </si>
  <si>
    <t>R DUQUE DE CAXIAS N 330</t>
  </si>
  <si>
    <t>mg-13.256743</t>
  </si>
  <si>
    <t>99942-4648</t>
  </si>
  <si>
    <t>R: CANDIDO LAMY,  146</t>
  </si>
  <si>
    <t>20/01/2021 - RS 79,90</t>
  </si>
  <si>
    <t>25.033.607-8</t>
  </si>
  <si>
    <t>CARLOS PEREIRA DE TOLEDO  390</t>
  </si>
  <si>
    <t>Nossa Senhora DE FATIMA</t>
  </si>
  <si>
    <t>R:BARNABE LOPES 30</t>
  </si>
  <si>
    <t>(35)99717-949_</t>
  </si>
  <si>
    <t>R. RAUL COBRA FILHO N°100</t>
  </si>
  <si>
    <t>m-7.381.841</t>
  </si>
  <si>
    <t>SEBASTIÃO GONÇALVES PINTO N°07</t>
  </si>
  <si>
    <t>Luiz Rafael Da Silva Casa</t>
  </si>
  <si>
    <t>mg-31.86.71</t>
  </si>
  <si>
    <t>Rua Eduardo Amaral 939 ap 01</t>
  </si>
  <si>
    <t>Rua João Porfirio da Silva 273</t>
  </si>
  <si>
    <t>m-1.438388</t>
  </si>
  <si>
    <t>(35)99193-2263</t>
  </si>
  <si>
    <t>ANTONIO FIRMIANO GONÇALVES,  33</t>
  </si>
  <si>
    <t>mg11858592</t>
  </si>
  <si>
    <t>RUA AMADEU BERTOLACINI  60</t>
  </si>
  <si>
    <t>20/01/2021 -R$79,90</t>
  </si>
  <si>
    <t>mg-10.909.359</t>
  </si>
  <si>
    <t>(35)999322585</t>
  </si>
  <si>
    <t>R MARCELO GERALDO RIBEIRO,141</t>
  </si>
  <si>
    <t>mg15103407</t>
  </si>
  <si>
    <t>35 999268549</t>
  </si>
  <si>
    <t>RUA ANTONIO RIBEIRO DE ALMEIDA 281</t>
  </si>
  <si>
    <t>sem roteador</t>
  </si>
  <si>
    <t>RUA JOAQUIM FLORIANO BARBOSA 18</t>
  </si>
  <si>
    <t>mg-17.694.796</t>
  </si>
  <si>
    <t>rua Manoel Luiz Gouveia  30</t>
  </si>
  <si>
    <t>30/01/2021 - R$79,90</t>
  </si>
  <si>
    <t>MG 19.307.631</t>
  </si>
  <si>
    <t>35 9904-9650</t>
  </si>
  <si>
    <t>rua benedito Santos 60</t>
  </si>
  <si>
    <t>30/01/2020 - R$ 79,90</t>
  </si>
  <si>
    <t>CAPITAO CIPRIANO DE CASTRO 709</t>
  </si>
  <si>
    <t>Nossa SENHORA Aparecida</t>
  </si>
  <si>
    <t>20/01/2021 - R$70,00</t>
  </si>
  <si>
    <t>mg18.244.285</t>
  </si>
  <si>
    <t>Rua francisco Floriano Barbosa  35</t>
  </si>
  <si>
    <t>10/01/2020 - R$ 79,90</t>
  </si>
  <si>
    <t>MG-19.777.093</t>
  </si>
  <si>
    <t>Rua Benedito Rufino Xavier 143</t>
  </si>
  <si>
    <t>25/01/2021 -R$ 79,90</t>
  </si>
  <si>
    <t>IRMAS DOMINICANAS 103</t>
  </si>
  <si>
    <t>10/01/2021  - RS79,90</t>
  </si>
  <si>
    <t>MG-21.407.584</t>
  </si>
  <si>
    <t>35 998652676</t>
  </si>
  <si>
    <t>RUA CAPITAO CIPRIANO DE CASTRO 142</t>
  </si>
  <si>
    <t>15/01/2021 - R$ 70,00</t>
  </si>
  <si>
    <t>35 984373060</t>
  </si>
  <si>
    <t>AV LAURO MEGALE - 663</t>
  </si>
  <si>
    <t>33.104.099-2 SP</t>
  </si>
  <si>
    <t>CARLOS PEREIRA DE TOLEDO 184</t>
  </si>
  <si>
    <t>Nossa senhora DE FATIMA</t>
  </si>
  <si>
    <t>10/01/2021 - R$79,90</t>
  </si>
  <si>
    <t>175.950.72</t>
  </si>
  <si>
    <t>R. ANA TEREZA DOS SANTOS N° 30</t>
  </si>
  <si>
    <t>20/01/2021 - R$ 70,00</t>
  </si>
  <si>
    <t>mg-22.501.361</t>
  </si>
  <si>
    <t>35 99807-9410</t>
  </si>
  <si>
    <t>RUA JOSE FELICIANO 26</t>
  </si>
  <si>
    <t>m6.557.546</t>
  </si>
  <si>
    <t>(35)998297193</t>
  </si>
  <si>
    <t>R. CANDIDO LAMY N° 147</t>
  </si>
  <si>
    <t>10/01/2021 -  R$ 79,90</t>
  </si>
  <si>
    <t>Eduardo Aparecido De Lima</t>
  </si>
  <si>
    <t>mg.18.383.956</t>
  </si>
  <si>
    <t>R:FRANCISCO ALVÁRO SOBREIRO, 215</t>
  </si>
  <si>
    <t>35 998242019</t>
  </si>
  <si>
    <t>CANDIDO LAMY 197</t>
  </si>
  <si>
    <t>Rosana Domiciano Teodoro casa</t>
  </si>
  <si>
    <t>3599997-0904</t>
  </si>
  <si>
    <t>RUA DUQUE DE CAXIAS 140</t>
  </si>
  <si>
    <t>10/01/2021 - R$ 60,00</t>
  </si>
  <si>
    <t>Carlos autorizou fazer os doi pontos a 120,00 para cliente, para não perdemos</t>
  </si>
  <si>
    <t>Rosana Domiciano Teodoro loja</t>
  </si>
  <si>
    <t>Rua Manuel de Abreu  10</t>
  </si>
  <si>
    <t>nossa senhora DE FATIMA</t>
  </si>
  <si>
    <t>mg-13.885.638</t>
  </si>
  <si>
    <t>3599956-5909</t>
  </si>
  <si>
    <t>RUA GERSON BRANDAO 45</t>
  </si>
  <si>
    <t>Rua Erasto Pereira de Toledo 93</t>
  </si>
  <si>
    <t xml:space="preserve">Amoreiras </t>
  </si>
  <si>
    <t>m-15.760.159</t>
  </si>
  <si>
    <t>(35)98688-868_</t>
  </si>
  <si>
    <t>R:  FRANCISCO ALVARO SOBREIRO , 505</t>
  </si>
  <si>
    <t>10 /01/2021 -RS 79,90</t>
  </si>
  <si>
    <t>13019355 iiccsp</t>
  </si>
  <si>
    <t>RUA ANA TEREZA DOS SANTOS 41</t>
  </si>
  <si>
    <t>(35)998726055</t>
  </si>
  <si>
    <t>R. ANA TEREZA DOS SANTOS Nº39</t>
  </si>
  <si>
    <t>R. JOSE ARLINDO DOS SANTOS SOBRINHO, 65</t>
  </si>
  <si>
    <t xml:space="preserve">Maria Aparecida Da Silva </t>
  </si>
  <si>
    <t>mg 16.447.005</t>
  </si>
  <si>
    <t>(35)99269-131_</t>
  </si>
  <si>
    <t>AV. LAURO MEGALE N 705</t>
  </si>
  <si>
    <t>SantO ANTONIO</t>
  </si>
  <si>
    <t xml:space="preserve">5/01/2021 - R$ 79,90 </t>
  </si>
  <si>
    <t>MG15535337</t>
  </si>
  <si>
    <t>RUA CARLOS PEREIRA DE TOLEDO 400</t>
  </si>
  <si>
    <t>25/01/2021 - R$ 70,00</t>
  </si>
  <si>
    <t>Natalia Aparecida Lopes</t>
  </si>
  <si>
    <t>MG 18.850.316</t>
  </si>
  <si>
    <t>35 99882-9321</t>
  </si>
  <si>
    <t>R. CAPITAO CIPRIANO DE CASTRO N° 50</t>
  </si>
  <si>
    <t>m.3.722.189</t>
  </si>
  <si>
    <t>OSVALDO BARBOSA DIAS N°91</t>
  </si>
  <si>
    <t>(35)99369474</t>
  </si>
  <si>
    <t>R:EDUARDO AMARAL,  395</t>
  </si>
  <si>
    <t>10/01/2021- R$ 114,90</t>
  </si>
  <si>
    <t>mg17.717.165</t>
  </si>
  <si>
    <t xml:space="preserve">RUA VICENTE XAVIER REZENDE 18 </t>
  </si>
  <si>
    <t>25/01/2020 - R$ 70,00</t>
  </si>
  <si>
    <t>Orazilha Dalila Da Silva</t>
  </si>
  <si>
    <t>MG-14345028</t>
  </si>
  <si>
    <t>TRAVESSA FRANCISCO MARQUES DA COSTA  21</t>
  </si>
  <si>
    <t>(35)99747-9478</t>
  </si>
  <si>
    <t>Rua Julio Francisco de Almeida  17</t>
  </si>
  <si>
    <t xml:space="preserve">  Jefferson Moraes Araujo</t>
  </si>
  <si>
    <t>mg19339738</t>
  </si>
  <si>
    <t>35 99777416</t>
  </si>
  <si>
    <t xml:space="preserve">Rua José Felicio de Rezende </t>
  </si>
  <si>
    <t>Carlos Roberto Da Costa</t>
  </si>
  <si>
    <t>mg.m-5.403.012</t>
  </si>
  <si>
    <t>(35)98686-912_</t>
  </si>
  <si>
    <t>R: ADELIA LOPES DA SILVA, 110</t>
  </si>
  <si>
    <t>Ruth Ivone De Toledo</t>
  </si>
  <si>
    <t>mg1262389</t>
  </si>
  <si>
    <t>(35)99731-2882</t>
  </si>
  <si>
    <t>Jose cezario dos Santos 10</t>
  </si>
  <si>
    <t>Erica Maria Carneiro Moreira</t>
  </si>
  <si>
    <t>R SALVADOR ORLANDI 345</t>
  </si>
  <si>
    <t xml:space="preserve">30 mB </t>
  </si>
  <si>
    <t xml:space="preserve">Rua Joaão Ferreira  62 </t>
  </si>
  <si>
    <t>05/01/2021 - R$ 67,01</t>
  </si>
  <si>
    <t>Elisa Gisele Ferreira</t>
  </si>
  <si>
    <t>(35)99891-5876</t>
  </si>
  <si>
    <t>RUA JOSE LUIZ MOREIRA 34</t>
  </si>
  <si>
    <t>Nossa Senhora  de Fatima</t>
  </si>
  <si>
    <t>Marcia Rosa Ribeiro Coutinho</t>
  </si>
  <si>
    <t>mg-19.494.853</t>
  </si>
  <si>
    <t>(35)98757-517_</t>
  </si>
  <si>
    <t>R:AGRICOLA MONTEIRO DE CARVALHO,162</t>
  </si>
  <si>
    <t>20/01/2020 - R$ 64,00</t>
  </si>
  <si>
    <t>Dorival Aparecido Lopes</t>
  </si>
  <si>
    <t>m4136804</t>
  </si>
  <si>
    <t>35 9 98988979</t>
  </si>
  <si>
    <t>R: SEBASTIAO DE MOURA, 100</t>
  </si>
  <si>
    <t>Erica Benedita Leite Do Prado</t>
  </si>
  <si>
    <t>mg-13.574.677</t>
  </si>
  <si>
    <t>RUA AMELIA GOUVEIA 118</t>
  </si>
  <si>
    <t>20/01/2021-R$ 70,00</t>
  </si>
  <si>
    <t>Brenda Marcelino Silva</t>
  </si>
  <si>
    <t>MG 20.729.839</t>
  </si>
  <si>
    <t xml:space="preserve"> RUA JOSE LUIZ MOREIRA 88</t>
  </si>
  <si>
    <t>05/02/2021 - R$ 79,90</t>
  </si>
  <si>
    <t>Alexssandro Da Silva</t>
  </si>
  <si>
    <t>(35)984168-211_</t>
  </si>
  <si>
    <t>JOSE FRANCISCO DO CARMO  50</t>
  </si>
  <si>
    <t>Nossa semhora de Fatima</t>
  </si>
  <si>
    <t xml:space="preserve"> 30 MB</t>
  </si>
  <si>
    <t>Anjanil Brandino</t>
  </si>
  <si>
    <t>(35)99859-4083</t>
  </si>
  <si>
    <t>JOSE LUIZ BRANDAO 20</t>
  </si>
  <si>
    <t>20/01/2021 - R$ 72,17</t>
  </si>
  <si>
    <t>Jose De Oliveira Mendonça</t>
  </si>
  <si>
    <t>mg10.132.357</t>
  </si>
  <si>
    <t>(35)999136-968_</t>
  </si>
  <si>
    <t>R. CORONEL JOSE INACIO  AP 21 n 20</t>
  </si>
  <si>
    <t>05/01/2020 - R$ 70,00</t>
  </si>
  <si>
    <t>RUA FRANCISCO ALVARO SOBREIRO 76</t>
  </si>
  <si>
    <t>15/01/2021 - R$ 50,00</t>
  </si>
  <si>
    <t>Isabela De Almeida Maximiano  (Clinica)</t>
  </si>
  <si>
    <t>mg13968403</t>
  </si>
  <si>
    <t>11 95371-0149</t>
  </si>
  <si>
    <t>RUA CORONEL JOSE INACIO 177</t>
  </si>
  <si>
    <t>Karla Aparecida Rodrigues Almeida</t>
  </si>
  <si>
    <t>MG-13.960.134</t>
  </si>
  <si>
    <t>RUA FRANCISCO FAGUNDES 390</t>
  </si>
  <si>
    <t>10/12/2021 - R$  70,00</t>
  </si>
  <si>
    <t>Benedita Maria Brandina</t>
  </si>
  <si>
    <t>m3.833.473</t>
  </si>
  <si>
    <t>(35)99829-8795</t>
  </si>
  <si>
    <t>SEBASTIAO GONCALVES PINTO 35</t>
  </si>
  <si>
    <t>m-8.741.200</t>
  </si>
  <si>
    <t>R. JOSE PINTO BRANDAO 271</t>
  </si>
  <si>
    <t>10/01/2021 - R$ 51,55</t>
  </si>
  <si>
    <t>Rosana De Fatima Couto</t>
  </si>
  <si>
    <t>(35)99869-2670</t>
  </si>
  <si>
    <t>RUA BENEDITO RODRIGUES 208</t>
  </si>
  <si>
    <t>20/01/2021 -R$ 70,00</t>
  </si>
  <si>
    <t>m2144639</t>
  </si>
  <si>
    <t>RUA MILTA MOREIRA RODRIGUES 45</t>
  </si>
  <si>
    <t>10/01/2020 - R$ 60,00</t>
  </si>
  <si>
    <t>Cibeli Maria Brentegani Moreira</t>
  </si>
  <si>
    <t>RUA JOSE ARLINDO SANTOS SOBRINHO 100</t>
  </si>
  <si>
    <t>10/01/2021 - R$ 42,90</t>
  </si>
  <si>
    <t xml:space="preserve">Cliente cancelou e pediu pra voltar </t>
  </si>
  <si>
    <t>Luana Aparecida Da Costa</t>
  </si>
  <si>
    <t>MG-18.128.772</t>
  </si>
  <si>
    <t>35 998683915</t>
  </si>
  <si>
    <t>RUA VICENTINA ZAMPONI COSTA 60</t>
  </si>
  <si>
    <t>10/01/2021 R$ 60,00</t>
  </si>
  <si>
    <t>Vitor Eduardo Resende Franchin</t>
  </si>
  <si>
    <t>40620925-x</t>
  </si>
  <si>
    <t xml:space="preserve">Rua Eduardo Amaral 939 </t>
  </si>
  <si>
    <t>mg16408402</t>
  </si>
  <si>
    <t>35 998496201</t>
  </si>
  <si>
    <t>Rua Francisco Fagundes 500</t>
  </si>
  <si>
    <t>20/01/2021 -R$ 65,00</t>
  </si>
  <si>
    <t>Jasiel Pereira Dos Santos</t>
  </si>
  <si>
    <t xml:space="preserve"> 35 8426-8573</t>
  </si>
  <si>
    <t>RUA CAPITAO CIPRIANO DE CASTRO 856</t>
  </si>
  <si>
    <t>JUVENAL MONTEIRO 49</t>
  </si>
  <si>
    <t xml:space="preserve">Julio Cesar Marques </t>
  </si>
  <si>
    <t>JOSE RODRIGUES BORBA - 40</t>
  </si>
  <si>
    <t xml:space="preserve">20/01/2021  - R$ 65,00 </t>
  </si>
  <si>
    <t>Jose Aparecido Da Silva</t>
  </si>
  <si>
    <t>3371726mt</t>
  </si>
  <si>
    <t>RUA CAPITAO CIPRIANO DE CASTRO 225</t>
  </si>
  <si>
    <t>10/01/2021 - 40,00 propor</t>
  </si>
  <si>
    <t>Paulo Henrique De Souza</t>
  </si>
  <si>
    <t>mg-17.072.00.4</t>
  </si>
  <si>
    <t>99214-4169</t>
  </si>
  <si>
    <t>Rua Dr. Pelegrino Franchi  104</t>
  </si>
  <si>
    <t>10/01/2020  - 70,00</t>
  </si>
  <si>
    <t>Agatta Ramos Da Silva</t>
  </si>
  <si>
    <t>5.3.021.133/6</t>
  </si>
  <si>
    <t>(35)99741-9769</t>
  </si>
  <si>
    <t>Rua Ailton José pinto 181</t>
  </si>
  <si>
    <t>20/01/2021 - 60,00</t>
  </si>
  <si>
    <t>Matheus Prado De Oliveira</t>
  </si>
  <si>
    <t>35 999883047</t>
  </si>
  <si>
    <t>SERGIO LUCAS MENDES-160</t>
  </si>
  <si>
    <t>10/01/2021 - 60,00</t>
  </si>
  <si>
    <t>Ciele Cristina Da Silva Araujo</t>
  </si>
  <si>
    <t>MG18093836</t>
  </si>
  <si>
    <t>AVENIDA ANTONIO MARQUES DA SILVA 99</t>
  </si>
  <si>
    <t>Santa  Cruz</t>
  </si>
  <si>
    <t>mg23124816</t>
  </si>
  <si>
    <t>Joao Braz Do Couto</t>
  </si>
  <si>
    <t>Heloiza Nogueira De Oliveira</t>
  </si>
  <si>
    <t>mg11006103</t>
  </si>
  <si>
    <t>ALAMEDA JK 290</t>
  </si>
  <si>
    <t>10/01/2021 -  50,00</t>
  </si>
  <si>
    <t>Marcos Antonio Da Silva   (Fabrica)</t>
  </si>
  <si>
    <t>RUA JOSE ALVARO PINHEIRO JUNIOR 240</t>
  </si>
  <si>
    <t>10/01/2021 - R$ 50,00</t>
  </si>
  <si>
    <t>Marcos Antonio Da Silva   (Casa)</t>
  </si>
  <si>
    <t>SIMPLICIANO DIAS DE OLIVEIRA 150</t>
  </si>
  <si>
    <t>Valniceia Mara De Abreu Mira</t>
  </si>
  <si>
    <t>ADOLFO CABRAL BUENO 60</t>
  </si>
  <si>
    <t>20/01/2021 - R$ 50,00</t>
  </si>
  <si>
    <t>Deniel Aparecido Gouvêa  Chagas</t>
  </si>
  <si>
    <t>MG10.747952</t>
  </si>
  <si>
    <t>(35)99818 - 0227</t>
  </si>
  <si>
    <t>RUA MARIA LUIZA BRANDAO 56</t>
  </si>
  <si>
    <t>30Mb</t>
  </si>
  <si>
    <t>15/01/2021 - R$ 60,90</t>
  </si>
  <si>
    <t>Miguel Jose Cardoso</t>
  </si>
  <si>
    <t>(35)99713-0584</t>
  </si>
  <si>
    <t>20/01/2021 - R$ 64,00</t>
  </si>
  <si>
    <t>Agencia De Turismo Bordamatense</t>
  </si>
  <si>
    <t>ANTONIO CAETANO JUNIOR  60</t>
  </si>
  <si>
    <t>11/01/2021 - R$ 75,00</t>
  </si>
  <si>
    <t>Paulo Henrique De Toledo Gomes</t>
  </si>
  <si>
    <t>AV MAGALHAES PINTO 303</t>
  </si>
  <si>
    <t>Daniel De Jesus Rosa</t>
  </si>
  <si>
    <t>MG1235750</t>
  </si>
  <si>
    <t>RUA RAQUEL GOUVEIA N° 379</t>
  </si>
  <si>
    <t xml:space="preserve">10/02/2021 -  R$ 55,00 </t>
  </si>
  <si>
    <t>Jose Lauro Ribeiro</t>
  </si>
  <si>
    <t>mg10111493</t>
  </si>
  <si>
    <t>RUA ANTONIO MARQUES DA SILVA 272</t>
  </si>
  <si>
    <t>11/01/2021 - R$ 50,00</t>
  </si>
  <si>
    <t>Jose Carlos De Souza (Katatau)</t>
  </si>
  <si>
    <t>AV LAURO MEGALE - 111</t>
  </si>
  <si>
    <t>10/02/2021 -R$ 70,00</t>
  </si>
  <si>
    <t>Maria Aparecida De Andrade</t>
  </si>
  <si>
    <t>FELICIO GONCALVES MARTINS  185</t>
  </si>
  <si>
    <t>05/02/2021 - R$ 70,00</t>
  </si>
  <si>
    <t>Cleide Maria Da Silva</t>
  </si>
  <si>
    <t>mg14.936.559</t>
  </si>
  <si>
    <t>R:  MARIA JOSE DURVAL,  16</t>
  </si>
  <si>
    <t>Milene Da Silva Alencar</t>
  </si>
  <si>
    <t>25/01/2021 - R$ 50,00</t>
  </si>
  <si>
    <t>Jessica De Meireles Oliveira Rosa</t>
  </si>
  <si>
    <t>mg-18.971.631</t>
  </si>
  <si>
    <t>(35)998519997</t>
  </si>
  <si>
    <t>R: ANTONIO RIBEIRO DE ALMEIDA, 195</t>
  </si>
  <si>
    <t>(35)99803-2343</t>
  </si>
  <si>
    <t>Mariana Vianna De Paiva</t>
  </si>
  <si>
    <t>(35)99919 - 8648</t>
  </si>
  <si>
    <t>Marli Raquel Rosa Lorenço</t>
  </si>
  <si>
    <t>(11)96873 - 0348</t>
  </si>
  <si>
    <t>Izaias Barboza Lima</t>
  </si>
  <si>
    <t>(35)99742 - 5699</t>
  </si>
  <si>
    <t>Josy Cristiane Dos Santos</t>
  </si>
  <si>
    <t>(35)3445 - 1069</t>
  </si>
  <si>
    <t>Onu bridge</t>
  </si>
  <si>
    <t>(35)99841 - 1978</t>
  </si>
  <si>
    <t>(35)3445 - 2777</t>
  </si>
  <si>
    <t>(35)9830 - 2203</t>
  </si>
  <si>
    <t>35 9955-6294</t>
  </si>
  <si>
    <t>AV: LUIZ CARDOSO PINTO 300</t>
  </si>
  <si>
    <t>Santa edwirges</t>
  </si>
  <si>
    <t>10/02/2021 - 7</t>
  </si>
  <si>
    <t>M2324053</t>
  </si>
  <si>
    <t>(35)3445 - 1302</t>
  </si>
  <si>
    <t>RUA VITOR ANTONIO BRANDANI 135</t>
  </si>
  <si>
    <t xml:space="preserve">05/02/2021 - </t>
  </si>
  <si>
    <t>(35)99757-5194</t>
  </si>
  <si>
    <t xml:space="preserve">AMADEU BERTOLACINE  32 </t>
  </si>
  <si>
    <t xml:space="preserve">10/02/2021 - </t>
  </si>
  <si>
    <t>mg4988125</t>
  </si>
  <si>
    <t>R. HERCULANO COBRA N°809</t>
  </si>
  <si>
    <t>20/02/20201 - R$ 79,90</t>
  </si>
  <si>
    <t>35 991950144</t>
  </si>
  <si>
    <t>AV: EDNA MARIA DA SILVA RIBEIRO 931</t>
  </si>
  <si>
    <t>20/02/2021 - R$ 79,90</t>
  </si>
  <si>
    <t>VANDA CRISTINA SOARES DUARTE Rest Pinheirinho</t>
  </si>
  <si>
    <t>VANDA CRISTINA SOARES DUARTE Casa</t>
  </si>
  <si>
    <t>RUA BERNADETE MEGALE 25</t>
  </si>
  <si>
    <t>17-939410</t>
  </si>
  <si>
    <t>R: DARCI DOS REIS SANTOS 55</t>
  </si>
  <si>
    <t>10/01/2021  - R$ 50,00</t>
  </si>
  <si>
    <t>m7971257</t>
  </si>
  <si>
    <t>(35)99138 - 5527</t>
  </si>
  <si>
    <t xml:space="preserve">Avenida Lauro Megale 360 </t>
  </si>
  <si>
    <t>15/02/2021 - 79,90</t>
  </si>
  <si>
    <t>José Marinelli Moreira</t>
  </si>
  <si>
    <t>M5.306.294 SSPMG</t>
  </si>
  <si>
    <t>9 9978 5061</t>
  </si>
  <si>
    <t>alemaomarinelli@gmail.com</t>
  </si>
  <si>
    <t xml:space="preserve"> Fco Álvaro Sobreiro, 700</t>
  </si>
  <si>
    <t xml:space="preserve">Celso Cardoso Arruda </t>
  </si>
  <si>
    <t xml:space="preserve">celsobatata@yahoo.com.br </t>
  </si>
  <si>
    <t xml:space="preserve">;praça Antonio megale 18 </t>
  </si>
  <si>
    <t>rua Luiz Carlos Cardoso 40</t>
  </si>
  <si>
    <t>SIMONE MARIA FERREIRA</t>
  </si>
  <si>
    <t>mg18855853</t>
  </si>
  <si>
    <t>(35)99103-0006</t>
  </si>
  <si>
    <t xml:space="preserve">RUA JOSE LUIZ MOREIRA 246 </t>
  </si>
  <si>
    <t>15/02/2020 - R$ 70,00</t>
  </si>
  <si>
    <t>Ana maria de Almeida</t>
  </si>
  <si>
    <t>m-8.725.580</t>
  </si>
  <si>
    <t>SA NARCISA N°76</t>
  </si>
  <si>
    <t>10/02/2020 - 79,90</t>
  </si>
  <si>
    <t>M4478492</t>
  </si>
  <si>
    <t>R: HERCULANO COBRA, 796</t>
  </si>
  <si>
    <t>M2718600</t>
  </si>
  <si>
    <t>(35)99987-4436</t>
  </si>
  <si>
    <t>RUA EDUARDO AMARAL 375</t>
  </si>
  <si>
    <t>mg-19.161.678</t>
  </si>
  <si>
    <t>R: BENEDITO RUFINO XAVIER 106</t>
  </si>
  <si>
    <t>mg8.418-354</t>
  </si>
  <si>
    <t>(35)99823-5532</t>
  </si>
  <si>
    <t>SILVIO MONTEIRO DE CARVALHO 35</t>
  </si>
  <si>
    <t xml:space="preserve"> m7369746</t>
  </si>
  <si>
    <t>CORONEL JOSE INACIO 114</t>
  </si>
  <si>
    <t>R. FRANCISCO MARQUES DA COSTA 1325</t>
  </si>
  <si>
    <t>10 842 664</t>
  </si>
  <si>
    <t>(35)99724 - 9615</t>
  </si>
  <si>
    <t xml:space="preserve">Anacleto </t>
  </si>
  <si>
    <t xml:space="preserve"> 99209-9944</t>
  </si>
  <si>
    <t>BENEDITA COBRA 27</t>
  </si>
  <si>
    <t>Evilane Oliveira Silva</t>
  </si>
  <si>
    <t>(35)9216 - 5075</t>
  </si>
  <si>
    <t>MG18838967</t>
  </si>
  <si>
    <t>AV ANTONIO MARQUES DA SILVA(CHACARA)</t>
  </si>
  <si>
    <t>M9047468</t>
  </si>
  <si>
    <t>DUQUE DE CAXIAS 605</t>
  </si>
  <si>
    <t>(53) 99940-6581</t>
  </si>
  <si>
    <t>RUA GERALDO MARCONDES DE SOUZA  220</t>
  </si>
  <si>
    <t>MG12522578</t>
  </si>
  <si>
    <t>(35)9835 - 4991</t>
  </si>
  <si>
    <t>CAPITAO CIPRIANO DE CASTRO 861</t>
  </si>
  <si>
    <t>RUA MARIA JOSE COUTINHO 120</t>
  </si>
  <si>
    <t xml:space="preserve">Jardim Residencial Donaveca </t>
  </si>
  <si>
    <t>(35) 9984-2815</t>
  </si>
  <si>
    <t>R: BENEDITO RODRIGUES 50</t>
  </si>
  <si>
    <t>lUIZ CARLOS ANDRADE DA SILVA</t>
  </si>
  <si>
    <t>(35)99966 - 2807</t>
  </si>
  <si>
    <t>breno Alves Silva</t>
  </si>
  <si>
    <t>(35)99750 - 5448</t>
  </si>
  <si>
    <t>(35) 99931-5365</t>
  </si>
  <si>
    <t>(35) 99934-6760</t>
  </si>
  <si>
    <t>EDUARDO AMARAL 735</t>
  </si>
  <si>
    <t>Mg13713800</t>
  </si>
  <si>
    <t>(35)99983 - 9508</t>
  </si>
  <si>
    <t>RUA CAPITAO CIPRIANO DE CASTRO 844</t>
  </si>
  <si>
    <t>Eliane Van Der Heyde</t>
  </si>
  <si>
    <t>Afonsina Martins de Melo Pinto/ Raul</t>
  </si>
  <si>
    <t>35 9706-6141</t>
  </si>
  <si>
    <t>Fabiana da Silva Santos Vasconcelos</t>
  </si>
  <si>
    <t xml:space="preserve">Maristela Coutinho </t>
  </si>
  <si>
    <t>bridge</t>
  </si>
  <si>
    <t>(35)9727 - 2585</t>
  </si>
  <si>
    <t>Cliente irá mudar para casa nova e avisará da data da instalação (em torno de duas semanas)</t>
  </si>
  <si>
    <t>(35)9179 - 8231</t>
  </si>
  <si>
    <t>GERALDO RODRIGUES CORREA escritório</t>
  </si>
  <si>
    <t>(35)3445 - 2907</t>
  </si>
  <si>
    <t xml:space="preserve"> Maria Leonice da Conceição Santos/Rita de cassia</t>
  </si>
  <si>
    <t>TEREZINHA AUXILIADORA DA SILVA</t>
  </si>
  <si>
    <t>GERALDO RODRIGUES CORREA casa</t>
  </si>
  <si>
    <t>Virginia Danieli dos Santos</t>
  </si>
  <si>
    <t>(35)99938 - 0678</t>
  </si>
  <si>
    <t> ALINE CECILIA SILVA AMARO</t>
  </si>
  <si>
    <t>(35)9722 - 8328</t>
  </si>
  <si>
    <t>(35)99927 - 0811</t>
  </si>
  <si>
    <t>Pamela Nathalia Santos</t>
  </si>
  <si>
    <t>(35)99934 - 0937</t>
  </si>
  <si>
    <t>(35)9967 - 1018</t>
  </si>
  <si>
    <t>(35)99859 - 8908</t>
  </si>
  <si>
    <t>(35) 3445-2971</t>
  </si>
  <si>
    <t>Ridiger Patricio</t>
  </si>
  <si>
    <t>(35) 99926-8040</t>
  </si>
  <si>
    <t>+55 35 9710-3435</t>
  </si>
  <si>
    <t>(35)99706 - 7470</t>
  </si>
  <si>
    <t>(35)9928 - 4410</t>
  </si>
  <si>
    <t>(35)99867 - 9990</t>
  </si>
  <si>
    <t>(35)99902 - 8192</t>
  </si>
  <si>
    <t>(99)812 - 3671</t>
  </si>
  <si>
    <t>(35)3445 - 1725</t>
  </si>
  <si>
    <t>(11) 96648-1136</t>
  </si>
  <si>
    <t>Francisco Nunes Duarte</t>
  </si>
  <si>
    <t>Antonio Pereira Toledo</t>
  </si>
  <si>
    <t>(35)3445 - 1489</t>
  </si>
  <si>
    <t>Celia do Carmo naves</t>
  </si>
  <si>
    <t>(35)99918 - 9164</t>
  </si>
  <si>
    <t>(35)9958 - 8248</t>
  </si>
  <si>
    <t>(35)99956 - 9370</t>
  </si>
  <si>
    <t>(35) 99973-1222</t>
  </si>
  <si>
    <t>(35)99749 - 2906</t>
  </si>
  <si>
    <t>GEYSLA HELISSA DA SILVA FABRICIO casa</t>
  </si>
  <si>
    <t>GEYSLA HELISSA DA SILVA FABRICIO filha</t>
  </si>
  <si>
    <t>(35)99710 - 6805</t>
  </si>
  <si>
    <t>+55 19 99860-2435</t>
  </si>
  <si>
    <t>(35)99939 - 0185</t>
  </si>
  <si>
    <t>(35)99152 - 0335</t>
  </si>
  <si>
    <t>PERCIVAL MARQUES ( cliente vai demorar a instalar devido a uma reforma na casa do cliente)</t>
  </si>
  <si>
    <t>SEBASTIAO NOGUEIRA DE PADUA casa</t>
  </si>
  <si>
    <t>(53) 99944-7571</t>
  </si>
  <si>
    <t>SEBASTIAO NOGUEIRA DE PADUA madeireira</t>
  </si>
  <si>
    <t>(35)99965 - 5210</t>
  </si>
  <si>
    <t>Leandro José de Melo</t>
  </si>
  <si>
    <t>(35)99838 - 6926</t>
  </si>
  <si>
    <t>(35)99834 - 0002</t>
  </si>
  <si>
    <t>(35)99940 - 5930</t>
  </si>
  <si>
    <t>Rosangela Simão  Gomes</t>
  </si>
  <si>
    <t>(35)9995 - 8621</t>
  </si>
  <si>
    <t>(35)99114 - 4499</t>
  </si>
  <si>
    <t>Anderson Luiz da Silva</t>
  </si>
  <si>
    <t>Edna Maria  de Andrade</t>
  </si>
  <si>
    <t>(35)99855 - 6764</t>
  </si>
  <si>
    <t>Benedito Vieira  da Costa</t>
  </si>
  <si>
    <t>(35) 99753-2803</t>
  </si>
  <si>
    <t>Modail Couto</t>
  </si>
  <si>
    <t>(35) 99763-0273</t>
  </si>
  <si>
    <t>Izabel Cristina Cruz</t>
  </si>
  <si>
    <t>(35)99958 - 9656</t>
  </si>
  <si>
    <t>(53) 99759-8699</t>
  </si>
  <si>
    <t>(35)98445 - 2458</t>
  </si>
  <si>
    <t>Hosana de Almeida Silva</t>
  </si>
  <si>
    <t>(35)9992 - 4157</t>
  </si>
  <si>
    <t>Germano José Ribeiro</t>
  </si>
  <si>
    <t>(35)9989 - 4866</t>
  </si>
  <si>
    <t xml:space="preserve">Jose carmo Pinto </t>
  </si>
  <si>
    <t xml:space="preserve">Jose Carmo Pinto </t>
  </si>
  <si>
    <t>Marcio Trotta</t>
  </si>
  <si>
    <t>Camara municipal</t>
  </si>
  <si>
    <t>Kaique Antunes</t>
  </si>
  <si>
    <t>Petrus Alves de Souza</t>
  </si>
  <si>
    <t>(35)9944 - 5859</t>
  </si>
  <si>
    <t>Isabela De Almeida Maximiano  (Chacara)</t>
  </si>
  <si>
    <t>Rosymari da silva</t>
  </si>
  <si>
    <t>Maciel Luiz Pereira</t>
  </si>
  <si>
    <t>(35) 99979-3224</t>
  </si>
  <si>
    <t>(35) 99735-1137</t>
  </si>
  <si>
    <t>(35)99971 - 1762</t>
  </si>
  <si>
    <t>WILSON DONIZETE COUTINHO</t>
  </si>
  <si>
    <t>(35) 99719-5521</t>
  </si>
  <si>
    <t>Leoni Marcelino dos Santos</t>
  </si>
  <si>
    <t>(35)9950 - 7161</t>
  </si>
  <si>
    <t>joao Paulo da Costa</t>
  </si>
  <si>
    <t>(35)99715 - 5969</t>
  </si>
  <si>
    <t>(35)99921 - 0152</t>
  </si>
  <si>
    <t>(35)99907 - 8326</t>
  </si>
  <si>
    <t>Ronaldo  Roberto da Rosa</t>
  </si>
  <si>
    <t>(35)99987 - 6110</t>
  </si>
  <si>
    <t>Anizia Florianos de Souza</t>
  </si>
  <si>
    <t xml:space="preserve">Keila Cristina da Silva Siqueira </t>
  </si>
  <si>
    <t>MARIA APARECIDA SILVA ATANAZIO(cliente com familiar corona agendar mais profim de mês)</t>
  </si>
  <si>
    <t>Aparecida de Souza Galdencio</t>
  </si>
  <si>
    <t>(35) 99714-1972</t>
  </si>
  <si>
    <t>(35)99964 - 6492</t>
  </si>
  <si>
    <r>
      <t> </t>
    </r>
    <r>
      <rPr>
        <sz val="7"/>
        <color rgb="FFAACCEE"/>
        <rFont val="Arial"/>
        <family val="2"/>
      </rPr>
      <t>(35)99750 - 9514</t>
    </r>
  </si>
  <si>
    <t>(35)99988 - 8935</t>
  </si>
  <si>
    <t xml:space="preserve">APARECIDA MESSIAS PEREIRA </t>
  </si>
  <si>
    <r>
      <t> </t>
    </r>
    <r>
      <rPr>
        <sz val="7"/>
        <color rgb="FFAACCEE"/>
        <rFont val="Arial"/>
        <family val="2"/>
      </rPr>
      <t>(35)9868 - 9233</t>
    </r>
  </si>
  <si>
    <t>Maria da Glória Camargo</t>
  </si>
  <si>
    <t>(35)99885 - 0062</t>
  </si>
  <si>
    <t>Josevania pereira</t>
  </si>
  <si>
    <t>Elizandra Aparecida da Silva</t>
  </si>
  <si>
    <r>
      <t> </t>
    </r>
    <r>
      <rPr>
        <sz val="7"/>
        <color rgb="FFAACCEE"/>
        <rFont val="Arial"/>
        <family val="2"/>
      </rPr>
      <t>(35) 99805-6162</t>
    </r>
  </si>
  <si>
    <r>
      <t> </t>
    </r>
    <r>
      <rPr>
        <sz val="7"/>
        <color rgb="FFAACCEE"/>
        <rFont val="Arial"/>
        <family val="2"/>
      </rPr>
      <t>(35) 99995-6260</t>
    </r>
  </si>
  <si>
    <t>Yramaya Leticia</t>
  </si>
  <si>
    <t>(35)99887 - 0148</t>
  </si>
  <si>
    <t>Eucrécio Caetano de Camargo</t>
  </si>
  <si>
    <t>35 9914-5253</t>
  </si>
  <si>
    <t>(11) 94137-8791</t>
  </si>
  <si>
    <t>Renata Cristine Machado</t>
  </si>
  <si>
    <t>Ayrton aparecido ferreira (quando s emudar não será cobrado taxa de mudança de endereço)</t>
  </si>
  <si>
    <r>
      <t> </t>
    </r>
    <r>
      <rPr>
        <sz val="7"/>
        <color rgb="FFAACCEE"/>
        <rFont val="Arial"/>
        <family val="2"/>
      </rPr>
      <t>(11)96185 - 2986</t>
    </r>
  </si>
  <si>
    <t>(35)99898 - 7020</t>
  </si>
  <si>
    <r>
      <t> </t>
    </r>
    <r>
      <rPr>
        <sz val="9"/>
        <color rgb="FFAACCEE"/>
        <rFont val="Arial"/>
        <family val="2"/>
      </rPr>
      <t>(35) 99864-2083</t>
    </r>
  </si>
  <si>
    <t>(35) 99895-5351</t>
  </si>
  <si>
    <t>EDILAINE MARIA PEREIRA DE SOUSA SANTOS (SERRALHERIA)Paulo Egidio</t>
  </si>
  <si>
    <r>
      <t> </t>
    </r>
    <r>
      <rPr>
        <sz val="9"/>
        <color rgb="FFAACCEE"/>
        <rFont val="Arial"/>
        <family val="2"/>
      </rPr>
      <t>(35) 99903-1849</t>
    </r>
  </si>
  <si>
    <t>Jessica Pereira da Silva</t>
  </si>
  <si>
    <t>(35)99756 - 5178</t>
  </si>
  <si>
    <t>Marcio Aparecido Marins Almeida</t>
  </si>
  <si>
    <r>
      <t> </t>
    </r>
    <r>
      <rPr>
        <sz val="9"/>
        <color rgb="FFAACCEE"/>
        <rFont val="Arial"/>
        <family val="2"/>
      </rPr>
      <t>(35) 99964-8518</t>
    </r>
  </si>
  <si>
    <t>(35) 99919-1830</t>
  </si>
  <si>
    <t xml:space="preserve">Daniel da Silva Nascimento </t>
  </si>
  <si>
    <t>(35)99995 - 8621</t>
  </si>
  <si>
    <t>(35)9931 - 1751</t>
  </si>
  <si>
    <r>
      <t> </t>
    </r>
    <r>
      <rPr>
        <sz val="9"/>
        <color rgb="FFAACCEE"/>
        <rFont val="Arial"/>
        <family val="2"/>
      </rPr>
      <t>(35) 9930-0383</t>
    </r>
  </si>
  <si>
    <r>
      <t> </t>
    </r>
    <r>
      <rPr>
        <sz val="9"/>
        <color rgb="FFAACCEE"/>
        <rFont val="Arial"/>
        <family val="2"/>
      </rPr>
      <t>(35)99812 - 5334</t>
    </r>
  </si>
  <si>
    <t>(35)99862 - 3233</t>
  </si>
  <si>
    <t xml:space="preserve">Antonio Claret de Aguiar </t>
  </si>
  <si>
    <r>
      <t> </t>
    </r>
    <r>
      <rPr>
        <sz val="9"/>
        <color rgb="FFAACCEE"/>
        <rFont val="Arial"/>
        <family val="2"/>
      </rPr>
      <t>(35)99969 - 7129</t>
    </r>
  </si>
  <si>
    <t>(35) 99271-4662</t>
  </si>
  <si>
    <t>Joelma Bento de Figueiredo</t>
  </si>
  <si>
    <r>
      <t> </t>
    </r>
    <r>
      <rPr>
        <sz val="9"/>
        <color rgb="FFAACCEE"/>
        <rFont val="Arial"/>
        <family val="2"/>
      </rPr>
      <t>(35) 99903-4561</t>
    </r>
  </si>
  <si>
    <t>Wellington Jean dos Santos Marques</t>
  </si>
  <si>
    <r>
      <t> </t>
    </r>
    <r>
      <rPr>
        <sz val="9"/>
        <color rgb="FFAACCEE"/>
        <rFont val="Arial"/>
        <family val="2"/>
      </rPr>
      <t>(35) 99713-9180</t>
    </r>
  </si>
  <si>
    <t>(35)9743 - 1310</t>
  </si>
  <si>
    <r>
      <t> </t>
    </r>
    <r>
      <rPr>
        <sz val="7"/>
        <color rgb="FFAACCEE"/>
        <rFont val="Arial"/>
        <family val="2"/>
      </rPr>
      <t>(35) 99825-2020</t>
    </r>
  </si>
  <si>
    <t>Josiane Aparecida Siqueira</t>
  </si>
  <si>
    <t>(35)99745 - 4074</t>
  </si>
  <si>
    <t>(35)9119 - 7440</t>
  </si>
  <si>
    <t>(35)9993 - 2195</t>
  </si>
  <si>
    <t>(35)9876 - 0672</t>
  </si>
  <si>
    <t>(35) 99741-5416</t>
  </si>
  <si>
    <r>
      <t> </t>
    </r>
    <r>
      <rPr>
        <sz val="7"/>
        <color rgb="FFAACCEE"/>
        <rFont val="Arial"/>
        <family val="2"/>
      </rPr>
      <t>(35)99876 - 0365</t>
    </r>
  </si>
  <si>
    <r>
      <t> </t>
    </r>
    <r>
      <rPr>
        <sz val="7"/>
        <color rgb="FFAACCEE"/>
        <rFont val="Arial"/>
        <family val="2"/>
      </rPr>
      <t>(35)99996 - 1766</t>
    </r>
  </si>
  <si>
    <t>(35)9803 - 9978</t>
  </si>
  <si>
    <t>(35)9721 - 7928</t>
  </si>
  <si>
    <t xml:space="preserve">Maria Dirce </t>
  </si>
  <si>
    <t>(35) 99950-9824</t>
  </si>
  <si>
    <r>
      <t> </t>
    </r>
    <r>
      <rPr>
        <sz val="7"/>
        <color rgb="FFAACCEE"/>
        <rFont val="Arial"/>
        <family val="2"/>
      </rPr>
      <t>(35)99725 - 0111</t>
    </r>
  </si>
  <si>
    <t>11 99590-9536</t>
  </si>
  <si>
    <t>(35)9729 - 0364</t>
  </si>
  <si>
    <t>Rosângela Maria Leopoldina</t>
  </si>
  <si>
    <t>Maria do Carmo Silva Rodrigues</t>
  </si>
  <si>
    <t>Natalia Ribeiro hamada</t>
  </si>
  <si>
    <t>Antonio Vitor Pereira Rezende</t>
  </si>
  <si>
    <t>JOSE BENEDITO FERREIRA-ME (CASA)</t>
  </si>
  <si>
    <t>JOSE BENEDITO FERREIRA-ME (PADARIA Lider)</t>
  </si>
  <si>
    <t>quint</t>
  </si>
  <si>
    <t>Sueli Moreira de Moura</t>
  </si>
  <si>
    <t>Pricila Carolina Rosa (restaurante Eliana)</t>
  </si>
  <si>
    <t>Benedito Brentegani</t>
  </si>
  <si>
    <t>Marina de Fatima Silva</t>
  </si>
  <si>
    <t>Aparecida Francisca de Carvalho</t>
  </si>
  <si>
    <t>Maria jose Moreira Siqueira</t>
  </si>
  <si>
    <t>Marisa Helena Brandão</t>
  </si>
  <si>
    <t>seg</t>
  </si>
  <si>
    <t xml:space="preserve">Luiz Miguel dos Santos </t>
  </si>
  <si>
    <t>Francisco Paulo dos Reis</t>
  </si>
  <si>
    <t>Bruno Cristiano da Costa</t>
  </si>
  <si>
    <t>Diego de Mira Siqueira</t>
  </si>
  <si>
    <t>Fabiola Cristiane do Couto</t>
  </si>
  <si>
    <t xml:space="preserve"> Joao Geraldo Ribeiro Copasa</t>
  </si>
  <si>
    <t>Cleide Maria da Silva/Monica Ezequiel</t>
  </si>
  <si>
    <t>Benedito Inacio Borges</t>
  </si>
  <si>
    <t>Sandro Evantuir</t>
  </si>
  <si>
    <t>Clientes novos Escola e Cemei</t>
  </si>
  <si>
    <t xml:space="preserve">Responsável </t>
  </si>
  <si>
    <t>60 Megas  70,00 - com equipamento da empresa</t>
  </si>
  <si>
    <t>Aline - (35) 99845-5245</t>
  </si>
  <si>
    <t>Creche Municipal Madre Tereza de Saldanha</t>
  </si>
  <si>
    <t>Amanda Marques - (35)35 9736-4147</t>
  </si>
  <si>
    <t>Escola Santa Rita (Diva)</t>
  </si>
  <si>
    <t>300 Megas  150,00 - com equipamento da empresa</t>
  </si>
  <si>
    <t>Poliana - (35) 99814-5736</t>
  </si>
  <si>
    <t>Escola Nossa Senhora de Fatima</t>
  </si>
  <si>
    <t>300 Megas  141,66 - com equipamento da empresa</t>
  </si>
  <si>
    <t>Maria de Lourdes - (35) 999010948</t>
  </si>
  <si>
    <t>Escola Centro</t>
  </si>
  <si>
    <t>400megas 150,00 - com equipamento da empresa</t>
  </si>
  <si>
    <t>Fernando - (35)99812-8885</t>
  </si>
  <si>
    <t>Escola Santa Cruz</t>
  </si>
  <si>
    <t>Maria da Penha - (35) 99917-5193</t>
  </si>
  <si>
    <t>escola</t>
  </si>
  <si>
    <t xml:space="preserve">Cliente isentos </t>
  </si>
  <si>
    <t>Igreja</t>
  </si>
  <si>
    <t>igreja</t>
  </si>
  <si>
    <t>Apae</t>
  </si>
  <si>
    <t>TALITA LAIS DO CARMO SILVA</t>
  </si>
  <si>
    <t>Academia</t>
  </si>
  <si>
    <t>Faz propaganda pra nós</t>
  </si>
  <si>
    <t>Rafael Henrique Ferreira (Academia)</t>
  </si>
  <si>
    <t>Francis Kelly Rezende (Academia Luizinho)</t>
  </si>
  <si>
    <t>Carlos Alberto P. Moura Junior (Natália Pilates)</t>
  </si>
  <si>
    <t>ASSOCIAÇÃO MORADORES B.MATA (RADIO ATIVA)</t>
  </si>
  <si>
    <t xml:space="preserve">Torre </t>
  </si>
  <si>
    <t>Funcionários</t>
  </si>
  <si>
    <t>DIA DA SEMANA</t>
  </si>
  <si>
    <t>ASSUNTO NA ARTE</t>
  </si>
  <si>
    <t>ASSUNTO DA POSTAGEM</t>
  </si>
  <si>
    <t>Minas Gerais</t>
  </si>
  <si>
    <t>Hoje, dia 2 de dezembro, Minas Gerais completa 301 anos!
Minas Gerais é o segundo Estado que mais acessa as redes sociais!
Você é um desses? Assine um plano conosco e tenha uma conexão com qualidade!
Entre em contato: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</si>
  <si>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Conecte-se  com o mundo!</t>
  </si>
  <si>
    <t>Divirta-se, estude e trabalhe sem travamentos com a internet. Fibra óptica de alta velocidade. 
✅📶 Planos de 50 a 400 megas, com equipamentos de ponta em comodato, que garantem a qualidade e a estabilidade de sua conexão. Entre em contato conosco e contrate já!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</si>
  <si>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Parabéns Basilica Menor de Nossa Senhora do Carmo, pelos seus 16 anos!</t>
  </si>
  <si>
    <t>Hoje comemoramos o dia da Família e de nossa Basílica! Família nosso bem maior, um conceito que se baseia no amor, na ajuda mútua e na partilha. 
👨‍👩‍👧‍👦⛪🫂Compartilhe momentos com sua família, com a melhor internet e  aproveite para acompanhar a missa comemorativa da Basílica sem travamentos, pelo link abaixo, a partir das 10 horas:
www.via01.com.br
Entre em contato: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</si>
  <si>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NetFlix</t>
  </si>
  <si>
    <t xml:space="preserve">Na Via 01 temos os melhores planos para você aproveitar os lançamentos da Netflix e curtir as férias junto com a sua família. 
 👨‍👩‍👧🎬🍿 Pensando nisso, separamos 4 novidades desse mês de Natal para você. Venha-se conectar conosco e se aventurar em novas historias!
Entre em contato:
📞 (35) 3445–2719 ou (35) 99812-2445 (WhatsApp) — comercial@via01.com.br⠀⠀⠀⠀⠀⠀⠀
⠀⠀⠀⠀⠀⠀⠀⠀⠀⠀⠀⠀⠀⠀⠀ ⠀⠀⠀⠀⠀⠀⠀⠀⠀
via01.com.br⠀⠀⠀
⠀⠀⠀
#tenhavia01 #bordadamata #internet #planodeinternet #fibraoptica #velocidademaxima #wifi #ultrabandalarga #internetilimitada#bandalarga #internetfibraoptica #internetfibra #melhorinternet #provedordeinternet </t>
  </si>
  <si>
    <t>Dia do Engenheiro!</t>
  </si>
  <si>
    <t>Os engenheiros não são apenas responsáveis por números, cálculos e desenhos sem fim, o seu trabalho melhora a qualidade de vida de uma comunidade inteira. 
🌆⚡👨‍🔧Por isso, nesse dia 11 de dezembro, a Via 01 presta essa singela homenagem para todos os engenheiros!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</si>
  <si>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 xml:space="preserve">Trabalho ou diversão?
Na Via 01, você pode tudo! </t>
  </si>
  <si>
    <t xml:space="preserve">
🖥️🚀⚡ Conexão sem interrupção é só aqui!
Internet a vontade e para todos os momentos.
Aproveite e peça a sua hoje mesmo. Venha pra melhor!
Entre em contato conosco: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
</t>
  </si>
  <si>
    <t>Promoção Via 01
👉🏻👩🏻‍🤝‍👨🏼 🌐 Indique 1 amigo e de a ele de presente 50% da primeira mensalidade, e garanta 50% de desconto na sua próxima mensalidade. 
🔛🎁 Aqui na Via 01, vocês dois ganham presente de Natal. 
Entre em contato conosco: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</si>
  <si>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1° Arte: Você sabe como funciona a tecnologia de internet em Fibra Óptica? 
2° Arte: Os dados são transmitidos através de feixes de luz, trafegam na maior velocidade possível chegando até Gigabytes.
3° Arte: Por usarem luz e não eletricidade, há menos risco de interferências e tem maior estabilidade em relação a outros meios de transporte. 
4° Arte: Trabalhamos sempre com tecnologias de ponta usando sempre os equipamentos dos melhores fabricantes do mercado, seguras para garantir a melhor conexão! Assine já!</t>
  </si>
  <si>
    <t>Algumas informações sobre a Tecnologia Fibra Óptica!
💥🚀 Na Via 01, além de velocidade, você conta com ESTABILIDADE e a MELHOR FIBRA ÓPTICA da cidade!
📍Entre em contato conosco e turbine sua navegação!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</si>
  <si>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Suporte técnico 7 dias da semana!</t>
  </si>
  <si>
    <t>Internet de Qualidade, Suporte técnico especializado 7 dias da semana? 
👏🏻🔝Só aqui na Via 01, você tem!
⚠️‼️✅ Ficou sem conexão no final de semana ou feriado? Não se preocupe! É só mandar um WhatsApp para o numero (35) 3445–2719 que verificamos pra você!
Entre em contato conosco: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</si>
  <si>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Vai mudar de endereço e precisa de internet? A Via 01 te acompanha!</t>
  </si>
  <si>
    <t>Você é cliente Via 01 e vai mudar de endereço?
Não se preocupe, a gente continua acompanhando você!
📲 ☎️📞 Basta entrar em contato com nossa equipe de atendimento e solicitar o agendamento para a nova ativação.
É muito simples:
1- Com antecedência, entre em contato com nossa equipe de atendimento, através do telefone ou WhatsApp.
2- Solicite agendamento de instalação em seu novo endereço.
3- Nossa equipe irá agendar e confirmar todos os dados necessários.
4- No dia da instalação, aguarde nossa equipe no local e horário agendado.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t>
  </si>
  <si>
    <t>1° Arte: Você sabe afinal o que é WI-fi? Wi-Fi é uma das maneiras que você pode se conectar a internet.
2° Arte: A maioria dos roteadores possuem essa tecnologia para que você possa se conectar a internet sem uso de cabos.
3° Arte: Por ser uma tecnologia usada em muitos outros dispositivos, ela sofre interferências de outros equipamentos como: Telefone sem fio, Babás eletronicas e outros roteadores.
4° Arte:O melhor lugar para deixar o roteador é na parte central da casa, preferencialmente em locais mais abertos, aumentando assim sua efetividade da conexão sem fio.</t>
  </si>
  <si>
    <t>Segue algumas curiosidades sobre seu wi-fi! 
😁🚀 Seja cliente Via 01, e tenha a melhor conexão com a melhor estabilidade!
Entre em contato conosco: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</si>
  <si>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Arte de Natal</t>
  </si>
  <si>
    <t>Chegamos a época mais linda do ano. 
⭐☄️🧑🏽‍🎄 Feliz Natal, queridos clientes. Desejamos que seja um fim de ano repleto de alegria, paz e harmonia para todos.
Vivemos um grande ano e esperamos que nossa parceria siga firme e forte no ano que está por vir. 
Tenham todos um Natal abençoado!
Entre em contato conosco: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</si>
  <si>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Está com muitos parentes em casa para o ano novo? Não deixe ninguem na mão e contrate agora ou faça um upgrade para nosso plano de 400M. Garanta a conexão de suas visitas.</t>
  </si>
  <si>
    <t>Não deixe ninguém na mão, contrate agora ou faça o upgrade do seu plano. Garanta a conexão de suas visitas!!
📶 🌐 Conheça nossos planos!
Entre em contato conosco: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</si>
  <si>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Ficou sem internet? 
Siga os seguintes passos:
Verifique se os equipamentos da internet estão ligados (Verifique os leds)🚥
Confirme se todos os cabos estão conectados🔌
Desligue os equipamentos da tomada e aguarde alguns segundos, e ligue-os novamente 🔛📴
Verifique se o pagamento de sua mensalidade está em dia 💰
Nunca pressione o botão "reset" em seu roteador ⏺️</t>
  </si>
  <si>
    <t>Se você ficou sem internet e não sabe o que fazer, arraste para o lado e siga os seguintes passos.
⚡📶 📲 Caso seu problema não seja solucionado, entre em contato conosco pelo WhatsApp, que iremos lhe atender.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</si>
  <si>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Feliz Ano novo</t>
  </si>
  <si>
    <t>🤝🏻👫🏻 Um agradecimento a todas as pessoas que fizeram parte da nossa história neste ano que chega ao fim. A chegada de um novo ano é a oportunidade perfeita para olharmos para o futuro com otimismo e esperança.
🍾🥂 Que 2022 seja de muita luz, esperança e prosperidade! Boas Festas!
Entre em contato conosco: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 ⠀⠀⠀⠀⠀⠀⠀⠀⠀</t>
  </si>
  <si>
    <t xml:space="preserve">Valorize o seu tempo. 
Navegue mais rápido com a Via 01!
</t>
  </si>
  <si>
    <t>É muito mais qualidade, tecnologia, confiança e os melhores planos de internet de Borda da Mata!
🌐 Acesse nosso site www.via01.com.br e saiba mais!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</si>
  <si>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1° arte: Como a internet é conectada de um continente para o outro?
2° Arte: Super cabos submarinos de fibra, atravessam os oceanos conectando um continente ao outro.
3° Arte:. Atualmente existem 278 cabos submarinos pelo mundo. 6 deles estão em operação no Brasil.
4° Arte: Os chamados backbones são os cabos que conectam um país ao outro.</t>
  </si>
  <si>
    <t>Fale com o mundo! Conecte - se conosco!
Planos a partir de R$ 79,90 por mês.
🌐 Acesse nosso site www.via01.com.br e saiba mais!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</si>
  <si>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Dia do leitor</t>
  </si>
  <si>
    <t>Dia 07 de Janeiro é o Dia do Leitor!
📒🔰Uma data feita para comemorar aqueles que gostam de ler e tem, no livro, um grande amigo. Ler é viajar.
Existem vários aplicativos para a leitura, e é claro que com a conexão da Via 01, você viaja em varias historias sem sair de sua casa. Se você ainda não é cliente, assine já nossos planos e use a melhor internet de Borda da Mata!
Entre em contato: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</si>
  <si>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Dia da fotografo</t>
  </si>
  <si>
    <t xml:space="preserve">
A data celebra o profissional responsável em captar uma fração de segundo e eternizá-lo. 
📷🤳🏻🎥 Sejam fotógrafos profissionais ou amadores, todos os amantes desta arte, comemoram a data fazendo muitas fotos. 
E a Via 01 está sempre presente em todos esses momentos!
Use a melhor internet da cidade para compartilhar suas fotos com seus amigos.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</si>
  <si>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Sua internet tem medo de chuva? A nossa não!</t>
  </si>
  <si>
    <t>Assine uma conexão confiável! 
🌐📶🚀 Nossa conexão é constante, estável, e não tem nenhuma relação com o tempo. Faça chuva ou faça sol, a velocidade sempre é a mesma!!
Assine já! Navegue com a melhor internet de Borda da Mata!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</si>
  <si>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Como faço para alterar meu plano?</t>
  </si>
  <si>
    <t>É muito simples.
🙂📲👫🏻 Você pode entrar em contato por telefone ou WhatsApp e fazer o pedido da alteração!
Temos planos até 400 megas.  
Entre em contato conosco:
📞 (35) 3445–2719 ou (35) 99812-2445 (WhatsApp) — comercial@via01.com.br⠀⠀⠀⠀⠀⠀⠀
⠀⠀⠀⠀⠀⠀⠀⠀⠀⠀⠀⠀⠀⠀⠀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</si>
  <si>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 xml:space="preserve">Você conhece os diferentes padrões de rede Wi-Fi? Sabe o que é 2.4Ghz, 5Ghz, AC, N, B G ??? Sabe quando usar um ou outro? </t>
  </si>
  <si>
    <t>Dizer qual a melhor não é tão simples, pois todos tem suas vantagens. O Wifi 2.4 GHz (que pode ser B,G ou N) consegue atender uma área maior, mas isso custa um sacrificio na velocidade e sofre maior interferencia, já o Wifi de 5.8 GHz (AC) consegue entregar uma velocidade maior porém não consegue atender uma área muito grande.
📶✅ Na Via 01 trabalhamos com roteadores Dual Band que transmite um sinal de 2.4 GHz e 5.8 GHz da mesma unidade, fornecendo a você duas redes Wi-Fi e o melhor da tecnologia atual.
Entre em contato: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</si>
  <si>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Com a Via 01 você joga sem parar!</t>
  </si>
  <si>
    <t>Com a Via 01 você joga sem parar e não trava, temos os melhores planos para você, venha conferir. 🎮✨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</si>
  <si>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 xml:space="preserve">Você sabe fazer o teste de velocidade da sua internet? </t>
  </si>
  <si>
    <t>Queremos que você tenha a melhor experiência com nossa conexão! 
Confira o passo a passo para realizar de maneira correta, seu TESTE DE VELOCIDADE!
⚠️⚡Mais ATENÇÃO!  Antes de fazer o teste é preciso saber uma dica de ouro para obter o resultado mais preciso possível:
Verifique se o dispositivo usado para fazer o teste é o único que está usando sua internet no momento. Desconecte todos os outros celulares, computares etc, que usam internet na sua casa.
Os sites mais confiáveis para testes são o speedtest e fast.com.
Seguindo nossas dicas, sua conexão não sofrerá nenhum tipo de desvio, nem estará saturada no momento de realizar o teste. 
Faça o teste de velocidade e se precisar conte conosco, através do WhatsApp!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</si>
  <si>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Novidades de Janeiro na Netflix</t>
  </si>
  <si>
    <t>Aproveite o seu fim de semana com a melhor conexão da cidade, com a Via 01 você fica por dentro dos lançamentos da Netflix para curtir com a sua família. 🎦👨‍👩‍👧
Conecte-se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</si>
  <si>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 xml:space="preserve">Indicação </t>
  </si>
  <si>
    <t>❗Atenção: 
Clientes Via 01!
👉🏻👩🏻‍🤝‍👨🏼 🌐 Indique 1 amigo e concorra a uma mensalidade grátis.
A cada indicação, você receberá um código. Quanto mais indicar, mais chance você tem de  ganhar!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</si>
  <si>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Navegue sem interrupçoes</t>
  </si>
  <si>
    <t>⚡📶 ✅ Nestes dias onde as indicações a serem seguidas é ficar em casa, nada melhor que colocar os filmes e séries em dia. 
Assista sem interrupções, contrate um de nossos planos e garanta a melhor conexão em sua casa, sua família merece!
Assine sem sair de casa,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</si>
  <si>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Internet Fibra Óptica 
Ultravelocidade</t>
  </si>
  <si>
    <t>🌐📶🚀 #Ultravelocidade que fala né?
Fique conectado com a Via 01, contrate nosso plano de 400 megas com Wi-fi premium, sem sair de casa!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</si>
  <si>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Indicação premiada</t>
  </si>
  <si>
    <t>Ping</t>
  </si>
  <si>
    <t xml:space="preserve">⁉️🤔 ❓Você sabe o que é PING?
O Ping é o tempo de resposta, que seu aparelho leva para acessar as informações dos servidores e retorna-las para você.
Tenha o melhor tempo de resposta com a Via 01, temos tecnologia de ponta, para melhor atender você!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
</t>
  </si>
  <si>
    <t>Dicas pro final de semana
Séries e filmes do momento
HBO
Netflix
Disney Plus
Globo Play</t>
  </si>
  <si>
    <t>👨‍👨‍👧‍👧🍿📽️ Prepare a pipoca que vai rolar aquele cinema em casa! 
Com a Via 01, você está sempre por dentro das novidades, para curtir o final de semana em casa, com sua família e amigos.
Venha se conectar com a Via 01!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</si>
  <si>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 xml:space="preserve">Volta às aulas é com a Via 01, a melhor internet !
</t>
  </si>
  <si>
    <t>📶🚀 Volta às aulas com a melhor internet! 
Seja presencial ou on-line, pode contar conosco!
Via 01, a melhor conexão de Borda da Mata!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</si>
  <si>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Não troque o certo pelo duvidoso  Internet + Suporte = Você Online</t>
  </si>
  <si>
    <t>O atendimento rápido, suporte remoto e presencial, ágilidade e Internet com a velocidade do jeito que sua casa ou empresa precisa estão aqui, na Via 01. 
Quem é cliente Via 01, já sabe que a cada dia nossa busca é constante para entregar o melhor! 🌍⚡
Nossa conexão é você!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</si>
  <si>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O que fazer em caso de chuvas ou apagões? Acompanhe na legenda</t>
  </si>
  <si>
    <t>⚡🌦️☔ Está chovendo muito forte e houve apagões no bairro em que você mora? Então veja essas dicas do que fazer neste caso. 
1- Retire aparelhos  da tomada;
2- Em caso de queda da conexão, desconecte seu roteador por 30 segundos da tomada e ligue-o novamente;
3- Caso a internet não volte aguarde por mais alguns minutos ou até tempestade passar. NUNCA pressione o botão reset do seu roteador;
4- Em caso de lentidão da conexão entre em contato com nosso suporte.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</si>
  <si>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Suporte técnico todos os dias!</t>
  </si>
  <si>
    <t>👏🏻🔝Só aqui na Via 01, você tem!
Suporte técnico todos os dias, de segunda a segunda, para melhor atender nossos clientes! 
⚠️‼️✅ Ficou sem conexão no final de semana ou feriado? Não se preocupe! É só mandar um WhatsApp para o numero (35) 9 9812-2445 que verificamos pra você!
Entre em contato conosco:
📞 (35) 3445–2719 ou (35) 99812-2445 (WhatsApp) — comercial@via01.com.br⠀⠀⠀⠀⠀⠀⠀
⠀⠀⠀⠀⠀⠀⠀⠀⠀⠀⠀⠀⠀⠀⠀ ⠀⠀⠀⠀⠀⠀⠀⠀⠀
via01.com.br⠀⠀⠀
⠀⠀⠀
#tenhavia01 #bordadamata #internet #planodeinternet #fibraoptica #velocidademaxima #wifi #ultrabandalarga #internetilimitada#bandalarga #internetfibraoptica #internetfibra #melhorinternet #provedordeinternet #internetrapida</t>
  </si>
  <si>
    <t>Muito mais Velocidade com preço justo!
Planos apartir de 79,90</t>
  </si>
  <si>
    <t xml:space="preserve"> 🏃🏻‍♀️🏃🏻 📶 Não perca a chance de ter a melhor internet fibra óptica, com garantia de velocidade e satisfação! 
Todos nossos planos já tem Roteador com Wi-Fi TOP incluso e instalação grátis. Você não gasta mais nada, somente a mensalidade!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
</t>
  </si>
  <si>
    <t>Via 01
Conecte-se conosco!</t>
  </si>
  <si>
    <t xml:space="preserve">🚀💫📶 Aqui na Via 01, você tem a melhor conexão de Borda da Mata. Tecnologia de ponta que garante velocidade, estabilidade e segurança.
Temos suporte técnico especializado todos dias, inclusive final de semana e feriados.
Assine já! Garanta uma internet realmente confiável!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
</t>
  </si>
  <si>
    <t xml:space="preserve">O Plano é ficar conectado!
Nós temos o melhor pra você
</t>
  </si>
  <si>
    <t xml:space="preserve">↗️🙋🏻📶 Sem burocracia, sem fidelidade, planos que atendem suas necessidades e conexão constante! Assine já!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
</t>
  </si>
  <si>
    <t>Carnaval mais conectado é com a Via 01!
Lives para cair na folia</t>
  </si>
  <si>
    <t xml:space="preserve">🥳🎉👯‍♂️O Carnaval chegou!!!
E já que não tem folia nas ruas.. Nós te deixamos mais conectados com as melhores lives que vão rolar!
Caia na folia, em casa. Com a internet Via 01, a melhor conexão de Borda da Mata!
Entre em contato conosco: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
</t>
  </si>
  <si>
    <t>Comece a Semana muito mais conectado!</t>
  </si>
  <si>
    <t xml:space="preserve">✨🚀 Internet de alta qualidade e com uma super velocidade que vai te surpreender!!⠀
Instalação gratuita, Wi-fi premium grátis e suporte todos os dias!
Vem pra Via 01!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
</t>
  </si>
  <si>
    <t>Conexão para empresas que não podem parar! Planos Empresariais de até 400 megas</t>
  </si>
  <si>
    <t>Instabilidade e Internet são duas palavras que não combinam. Isso porque, quando juntas, podem prejudicar e muito a produtividade e os lucros de uma empresa. 
Uma conexão lenta e com quedas regulares é capaz de causar grandes prejuízos, e interferir diretamente na produtividade dos colaboradores.
➡️ Quer evitar dor de cabeça?
A Via 01 tem planos adequados para sua empresa, garantindo velocidade, estabilidade, qualidade de acesso e suporte técnico especializado para empresas.
➡️ Faça uma cotação com a gente e conheça o plano ideal para a sua empresa.
📞 (35) 3445–2719 ou (35) 99812-2445 (WhatsApp) — comercial@via01.com.br⠀⠀⠀⠀⠀⠀⠀
⠀⠀⠀⠀⠀⠀⠀⠀⠀⠀⠀⠀⠀⠀⠀ ⠀⠀⠀⠀⠀⠀⠀⠀⠀
via01.com.br⠀⠀⠀
⠀⠀⠀
#tenhavia01 #bordadamata #internet #planodeinternet #fibraoptica #velocidademaxima #wifi #ultrabandalarga #internetilimitada #bandalarga #internetfibraoptica #internetfibra #melhorinternet #provedordeinternet #internetrapida #planodeinternet #fibraoptica #ultrabandalarga #wifi #internetfibra #planodeinternet #bordadamata #internetrapida #ultrabandalarga</t>
  </si>
  <si>
    <t xml:space="preserve">Tabela de indicaçao </t>
  </si>
  <si>
    <t>Escritorio Sinval 13/01/22</t>
  </si>
  <si>
    <t>Escritorio Sinval 04/01/22</t>
  </si>
  <si>
    <t>Principais reclamações</t>
  </si>
  <si>
    <t>Alcance de sinal na casa</t>
  </si>
  <si>
    <t>Internet caindo</t>
  </si>
  <si>
    <t>Oscilação</t>
  </si>
  <si>
    <t xml:space="preserve">Instabilidade </t>
  </si>
  <si>
    <t>Desconexão com celular</t>
  </si>
  <si>
    <t>problemas com a tv</t>
  </si>
  <si>
    <t>Mes Fevereiro</t>
  </si>
  <si>
    <t>Atendente</t>
  </si>
  <si>
    <t xml:space="preserve">Valor do titulo </t>
  </si>
  <si>
    <t xml:space="preserve">Valor com juros </t>
  </si>
  <si>
    <t xml:space="preserve">Valor pago pelo cliente </t>
  </si>
  <si>
    <t>Troco</t>
  </si>
  <si>
    <t>Tatiane</t>
  </si>
  <si>
    <t>Guilherme Silva Couto</t>
  </si>
  <si>
    <t>tatiane</t>
  </si>
  <si>
    <t>Anedina Maria daSilva</t>
  </si>
  <si>
    <t>(35)3445 - 1346</t>
  </si>
  <si>
    <t>(35)3445 - 1194</t>
  </si>
  <si>
    <t>(35)99853 - 7538</t>
  </si>
  <si>
    <t>(35)99880 - 8596</t>
  </si>
  <si>
    <t>(35)3445 - 2182</t>
  </si>
  <si>
    <t>(35)3445 - 1223</t>
  </si>
  <si>
    <t>(35)99908 - 6821</t>
  </si>
  <si>
    <t>(35)9898 - 7214</t>
  </si>
  <si>
    <t>(35)99934 - 3669</t>
  </si>
  <si>
    <t>(35)3445 - 1572</t>
  </si>
  <si>
    <t>(35)3445 - 1427</t>
  </si>
  <si>
    <t>(34)45 - 3063</t>
  </si>
  <si>
    <t>(35)3445 - 1301</t>
  </si>
  <si>
    <t>(35)3445 - 1628</t>
  </si>
  <si>
    <t>(35)3445 - 3144</t>
  </si>
  <si>
    <t>(35)99209 - 2730</t>
  </si>
  <si>
    <t>(35)99831 - 7015</t>
  </si>
  <si>
    <t>(35)99814 - 9889</t>
  </si>
  <si>
    <t>(35)3445 - 1048</t>
  </si>
  <si>
    <t>(35)99951 - 4567</t>
  </si>
  <si>
    <t>(35)99884 - 8112</t>
  </si>
  <si>
    <t>(11)98600 - 2175</t>
  </si>
  <si>
    <t>(35)9926 - 1985</t>
  </si>
  <si>
    <t>(35)99842 - 5374</t>
  </si>
  <si>
    <t>(35)9768 - 9571</t>
  </si>
  <si>
    <t>(35)99143 - 1176</t>
  </si>
  <si>
    <t>(35)3445 - 2566</t>
  </si>
  <si>
    <t>(35)99911 - 5607</t>
  </si>
  <si>
    <t>(35)3445 - 2174</t>
  </si>
  <si>
    <t>(11)8451 - 1297</t>
  </si>
  <si>
    <t>(35)99152 - 3184</t>
  </si>
  <si>
    <t>(35)99899 - 5951</t>
  </si>
  <si>
    <t>(35)99921 - 4151</t>
  </si>
  <si>
    <t>(35)99757 - 8297</t>
  </si>
  <si>
    <t>(35)99944 - 6539</t>
  </si>
  <si>
    <t>(35)99879 - 2857</t>
  </si>
  <si>
    <t>(35)99870 - 8631</t>
  </si>
  <si>
    <t>(35)99862 - 8212</t>
  </si>
  <si>
    <t>(35)99847 - 9580</t>
  </si>
  <si>
    <t>(35)9975 - 4853</t>
  </si>
  <si>
    <t>(35)99168 - 9086</t>
  </si>
  <si>
    <t>(35)99900 - 4151</t>
  </si>
  <si>
    <t>(19)99956 - 1987</t>
  </si>
  <si>
    <t>(35)99748 - 4154</t>
  </si>
  <si>
    <t>(35)98429 - 8950</t>
  </si>
  <si>
    <t>(35)99747 - 4057</t>
  </si>
  <si>
    <t>(35)99941 - 9843</t>
  </si>
  <si>
    <t>(35)99912 - 8049</t>
  </si>
  <si>
    <t>(11)99230 - 8407</t>
  </si>
  <si>
    <t>(35)99993 - 6160</t>
  </si>
  <si>
    <t>(35)99972 - 5904</t>
  </si>
  <si>
    <t>(35)99864 - 2083</t>
  </si>
  <si>
    <t>(35)344 - 5344</t>
  </si>
  <si>
    <t>(35)99897 - 6409</t>
  </si>
  <si>
    <t>(35)99805 - 6162</t>
  </si>
  <si>
    <t>(35)3445 - 2152</t>
  </si>
  <si>
    <t>(35)99936 - 7162</t>
  </si>
  <si>
    <t>(35)99904 - 8049</t>
  </si>
  <si>
    <t>(35)99855 - 6558</t>
  </si>
  <si>
    <t>(35)99191 - 3549</t>
  </si>
  <si>
    <t>(35)99754 - 0307</t>
  </si>
  <si>
    <t>(35)99169 - 3623</t>
  </si>
  <si>
    <t>(35)99964 - 6884</t>
  </si>
  <si>
    <t>(35)99767 - 3460</t>
  </si>
  <si>
    <t xml:space="preserve">EMPRESA               </t>
  </si>
  <si>
    <t>EMAIL</t>
  </si>
  <si>
    <t>Reponsável pelo T.I</t>
  </si>
  <si>
    <t>Feedback</t>
  </si>
  <si>
    <t xml:space="preserve">TECELAGEM SANTA RITA 26/04 </t>
  </si>
  <si>
    <t>3445- 1664</t>
  </si>
  <si>
    <t>comercialtextilmg@hotmail.com</t>
  </si>
  <si>
    <t>99209-9944</t>
  </si>
  <si>
    <t>Natanael</t>
  </si>
  <si>
    <t>35 9149-3784</t>
  </si>
  <si>
    <t>ligar no começo de abril, responsável está em viagem</t>
  </si>
  <si>
    <t>LARANA</t>
  </si>
  <si>
    <t>3445-1266</t>
  </si>
  <si>
    <t>brandaoanatereza@gmail.com</t>
  </si>
  <si>
    <t>Não atendeu no telefone fixo/ celular está errado</t>
  </si>
  <si>
    <t>VIBOTUR</t>
  </si>
  <si>
    <t>3445-1408</t>
  </si>
  <si>
    <t>vibotur@gmail.com</t>
  </si>
  <si>
    <t>99125-4193</t>
  </si>
  <si>
    <t>Cliente Via 01</t>
  </si>
  <si>
    <t>HOTEL VILLAGE</t>
  </si>
  <si>
    <t>3445- 1907</t>
  </si>
  <si>
    <t>hotelvillagemg@yahoo.com.br</t>
  </si>
  <si>
    <t> </t>
  </si>
  <si>
    <t>ARTESANAL TEARES LTDA.</t>
  </si>
  <si>
    <t>3445-1151</t>
  </si>
  <si>
    <t>artesanal@artesanalteares.com.br</t>
  </si>
  <si>
    <t>99978-5397</t>
  </si>
  <si>
    <t>SELARIA CURRAL</t>
  </si>
  <si>
    <t>3445-2035</t>
  </si>
  <si>
    <t>selariacurral@gmail.com</t>
  </si>
  <si>
    <t>99979-7593</t>
  </si>
  <si>
    <t>Rogerio</t>
  </si>
  <si>
    <t>falar com Rogério</t>
  </si>
  <si>
    <t>CONTÁBIL SANTOS E MACHADO</t>
  </si>
  <si>
    <t>3445- 1565</t>
  </si>
  <si>
    <t>contabilsantosemachado@hotmail.com</t>
  </si>
  <si>
    <t>99855-5368</t>
  </si>
  <si>
    <t>Madu</t>
  </si>
  <si>
    <t>35 9855-5368</t>
  </si>
  <si>
    <t xml:space="preserve">nao atendeu </t>
  </si>
  <si>
    <t>AUTO POSTO PETRO LIDER</t>
  </si>
  <si>
    <t>99916-9424</t>
  </si>
  <si>
    <t>autopostopetrolider@yahoo.com</t>
  </si>
  <si>
    <t>Valéria</t>
  </si>
  <si>
    <t>Cliente pede pra ligar  no inicio da próxima semana 21/03</t>
  </si>
  <si>
    <t>TRANSBORDA  TURISMO</t>
  </si>
  <si>
    <t>99967-2514</t>
  </si>
  <si>
    <t>TOP SYSTEMS INFORMATICA CONTÁBIL</t>
  </si>
  <si>
    <t>3445-1344</t>
  </si>
  <si>
    <t>contabilidade_icms@yahoo.com.br</t>
  </si>
  <si>
    <t>99818-8311</t>
  </si>
  <si>
    <t>VOLPE TEXTIL</t>
  </si>
  <si>
    <t>99853-1689</t>
  </si>
  <si>
    <t>andre@volpetextil.com</t>
  </si>
  <si>
    <t>quer desconto no ponto pessoa fisica</t>
  </si>
  <si>
    <t>MASSAS TIA LOURDES</t>
  </si>
  <si>
    <t>3445-1720</t>
  </si>
  <si>
    <t>grupotialourdes@yahoo.com.br</t>
  </si>
  <si>
    <t>99141-0404</t>
  </si>
  <si>
    <t>Marquinhos</t>
  </si>
  <si>
    <t>Ligar e falar com Marquinhos</t>
  </si>
  <si>
    <t>COLÉGIO NOSSA SRA DO CARMO</t>
  </si>
  <si>
    <t>3445-1375</t>
  </si>
  <si>
    <t>AUTO POSTO ESTRELA DA MATA</t>
  </si>
  <si>
    <t>3445-1662</t>
  </si>
  <si>
    <t>autoposto.estrela@yahoo.com.br</t>
  </si>
  <si>
    <t>Não tem</t>
  </si>
  <si>
    <t>Sem fibra óptica no local</t>
  </si>
  <si>
    <t>BEMA CONFECÇÕES</t>
  </si>
  <si>
    <t>3445-2527</t>
  </si>
  <si>
    <t>bema.adm@hotmail.com</t>
  </si>
  <si>
    <t>99883-5763</t>
  </si>
  <si>
    <t>Flávio</t>
  </si>
  <si>
    <t>Ligar no fixo e falar diretamente (pedir para transferir para Flávio)</t>
  </si>
  <si>
    <t>BERNARDO REPRESENTAÇÕES</t>
  </si>
  <si>
    <t>3445-1939</t>
  </si>
  <si>
    <t>bercarvalho65@yahoo.com.br</t>
  </si>
  <si>
    <t>99977-7143</t>
  </si>
  <si>
    <t>Bernardo</t>
  </si>
  <si>
    <t>disse que não tem interesse porem pode ligar</t>
  </si>
  <si>
    <t>PEREIRA REPRESENTAÇÕES</t>
  </si>
  <si>
    <t>3445-1810</t>
  </si>
  <si>
    <t>pereiravendasmg@gmail.com</t>
  </si>
  <si>
    <t>99868-2299</t>
  </si>
  <si>
    <t>POZINHO AUTO CENTER</t>
  </si>
  <si>
    <t>99832-5086</t>
  </si>
  <si>
    <t>pozinho179@gmail.com</t>
  </si>
  <si>
    <t>MINI MERCADO SANTA TEREZINHA</t>
  </si>
  <si>
    <t>99869-5238</t>
  </si>
  <si>
    <t>camilacassia19@yahoo.com.br</t>
  </si>
  <si>
    <t xml:space="preserve">Camila </t>
  </si>
  <si>
    <t xml:space="preserve">telefone nao existe, mais a taty tinha o telefone dela </t>
  </si>
  <si>
    <t>SUPERMERCADO N SRA APARECIDA</t>
  </si>
  <si>
    <t>3445-1847</t>
  </si>
  <si>
    <t>super.nossa.sra.aparecida@hotmail.com</t>
  </si>
  <si>
    <t>99149-9353</t>
  </si>
  <si>
    <t>IPÊ, PISOS, TINTAS E ACABAMENTOS</t>
  </si>
  <si>
    <t>3445- 1614</t>
  </si>
  <si>
    <t>ipetintasecabamentos@hotmail.com</t>
  </si>
  <si>
    <t>99859-9078</t>
  </si>
  <si>
    <t>Carolina</t>
  </si>
  <si>
    <t xml:space="preserve">Entrar em contato com Carolina </t>
  </si>
  <si>
    <t>ART'S VIDEO ELETROMOVEIS</t>
  </si>
  <si>
    <t>3445-1294</t>
  </si>
  <si>
    <t>artsvideo@hotmail.com</t>
  </si>
  <si>
    <t>99177-1314</t>
  </si>
  <si>
    <t>Breno /Tulio</t>
  </si>
  <si>
    <t>3445-1748</t>
  </si>
  <si>
    <t>Cliente pede pra falar com Breno ou Tulio</t>
  </si>
  <si>
    <t>Cliente tem 4 pontos a 100,00</t>
  </si>
  <si>
    <t>C&amp;C TECNOLOGIA DE INFORMAÇÃO E RASTREAMENTO</t>
  </si>
  <si>
    <t>99966-6266</t>
  </si>
  <si>
    <t>celio-cabral@hotmail.com</t>
  </si>
  <si>
    <t>CONEXÃO BM TELECOMUNICAÇÃO</t>
  </si>
  <si>
    <t>99915-8406</t>
  </si>
  <si>
    <t>moginetborda@hotmail.com</t>
  </si>
  <si>
    <t>99951-8406</t>
  </si>
  <si>
    <t>SICOOB CREDIVASS</t>
  </si>
  <si>
    <t>3445-3728</t>
  </si>
  <si>
    <t>joshua14.8b@hotmail.com</t>
  </si>
  <si>
    <t>99724-7626</t>
  </si>
  <si>
    <t>PADARIA FLOR DA MATA</t>
  </si>
  <si>
    <t>3445-1830</t>
  </si>
  <si>
    <t>pcflordamata@yahoo.com.br</t>
  </si>
  <si>
    <t>99961-5054</t>
  </si>
  <si>
    <t>Celio</t>
  </si>
  <si>
    <t>Falar com Celio, Cliente usa Hardonline , mas provavelmente troca pq já faz uso em sua casa</t>
  </si>
  <si>
    <t>TECIDOS CONFIANÇA</t>
  </si>
  <si>
    <t>3445-1983</t>
  </si>
  <si>
    <t>tearts@gmail.com         tecidosconfianca@gmail.com</t>
  </si>
  <si>
    <t>Cely</t>
  </si>
  <si>
    <t>LUA CHEIA</t>
  </si>
  <si>
    <t>3445-1896</t>
  </si>
  <si>
    <t>pijamasluacheia@pijamasluacheia.com.br</t>
  </si>
  <si>
    <t>99802-3140</t>
  </si>
  <si>
    <t>Antonio</t>
  </si>
  <si>
    <t>Pedir pra falar com Antono</t>
  </si>
  <si>
    <t>PIJAMAS ARCO - IRIS</t>
  </si>
  <si>
    <t>3445-1767</t>
  </si>
  <si>
    <t>arcoiris@pijamasarcoiris.com.br</t>
  </si>
  <si>
    <t>99993-0005</t>
  </si>
  <si>
    <t xml:space="preserve">Maria </t>
  </si>
  <si>
    <t>3445-1265</t>
  </si>
  <si>
    <t>Falar com Maria 7:00 as 17:00</t>
  </si>
  <si>
    <t>COMERCIAL TAMOYO</t>
  </si>
  <si>
    <t>3445-1622</t>
  </si>
  <si>
    <t>tamoyo2005@yahoo.com.br</t>
  </si>
  <si>
    <t>99905-1147</t>
  </si>
  <si>
    <t>CONFECÇÃO H2O</t>
  </si>
  <si>
    <t>3445-2014 / 3445-1132 (LOJA)</t>
  </si>
  <si>
    <t>h2o@confeccaoh2o.com.br</t>
  </si>
  <si>
    <t>Sebastião Carlos</t>
  </si>
  <si>
    <t>3445-2014</t>
  </si>
  <si>
    <t xml:space="preserve">Ligar no fixo e falar com Sebastão Carlos </t>
  </si>
  <si>
    <t>CONSULTORIO ONDONTOLOGICO DR. JULIO CESAR DOS SANTOS</t>
  </si>
  <si>
    <t>92000-4158</t>
  </si>
  <si>
    <t>jcodontologia@outlook.com</t>
  </si>
  <si>
    <t>Julio</t>
  </si>
  <si>
    <t>Ligar na parte da manhã e falar com Julio</t>
  </si>
  <si>
    <t>CONSTRUBORDA</t>
  </si>
  <si>
    <t>99953-1110</t>
  </si>
  <si>
    <t>construborda01@gmail.com</t>
  </si>
  <si>
    <t>EFETIVA ENGENHARIA AMBIENTAL</t>
  </si>
  <si>
    <t>3445-3749</t>
  </si>
  <si>
    <t>anderson@efetivaengenharia.com</t>
  </si>
  <si>
    <t>9.9838-3964</t>
  </si>
  <si>
    <t xml:space="preserve">nao atendeu/ cliente desligou o telefone </t>
  </si>
  <si>
    <t>TÊXTIL MACHADO</t>
  </si>
  <si>
    <t>3445-2406</t>
  </si>
  <si>
    <t>toqueideal2009@hotmail.com</t>
  </si>
  <si>
    <t>Adalgisa</t>
  </si>
  <si>
    <t>Cliente disse que não tem interesse de estar mudando</t>
  </si>
  <si>
    <t>DANY CAKES</t>
  </si>
  <si>
    <t>99917-8756</t>
  </si>
  <si>
    <t>daniela julidori@hotmail.com</t>
  </si>
  <si>
    <t>DS TRICOT</t>
  </si>
  <si>
    <t>99976-1047</t>
  </si>
  <si>
    <t>davidsamuel1997@icloud.com</t>
  </si>
  <si>
    <t>DROGARIA DROGANOSSA</t>
  </si>
  <si>
    <t>3445-2469</t>
  </si>
  <si>
    <t>drogariadroganossa@hotmail.com</t>
  </si>
  <si>
    <t>99890-5890</t>
  </si>
  <si>
    <t>INTERFACE TECNOLOGIA DA INFORMAÇÃO</t>
  </si>
  <si>
    <t>3445-2005</t>
  </si>
  <si>
    <t>interface.tecnologia@yahoo.com.br</t>
  </si>
  <si>
    <t>99917-6332</t>
  </si>
  <si>
    <t>Diego</t>
  </si>
  <si>
    <t>3599917-6332</t>
  </si>
  <si>
    <t>Falar com Diego</t>
  </si>
  <si>
    <t xml:space="preserve">ESD COMÉCIO, SERVIÇOS E REPRESENTAÇÕES </t>
  </si>
  <si>
    <t>99961-0160</t>
  </si>
  <si>
    <t>edison_lima_filho@hotmail.com</t>
  </si>
  <si>
    <t>99957-0916</t>
  </si>
  <si>
    <t>ESTILLO CONFECÇÃO</t>
  </si>
  <si>
    <t>3445-2859</t>
  </si>
  <si>
    <t>ivonealmeida@hotmail.com</t>
  </si>
  <si>
    <t>Ivone</t>
  </si>
  <si>
    <t>Cliente é irmã do Marcos Eletrosat, não tem intenção de mudar</t>
  </si>
  <si>
    <t>SPAÇO IDEAL</t>
  </si>
  <si>
    <t>3445-1537</t>
  </si>
  <si>
    <t>spacoidealborda@gmail.com</t>
  </si>
  <si>
    <t>99827-3928</t>
  </si>
  <si>
    <t>Ednalva</t>
  </si>
  <si>
    <t>Cliente não tem interesse de trocar de provedor</t>
  </si>
  <si>
    <t>liguei dia 25/04 nao quer mesmo</t>
  </si>
  <si>
    <t>ESTILO ÚNICO</t>
  </si>
  <si>
    <t>99874-8854</t>
  </si>
  <si>
    <t>morais.fifi1973@gmail.com</t>
  </si>
  <si>
    <t>Wenderson</t>
  </si>
  <si>
    <t>Ciente não quis passar nenhum contato e não tem interesse</t>
  </si>
  <si>
    <t>AZZURE DECORAÇÕES</t>
  </si>
  <si>
    <t>3445-1048</t>
  </si>
  <si>
    <t>adm.azzure@gmail.com</t>
  </si>
  <si>
    <t>98405-0911</t>
  </si>
  <si>
    <t>Ciente Via 01</t>
  </si>
  <si>
    <t>REALCE MODAS</t>
  </si>
  <si>
    <t>3445-1156</t>
  </si>
  <si>
    <t>realce-modas@hotmail.com</t>
  </si>
  <si>
    <t xml:space="preserve">Vitor </t>
  </si>
  <si>
    <t>Entrar em contato das 13:00 as 14:00</t>
  </si>
  <si>
    <t>ESTILO MARMORARIA</t>
  </si>
  <si>
    <t>3445-1971</t>
  </si>
  <si>
    <t>gilmar@estilomarmoraria.com.br    vilton@estilomarmoraria.com.br</t>
  </si>
  <si>
    <t>99945-7572</t>
  </si>
  <si>
    <t xml:space="preserve">FARMÁCIA ESTRELA DA MATA </t>
  </si>
  <si>
    <t>3445-1311</t>
  </si>
  <si>
    <t>farmaciaestreladamata@yahoo.com.br</t>
  </si>
  <si>
    <t>DROGARIA AMERICANA</t>
  </si>
  <si>
    <t>3445-2870</t>
  </si>
  <si>
    <t xml:space="preserve">  patricia_duarte@hotmail.com</t>
  </si>
  <si>
    <t>98448-6880</t>
  </si>
  <si>
    <t>PET &amp; VET</t>
  </si>
  <si>
    <t>3445-1761</t>
  </si>
  <si>
    <t>zeaugustovet@gmail.com</t>
  </si>
  <si>
    <t>FARMACIA SANTA IZABEL</t>
  </si>
  <si>
    <t>3445-1914</t>
  </si>
  <si>
    <t>farmaciasantaizabel@hotmail.com</t>
  </si>
  <si>
    <t xml:space="preserve">Bel </t>
  </si>
  <si>
    <t>(cliente não atende telefone)</t>
  </si>
  <si>
    <t>TEARES NORDESTE</t>
  </si>
  <si>
    <t>3445-3022</t>
  </si>
  <si>
    <t>FERNANDA LIMA DE MOURA</t>
  </si>
  <si>
    <t>3445-2467</t>
  </si>
  <si>
    <t>fernandalmalves2018@gmail.com</t>
  </si>
  <si>
    <t>Telefone só dá ocupado</t>
  </si>
  <si>
    <t>SORVETES E AÇAI BRU ICE</t>
  </si>
  <si>
    <t>3445-2221</t>
  </si>
  <si>
    <t>chagas.nanda@yahoo.com.br</t>
  </si>
  <si>
    <t>99922-2306</t>
  </si>
  <si>
    <t>Bruno</t>
  </si>
  <si>
    <t>Tem uma cortesia pois cede um espaço em seu sitio para torre de outro provedor</t>
  </si>
  <si>
    <t>MATTOS CALÇADOS</t>
  </si>
  <si>
    <t>franca@mattoscalcados.com.br</t>
  </si>
  <si>
    <t>98852-5331</t>
  </si>
  <si>
    <t>Anderson</t>
  </si>
  <si>
    <t>Falar com Anderson</t>
  </si>
  <si>
    <t>FRIGORIFICO FRIGOMATA</t>
  </si>
  <si>
    <t>3445-1833</t>
  </si>
  <si>
    <t xml:space="preserve">         adm.frigomata@hotmail.com</t>
  </si>
  <si>
    <t>99919-4040</t>
  </si>
  <si>
    <t>Cristina</t>
  </si>
  <si>
    <t>Falar com Cristina</t>
  </si>
  <si>
    <t>GAMMA TÊXTIL</t>
  </si>
  <si>
    <t>3445-1066</t>
  </si>
  <si>
    <t>gammatextil@hotmail.com</t>
  </si>
  <si>
    <t>PANIFICADORA REAL</t>
  </si>
  <si>
    <t>3445-2161</t>
  </si>
  <si>
    <t>panificadorarealborda@hotmail.com</t>
  </si>
  <si>
    <t>Galiano</t>
  </si>
  <si>
    <t>Responsável pela internet só está na parte da manhã</t>
  </si>
  <si>
    <t>BMC APOIO EMPRESARIAL</t>
  </si>
  <si>
    <t>3445-2907</t>
  </si>
  <si>
    <t>bmccontabilidade@yahoo.com.br</t>
  </si>
  <si>
    <t>Geraldo</t>
  </si>
  <si>
    <t>Falar com Geraldo</t>
  </si>
  <si>
    <t>GRÁFICA TIRADENTES</t>
  </si>
  <si>
    <t>3445-1253</t>
  </si>
  <si>
    <t>gtiradentes@hotmail.com</t>
  </si>
  <si>
    <t>99963-6868</t>
  </si>
  <si>
    <t>BIO CAMPO AGROPECUÁRIA E VETERINÁRIA  LTDA</t>
  </si>
  <si>
    <t>3445-1566</t>
  </si>
  <si>
    <t>guilherme_vbbento@hotmail.com</t>
  </si>
  <si>
    <t>99827-7801</t>
  </si>
  <si>
    <t xml:space="preserve">Guilherme </t>
  </si>
  <si>
    <t>CONSULTÓRIO ODONTOLOGICO DR GUILHERME VITORINO DE FIGUEIRDO</t>
  </si>
  <si>
    <t>99838-6230</t>
  </si>
  <si>
    <t>g.aodontologiabm@gmail.com</t>
  </si>
  <si>
    <t>HOKO REPRESENTAÇÕES ASSESSORIA E NEGOCIO</t>
  </si>
  <si>
    <t>99895-8655</t>
  </si>
  <si>
    <t>lucas.hoko@hotmail.com</t>
  </si>
  <si>
    <t>LATICÍNIO MINAS LACTO</t>
  </si>
  <si>
    <t>3445-5081</t>
  </si>
  <si>
    <t>laticiniominaslacto@yahoo.com.br</t>
  </si>
  <si>
    <t>99944-8310</t>
  </si>
  <si>
    <t>Telefone só dá ocupado/ e celular caixa postal</t>
  </si>
  <si>
    <t>IMPACTO MODAS LTDA</t>
  </si>
  <si>
    <t>3445-3011</t>
  </si>
  <si>
    <t>fernandamiracouto@yahoo.com.br</t>
  </si>
  <si>
    <t>99977-0377</t>
  </si>
  <si>
    <t xml:space="preserve">Fernanda </t>
  </si>
  <si>
    <t>35 9927-5462</t>
  </si>
  <si>
    <t>telefone nao existe, Taty tinha o telefone da dona</t>
  </si>
  <si>
    <t>IMPERIO DA CONSTRUÇÃO</t>
  </si>
  <si>
    <t>3445-1350</t>
  </si>
  <si>
    <t>imperioconstrucao@hotmail.com</t>
  </si>
  <si>
    <t>99144-6511</t>
  </si>
  <si>
    <t>Valdomiro ou Juliano</t>
  </si>
  <si>
    <t>Falar com o dono Valdomiro ou Juliano</t>
  </si>
  <si>
    <t>IPÊ IND. E COM</t>
  </si>
  <si>
    <t>3445-1413</t>
  </si>
  <si>
    <t>comercial@ipelajes.com.br       finaceiro@ypelages.con,br</t>
  </si>
  <si>
    <t>99918-1748</t>
  </si>
  <si>
    <t>Falar com Carol</t>
  </si>
  <si>
    <t>TEL SUL</t>
  </si>
  <si>
    <t>3445-1394</t>
  </si>
  <si>
    <t>contato@telsulengenharia.com.br</t>
  </si>
  <si>
    <t>99817-5964</t>
  </si>
  <si>
    <t>GÁS DO JAIRINHO</t>
  </si>
  <si>
    <t>3445-1659</t>
  </si>
  <si>
    <t>gasdojairinho@hotmail.com</t>
  </si>
  <si>
    <t>3445-1285</t>
  </si>
  <si>
    <t>isa_joia@hotmail.com</t>
  </si>
  <si>
    <t xml:space="preserve">nao existe </t>
  </si>
  <si>
    <t>Jasiel</t>
  </si>
  <si>
    <t>Cliente ficou interessado, porém acha mais interessante uma visita na empresa e falar com ele pessoalmente</t>
  </si>
  <si>
    <t>COMPANHIA DO PIJAMA</t>
  </si>
  <si>
    <t>3445-1146</t>
  </si>
  <si>
    <t>companhiadopijama@hotmail.com</t>
  </si>
  <si>
    <t>99136-2037</t>
  </si>
  <si>
    <t>Jason</t>
  </si>
  <si>
    <t xml:space="preserve">Falar com Jason, cliente estará aguardando a ligação </t>
  </si>
  <si>
    <t>JOSE EDUARDO TEIXEIRA MENDES</t>
  </si>
  <si>
    <t>99961-1639</t>
  </si>
  <si>
    <t>joelmafigueiredo9@gmail.com</t>
  </si>
  <si>
    <t>FARMACIA SÃO JOSE</t>
  </si>
  <si>
    <t>3445-1301</t>
  </si>
  <si>
    <t>fsjbm@yahoo.com.br</t>
  </si>
  <si>
    <t>José Gaspar</t>
  </si>
  <si>
    <t>9842-3491</t>
  </si>
  <si>
    <t>Falar com José Gaspar</t>
  </si>
  <si>
    <t>JULIANA DO CARMO MORAIS MATINS</t>
  </si>
  <si>
    <t>99729-9909</t>
  </si>
  <si>
    <t>COSTURARTE</t>
  </si>
  <si>
    <t>99131-7020</t>
  </si>
  <si>
    <t>juliana.costurarte@gmail.com</t>
  </si>
  <si>
    <t>Cliente não tem interesse pediu pra não ligar</t>
  </si>
  <si>
    <t>MAGAZINE ALMEIDA</t>
  </si>
  <si>
    <t>99969-7073</t>
  </si>
  <si>
    <t>sergioalmeidabm@gmail.com</t>
  </si>
  <si>
    <t>Sergio</t>
  </si>
  <si>
    <t>pode entrar em contato</t>
  </si>
  <si>
    <t>LORENA MODA INTIMA</t>
  </si>
  <si>
    <t>99875-5850</t>
  </si>
  <si>
    <t>lorenamodaintima2017@hotmail.com</t>
  </si>
  <si>
    <t>LABORATOTRIO ANALISYS</t>
  </si>
  <si>
    <t xml:space="preserve">3445-2148 </t>
  </si>
  <si>
    <t>gerencia.analasy@hotmail.com</t>
  </si>
  <si>
    <t>99832-1625</t>
  </si>
  <si>
    <t xml:space="preserve">Marilia </t>
  </si>
  <si>
    <t>LELEKA PIJAMAS</t>
  </si>
  <si>
    <t>3445-2874</t>
  </si>
  <si>
    <t>contato@lelekapijamas.com.br</t>
  </si>
  <si>
    <t>99971-8038</t>
  </si>
  <si>
    <t>LUCATELLI VEICULOS</t>
  </si>
  <si>
    <t>3445-2197</t>
  </si>
  <si>
    <t>lucatelliveiculos@yahoo.com.br</t>
  </si>
  <si>
    <t>LATICINIO SÃO LUIZ</t>
  </si>
  <si>
    <t>3445-2189</t>
  </si>
  <si>
    <t>mlsbuza@hotmail.com</t>
  </si>
  <si>
    <t>99948-9360</t>
  </si>
  <si>
    <t>CASA IDEAL MATERIAL DE CONSTRUÇÃO</t>
  </si>
  <si>
    <t>3592-0044</t>
  </si>
  <si>
    <t>luizpa06@hotmail.com</t>
  </si>
  <si>
    <t>99821-8608</t>
  </si>
  <si>
    <t>CASA RURAL</t>
  </si>
  <si>
    <t>3441-5009 /1458</t>
  </si>
  <si>
    <t>neihardonlinej.mira@hotmail.com</t>
  </si>
  <si>
    <t>9.9879-5133</t>
  </si>
  <si>
    <t>CENTRO DE ESTÉTICA MILA RIBEIRO</t>
  </si>
  <si>
    <t>3445-2023</t>
  </si>
  <si>
    <t>emiliasantosribeiro@hotmail.com</t>
  </si>
  <si>
    <t>99161-8363</t>
  </si>
  <si>
    <t xml:space="preserve">ÓTICA BOA VISÃO </t>
  </si>
  <si>
    <t>3445-2186</t>
  </si>
  <si>
    <t>marciacristinamota@yahoo.com.br</t>
  </si>
  <si>
    <t xml:space="preserve">Não tem interesse de mudar, se precisar entrará em contato </t>
  </si>
  <si>
    <t>MARCIA HELENA DA SILVA MOTA</t>
  </si>
  <si>
    <t>99188-5986</t>
  </si>
  <si>
    <t>marciahelenasilvamota@yahoo.com.br</t>
  </si>
  <si>
    <t>GALCAR CENTRO AUTOMOTIVO</t>
  </si>
  <si>
    <t>3445-5561</t>
  </si>
  <si>
    <t>galcar@bol.com.br</t>
  </si>
  <si>
    <t xml:space="preserve">ELETRO SAT </t>
  </si>
  <si>
    <t>3445-3085</t>
  </si>
  <si>
    <t>equipeeletrosat@gmail.com</t>
  </si>
  <si>
    <t>PIJAMAS MARTINS</t>
  </si>
  <si>
    <t>martinspijamas@yahoo.com.br</t>
  </si>
  <si>
    <t>Sr Joao</t>
  </si>
  <si>
    <t>Ligar e falar com Sr João</t>
  </si>
  <si>
    <t xml:space="preserve">DALGISA HELENA MACHADO </t>
  </si>
  <si>
    <t>99945-3375</t>
  </si>
  <si>
    <t>o mem que o  Rogerio Moro</t>
  </si>
  <si>
    <t>MAGAZINE DOS ÓCULOS</t>
  </si>
  <si>
    <t>3445-2872</t>
  </si>
  <si>
    <t>magazinedosoculos@gmail.com</t>
  </si>
  <si>
    <t xml:space="preserve">Rodrigo </t>
  </si>
  <si>
    <t>magazinedosoculos@gmail.com        nao é autorizada a passar o contato</t>
  </si>
  <si>
    <t>MALU INTIMIDADE</t>
  </si>
  <si>
    <t>3445-3777</t>
  </si>
  <si>
    <t>lourdesmalu2009@hotmail.com</t>
  </si>
  <si>
    <t>Lurdes</t>
  </si>
  <si>
    <t xml:space="preserve">ja tem um ponto com a gente </t>
  </si>
  <si>
    <t>MARIA DO CARMO MOREIRA</t>
  </si>
  <si>
    <t>3445-1412</t>
  </si>
  <si>
    <t>bebecruzeiro@hotmail.com</t>
  </si>
  <si>
    <t>99761-3331</t>
  </si>
  <si>
    <t>nao atende</t>
  </si>
  <si>
    <t>COTOCA CALÇADOS</t>
  </si>
  <si>
    <t>3445-1088</t>
  </si>
  <si>
    <t>cotocacalcados@yahoo.com.br</t>
  </si>
  <si>
    <t>RESTAURANTE E CHURRASCARIA ESTRELA DA MATA</t>
  </si>
  <si>
    <t>9149-9038</t>
  </si>
  <si>
    <t>mauricioribaslied@hotmail.com</t>
  </si>
  <si>
    <t>99988-0675</t>
  </si>
  <si>
    <t>KITAL DECORAÇÕES</t>
  </si>
  <si>
    <t>3445-3069</t>
  </si>
  <si>
    <t>atendimento.kitaldecoracoes@gmail.com</t>
  </si>
  <si>
    <t>99129-0500</t>
  </si>
  <si>
    <t>MINI MERCADO IRMÃOS MACHADOS</t>
  </si>
  <si>
    <t>3445-1157</t>
  </si>
  <si>
    <t>sm-machado@hotmail.com</t>
  </si>
  <si>
    <t>BORDARTES MODA CASA</t>
  </si>
  <si>
    <t>3445-2792</t>
  </si>
  <si>
    <t>andreia@tecelagembordartes.com.br</t>
  </si>
  <si>
    <t xml:space="preserve">Andrea </t>
  </si>
  <si>
    <t>35 8425-4543</t>
  </si>
  <si>
    <t>Cliente agradeceu mas não quis agendar visita pois est´contente com a internet Logic link</t>
  </si>
  <si>
    <t>MOREIRA MORENO</t>
  </si>
  <si>
    <t>3445-1117</t>
  </si>
  <si>
    <t>gabriel_moreira@adv.aobmg.org.br</t>
  </si>
  <si>
    <t>99125-6260</t>
  </si>
  <si>
    <t>FINA FLOR BY NATÁLIA BRANDÃO</t>
  </si>
  <si>
    <t>3445-2303</t>
  </si>
  <si>
    <t>boutiquefinaflor@yahoo.com.br</t>
  </si>
  <si>
    <t>Denise</t>
  </si>
  <si>
    <t>SIMAC CONTABILIDADE &amp; IMOBILIARIA</t>
  </si>
  <si>
    <t>3445-1504</t>
  </si>
  <si>
    <t>simac@crcmg.org.br     contabilsimac@gmail.com</t>
  </si>
  <si>
    <t>99804-4823</t>
  </si>
  <si>
    <t>OTAVIO MARIANO MENDES</t>
  </si>
  <si>
    <t>99923-5839</t>
  </si>
  <si>
    <t>PADUA &amp; SILVA REPRESENTAÇÕES</t>
  </si>
  <si>
    <t>3445-1705</t>
  </si>
  <si>
    <t>michelssonbento@yahoo.com.br</t>
  </si>
  <si>
    <t>99157-6226</t>
  </si>
  <si>
    <t>CIA DA CORTINA</t>
  </si>
  <si>
    <t>3445- 1085</t>
  </si>
  <si>
    <t>pcjunior.rep@gmail.com</t>
  </si>
  <si>
    <t>99880-5802</t>
  </si>
  <si>
    <t>I.C.A.M ADRIANA LTDA</t>
  </si>
  <si>
    <t>3445-1450</t>
  </si>
  <si>
    <t>adriana@icamadriana.com.br</t>
  </si>
  <si>
    <t>9.9978-6848</t>
  </si>
  <si>
    <t>ELETRONICA MARQUES MUSIC POINT</t>
  </si>
  <si>
    <t>3445-3600</t>
  </si>
  <si>
    <t>pauloantoniod@yahoo.com.br</t>
  </si>
  <si>
    <t>PINGO D' LÃ MALHAS</t>
  </si>
  <si>
    <t>99830-6954</t>
  </si>
  <si>
    <t>manuelfv.filho@yahoo.com.br</t>
  </si>
  <si>
    <t>caixa postal</t>
  </si>
  <si>
    <t>PATTY MALHAS</t>
  </si>
  <si>
    <t>3445-1626</t>
  </si>
  <si>
    <t>pattymalhas@uol.com.br</t>
  </si>
  <si>
    <t>PRONTO PET SERVIÇOS VETERINARIOS EIRELI</t>
  </si>
  <si>
    <t>99121-6040</t>
  </si>
  <si>
    <t>Sonia Costa</t>
  </si>
  <si>
    <t>nao mora mais aqui</t>
  </si>
  <si>
    <t>PANIFICADORA E LANCHONETE PRIMOR</t>
  </si>
  <si>
    <t>3445-1727</t>
  </si>
  <si>
    <t>+55 35 99195-6448</t>
  </si>
  <si>
    <t>ANATEX IND. E COM. LTDA</t>
  </si>
  <si>
    <t>3445-4450</t>
  </si>
  <si>
    <t>comercial@anatexdecoracoes.com.br</t>
  </si>
  <si>
    <t>Não Tem</t>
  </si>
  <si>
    <t>COMERCIAL ESTRELA DO SUL LTDA  (CESUL)</t>
  </si>
  <si>
    <t>3445-1162</t>
  </si>
  <si>
    <t>smcesul@yahoo.com.br</t>
  </si>
  <si>
    <t>ROGERIO MORO</t>
  </si>
  <si>
    <t>99252-4444</t>
  </si>
  <si>
    <t>rogerio.toqueideal@hotmail.com</t>
  </si>
  <si>
    <t>99173-3320</t>
  </si>
  <si>
    <t>LEVELS ESCOLA DE INGLÊS</t>
  </si>
  <si>
    <t>99833-3144</t>
  </si>
  <si>
    <t>levelsbordadamata@gmail.com</t>
  </si>
  <si>
    <t>RD MODAS</t>
  </si>
  <si>
    <t>9808-3713</t>
  </si>
  <si>
    <t>rosemarcouto@hotmail.com</t>
  </si>
  <si>
    <t>99808-3713</t>
  </si>
  <si>
    <t>Rosa</t>
  </si>
  <si>
    <t>35 9808-3713</t>
  </si>
  <si>
    <t>BANHO E TOSA ESPELHO MAGICO</t>
  </si>
  <si>
    <t>99806-0666</t>
  </si>
  <si>
    <t>karinamarques885@htmail.com</t>
  </si>
  <si>
    <t xml:space="preserve">Samuel </t>
  </si>
  <si>
    <t>não tem interesse em trocar</t>
  </si>
  <si>
    <t>USINA SANTA TEREZINHA</t>
  </si>
  <si>
    <t>9141-1551</t>
  </si>
  <si>
    <t>tataoeletricista@hotmail.com</t>
  </si>
  <si>
    <t xml:space="preserve">99141-2469 </t>
  </si>
  <si>
    <t>LD MODA INFANTIL</t>
  </si>
  <si>
    <t>3445-1725</t>
  </si>
  <si>
    <t>dorisprsantana@hotmail.com</t>
  </si>
  <si>
    <t>99942-6702</t>
  </si>
  <si>
    <t>AGRO MAQUINAS TRATORES E IMPLEMENTOS AGRICOLAS LTDA</t>
  </si>
  <si>
    <t>3445-1093</t>
  </si>
  <si>
    <t>agromaquinastratores@hotmail.com</t>
  </si>
  <si>
    <t>99978-5122</t>
  </si>
  <si>
    <t>9901-9533</t>
  </si>
  <si>
    <t>SUPERMERCADO BALEIA</t>
  </si>
  <si>
    <t>filial01@supermercadobaleia.com.br</t>
  </si>
  <si>
    <t xml:space="preserve"> (11) 9958852103</t>
  </si>
  <si>
    <t xml:space="preserve">Clienre só muda se atender as loja das outras cidades vizinhas </t>
  </si>
  <si>
    <t>BATOM ROSA STUDIO DE BELEZA</t>
  </si>
  <si>
    <t>99926-5587</t>
  </si>
  <si>
    <t>tatianesantosv3@hotmail.com</t>
  </si>
  <si>
    <t xml:space="preserve">nao atende, esta prester a ganhar nenem </t>
  </si>
  <si>
    <t>TEARES MOREIRA</t>
  </si>
  <si>
    <t>3445-3238</t>
  </si>
  <si>
    <t>tearesmoreira@gmail.com</t>
  </si>
  <si>
    <t xml:space="preserve">Ana Claudia </t>
  </si>
  <si>
    <t>TECELAGEM BORDA TEXTIL</t>
  </si>
  <si>
    <t>3445-2627</t>
  </si>
  <si>
    <t>tecelagembordatextil@gmail.com</t>
  </si>
  <si>
    <t>SEFEX BM</t>
  </si>
  <si>
    <t>3445-1809</t>
  </si>
  <si>
    <t>funeraria.gruposefex@gmail.com</t>
  </si>
  <si>
    <t>Michely</t>
  </si>
  <si>
    <t>Falar com Michely, preferencialmente no periodo da tarde (por volta das 16 h)</t>
  </si>
  <si>
    <t>TRH PEÇAS PARA TRATORES</t>
  </si>
  <si>
    <t>3445-2220</t>
  </si>
  <si>
    <t>trhpecasparatratores@hotmail.com</t>
  </si>
  <si>
    <t>99956-9200</t>
  </si>
  <si>
    <t>TUNICÃO  VEÍCULOS</t>
  </si>
  <si>
    <t xml:space="preserve">3445-1811 </t>
  </si>
  <si>
    <t>contato@tunicaoveiculos.com.br</t>
  </si>
  <si>
    <t>99157-6555</t>
  </si>
  <si>
    <t>VANUSA AP. BERALDO SILVA</t>
  </si>
  <si>
    <t>3445-1425</t>
  </si>
  <si>
    <t>consultorioedmundo_vanusa@hotmail.com</t>
  </si>
  <si>
    <t>99969-7140</t>
  </si>
  <si>
    <t>Edmundo</t>
  </si>
  <si>
    <t>Em consideração a amizade que tem om Marcos da Eletrosat, ele não quer trocar a internet  no momento</t>
  </si>
  <si>
    <t>FÁBRICA DE CALCINHAS</t>
  </si>
  <si>
    <t>3445-2654</t>
  </si>
  <si>
    <t>vilma.marli.duarte@hotmail.com   cibelle.dlabelle@hotmail.com</t>
  </si>
  <si>
    <t>99958-8651</t>
  </si>
  <si>
    <t>Vilma</t>
  </si>
  <si>
    <t>Falar com Vilma (cliente é bem leiga na parte de internet, disse que os filhos que moram fora que veem essa questão da internet. Porém vem somente em finais de semana. Ela pediu pra falar com ela mas não entende muito bem</t>
  </si>
  <si>
    <t>por volta de</t>
  </si>
  <si>
    <t>99872-7329</t>
  </si>
  <si>
    <t>yasmimcardoso55@gmail.com</t>
  </si>
  <si>
    <t>LOGIC LINK</t>
  </si>
  <si>
    <t>3445-1351</t>
  </si>
  <si>
    <t>info@logiclink.com.br</t>
  </si>
  <si>
    <t>99921-3336</t>
  </si>
  <si>
    <t>Pode ligar</t>
  </si>
  <si>
    <t>Não atendeu</t>
  </si>
  <si>
    <t>Clientes inviáveis d atender</t>
  </si>
  <si>
    <t>Clientes Via 01</t>
  </si>
  <si>
    <t>Supermercado Nova Borda</t>
  </si>
  <si>
    <t>Supermercado Broa</t>
  </si>
  <si>
    <t>Farmacia Clorofila</t>
  </si>
  <si>
    <t>Farmacia Medfarma</t>
  </si>
  <si>
    <t>Agropecuaria Avenida</t>
  </si>
  <si>
    <t>Nilo</t>
  </si>
  <si>
    <t>Pesitex</t>
  </si>
  <si>
    <t>(35) 3445-3004</t>
  </si>
  <si>
    <t>Lucas 998787269</t>
  </si>
  <si>
    <t>Anatex</t>
  </si>
  <si>
    <t> (35) 3445-4450</t>
  </si>
  <si>
    <t>Tecelagem Damata</t>
  </si>
  <si>
    <t>Kital Decorações</t>
  </si>
  <si>
    <t>Comercial Têxtil</t>
  </si>
  <si>
    <t>(35) 3445-1664</t>
  </si>
  <si>
    <t>Gamma Textil</t>
  </si>
  <si>
    <t> (35) 3445-1066</t>
  </si>
  <si>
    <t>Hortifrut Pague Menos</t>
  </si>
  <si>
    <t>35) 99848-7829</t>
  </si>
  <si>
    <t>Lojas Im</t>
  </si>
  <si>
    <t>35) 3445-2337</t>
  </si>
  <si>
    <t>Lojas Edmil</t>
  </si>
  <si>
    <t> (35) 3445-3038</t>
  </si>
  <si>
    <t>Varejão das Fábricas Borda da Mata - Mg</t>
  </si>
  <si>
    <t>35) 3445-1397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</si>
</sst>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quot;R$&quot;\ #,##0.00;[Red]\-&quot;R$&quot;\ #,##0.00"/>
    <numFmt numFmtId="44" formatCode="_-&quot;R$&quot;\ * #,##0.00_-;\-&quot;R$&quot;\ * #,##0.00_-;_-&quot;R$&quot;\ * &quot;-&quot;??_-;_-@_-"/>
    <numFmt numFmtId="164" formatCode="_(&quot;$&quot;* #,##0.00_);_(&quot;$&quot;* \(#,##0.00\);_(&quot;$&quot;* &quot;-&quot;??_);_(@_)"/>
    <numFmt numFmtId="165" formatCode="_-&quot;R$&quot;* #,##0.00_-;\-&quot;R$&quot;* #,##0.00_-;_-&quot;R$&quot;* &quot;-&quot;??_-;_-@_-"/>
    <numFmt numFmtId="166" formatCode="dd/mm/yy;@"/>
    <numFmt numFmtId="167" formatCode="&quot;R$&quot;\ #,##0.00"/>
    <numFmt numFmtId="168" formatCode="_-[$R$-416]\ * #,##0.00_-;\-[$R$-416]\ * #,##0.00_-;_-[$R$-416]\ * &quot;-&quot;??_-;_-@_-"/>
    <numFmt numFmtId="169" formatCode="[$-F800]dddd\,\ mmmm\ dd\,\ yyyy"/>
  </numFmts>
  <fonts count="71">
    <font>
      <sz val="11"/>
      <name val="Calibri"/>
    </font>
    <font>
      <b/>
      <sz val="11"/>
      <name val="Calibri"/>
      <family val="2"/>
    </font>
    <font>
      <sz val="11"/>
      <name val="Calibri"/>
      <family val="2"/>
    </font>
    <font>
      <b/>
      <sz val="8"/>
      <color rgb="FF757575"/>
      <name val="Arial Black"/>
      <family val="2"/>
    </font>
    <font>
      <sz val="11"/>
      <color rgb="FF000000"/>
      <name val="Calibri"/>
      <family val="2"/>
    </font>
    <font>
      <sz val="11"/>
      <color rgb="FF000000"/>
      <name val="Calibri"/>
      <family val="2"/>
      <scheme val="minor"/>
    </font>
    <font>
      <u/>
      <sz val="11"/>
      <name val="Calibri"/>
      <family val="2"/>
    </font>
    <font>
      <b/>
      <sz val="12"/>
      <color rgb="FF000000"/>
      <name val="Calibri"/>
      <family val="2"/>
    </font>
    <font>
      <b/>
      <sz val="11"/>
      <color rgb="FF000000"/>
      <name val="Calibri"/>
      <family val="2"/>
    </font>
    <font>
      <u/>
      <sz val="11"/>
      <color theme="10"/>
      <name val="Calibri"/>
      <family val="2"/>
    </font>
    <font>
      <u/>
      <sz val="11"/>
      <color theme="10"/>
      <name val="Calibri"/>
      <family val="2"/>
      <scheme val="minor"/>
    </font>
    <font>
      <b/>
      <sz val="12"/>
      <name val="Calibri"/>
      <family val="2"/>
    </font>
    <font>
      <sz val="11"/>
      <color rgb="FF000000"/>
      <name val="Segoe UI"/>
      <family val="2"/>
    </font>
    <font>
      <b/>
      <sz val="12"/>
      <color theme="1"/>
      <name val="Calibri"/>
      <family val="2"/>
      <scheme val="minor"/>
    </font>
    <font>
      <sz val="13"/>
      <color rgb="FFFFFFFF"/>
      <name val="Lato"/>
      <family val="2"/>
    </font>
    <font>
      <sz val="6"/>
      <color rgb="FF757575"/>
      <name val="Arial"/>
      <family val="2"/>
    </font>
    <font>
      <sz val="10"/>
      <name val="Arial"/>
      <family val="2"/>
    </font>
    <font>
      <sz val="10"/>
      <name val="Calibri"/>
      <family val="2"/>
    </font>
    <font>
      <b/>
      <sz val="7"/>
      <color rgb="FFAACCEE"/>
      <name val="Arial"/>
      <family val="2"/>
    </font>
    <font>
      <sz val="7"/>
      <color rgb="FFAACCEE"/>
      <name val="Arial"/>
      <family val="2"/>
    </font>
    <font>
      <sz val="9"/>
      <color rgb="FFAACCEE"/>
      <name val="Arial"/>
      <family val="2"/>
    </font>
    <font>
      <b/>
      <sz val="9"/>
      <color rgb="FFAACCEE"/>
      <name val="Arial"/>
      <family val="2"/>
    </font>
    <font>
      <sz val="12"/>
      <color rgb="FF000000"/>
      <name val="Arial"/>
      <family val="2"/>
    </font>
    <font>
      <sz val="8"/>
      <color rgb="FF000000"/>
      <name val="Roboto"/>
    </font>
    <font>
      <sz val="11"/>
      <color rgb="FFFF0000"/>
      <name val="Calibri"/>
      <family val="2"/>
    </font>
    <font>
      <sz val="11"/>
      <name val="Calibri"/>
      <family val="2"/>
    </font>
    <font>
      <sz val="9"/>
      <color rgb="FF000000"/>
      <name val="Calibri"/>
      <family val="2"/>
    </font>
    <font>
      <b/>
      <sz val="18"/>
      <name val="Calibri"/>
      <family val="2"/>
    </font>
    <font>
      <sz val="11"/>
      <color rgb="FF202124"/>
      <name val="Calibri"/>
      <family val="2"/>
    </font>
    <font>
      <b/>
      <sz val="8"/>
      <name val="Arial"/>
      <family val="2"/>
    </font>
    <font>
      <sz val="8"/>
      <name val="Arial"/>
      <family val="2"/>
    </font>
    <font>
      <sz val="8"/>
      <color rgb="FF000000"/>
      <name val="Arial"/>
      <family val="2"/>
    </font>
    <font>
      <u/>
      <sz val="8"/>
      <color rgb="FF0000FF"/>
      <name val="Arial"/>
      <family val="2"/>
    </font>
    <font>
      <b/>
      <sz val="8"/>
      <color rgb="FF333333"/>
      <name val="Arial"/>
      <family val="2"/>
    </font>
    <font>
      <sz val="8"/>
      <color rgb="FF1F497D"/>
      <name val="Calibri"/>
      <family val="2"/>
    </font>
    <font>
      <u/>
      <sz val="8"/>
      <color rgb="FF000000"/>
      <name val="Arial"/>
      <family val="2"/>
    </font>
    <font>
      <u/>
      <sz val="11"/>
      <color rgb="FF000000"/>
      <name val="Calibri"/>
      <family val="2"/>
      <scheme val="minor"/>
    </font>
    <font>
      <sz val="10"/>
      <name val="Arial"/>
      <family val="2"/>
      <charset val="1"/>
    </font>
    <font>
      <b/>
      <sz val="11"/>
      <name val="Calibri"/>
      <family val="2"/>
    </font>
    <font>
      <sz val="8"/>
      <color rgb="FF757575"/>
      <name val="Arial Black"/>
      <family val="2"/>
    </font>
    <font>
      <b/>
      <sz val="8.25"/>
      <color rgb="FF000000"/>
      <name val="Arial"/>
      <family val="2"/>
    </font>
    <font>
      <sz val="8.25"/>
      <color rgb="FF000000"/>
      <name val="Arial"/>
      <family val="2"/>
    </font>
    <font>
      <sz val="8.25"/>
      <color rgb="FFFF0000"/>
      <name val="Arial"/>
      <family val="2"/>
    </font>
    <font>
      <b/>
      <sz val="11"/>
      <color theme="1"/>
      <name val="Calibri"/>
      <family val="2"/>
    </font>
    <font>
      <sz val="11"/>
      <color rgb="FF333333"/>
      <name val="Source Sans Pro"/>
      <family val="2"/>
    </font>
    <font>
      <b/>
      <sz val="14"/>
      <name val="Calibri"/>
      <family val="2"/>
    </font>
    <font>
      <sz val="11"/>
      <color rgb="FF92D050"/>
      <name val="Calibri"/>
      <family val="2"/>
    </font>
    <font>
      <sz val="9"/>
      <color rgb="FF000000"/>
      <name val="Arial"/>
      <family val="2"/>
    </font>
    <font>
      <i/>
      <sz val="11"/>
      <color rgb="FF000000"/>
      <name val="Roboto"/>
      <family val="2"/>
      <charset val="1"/>
    </font>
    <font>
      <sz val="11"/>
      <color rgb="FF000000"/>
      <name val="Lato"/>
      <family val="2"/>
      <charset val="1"/>
    </font>
    <font>
      <sz val="9"/>
      <color rgb="FF000000"/>
      <name val="Lato"/>
      <family val="2"/>
      <charset val="1"/>
    </font>
    <font>
      <sz val="9"/>
      <color rgb="FF000000"/>
      <name val="Lato"/>
    </font>
    <font>
      <sz val="11"/>
      <color rgb="FFFF0000"/>
      <name val="Calibri"/>
      <family val="2"/>
    </font>
    <font>
      <sz val="12"/>
      <color rgb="FF000000"/>
      <name val="Calibri"/>
      <family val="2"/>
      <scheme val="minor"/>
    </font>
    <font>
      <sz val="12"/>
      <name val="Calibri"/>
      <family val="2"/>
      <scheme val="minor"/>
    </font>
    <font>
      <b/>
      <sz val="11"/>
      <color rgb="FFFFFF00"/>
      <name val="Calibri"/>
      <family val="2"/>
    </font>
    <font>
      <sz val="10"/>
      <color rgb="FF000000"/>
      <name val="Calibri"/>
      <family val="2"/>
      <scheme val="minor"/>
    </font>
    <font>
      <sz val="11"/>
      <color theme="1" tint="4.9989318521683403E-2"/>
      <name val="Calibri"/>
      <family val="2"/>
    </font>
    <font>
      <b/>
      <sz val="11"/>
      <color rgb="FF000000"/>
      <name val="Calibri"/>
    </font>
    <font>
      <sz val="11"/>
      <color rgb="FF000000"/>
      <name val="Calibri"/>
    </font>
    <font>
      <sz val="11"/>
      <color rgb="FF000000"/>
      <name val="Calibri"/>
      <charset val="1"/>
    </font>
    <font>
      <sz val="11"/>
      <color theme="1"/>
      <name val="Calibri"/>
    </font>
    <font>
      <b/>
      <sz val="11"/>
      <name val="Calibri"/>
    </font>
    <font>
      <sz val="11"/>
      <color rgb="FF000000"/>
      <name val="Calibri"/>
      <scheme val="minor"/>
    </font>
    <font>
      <sz val="11"/>
      <color rgb="FF006100"/>
      <name val="Calibri"/>
      <scheme val="minor"/>
    </font>
    <font>
      <sz val="11"/>
      <color rgb="FF006100"/>
      <name val="Calibri"/>
      <family val="2"/>
      <scheme val="minor"/>
    </font>
    <font>
      <sz val="12"/>
      <color theme="1"/>
      <name val="Open-Sans"/>
    </font>
    <font>
      <b/>
      <sz val="7"/>
      <name val="Arial"/>
      <family val="2"/>
    </font>
    <font>
      <sz val="10"/>
      <color rgb="FF000000"/>
      <name val="Arial"/>
      <charset val="1"/>
    </font>
    <font>
      <sz val="12"/>
      <color rgb="FF000000"/>
      <name val="Open-Sans"/>
      <charset val="1"/>
    </font>
    <font>
      <sz val="12"/>
      <color rgb="FF000000"/>
      <name val="Open-Sans"/>
    </font>
  </fonts>
  <fills count="4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theme="4"/>
        <bgColor indexed="64"/>
      </patternFill>
    </fill>
    <fill>
      <patternFill patternType="solid">
        <fgColor rgb="FF7030A0"/>
        <bgColor indexed="64"/>
      </patternFill>
    </fill>
    <fill>
      <patternFill patternType="solid">
        <fgColor rgb="FFFFC000"/>
        <bgColor indexed="64"/>
      </patternFill>
    </fill>
    <fill>
      <patternFill patternType="solid">
        <fgColor rgb="FF0070C0"/>
        <bgColor indexed="64"/>
      </patternFill>
    </fill>
    <fill>
      <patternFill patternType="solid">
        <fgColor rgb="FFF4B084"/>
        <bgColor indexed="64"/>
      </patternFill>
    </fill>
    <fill>
      <patternFill patternType="solid">
        <fgColor rgb="FFD0CECE"/>
        <bgColor indexed="64"/>
      </patternFill>
    </fill>
    <fill>
      <patternFill patternType="solid">
        <fgColor theme="0"/>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theme="0"/>
        <bgColor rgb="FF000000"/>
      </patternFill>
    </fill>
    <fill>
      <patternFill patternType="solid">
        <fgColor theme="9" tint="-0.499984740745262"/>
        <bgColor indexed="64"/>
      </patternFill>
    </fill>
    <fill>
      <patternFill patternType="solid">
        <fgColor theme="2" tint="-0.499984740745262"/>
        <bgColor indexed="64"/>
      </patternFill>
    </fill>
    <fill>
      <patternFill patternType="solid">
        <fgColor theme="6" tint="-0.499984740745262"/>
        <bgColor indexed="64"/>
      </patternFill>
    </fill>
    <fill>
      <patternFill patternType="solid">
        <fgColor theme="5" tint="0.39997558519241921"/>
        <bgColor indexed="64"/>
      </patternFill>
    </fill>
    <fill>
      <patternFill patternType="solid">
        <fgColor rgb="FF933611"/>
        <bgColor indexed="64"/>
      </patternFill>
    </fill>
    <fill>
      <patternFill patternType="solid">
        <fgColor theme="5" tint="-0.499984740745262"/>
        <bgColor indexed="64"/>
      </patternFill>
    </fill>
    <fill>
      <patternFill patternType="solid">
        <fgColor theme="4" tint="0.39997558519241921"/>
        <bgColor indexed="64"/>
      </patternFill>
    </fill>
    <fill>
      <patternFill patternType="solid">
        <fgColor rgb="FF833C0C"/>
        <bgColor indexed="64"/>
      </patternFill>
    </fill>
    <fill>
      <patternFill patternType="solid">
        <fgColor rgb="FF00B050"/>
        <bgColor indexed="64"/>
      </patternFill>
    </fill>
    <fill>
      <patternFill patternType="solid">
        <fgColor rgb="FFC65911"/>
        <bgColor indexed="64"/>
      </patternFill>
    </fill>
    <fill>
      <patternFill patternType="solid">
        <fgColor rgb="FFFFF2CC"/>
        <bgColor indexed="64"/>
      </patternFill>
    </fill>
    <fill>
      <patternFill patternType="solid">
        <fgColor rgb="FFFCE4D6"/>
        <bgColor indexed="64"/>
      </patternFill>
    </fill>
    <fill>
      <patternFill patternType="solid">
        <fgColor rgb="FFB4C6E7"/>
        <bgColor indexed="64"/>
      </patternFill>
    </fill>
    <fill>
      <patternFill patternType="solid">
        <fgColor rgb="FFD9E1F2"/>
        <bgColor indexed="64"/>
      </patternFill>
    </fill>
    <fill>
      <patternFill patternType="solid">
        <fgColor rgb="FF305496"/>
        <bgColor indexed="64"/>
      </patternFill>
    </fill>
    <fill>
      <patternFill patternType="solid">
        <fgColor rgb="FFF9F9F9"/>
        <bgColor rgb="FF000000"/>
      </patternFill>
    </fill>
    <fill>
      <patternFill patternType="solid">
        <fgColor rgb="FF92D050"/>
        <bgColor rgb="FF000000"/>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rgb="FFFFD966"/>
        <bgColor indexed="64"/>
      </patternFill>
    </fill>
    <fill>
      <patternFill patternType="solid">
        <fgColor theme="9"/>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5" tint="0.79998168889431442"/>
        <bgColor indexed="64"/>
      </patternFill>
    </fill>
    <fill>
      <patternFill patternType="solid">
        <fgColor rgb="FFC6EFCE"/>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thin">
        <color rgb="FF000000"/>
      </right>
      <top/>
      <bottom/>
      <diagonal/>
    </border>
    <border>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style="thin">
        <color rgb="FF000000"/>
      </right>
      <top/>
      <bottom/>
      <diagonal/>
    </border>
    <border>
      <left/>
      <right style="thin">
        <color rgb="FF000000"/>
      </right>
      <top/>
      <bottom style="thin">
        <color rgb="FF000000"/>
      </bottom>
      <diagonal/>
    </border>
    <border>
      <left style="thin">
        <color indexed="64"/>
      </left>
      <right/>
      <top style="thin">
        <color indexed="64"/>
      </top>
      <bottom/>
      <diagonal/>
    </border>
    <border>
      <left style="thin">
        <color rgb="FF000000"/>
      </left>
      <right/>
      <top/>
      <bottom style="thin">
        <color rgb="FF000000"/>
      </bottom>
      <diagonal/>
    </border>
    <border>
      <left/>
      <right style="thin">
        <color indexed="64"/>
      </right>
      <top/>
      <bottom style="thin">
        <color indexed="64"/>
      </bottom>
      <diagonal/>
    </border>
    <border>
      <left style="thin">
        <color indexed="64"/>
      </left>
      <right style="thin">
        <color indexed="64"/>
      </right>
      <top/>
      <bottom/>
      <diagonal/>
    </border>
    <border>
      <left style="medium">
        <color rgb="FF000000"/>
      </left>
      <right/>
      <top/>
      <bottom/>
      <diagonal/>
    </border>
    <border>
      <left style="medium">
        <color rgb="FF000000"/>
      </left>
      <right/>
      <top style="thin">
        <color indexed="64"/>
      </top>
      <bottom style="thin">
        <color indexed="64"/>
      </bottom>
      <diagonal/>
    </border>
    <border>
      <left style="medium">
        <color rgb="FF000000"/>
      </left>
      <right/>
      <top/>
      <bottom style="thin">
        <color indexed="64"/>
      </bottom>
      <diagonal/>
    </border>
    <border>
      <left style="medium">
        <color rgb="FF000000"/>
      </left>
      <right/>
      <top style="thin">
        <color indexed="64"/>
      </top>
      <bottom/>
      <diagonal/>
    </border>
    <border>
      <left/>
      <right/>
      <top style="thin">
        <color indexed="64"/>
      </top>
      <bottom/>
      <diagonal/>
    </border>
    <border>
      <left style="medium">
        <color rgb="FF000000"/>
      </left>
      <right/>
      <top/>
      <bottom style="thin">
        <color rgb="FF000000"/>
      </bottom>
      <diagonal/>
    </border>
    <border>
      <left style="thin">
        <color indexed="64"/>
      </left>
      <right/>
      <top/>
      <bottom style="thin">
        <color indexed="64"/>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thin">
        <color rgb="FF000000"/>
      </top>
      <bottom/>
      <diagonal/>
    </border>
    <border>
      <left style="medium">
        <color indexed="64"/>
      </left>
      <right style="thin">
        <color indexed="64"/>
      </right>
      <top/>
      <bottom/>
      <diagonal/>
    </border>
    <border>
      <left style="medium">
        <color indexed="64"/>
      </left>
      <right style="thin">
        <color indexed="64"/>
      </right>
      <top/>
      <bottom style="thin">
        <color rgb="FF000000"/>
      </bottom>
      <diagonal/>
    </border>
    <border>
      <left style="thin">
        <color rgb="FF000000"/>
      </left>
      <right/>
      <top/>
      <bottom/>
      <diagonal/>
    </border>
    <border>
      <left style="medium">
        <color rgb="FF000000"/>
      </left>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4">
    <xf numFmtId="0" fontId="0" fillId="0" borderId="0"/>
    <xf numFmtId="0" fontId="10" fillId="0" borderId="0" applyNumberFormat="0" applyFill="0" applyBorder="0" applyAlignment="0" applyProtection="0"/>
    <xf numFmtId="44" fontId="25" fillId="0" borderId="0" applyFont="0" applyFill="0" applyBorder="0" applyAlignment="0" applyProtection="0"/>
    <xf numFmtId="0" fontId="64" fillId="43" borderId="0" applyNumberFormat="0" applyBorder="0" applyAlignment="0" applyProtection="0"/>
  </cellStyleXfs>
  <cellXfs count="853">
    <xf numFmtId="0" fontId="0" fillId="0" borderId="0" xfId="0"/>
    <xf numFmtId="0" fontId="0" fillId="3" borderId="0" xfId="0" applyFill="1"/>
    <xf numFmtId="0" fontId="0" fillId="2" borderId="0" xfId="0" applyFill="1"/>
    <xf numFmtId="0" fontId="0" fillId="4"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5" borderId="0" xfId="0" applyFill="1"/>
    <xf numFmtId="0" fontId="0" fillId="11" borderId="0" xfId="0" applyFill="1"/>
    <xf numFmtId="0" fontId="1" fillId="0" borderId="0" xfId="0" applyFont="1"/>
    <xf numFmtId="1" fontId="0" fillId="3" borderId="0" xfId="0" applyNumberFormat="1" applyFill="1"/>
    <xf numFmtId="2" fontId="0" fillId="3" borderId="0" xfId="0" applyNumberFormat="1" applyFill="1"/>
    <xf numFmtId="0" fontId="2" fillId="3" borderId="0" xfId="0" applyFont="1" applyFill="1"/>
    <xf numFmtId="0" fontId="2" fillId="2" borderId="0" xfId="0" applyFont="1" applyFill="1"/>
    <xf numFmtId="0" fontId="2" fillId="0" borderId="0" xfId="0" applyFont="1"/>
    <xf numFmtId="0" fontId="0" fillId="12" borderId="1" xfId="0" applyFill="1" applyBorder="1"/>
    <xf numFmtId="0" fontId="1" fillId="12" borderId="1" xfId="0" applyFont="1" applyFill="1" applyBorder="1"/>
    <xf numFmtId="0" fontId="0" fillId="3" borderId="2" xfId="0" applyFill="1" applyBorder="1" applyAlignment="1">
      <alignment horizontal="center"/>
    </xf>
    <xf numFmtId="0" fontId="0" fillId="0" borderId="2" xfId="0" applyBorder="1" applyAlignment="1">
      <alignment horizontal="center"/>
    </xf>
    <xf numFmtId="0" fontId="0" fillId="13" borderId="2" xfId="0" applyFill="1" applyBorder="1" applyAlignment="1">
      <alignment horizontal="center"/>
    </xf>
    <xf numFmtId="0" fontId="0" fillId="12" borderId="0" xfId="0" applyFill="1"/>
    <xf numFmtId="1" fontId="0" fillId="12" borderId="0" xfId="0" applyNumberFormat="1" applyFill="1"/>
    <xf numFmtId="0" fontId="0" fillId="0" borderId="0" xfId="0" applyAlignment="1">
      <alignment horizontal="left"/>
    </xf>
    <xf numFmtId="0" fontId="5" fillId="0" borderId="2" xfId="0" applyFont="1" applyBorder="1" applyAlignment="1">
      <alignment horizontal="center"/>
    </xf>
    <xf numFmtId="0" fontId="0" fillId="0" borderId="0" xfId="0" applyAlignment="1">
      <alignment horizontal="center"/>
    </xf>
    <xf numFmtId="0" fontId="0" fillId="17" borderId="0" xfId="0" applyFill="1"/>
    <xf numFmtId="0" fontId="0" fillId="18" borderId="0" xfId="0" applyFill="1"/>
    <xf numFmtId="0" fontId="0" fillId="19" borderId="0" xfId="0" applyFill="1"/>
    <xf numFmtId="0" fontId="4" fillId="3" borderId="0" xfId="0" applyFont="1" applyFill="1" applyAlignment="1">
      <alignment horizontal="left"/>
    </xf>
    <xf numFmtId="0" fontId="0" fillId="0" borderId="1" xfId="0" applyBorder="1"/>
    <xf numFmtId="0" fontId="4" fillId="0" borderId="2" xfId="0" applyFont="1" applyBorder="1" applyAlignment="1">
      <alignment horizontal="left"/>
    </xf>
    <xf numFmtId="0" fontId="4" fillId="0" borderId="3" xfId="0" applyFont="1" applyBorder="1" applyAlignment="1">
      <alignment horizontal="left"/>
    </xf>
    <xf numFmtId="0" fontId="4" fillId="0" borderId="9" xfId="0" applyFont="1" applyBorder="1" applyAlignment="1">
      <alignment horizontal="left"/>
    </xf>
    <xf numFmtId="0" fontId="4" fillId="0" borderId="1" xfId="0" applyFont="1" applyBorder="1" applyAlignment="1">
      <alignment horizontal="left"/>
    </xf>
    <xf numFmtId="0" fontId="4" fillId="0" borderId="10" xfId="0" applyFont="1" applyBorder="1" applyAlignment="1">
      <alignment horizontal="left"/>
    </xf>
    <xf numFmtId="0" fontId="4" fillId="0" borderId="11" xfId="0" applyFont="1" applyBorder="1" applyAlignment="1">
      <alignment horizontal="left"/>
    </xf>
    <xf numFmtId="0" fontId="4" fillId="15" borderId="11" xfId="0" applyFont="1" applyFill="1" applyBorder="1" applyAlignment="1">
      <alignment horizontal="left"/>
    </xf>
    <xf numFmtId="0" fontId="2" fillId="0" borderId="1" xfId="0" applyFont="1" applyBorder="1"/>
    <xf numFmtId="14" fontId="4" fillId="0" borderId="2" xfId="0" applyNumberFormat="1" applyFont="1" applyBorder="1" applyAlignment="1">
      <alignment horizontal="left"/>
    </xf>
    <xf numFmtId="0" fontId="9" fillId="0" borderId="2" xfId="1" applyFont="1" applyFill="1" applyBorder="1" applyAlignment="1">
      <alignment horizontal="left"/>
    </xf>
    <xf numFmtId="0" fontId="0" fillId="0" borderId="1" xfId="0" applyBorder="1" applyAlignment="1">
      <alignment horizontal="left"/>
    </xf>
    <xf numFmtId="14" fontId="4" fillId="0" borderId="1" xfId="0" applyNumberFormat="1" applyFont="1" applyBorder="1" applyAlignment="1">
      <alignment horizontal="left"/>
    </xf>
    <xf numFmtId="0" fontId="9" fillId="0" borderId="1" xfId="1" applyFont="1" applyFill="1" applyBorder="1" applyAlignment="1">
      <alignment horizontal="left"/>
    </xf>
    <xf numFmtId="3" fontId="4" fillId="0" borderId="1" xfId="0" applyNumberFormat="1" applyFont="1" applyBorder="1" applyAlignment="1">
      <alignment horizontal="left"/>
    </xf>
    <xf numFmtId="0" fontId="4" fillId="0" borderId="6" xfId="0" applyFont="1" applyBorder="1" applyAlignment="1">
      <alignment horizontal="left"/>
    </xf>
    <xf numFmtId="0" fontId="4" fillId="0" borderId="13" xfId="0" applyFont="1" applyBorder="1" applyAlignment="1">
      <alignment horizontal="left"/>
    </xf>
    <xf numFmtId="14" fontId="4" fillId="0" borderId="13" xfId="0" applyNumberFormat="1" applyFont="1" applyBorder="1" applyAlignment="1">
      <alignment horizontal="left"/>
    </xf>
    <xf numFmtId="0" fontId="9" fillId="0" borderId="13" xfId="1" applyFont="1" applyFill="1" applyBorder="1" applyAlignment="1">
      <alignment horizontal="left"/>
    </xf>
    <xf numFmtId="0" fontId="4" fillId="0" borderId="8" xfId="0" applyFont="1" applyBorder="1" applyAlignment="1">
      <alignment horizontal="left"/>
    </xf>
    <xf numFmtId="14" fontId="4" fillId="0" borderId="3" xfId="0" applyNumberFormat="1" applyFont="1" applyBorder="1" applyAlignment="1">
      <alignment horizontal="left"/>
    </xf>
    <xf numFmtId="0" fontId="9" fillId="0" borderId="3" xfId="1" applyFont="1" applyFill="1" applyBorder="1" applyAlignment="1">
      <alignment horizontal="left"/>
    </xf>
    <xf numFmtId="0" fontId="4" fillId="0" borderId="7" xfId="0" applyFont="1" applyBorder="1" applyAlignment="1">
      <alignment horizontal="left"/>
    </xf>
    <xf numFmtId="0" fontId="4" fillId="0" borderId="0" xfId="0" applyFont="1" applyAlignment="1">
      <alignment horizontal="left"/>
    </xf>
    <xf numFmtId="0" fontId="4" fillId="0" borderId="12" xfId="0" applyFont="1" applyBorder="1" applyAlignment="1">
      <alignment horizontal="left"/>
    </xf>
    <xf numFmtId="14" fontId="4" fillId="0" borderId="12" xfId="0" applyNumberFormat="1" applyFont="1" applyBorder="1" applyAlignment="1">
      <alignment horizontal="left"/>
    </xf>
    <xf numFmtId="0" fontId="9" fillId="0" borderId="12" xfId="1" applyFont="1" applyFill="1" applyBorder="1" applyAlignment="1">
      <alignment horizontal="left"/>
    </xf>
    <xf numFmtId="0" fontId="0" fillId="13" borderId="6" xfId="0" applyFill="1" applyBorder="1" applyAlignment="1">
      <alignment horizontal="left"/>
    </xf>
    <xf numFmtId="0" fontId="0" fillId="0" borderId="2" xfId="0" applyBorder="1" applyAlignment="1">
      <alignment horizontal="left"/>
    </xf>
    <xf numFmtId="14" fontId="0" fillId="0" borderId="2" xfId="0" applyNumberFormat="1" applyBorder="1" applyAlignment="1">
      <alignment horizontal="left"/>
    </xf>
    <xf numFmtId="0" fontId="10" fillId="0" borderId="2" xfId="1" applyBorder="1" applyAlignment="1">
      <alignment horizontal="left"/>
    </xf>
    <xf numFmtId="3" fontId="0" fillId="0" borderId="2" xfId="0" applyNumberFormat="1" applyBorder="1" applyAlignment="1">
      <alignment horizontal="left"/>
    </xf>
    <xf numFmtId="0" fontId="10" fillId="0" borderId="2" xfId="1" applyFill="1" applyBorder="1" applyAlignment="1">
      <alignment horizontal="left"/>
    </xf>
    <xf numFmtId="0" fontId="0" fillId="0" borderId="6" xfId="0" applyBorder="1" applyAlignment="1">
      <alignment horizontal="left"/>
    </xf>
    <xf numFmtId="0" fontId="0" fillId="0" borderId="15" xfId="0" applyBorder="1" applyAlignment="1">
      <alignment horizontal="left"/>
    </xf>
    <xf numFmtId="0" fontId="0" fillId="0" borderId="7" xfId="0" applyBorder="1" applyAlignment="1">
      <alignment horizontal="left"/>
    </xf>
    <xf numFmtId="14" fontId="0" fillId="0" borderId="1" xfId="0" applyNumberFormat="1" applyBorder="1" applyAlignment="1">
      <alignment horizontal="left"/>
    </xf>
    <xf numFmtId="0" fontId="10" fillId="0" borderId="1" xfId="1" applyBorder="1" applyAlignment="1">
      <alignment horizontal="left"/>
    </xf>
    <xf numFmtId="14" fontId="0" fillId="0" borderId="0" xfId="0" applyNumberFormat="1" applyAlignment="1">
      <alignment horizontal="left"/>
    </xf>
    <xf numFmtId="0" fontId="0" fillId="0" borderId="3" xfId="0" applyBorder="1" applyAlignment="1">
      <alignment horizontal="left"/>
    </xf>
    <xf numFmtId="14" fontId="0" fillId="0" borderId="3" xfId="0" applyNumberFormat="1" applyBorder="1" applyAlignment="1">
      <alignment horizontal="left"/>
    </xf>
    <xf numFmtId="0" fontId="10" fillId="0" borderId="3" xfId="1" applyBorder="1" applyAlignment="1">
      <alignment horizontal="left"/>
    </xf>
    <xf numFmtId="0" fontId="0" fillId="0" borderId="4" xfId="0" applyBorder="1" applyAlignment="1">
      <alignment horizontal="center"/>
    </xf>
    <xf numFmtId="14" fontId="0" fillId="0" borderId="4" xfId="0" applyNumberFormat="1" applyBorder="1" applyAlignment="1">
      <alignment horizontal="center"/>
    </xf>
    <xf numFmtId="0" fontId="9" fillId="0" borderId="2" xfId="1" applyFont="1" applyBorder="1" applyAlignment="1">
      <alignment horizontal="left"/>
    </xf>
    <xf numFmtId="0" fontId="0" fillId="13" borderId="1" xfId="0" applyFill="1" applyBorder="1" applyAlignment="1">
      <alignment horizontal="left"/>
    </xf>
    <xf numFmtId="14" fontId="0" fillId="13" borderId="1" xfId="0" applyNumberFormat="1" applyFill="1" applyBorder="1" applyAlignment="1">
      <alignment horizontal="left"/>
    </xf>
    <xf numFmtId="0" fontId="10" fillId="13" borderId="1" xfId="1" applyFill="1" applyBorder="1" applyAlignment="1">
      <alignment horizontal="left"/>
    </xf>
    <xf numFmtId="0" fontId="0" fillId="0" borderId="5" xfId="0" applyBorder="1" applyAlignment="1">
      <alignment horizontal="left"/>
    </xf>
    <xf numFmtId="0" fontId="2" fillId="0" borderId="12" xfId="0" applyFont="1" applyBorder="1"/>
    <xf numFmtId="3" fontId="0" fillId="0" borderId="3" xfId="0" applyNumberFormat="1" applyBorder="1" applyAlignment="1">
      <alignment horizontal="left"/>
    </xf>
    <xf numFmtId="14" fontId="0" fillId="0" borderId="1" xfId="0" applyNumberFormat="1" applyBorder="1"/>
    <xf numFmtId="0" fontId="9" fillId="0" borderId="1" xfId="1" applyFont="1" applyFill="1" applyBorder="1"/>
    <xf numFmtId="0" fontId="0" fillId="3" borderId="1" xfId="0" applyFill="1" applyBorder="1"/>
    <xf numFmtId="0" fontId="4" fillId="16" borderId="14" xfId="0" applyFont="1" applyFill="1" applyBorder="1"/>
    <xf numFmtId="0" fontId="2" fillId="16" borderId="14" xfId="0" applyFont="1" applyFill="1" applyBorder="1"/>
    <xf numFmtId="0" fontId="4" fillId="16" borderId="14" xfId="0" applyFont="1" applyFill="1" applyBorder="1" applyAlignment="1">
      <alignment horizontal="left"/>
    </xf>
    <xf numFmtId="0" fontId="4" fillId="16" borderId="16" xfId="0" applyFont="1" applyFill="1" applyBorder="1"/>
    <xf numFmtId="0" fontId="4" fillId="0" borderId="17" xfId="0" applyFont="1" applyBorder="1"/>
    <xf numFmtId="0" fontId="4" fillId="0" borderId="18" xfId="0" applyFont="1" applyBorder="1"/>
    <xf numFmtId="0" fontId="4" fillId="0" borderId="6" xfId="0" applyFont="1" applyBorder="1"/>
    <xf numFmtId="14" fontId="0" fillId="3" borderId="2" xfId="0" applyNumberFormat="1" applyFill="1" applyBorder="1" applyAlignment="1">
      <alignment horizontal="center"/>
    </xf>
    <xf numFmtId="165" fontId="0" fillId="0" borderId="2" xfId="0" applyNumberFormat="1" applyBorder="1" applyAlignment="1">
      <alignment horizontal="center"/>
    </xf>
    <xf numFmtId="14" fontId="0" fillId="0" borderId="2" xfId="0" applyNumberFormat="1" applyBorder="1" applyAlignment="1">
      <alignment horizontal="center"/>
    </xf>
    <xf numFmtId="0" fontId="10" fillId="3" borderId="2" xfId="1" applyFill="1" applyBorder="1" applyAlignment="1">
      <alignment horizontal="center"/>
    </xf>
    <xf numFmtId="3" fontId="0" fillId="0" borderId="2" xfId="0" applyNumberFormat="1" applyBorder="1" applyAlignment="1">
      <alignment horizontal="center"/>
    </xf>
    <xf numFmtId="14" fontId="12" fillId="0" borderId="2" xfId="0" applyNumberFormat="1" applyFont="1" applyBorder="1" applyAlignment="1">
      <alignment horizontal="center"/>
    </xf>
    <xf numFmtId="0" fontId="10" fillId="0" borderId="2" xfId="1" applyFill="1" applyBorder="1" applyAlignment="1">
      <alignment horizontal="center"/>
    </xf>
    <xf numFmtId="0" fontId="0" fillId="4" borderId="2" xfId="0" applyFill="1" applyBorder="1" applyAlignment="1">
      <alignment horizontal="center"/>
    </xf>
    <xf numFmtId="2" fontId="0" fillId="0" borderId="2" xfId="0" applyNumberFormat="1" applyBorder="1" applyAlignment="1">
      <alignment horizontal="center"/>
    </xf>
    <xf numFmtId="0" fontId="0" fillId="0" borderId="3" xfId="0" applyBorder="1" applyAlignment="1">
      <alignment horizontal="center"/>
    </xf>
    <xf numFmtId="14" fontId="0" fillId="0" borderId="3" xfId="0" applyNumberFormat="1" applyBorder="1" applyAlignment="1">
      <alignment horizontal="center"/>
    </xf>
    <xf numFmtId="165" fontId="0" fillId="0" borderId="3" xfId="0" applyNumberFormat="1" applyBorder="1" applyAlignment="1">
      <alignment horizontal="center"/>
    </xf>
    <xf numFmtId="3" fontId="0" fillId="0" borderId="3" xfId="0" applyNumberFormat="1" applyBorder="1" applyAlignment="1">
      <alignment horizontal="center"/>
    </xf>
    <xf numFmtId="0" fontId="13" fillId="0" borderId="2" xfId="0" applyFont="1" applyBorder="1" applyAlignment="1">
      <alignment horizontal="center"/>
    </xf>
    <xf numFmtId="0" fontId="11" fillId="0" borderId="2" xfId="0" applyFont="1" applyBorder="1"/>
    <xf numFmtId="0" fontId="2" fillId="0" borderId="2" xfId="0" applyFont="1" applyBorder="1"/>
    <xf numFmtId="0" fontId="0" fillId="3" borderId="2" xfId="0" applyFill="1" applyBorder="1"/>
    <xf numFmtId="165" fontId="0" fillId="0" borderId="4" xfId="0" applyNumberFormat="1" applyBorder="1" applyAlignment="1">
      <alignment horizontal="center"/>
    </xf>
    <xf numFmtId="0" fontId="0" fillId="4" borderId="2" xfId="0" applyFill="1" applyBorder="1" applyAlignment="1">
      <alignment horizontal="left"/>
    </xf>
    <xf numFmtId="14" fontId="0" fillId="4" borderId="2" xfId="0" applyNumberFormat="1" applyFill="1" applyBorder="1" applyAlignment="1">
      <alignment horizontal="left"/>
    </xf>
    <xf numFmtId="0" fontId="10" fillId="4" borderId="2" xfId="1" applyFill="1" applyBorder="1" applyAlignment="1">
      <alignment horizontal="left"/>
    </xf>
    <xf numFmtId="0" fontId="0" fillId="0" borderId="9" xfId="0" applyBorder="1" applyAlignment="1">
      <alignment horizontal="center"/>
    </xf>
    <xf numFmtId="165" fontId="0" fillId="0" borderId="7" xfId="0" applyNumberFormat="1" applyBorder="1" applyAlignment="1">
      <alignment horizontal="center"/>
    </xf>
    <xf numFmtId="3" fontId="0" fillId="0" borderId="7" xfId="0" applyNumberFormat="1" applyBorder="1" applyAlignment="1">
      <alignment horizontal="center"/>
    </xf>
    <xf numFmtId="0" fontId="0" fillId="14" borderId="0" xfId="0" applyFill="1"/>
    <xf numFmtId="14" fontId="0" fillId="0" borderId="0" xfId="0" applyNumberFormat="1" applyAlignment="1">
      <alignment horizontal="center"/>
    </xf>
    <xf numFmtId="0" fontId="14" fillId="0" borderId="0" xfId="0" applyFont="1"/>
    <xf numFmtId="0" fontId="0" fillId="0" borderId="19" xfId="0" applyBorder="1" applyAlignment="1">
      <alignment horizontal="center"/>
    </xf>
    <xf numFmtId="44" fontId="0" fillId="0" borderId="2" xfId="0" applyNumberFormat="1" applyBorder="1" applyAlignment="1">
      <alignment horizontal="center"/>
    </xf>
    <xf numFmtId="44" fontId="0" fillId="0" borderId="3" xfId="0" applyNumberFormat="1" applyBorder="1" applyAlignment="1">
      <alignment horizontal="center"/>
    </xf>
    <xf numFmtId="44" fontId="0" fillId="0" borderId="4" xfId="0" applyNumberFormat="1" applyBorder="1" applyAlignment="1">
      <alignment horizontal="center"/>
    </xf>
    <xf numFmtId="3" fontId="0" fillId="0" borderId="4" xfId="0" applyNumberFormat="1" applyBorder="1" applyAlignment="1">
      <alignment horizontal="center"/>
    </xf>
    <xf numFmtId="0" fontId="0" fillId="3" borderId="4" xfId="0" applyFill="1" applyBorder="1" applyAlignment="1">
      <alignment horizontal="center"/>
    </xf>
    <xf numFmtId="14" fontId="0" fillId="3" borderId="4" xfId="0" applyNumberFormat="1" applyFill="1" applyBorder="1" applyAlignment="1">
      <alignment horizontal="center"/>
    </xf>
    <xf numFmtId="0" fontId="0" fillId="0" borderId="20" xfId="0" applyBorder="1" applyAlignment="1">
      <alignment horizontal="center"/>
    </xf>
    <xf numFmtId="0" fontId="4" fillId="15" borderId="21" xfId="0" applyFont="1" applyFill="1" applyBorder="1" applyAlignment="1">
      <alignment horizontal="left"/>
    </xf>
    <xf numFmtId="0" fontId="0" fillId="0" borderId="1" xfId="0" applyBorder="1" applyAlignment="1">
      <alignment horizontal="center"/>
    </xf>
    <xf numFmtId="16" fontId="0" fillId="0" borderId="0" xfId="0" applyNumberFormat="1"/>
    <xf numFmtId="0" fontId="2" fillId="0" borderId="1" xfId="0" applyFont="1" applyBorder="1" applyAlignment="1">
      <alignment horizontal="center"/>
    </xf>
    <xf numFmtId="0" fontId="0" fillId="0" borderId="22" xfId="0" applyBorder="1" applyAlignment="1">
      <alignment horizontal="center"/>
    </xf>
    <xf numFmtId="0" fontId="2" fillId="0" borderId="19" xfId="0" applyFont="1" applyBorder="1" applyAlignment="1">
      <alignment horizontal="center"/>
    </xf>
    <xf numFmtId="16" fontId="0" fillId="0" borderId="1" xfId="0" applyNumberFormat="1" applyBorder="1"/>
    <xf numFmtId="0" fontId="9" fillId="0" borderId="0" xfId="1" applyFont="1" applyFill="1" applyBorder="1"/>
    <xf numFmtId="0" fontId="15" fillId="13" borderId="0" xfId="0" applyFont="1" applyFill="1" applyAlignment="1">
      <alignment vertical="center"/>
    </xf>
    <xf numFmtId="0" fontId="2" fillId="0" borderId="20" xfId="0" applyFont="1" applyBorder="1" applyAlignment="1">
      <alignment horizontal="center"/>
    </xf>
    <xf numFmtId="0" fontId="4" fillId="14" borderId="21" xfId="0" applyFont="1" applyFill="1" applyBorder="1" applyAlignment="1">
      <alignment horizontal="left"/>
    </xf>
    <xf numFmtId="3" fontId="0" fillId="0" borderId="1" xfId="0" applyNumberFormat="1" applyBorder="1"/>
    <xf numFmtId="0" fontId="0" fillId="0" borderId="21" xfId="0" applyBorder="1"/>
    <xf numFmtId="0" fontId="0" fillId="0" borderId="12" xfId="0" applyBorder="1"/>
    <xf numFmtId="44" fontId="0" fillId="0" borderId="22" xfId="0" applyNumberFormat="1" applyBorder="1" applyAlignment="1">
      <alignment horizontal="center"/>
    </xf>
    <xf numFmtId="44" fontId="0" fillId="0" borderId="16" xfId="0" applyNumberFormat="1" applyBorder="1" applyAlignment="1">
      <alignment horizontal="center"/>
    </xf>
    <xf numFmtId="0" fontId="0" fillId="0" borderId="6" xfId="0" applyBorder="1"/>
    <xf numFmtId="0" fontId="4" fillId="0" borderId="15" xfId="0" applyFont="1" applyBorder="1" applyAlignment="1">
      <alignment horizontal="left"/>
    </xf>
    <xf numFmtId="0" fontId="4" fillId="0" borderId="23" xfId="0" applyFont="1" applyBorder="1" applyAlignment="1">
      <alignment horizontal="left"/>
    </xf>
    <xf numFmtId="0" fontId="0" fillId="0" borderId="8" xfId="0" applyBorder="1" applyAlignment="1">
      <alignment horizontal="left"/>
    </xf>
    <xf numFmtId="2" fontId="0" fillId="0" borderId="7" xfId="0" applyNumberFormat="1" applyBorder="1" applyAlignment="1">
      <alignment horizontal="left"/>
    </xf>
    <xf numFmtId="0" fontId="2" fillId="0" borderId="19" xfId="0" applyFont="1" applyBorder="1"/>
    <xf numFmtId="0" fontId="0" fillId="0" borderId="2" xfId="0" applyBorder="1"/>
    <xf numFmtId="14" fontId="0" fillId="0" borderId="2" xfId="0" applyNumberFormat="1" applyBorder="1"/>
    <xf numFmtId="14" fontId="0" fillId="0" borderId="12" xfId="0" applyNumberFormat="1" applyBorder="1"/>
    <xf numFmtId="0" fontId="0" fillId="0" borderId="13" xfId="0" applyBorder="1"/>
    <xf numFmtId="14" fontId="0" fillId="0" borderId="13" xfId="0" applyNumberFormat="1" applyBorder="1"/>
    <xf numFmtId="0" fontId="10" fillId="0" borderId="1" xfId="1" applyFill="1" applyBorder="1"/>
    <xf numFmtId="0" fontId="0" fillId="3" borderId="0" xfId="0" applyFill="1" applyAlignment="1">
      <alignment horizontal="left"/>
    </xf>
    <xf numFmtId="0" fontId="0" fillId="20" borderId="0" xfId="0" applyFill="1"/>
    <xf numFmtId="0" fontId="4" fillId="17" borderId="0" xfId="0" applyFont="1" applyFill="1"/>
    <xf numFmtId="0" fontId="0" fillId="21" borderId="0" xfId="0" applyFill="1"/>
    <xf numFmtId="0" fontId="0" fillId="22" borderId="0" xfId="0" applyFill="1"/>
    <xf numFmtId="1" fontId="0" fillId="22" borderId="0" xfId="0" applyNumberFormat="1" applyFill="1"/>
    <xf numFmtId="2" fontId="0" fillId="22" borderId="0" xfId="0" applyNumberFormat="1" applyFill="1"/>
    <xf numFmtId="0" fontId="0" fillId="0" borderId="16" xfId="0" applyBorder="1" applyAlignment="1">
      <alignment horizontal="center"/>
    </xf>
    <xf numFmtId="14" fontId="0" fillId="0" borderId="0" xfId="0" applyNumberFormat="1"/>
    <xf numFmtId="0" fontId="0" fillId="0" borderId="24" xfId="0" applyBorder="1"/>
    <xf numFmtId="0" fontId="16" fillId="0" borderId="0" xfId="0" applyFont="1"/>
    <xf numFmtId="0" fontId="2" fillId="0" borderId="21" xfId="0" applyFont="1" applyBorder="1"/>
    <xf numFmtId="0" fontId="0" fillId="3" borderId="21" xfId="0" applyFill="1" applyBorder="1"/>
    <xf numFmtId="0" fontId="0" fillId="3" borderId="12" xfId="0" applyFill="1" applyBorder="1"/>
    <xf numFmtId="0" fontId="0" fillId="0" borderId="12" xfId="0" applyBorder="1" applyAlignment="1">
      <alignment horizontal="center"/>
    </xf>
    <xf numFmtId="14" fontId="0" fillId="0" borderId="12" xfId="0" applyNumberFormat="1" applyBorder="1" applyAlignment="1">
      <alignment horizontal="center"/>
    </xf>
    <xf numFmtId="44" fontId="0" fillId="0" borderId="0" xfId="0" applyNumberFormat="1" applyAlignment="1">
      <alignment horizontal="center"/>
    </xf>
    <xf numFmtId="0" fontId="0" fillId="0" borderId="12" xfId="0" applyBorder="1" applyAlignment="1">
      <alignment horizontal="left"/>
    </xf>
    <xf numFmtId="0" fontId="0" fillId="0" borderId="4" xfId="0" applyBorder="1" applyAlignment="1">
      <alignment horizontal="left"/>
    </xf>
    <xf numFmtId="0" fontId="17" fillId="0" borderId="0" xfId="0" applyFont="1" applyAlignment="1">
      <alignment horizontal="left" vertical="center"/>
    </xf>
    <xf numFmtId="0" fontId="2" fillId="0" borderId="2" xfId="0" applyFont="1" applyBorder="1" applyAlignment="1">
      <alignment horizontal="left"/>
    </xf>
    <xf numFmtId="0" fontId="8" fillId="16" borderId="0" xfId="0" applyFont="1" applyFill="1" applyAlignment="1">
      <alignment horizontal="center"/>
    </xf>
    <xf numFmtId="0" fontId="11" fillId="12" borderId="1" xfId="0" applyFont="1" applyFill="1" applyBorder="1"/>
    <xf numFmtId="0" fontId="11" fillId="12" borderId="14" xfId="0" applyFont="1" applyFill="1" applyBorder="1" applyAlignment="1">
      <alignment horizontal="center"/>
    </xf>
    <xf numFmtId="0" fontId="11" fillId="12" borderId="0" xfId="0" applyFont="1" applyFill="1"/>
    <xf numFmtId="0" fontId="7" fillId="12" borderId="3" xfId="0" applyFont="1" applyFill="1" applyBorder="1" applyAlignment="1">
      <alignment horizontal="left"/>
    </xf>
    <xf numFmtId="0" fontId="2" fillId="12" borderId="1" xfId="0" applyFont="1" applyFill="1" applyBorder="1"/>
    <xf numFmtId="0" fontId="0" fillId="12" borderId="6" xfId="0" applyFill="1" applyBorder="1"/>
    <xf numFmtId="14" fontId="0" fillId="12" borderId="1" xfId="0" applyNumberFormat="1" applyFill="1" applyBorder="1"/>
    <xf numFmtId="0" fontId="9" fillId="12" borderId="1" xfId="1" applyFont="1" applyFill="1" applyBorder="1"/>
    <xf numFmtId="0" fontId="0" fillId="0" borderId="7" xfId="0" applyBorder="1"/>
    <xf numFmtId="0" fontId="0" fillId="0" borderId="3" xfId="0" applyBorder="1"/>
    <xf numFmtId="0" fontId="0" fillId="0" borderId="4" xfId="0" applyBorder="1"/>
    <xf numFmtId="0" fontId="0" fillId="0" borderId="19" xfId="0" applyBorder="1"/>
    <xf numFmtId="0" fontId="0" fillId="12" borderId="1" xfId="0" applyFill="1" applyBorder="1" applyAlignment="1">
      <alignment horizontal="left"/>
    </xf>
    <xf numFmtId="0" fontId="1" fillId="12" borderId="0" xfId="0" applyFont="1" applyFill="1" applyAlignment="1">
      <alignment horizontal="center"/>
    </xf>
    <xf numFmtId="0" fontId="1" fillId="12" borderId="2" xfId="0" applyFont="1" applyFill="1" applyBorder="1" applyAlignment="1">
      <alignment horizontal="center"/>
    </xf>
    <xf numFmtId="0" fontId="0" fillId="12" borderId="2" xfId="0" applyFill="1" applyBorder="1"/>
    <xf numFmtId="0" fontId="1" fillId="12" borderId="11" xfId="0" applyFont="1" applyFill="1" applyBorder="1" applyAlignment="1">
      <alignment horizontal="center"/>
    </xf>
    <xf numFmtId="0" fontId="0" fillId="12" borderId="4" xfId="0" applyFill="1" applyBorder="1" applyAlignment="1">
      <alignment horizontal="center"/>
    </xf>
    <xf numFmtId="14" fontId="0" fillId="12" borderId="4" xfId="0" applyNumberFormat="1" applyFill="1" applyBorder="1" applyAlignment="1">
      <alignment horizontal="center"/>
    </xf>
    <xf numFmtId="44" fontId="0" fillId="12" borderId="4" xfId="0" applyNumberFormat="1" applyFill="1" applyBorder="1" applyAlignment="1">
      <alignment horizontal="center"/>
    </xf>
    <xf numFmtId="0" fontId="0" fillId="3" borderId="3" xfId="0" applyFill="1" applyBorder="1"/>
    <xf numFmtId="0" fontId="4" fillId="15" borderId="1" xfId="0" applyFont="1" applyFill="1" applyBorder="1" applyAlignment="1">
      <alignment horizontal="left"/>
    </xf>
    <xf numFmtId="0" fontId="0" fillId="0" borderId="8" xfId="0" applyBorder="1"/>
    <xf numFmtId="1" fontId="2" fillId="3" borderId="0" xfId="0" applyNumberFormat="1" applyFont="1" applyFill="1"/>
    <xf numFmtId="2" fontId="2" fillId="3" borderId="0" xfId="0" applyNumberFormat="1" applyFont="1" applyFill="1"/>
    <xf numFmtId="0" fontId="4" fillId="0" borderId="0" xfId="0" applyFont="1" applyAlignment="1">
      <alignment wrapText="1"/>
    </xf>
    <xf numFmtId="0" fontId="4" fillId="0" borderId="0" xfId="0" quotePrefix="1" applyFont="1" applyAlignment="1">
      <alignment wrapText="1"/>
    </xf>
    <xf numFmtId="0" fontId="0" fillId="0" borderId="22" xfId="0" applyBorder="1"/>
    <xf numFmtId="0" fontId="0" fillId="0" borderId="20" xfId="0" applyBorder="1"/>
    <xf numFmtId="0" fontId="0" fillId="16" borderId="0" xfId="0" applyFill="1"/>
    <xf numFmtId="0" fontId="2" fillId="12" borderId="0" xfId="0" applyFont="1" applyFill="1"/>
    <xf numFmtId="0" fontId="2" fillId="3" borderId="1" xfId="0" applyFont="1" applyFill="1" applyBorder="1"/>
    <xf numFmtId="0" fontId="2" fillId="15" borderId="6" xfId="0" applyFont="1" applyFill="1" applyBorder="1" applyAlignment="1">
      <alignment wrapText="1"/>
    </xf>
    <xf numFmtId="0" fontId="2" fillId="0" borderId="6" xfId="0" applyFont="1" applyBorder="1" applyAlignment="1">
      <alignment wrapText="1"/>
    </xf>
    <xf numFmtId="0" fontId="0" fillId="0" borderId="6" xfId="0" applyBorder="1" applyAlignment="1">
      <alignment wrapText="1"/>
    </xf>
    <xf numFmtId="14" fontId="0" fillId="0" borderId="6" xfId="0" applyNumberFormat="1" applyBorder="1" applyAlignment="1">
      <alignment wrapText="1"/>
    </xf>
    <xf numFmtId="0" fontId="10" fillId="0" borderId="6" xfId="1" applyFill="1" applyBorder="1" applyAlignment="1">
      <alignment wrapText="1"/>
    </xf>
    <xf numFmtId="0" fontId="16" fillId="3" borderId="0" xfId="0" applyFont="1" applyFill="1"/>
    <xf numFmtId="166" fontId="0" fillId="0" borderId="1" xfId="0" applyNumberFormat="1" applyBorder="1"/>
    <xf numFmtId="0" fontId="0" fillId="0" borderId="11" xfId="0" applyBorder="1"/>
    <xf numFmtId="0" fontId="0" fillId="12" borderId="12" xfId="0" applyFill="1" applyBorder="1"/>
    <xf numFmtId="0" fontId="0" fillId="12" borderId="13" xfId="0" applyFill="1" applyBorder="1"/>
    <xf numFmtId="0" fontId="8" fillId="16" borderId="2" xfId="0" applyFont="1" applyFill="1" applyBorder="1" applyAlignment="1">
      <alignment horizontal="center"/>
    </xf>
    <xf numFmtId="0" fontId="0" fillId="13" borderId="3" xfId="0" applyFill="1" applyBorder="1"/>
    <xf numFmtId="0" fontId="0" fillId="0" borderId="15" xfId="0" applyBorder="1"/>
    <xf numFmtId="0" fontId="0" fillId="0" borderId="19" xfId="0" applyBorder="1" applyAlignment="1">
      <alignment horizontal="left"/>
    </xf>
    <xf numFmtId="0" fontId="0" fillId="3" borderId="13" xfId="0" applyFill="1" applyBorder="1"/>
    <xf numFmtId="1" fontId="0" fillId="17" borderId="0" xfId="0" applyNumberFormat="1" applyFill="1"/>
    <xf numFmtId="2" fontId="0" fillId="17" borderId="0" xfId="0" applyNumberFormat="1" applyFill="1"/>
    <xf numFmtId="16" fontId="0" fillId="2" borderId="0" xfId="0" applyNumberFormat="1" applyFill="1"/>
    <xf numFmtId="0" fontId="0" fillId="24" borderId="0" xfId="0" applyFill="1"/>
    <xf numFmtId="1" fontId="0" fillId="24" borderId="0" xfId="0" applyNumberFormat="1" applyFill="1"/>
    <xf numFmtId="2" fontId="0" fillId="24" borderId="0" xfId="0" applyNumberFormat="1" applyFill="1"/>
    <xf numFmtId="0" fontId="18" fillId="0" borderId="0" xfId="0" applyFont="1"/>
    <xf numFmtId="0" fontId="19" fillId="0" borderId="0" xfId="0" applyFont="1"/>
    <xf numFmtId="0" fontId="1" fillId="12" borderId="0" xfId="0" applyFont="1" applyFill="1"/>
    <xf numFmtId="0" fontId="6" fillId="12" borderId="0" xfId="0" applyFont="1" applyFill="1"/>
    <xf numFmtId="14" fontId="0" fillId="12" borderId="0" xfId="0" applyNumberFormat="1" applyFill="1" applyAlignment="1">
      <alignment horizontal="left"/>
    </xf>
    <xf numFmtId="14" fontId="0" fillId="12" borderId="0" xfId="0" applyNumberFormat="1" applyFill="1"/>
    <xf numFmtId="0" fontId="2" fillId="12" borderId="13" xfId="0" applyFont="1" applyFill="1" applyBorder="1"/>
    <xf numFmtId="0" fontId="2" fillId="0" borderId="7" xfId="0" applyFont="1" applyBorder="1"/>
    <xf numFmtId="0" fontId="19" fillId="0" borderId="0" xfId="0" applyFont="1" applyAlignment="1">
      <alignment horizontal="left" vertical="center" wrapText="1"/>
    </xf>
    <xf numFmtId="0" fontId="2" fillId="3" borderId="13" xfId="0" applyFont="1" applyFill="1" applyBorder="1"/>
    <xf numFmtId="0" fontId="0" fillId="13" borderId="1" xfId="0" applyFill="1" applyBorder="1"/>
    <xf numFmtId="0" fontId="5" fillId="14" borderId="0" xfId="0" applyFont="1" applyFill="1" applyAlignment="1">
      <alignment horizontal="left"/>
    </xf>
    <xf numFmtId="0" fontId="3" fillId="3" borderId="0" xfId="0" applyFont="1" applyFill="1" applyAlignment="1">
      <alignment horizontal="center"/>
    </xf>
    <xf numFmtId="0" fontId="0" fillId="22" borderId="2" xfId="0" applyFill="1" applyBorder="1"/>
    <xf numFmtId="0" fontId="3" fillId="3" borderId="0" xfId="0" applyFont="1" applyFill="1" applyAlignment="1">
      <alignment horizontal="left"/>
    </xf>
    <xf numFmtId="0" fontId="8" fillId="16" borderId="3" xfId="0" applyFont="1" applyFill="1" applyBorder="1" applyAlignment="1">
      <alignment horizontal="center"/>
    </xf>
    <xf numFmtId="0" fontId="20" fillId="0" borderId="0" xfId="0" applyFont="1" applyAlignment="1">
      <alignment wrapText="1"/>
    </xf>
    <xf numFmtId="0" fontId="21" fillId="0" borderId="0" xfId="0" applyFont="1" applyAlignment="1">
      <alignment wrapText="1"/>
    </xf>
    <xf numFmtId="16" fontId="0" fillId="13" borderId="0" xfId="0" applyNumberFormat="1" applyFill="1"/>
    <xf numFmtId="0" fontId="0" fillId="0" borderId="0" xfId="0" applyAlignment="1">
      <alignment wrapText="1"/>
    </xf>
    <xf numFmtId="0" fontId="0" fillId="22" borderId="0" xfId="0" applyFill="1" applyAlignment="1">
      <alignment horizontal="left"/>
    </xf>
    <xf numFmtId="2" fontId="2" fillId="24" borderId="0" xfId="0" applyNumberFormat="1" applyFont="1" applyFill="1"/>
    <xf numFmtId="1" fontId="0" fillId="12" borderId="1" xfId="0" applyNumberFormat="1" applyFill="1" applyBorder="1"/>
    <xf numFmtId="2" fontId="0" fillId="12" borderId="1" xfId="0" applyNumberFormat="1" applyFill="1" applyBorder="1"/>
    <xf numFmtId="0" fontId="1" fillId="0" borderId="1" xfId="0" applyFont="1" applyBorder="1" applyAlignment="1">
      <alignment horizontal="center"/>
    </xf>
    <xf numFmtId="0" fontId="0" fillId="4" borderId="1" xfId="0" applyFill="1" applyBorder="1"/>
    <xf numFmtId="0" fontId="2" fillId="4" borderId="1" xfId="0" applyFont="1" applyFill="1" applyBorder="1"/>
    <xf numFmtId="16" fontId="0" fillId="12" borderId="0" xfId="0" applyNumberFormat="1" applyFill="1"/>
    <xf numFmtId="0" fontId="2" fillId="13" borderId="1" xfId="0" applyFont="1" applyFill="1" applyBorder="1"/>
    <xf numFmtId="0" fontId="2" fillId="22" borderId="0" xfId="0" applyFont="1" applyFill="1"/>
    <xf numFmtId="8" fontId="0" fillId="0" borderId="0" xfId="0" applyNumberFormat="1"/>
    <xf numFmtId="0" fontId="23" fillId="0" borderId="2" xfId="0" applyFont="1" applyBorder="1"/>
    <xf numFmtId="0" fontId="0" fillId="13" borderId="2" xfId="0" applyFill="1" applyBorder="1"/>
    <xf numFmtId="0" fontId="23" fillId="3" borderId="2" xfId="0" applyFont="1" applyFill="1" applyBorder="1"/>
    <xf numFmtId="0" fontId="0" fillId="12" borderId="11" xfId="0" applyFill="1" applyBorder="1"/>
    <xf numFmtId="0" fontId="23" fillId="0" borderId="0" xfId="0" applyFont="1"/>
    <xf numFmtId="0" fontId="4" fillId="0" borderId="2" xfId="0" applyFont="1" applyBorder="1" applyAlignment="1">
      <alignment wrapText="1"/>
    </xf>
    <xf numFmtId="0" fontId="4" fillId="3" borderId="0" xfId="0" applyFont="1" applyFill="1"/>
    <xf numFmtId="0" fontId="2" fillId="0" borderId="4" xfId="0" applyFont="1" applyBorder="1"/>
    <xf numFmtId="0" fontId="0" fillId="12" borderId="3" xfId="0" applyFill="1" applyBorder="1"/>
    <xf numFmtId="165" fontId="0" fillId="0" borderId="0" xfId="0" applyNumberFormat="1"/>
    <xf numFmtId="165" fontId="0" fillId="0" borderId="2" xfId="0" applyNumberFormat="1" applyBorder="1"/>
    <xf numFmtId="0" fontId="2" fillId="0" borderId="6" xfId="0" applyFont="1" applyBorder="1"/>
    <xf numFmtId="44" fontId="0" fillId="0" borderId="0" xfId="2" applyFont="1"/>
    <xf numFmtId="0" fontId="0" fillId="2" borderId="1" xfId="0" applyFill="1" applyBorder="1"/>
    <xf numFmtId="1" fontId="2" fillId="22" borderId="0" xfId="0" applyNumberFormat="1" applyFont="1" applyFill="1"/>
    <xf numFmtId="2" fontId="2" fillId="22" borderId="0" xfId="0" applyNumberFormat="1" applyFont="1" applyFill="1"/>
    <xf numFmtId="0" fontId="2" fillId="0" borderId="24" xfId="0" applyFont="1" applyBorder="1"/>
    <xf numFmtId="0" fontId="0" fillId="25" borderId="1" xfId="0" applyFill="1" applyBorder="1"/>
    <xf numFmtId="0" fontId="22" fillId="0" borderId="1" xfId="0" applyFont="1" applyBorder="1" applyAlignment="1">
      <alignment horizontal="justify" vertical="center" wrapText="1"/>
    </xf>
    <xf numFmtId="44" fontId="22" fillId="0" borderId="1" xfId="2" applyFont="1" applyBorder="1" applyAlignment="1">
      <alignment horizontal="justify" vertical="center" wrapText="1"/>
    </xf>
    <xf numFmtId="8" fontId="22" fillId="0" borderId="1" xfId="0" applyNumberFormat="1" applyFont="1" applyBorder="1" applyAlignment="1">
      <alignment horizontal="justify" vertical="center" wrapText="1"/>
    </xf>
    <xf numFmtId="0" fontId="24" fillId="24" borderId="0" xfId="0" applyFont="1" applyFill="1"/>
    <xf numFmtId="0" fontId="0" fillId="0" borderId="0" xfId="0" quotePrefix="1"/>
    <xf numFmtId="0" fontId="0" fillId="22" borderId="1" xfId="0" applyFill="1" applyBorder="1"/>
    <xf numFmtId="0" fontId="0" fillId="21" borderId="2" xfId="0" applyFill="1" applyBorder="1"/>
    <xf numFmtId="0" fontId="26" fillId="0" borderId="2" xfId="0" applyFont="1" applyBorder="1"/>
    <xf numFmtId="0" fontId="0" fillId="3" borderId="7" xfId="0" applyFill="1" applyBorder="1"/>
    <xf numFmtId="0" fontId="0" fillId="3" borderId="6" xfId="0" applyFill="1" applyBorder="1"/>
    <xf numFmtId="0" fontId="0" fillId="13" borderId="0" xfId="0" applyFill="1"/>
    <xf numFmtId="0" fontId="0" fillId="0" borderId="2" xfId="0" quotePrefix="1" applyBorder="1"/>
    <xf numFmtId="0" fontId="24" fillId="3" borderId="0" xfId="0" applyFont="1" applyFill="1"/>
    <xf numFmtId="0" fontId="0" fillId="26" borderId="1" xfId="0" applyFill="1" applyBorder="1"/>
    <xf numFmtId="0" fontId="2" fillId="2" borderId="1" xfId="0" applyFont="1" applyFill="1" applyBorder="1"/>
    <xf numFmtId="0" fontId="0" fillId="3" borderId="0" xfId="0" applyFill="1" applyAlignment="1">
      <alignment horizontal="center"/>
    </xf>
    <xf numFmtId="0" fontId="0" fillId="0" borderId="9" xfId="0" applyBorder="1"/>
    <xf numFmtId="0" fontId="21" fillId="0" borderId="0" xfId="0" applyFont="1"/>
    <xf numFmtId="0" fontId="8" fillId="15" borderId="2" xfId="0" applyFont="1" applyFill="1" applyBorder="1" applyAlignment="1">
      <alignment horizontal="center"/>
    </xf>
    <xf numFmtId="0" fontId="27" fillId="0" borderId="0" xfId="0" applyFont="1"/>
    <xf numFmtId="0" fontId="0" fillId="2" borderId="2" xfId="0" applyFill="1" applyBorder="1"/>
    <xf numFmtId="0" fontId="0" fillId="2" borderId="12" xfId="0" applyFill="1" applyBorder="1"/>
    <xf numFmtId="0" fontId="0" fillId="13" borderId="13" xfId="0" applyFill="1" applyBorder="1"/>
    <xf numFmtId="0" fontId="0" fillId="0" borderId="1" xfId="0" applyBorder="1" applyAlignment="1">
      <alignment wrapText="1"/>
    </xf>
    <xf numFmtId="0" fontId="0" fillId="27" borderId="1" xfId="0" applyFill="1" applyBorder="1"/>
    <xf numFmtId="0" fontId="0" fillId="28" borderId="1" xfId="0" applyFill="1" applyBorder="1"/>
    <xf numFmtId="16" fontId="0" fillId="3" borderId="1" xfId="0" applyNumberFormat="1" applyFill="1" applyBorder="1"/>
    <xf numFmtId="17" fontId="0" fillId="3" borderId="1" xfId="0" applyNumberFormat="1" applyFill="1" applyBorder="1"/>
    <xf numFmtId="0" fontId="0" fillId="0" borderId="2" xfId="0" applyBorder="1" applyAlignment="1">
      <alignment wrapText="1"/>
    </xf>
    <xf numFmtId="0" fontId="0" fillId="0" borderId="3" xfId="0" applyBorder="1" applyAlignment="1">
      <alignment wrapText="1"/>
    </xf>
    <xf numFmtId="0" fontId="0" fillId="0" borderId="4" xfId="0" applyBorder="1" applyAlignment="1">
      <alignment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16" fontId="0" fillId="3"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2" borderId="3" xfId="0" applyNumberFormat="1" applyFill="1" applyBorder="1" applyAlignment="1">
      <alignment horizontal="center" vertical="center"/>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4" xfId="0" applyBorder="1" applyAlignment="1">
      <alignment horizontal="center" vertical="center"/>
    </xf>
    <xf numFmtId="16" fontId="0" fillId="0" borderId="4" xfId="0" applyNumberFormat="1" applyBorder="1" applyAlignment="1">
      <alignment horizontal="center" vertical="center"/>
    </xf>
    <xf numFmtId="0" fontId="28" fillId="0" borderId="2" xfId="0" applyFont="1" applyBorder="1" applyAlignment="1">
      <alignment wrapText="1"/>
    </xf>
    <xf numFmtId="16" fontId="0" fillId="3" borderId="3" xfId="0" applyNumberFormat="1" applyFill="1" applyBorder="1" applyAlignment="1">
      <alignment horizontal="center" vertical="center"/>
    </xf>
    <xf numFmtId="16" fontId="0" fillId="0" borderId="10" xfId="0" applyNumberFormat="1" applyBorder="1" applyAlignment="1">
      <alignment horizontal="center" vertical="center"/>
    </xf>
    <xf numFmtId="16" fontId="24" fillId="4" borderId="9" xfId="0" applyNumberFormat="1" applyFont="1" applyFill="1" applyBorder="1" applyAlignment="1">
      <alignment horizontal="center" vertical="center"/>
    </xf>
    <xf numFmtId="16" fontId="0" fillId="4" borderId="2" xfId="0" applyNumberFormat="1" applyFill="1" applyBorder="1" applyAlignment="1">
      <alignment horizontal="center" vertical="center"/>
    </xf>
    <xf numFmtId="0" fontId="0" fillId="12" borderId="2" xfId="0" applyFill="1" applyBorder="1" applyAlignment="1">
      <alignment horizontal="center" vertical="center"/>
    </xf>
    <xf numFmtId="0" fontId="0" fillId="12" borderId="2" xfId="0" applyFill="1" applyBorder="1" applyAlignment="1">
      <alignment horizontal="left" vertical="center" wrapText="1"/>
    </xf>
    <xf numFmtId="0" fontId="28" fillId="12" borderId="2" xfId="0" applyFont="1" applyFill="1" applyBorder="1" applyAlignment="1">
      <alignment wrapText="1"/>
    </xf>
    <xf numFmtId="0" fontId="0" fillId="0" borderId="9" xfId="0" applyBorder="1" applyAlignment="1">
      <alignment horizontal="left" vertical="center" wrapText="1"/>
    </xf>
    <xf numFmtId="0" fontId="0" fillId="0" borderId="19" xfId="0" applyBorder="1" applyAlignment="1">
      <alignment wrapText="1"/>
    </xf>
    <xf numFmtId="16" fontId="0" fillId="13" borderId="1" xfId="0" applyNumberFormat="1" applyFill="1" applyBorder="1"/>
    <xf numFmtId="165" fontId="0" fillId="0" borderId="9" xfId="0" applyNumberFormat="1" applyBorder="1"/>
    <xf numFmtId="165" fontId="0" fillId="0" borderId="9" xfId="0" applyNumberFormat="1" applyBorder="1" applyAlignment="1">
      <alignment horizontal="right"/>
    </xf>
    <xf numFmtId="165" fontId="0" fillId="0" borderId="10" xfId="0" applyNumberFormat="1" applyBorder="1"/>
    <xf numFmtId="165" fontId="0" fillId="0" borderId="11" xfId="0" applyNumberFormat="1" applyBorder="1"/>
    <xf numFmtId="14" fontId="0" fillId="0" borderId="2" xfId="0" applyNumberFormat="1" applyBorder="1" applyAlignment="1">
      <alignment horizontal="right"/>
    </xf>
    <xf numFmtId="0" fontId="4" fillId="0" borderId="0" xfId="0" applyFont="1"/>
    <xf numFmtId="0" fontId="4" fillId="0" borderId="2" xfId="0" applyFont="1" applyBorder="1"/>
    <xf numFmtId="0" fontId="4" fillId="2" borderId="0" xfId="0" applyFont="1" applyFill="1"/>
    <xf numFmtId="0" fontId="4" fillId="26" borderId="1" xfId="0" applyFont="1" applyFill="1" applyBorder="1"/>
    <xf numFmtId="0" fontId="4" fillId="3" borderId="2" xfId="0" applyFont="1" applyFill="1" applyBorder="1"/>
    <xf numFmtId="0" fontId="4" fillId="3" borderId="1" xfId="0" applyFont="1" applyFill="1" applyBorder="1"/>
    <xf numFmtId="0" fontId="4" fillId="2" borderId="1" xfId="0" applyFont="1" applyFill="1" applyBorder="1"/>
    <xf numFmtId="17" fontId="1" fillId="0" borderId="1" xfId="0" applyNumberFormat="1" applyFont="1" applyBorder="1" applyAlignment="1">
      <alignment horizontal="center"/>
    </xf>
    <xf numFmtId="16" fontId="4" fillId="13" borderId="0" xfId="0" applyNumberFormat="1" applyFont="1" applyFill="1"/>
    <xf numFmtId="0" fontId="1" fillId="0" borderId="2" xfId="0" applyFont="1" applyBorder="1" applyAlignment="1">
      <alignment horizontal="center"/>
    </xf>
    <xf numFmtId="0" fontId="1" fillId="0" borderId="9" xfId="0" applyFont="1" applyBorder="1" applyAlignment="1">
      <alignment horizontal="center"/>
    </xf>
    <xf numFmtId="0" fontId="1" fillId="0" borderId="2" xfId="0" applyFont="1" applyBorder="1"/>
    <xf numFmtId="0" fontId="4" fillId="0" borderId="2" xfId="0" applyFont="1" applyBorder="1" applyAlignment="1">
      <alignment horizontal="left" vertical="center" wrapText="1"/>
    </xf>
    <xf numFmtId="0" fontId="0" fillId="0" borderId="10" xfId="0" applyBorder="1"/>
    <xf numFmtId="16" fontId="0" fillId="13" borderId="2" xfId="0" applyNumberFormat="1" applyFill="1" applyBorder="1" applyAlignment="1">
      <alignment horizontal="center" vertical="center"/>
    </xf>
    <xf numFmtId="16" fontId="0" fillId="13" borderId="3" xfId="0" applyNumberFormat="1" applyFill="1" applyBorder="1" applyAlignment="1">
      <alignment horizontal="center" vertical="center"/>
    </xf>
    <xf numFmtId="0" fontId="0" fillId="13" borderId="2" xfId="0" applyFill="1" applyBorder="1" applyAlignment="1">
      <alignment horizontal="center" vertical="center"/>
    </xf>
    <xf numFmtId="0" fontId="0" fillId="13" borderId="0" xfId="0" applyFill="1" applyAlignment="1">
      <alignment horizontal="center" vertical="center"/>
    </xf>
    <xf numFmtId="16" fontId="0" fillId="3" borderId="2" xfId="0" applyNumberFormat="1" applyFill="1" applyBorder="1" applyAlignment="1">
      <alignment horizontal="left"/>
    </xf>
    <xf numFmtId="0" fontId="0" fillId="3" borderId="2" xfId="0" applyFill="1" applyBorder="1" applyAlignment="1">
      <alignment horizontal="left"/>
    </xf>
    <xf numFmtId="167" fontId="0" fillId="3" borderId="2" xfId="0" applyNumberFormat="1" applyFill="1" applyBorder="1" applyAlignment="1">
      <alignment horizontal="left"/>
    </xf>
    <xf numFmtId="167" fontId="0" fillId="0" borderId="2" xfId="0" applyNumberFormat="1" applyBorder="1" applyAlignment="1">
      <alignment horizontal="left"/>
    </xf>
    <xf numFmtId="167" fontId="0" fillId="0" borderId="0" xfId="0" applyNumberFormat="1" applyAlignment="1">
      <alignment horizontal="left"/>
    </xf>
    <xf numFmtId="167" fontId="0" fillId="0" borderId="4" xfId="0" applyNumberFormat="1" applyBorder="1" applyAlignment="1">
      <alignment horizontal="left"/>
    </xf>
    <xf numFmtId="16" fontId="0" fillId="0" borderId="2" xfId="0" applyNumberFormat="1" applyBorder="1" applyAlignment="1">
      <alignment horizontal="left"/>
    </xf>
    <xf numFmtId="0" fontId="0" fillId="27" borderId="2" xfId="0" applyFill="1" applyBorder="1"/>
    <xf numFmtId="0" fontId="0" fillId="27" borderId="3" xfId="0" applyFill="1" applyBorder="1"/>
    <xf numFmtId="16" fontId="0" fillId="0" borderId="4" xfId="0" applyNumberFormat="1" applyBorder="1" applyAlignment="1">
      <alignment horizontal="left"/>
    </xf>
    <xf numFmtId="0" fontId="0" fillId="0" borderId="1" xfId="0" applyBorder="1" applyAlignment="1">
      <alignment horizontal="center" wrapText="1"/>
    </xf>
    <xf numFmtId="0" fontId="30" fillId="0" borderId="2" xfId="0" applyFont="1" applyBorder="1" applyAlignment="1">
      <alignment horizontal="left"/>
    </xf>
    <xf numFmtId="0" fontId="30" fillId="29" borderId="2" xfId="0" applyFont="1" applyFill="1" applyBorder="1" applyAlignment="1">
      <alignment horizontal="left"/>
    </xf>
    <xf numFmtId="0" fontId="30" fillId="15" borderId="2" xfId="0" applyFont="1" applyFill="1" applyBorder="1" applyAlignment="1">
      <alignment horizontal="left"/>
    </xf>
    <xf numFmtId="0" fontId="31" fillId="15" borderId="2" xfId="0" applyFont="1" applyFill="1" applyBorder="1" applyAlignment="1">
      <alignment horizontal="left"/>
    </xf>
    <xf numFmtId="0" fontId="32" fillId="0" borderId="2" xfId="0" applyFont="1" applyBorder="1" applyAlignment="1">
      <alignment horizontal="left"/>
    </xf>
    <xf numFmtId="0" fontId="10" fillId="29" borderId="2" xfId="1" applyFill="1" applyBorder="1" applyAlignment="1">
      <alignment horizontal="left"/>
    </xf>
    <xf numFmtId="0" fontId="32" fillId="29" borderId="2" xfId="0" applyFont="1" applyFill="1" applyBorder="1" applyAlignment="1">
      <alignment horizontal="left"/>
    </xf>
    <xf numFmtId="0" fontId="30" fillId="3" borderId="2" xfId="0" applyFont="1" applyFill="1" applyBorder="1" applyAlignment="1">
      <alignment horizontal="left"/>
    </xf>
    <xf numFmtId="0" fontId="10" fillId="29" borderId="2" xfId="1" quotePrefix="1" applyFill="1" applyBorder="1" applyAlignment="1">
      <alignment horizontal="left"/>
    </xf>
    <xf numFmtId="0" fontId="30" fillId="5" borderId="2" xfId="0" applyFont="1" applyFill="1" applyBorder="1" applyAlignment="1">
      <alignment horizontal="left"/>
    </xf>
    <xf numFmtId="0" fontId="10" fillId="2" borderId="2" xfId="1" applyFill="1" applyBorder="1" applyAlignment="1">
      <alignment horizontal="left"/>
    </xf>
    <xf numFmtId="0" fontId="30" fillId="2" borderId="2" xfId="0" applyFont="1" applyFill="1" applyBorder="1" applyAlignment="1">
      <alignment horizontal="left"/>
    </xf>
    <xf numFmtId="0" fontId="10" fillId="3" borderId="2" xfId="1" applyFill="1" applyBorder="1" applyAlignment="1">
      <alignment horizontal="left"/>
    </xf>
    <xf numFmtId="0" fontId="34" fillId="29" borderId="2" xfId="0" applyFont="1" applyFill="1" applyBorder="1" applyAlignment="1">
      <alignment horizontal="left"/>
    </xf>
    <xf numFmtId="0" fontId="32" fillId="2" borderId="2" xfId="0" applyFont="1" applyFill="1" applyBorder="1" applyAlignment="1">
      <alignment horizontal="left"/>
    </xf>
    <xf numFmtId="0" fontId="31" fillId="0" borderId="2" xfId="0" applyFont="1" applyBorder="1" applyAlignment="1">
      <alignment horizontal="left"/>
    </xf>
    <xf numFmtId="0" fontId="31" fillId="5" borderId="2" xfId="0" applyFont="1" applyFill="1" applyBorder="1" applyAlignment="1">
      <alignment horizontal="left"/>
    </xf>
    <xf numFmtId="0" fontId="30" fillId="4" borderId="2" xfId="0" applyFont="1" applyFill="1" applyBorder="1" applyAlignment="1">
      <alignment horizontal="left"/>
    </xf>
    <xf numFmtId="0" fontId="32" fillId="3" borderId="2" xfId="0" applyFont="1" applyFill="1" applyBorder="1" applyAlignment="1">
      <alignment horizontal="left"/>
    </xf>
    <xf numFmtId="0" fontId="29" fillId="3" borderId="2" xfId="0" applyFont="1" applyFill="1" applyBorder="1" applyAlignment="1">
      <alignment horizontal="left"/>
    </xf>
    <xf numFmtId="0" fontId="31" fillId="4" borderId="2" xfId="0" applyFont="1" applyFill="1" applyBorder="1" applyAlignment="1">
      <alignment horizontal="left"/>
    </xf>
    <xf numFmtId="0" fontId="32" fillId="4" borderId="2" xfId="0" applyFont="1" applyFill="1" applyBorder="1" applyAlignment="1">
      <alignment horizontal="left"/>
    </xf>
    <xf numFmtId="0" fontId="31" fillId="29" borderId="2" xfId="0" applyFont="1" applyFill="1" applyBorder="1" applyAlignment="1">
      <alignment horizontal="left"/>
    </xf>
    <xf numFmtId="0" fontId="31" fillId="3" borderId="2" xfId="0" applyFont="1" applyFill="1" applyBorder="1" applyAlignment="1">
      <alignment horizontal="left"/>
    </xf>
    <xf numFmtId="0" fontId="32" fillId="5" borderId="2" xfId="0" applyFont="1" applyFill="1" applyBorder="1" applyAlignment="1">
      <alignment horizontal="left"/>
    </xf>
    <xf numFmtId="0" fontId="10" fillId="5" borderId="2" xfId="1" applyFill="1" applyBorder="1" applyAlignment="1">
      <alignment horizontal="left"/>
    </xf>
    <xf numFmtId="0" fontId="31" fillId="2" borderId="2" xfId="0" applyFont="1" applyFill="1" applyBorder="1" applyAlignment="1">
      <alignment horizontal="left"/>
    </xf>
    <xf numFmtId="0" fontId="30" fillId="3" borderId="2" xfId="0" applyFont="1" applyFill="1" applyBorder="1" applyAlignment="1">
      <alignment horizontal="left" wrapText="1"/>
    </xf>
    <xf numFmtId="0" fontId="36" fillId="5" borderId="2" xfId="1" applyFont="1" applyFill="1" applyBorder="1" applyAlignment="1">
      <alignment horizontal="left"/>
    </xf>
    <xf numFmtId="0" fontId="30" fillId="2" borderId="2" xfId="0" applyFont="1" applyFill="1" applyBorder="1" applyAlignment="1">
      <alignment horizontal="left" wrapText="1"/>
    </xf>
    <xf numFmtId="0" fontId="33" fillId="29" borderId="2" xfId="0" applyFont="1" applyFill="1" applyBorder="1" applyAlignment="1">
      <alignment horizontal="left"/>
    </xf>
    <xf numFmtId="0" fontId="30" fillId="29" borderId="2" xfId="0" quotePrefix="1" applyFont="1" applyFill="1" applyBorder="1" applyAlignment="1">
      <alignment horizontal="left"/>
    </xf>
    <xf numFmtId="0" fontId="35" fillId="0" borderId="2" xfId="0" applyFont="1" applyBorder="1" applyAlignment="1">
      <alignment horizontal="left"/>
    </xf>
    <xf numFmtId="0" fontId="30" fillId="5" borderId="2" xfId="0" applyFont="1" applyFill="1" applyBorder="1" applyAlignment="1">
      <alignment horizontal="left" wrapText="1"/>
    </xf>
    <xf numFmtId="0" fontId="0" fillId="4" borderId="9" xfId="0" applyFill="1" applyBorder="1" applyAlignment="1">
      <alignment horizontal="left"/>
    </xf>
    <xf numFmtId="0" fontId="0" fillId="2" borderId="9" xfId="0" applyFill="1" applyBorder="1" applyAlignment="1">
      <alignment horizontal="left"/>
    </xf>
    <xf numFmtId="0" fontId="0" fillId="5" borderId="9" xfId="0" applyFill="1" applyBorder="1" applyAlignment="1">
      <alignment horizontal="left"/>
    </xf>
    <xf numFmtId="0" fontId="0" fillId="30" borderId="9" xfId="0" applyFill="1" applyBorder="1" applyAlignment="1">
      <alignment horizontal="left"/>
    </xf>
    <xf numFmtId="0" fontId="10" fillId="0" borderId="0" xfId="1"/>
    <xf numFmtId="0" fontId="37" fillId="0" borderId="0" xfId="0" applyFont="1"/>
    <xf numFmtId="0" fontId="1" fillId="0" borderId="1" xfId="0" applyFont="1" applyBorder="1" applyAlignment="1">
      <alignment horizontal="center" vertical="center"/>
    </xf>
    <xf numFmtId="0" fontId="6" fillId="3" borderId="2" xfId="0" applyFont="1" applyFill="1" applyBorder="1"/>
    <xf numFmtId="0" fontId="6" fillId="0" borderId="2" xfId="0" applyFont="1" applyBorder="1"/>
    <xf numFmtId="0" fontId="1" fillId="0" borderId="2" xfId="0" applyFont="1" applyBorder="1" applyAlignment="1">
      <alignment horizontal="left"/>
    </xf>
    <xf numFmtId="0" fontId="31" fillId="29" borderId="2" xfId="0" applyFont="1" applyFill="1" applyBorder="1"/>
    <xf numFmtId="0" fontId="32" fillId="3" borderId="2" xfId="0" applyFont="1" applyFill="1" applyBorder="1"/>
    <xf numFmtId="0" fontId="31" fillId="3" borderId="2" xfId="0" applyFont="1" applyFill="1" applyBorder="1"/>
    <xf numFmtId="0" fontId="31" fillId="5" borderId="2" xfId="0" applyFont="1" applyFill="1" applyBorder="1"/>
    <xf numFmtId="0" fontId="4" fillId="3" borderId="9" xfId="0" applyFont="1" applyFill="1" applyBorder="1" applyAlignment="1">
      <alignment horizontal="left"/>
    </xf>
    <xf numFmtId="0" fontId="0" fillId="31" borderId="0" xfId="0" applyFill="1"/>
    <xf numFmtId="0" fontId="0" fillId="0" borderId="23" xfId="0" applyBorder="1"/>
    <xf numFmtId="0" fontId="1" fillId="0" borderId="12" xfId="0" applyFont="1" applyBorder="1" applyAlignment="1">
      <alignment horizontal="center" vertical="center"/>
    </xf>
    <xf numFmtId="0" fontId="1" fillId="0" borderId="2" xfId="0" applyFont="1" applyBorder="1" applyAlignment="1">
      <alignment horizontal="center" vertical="center"/>
    </xf>
    <xf numFmtId="0" fontId="38" fillId="0" borderId="0" xfId="0" applyFont="1"/>
    <xf numFmtId="16" fontId="0" fillId="0" borderId="9" xfId="0" applyNumberFormat="1" applyBorder="1"/>
    <xf numFmtId="14" fontId="0" fillId="0" borderId="9" xfId="0" applyNumberFormat="1" applyBorder="1"/>
    <xf numFmtId="0" fontId="30" fillId="29" borderId="2" xfId="0" applyFont="1" applyFill="1" applyBorder="1" applyAlignment="1">
      <alignment horizontal="left" wrapText="1"/>
    </xf>
    <xf numFmtId="16" fontId="0" fillId="0" borderId="13" xfId="0" applyNumberFormat="1" applyBorder="1"/>
    <xf numFmtId="16" fontId="0" fillId="0" borderId="10" xfId="0" applyNumberFormat="1" applyBorder="1"/>
    <xf numFmtId="16" fontId="0" fillId="0" borderId="2" xfId="0" applyNumberFormat="1" applyBorder="1"/>
    <xf numFmtId="16" fontId="0" fillId="0" borderId="3" xfId="0" applyNumberFormat="1" applyBorder="1"/>
    <xf numFmtId="14" fontId="0" fillId="0" borderId="4" xfId="0" applyNumberFormat="1" applyBorder="1"/>
    <xf numFmtId="14" fontId="0" fillId="0" borderId="3" xfId="0" applyNumberFormat="1" applyBorder="1"/>
    <xf numFmtId="1" fontId="2" fillId="0" borderId="0" xfId="0" applyNumberFormat="1" applyFont="1"/>
    <xf numFmtId="0" fontId="5" fillId="0" borderId="0" xfId="0" applyFont="1" applyAlignment="1">
      <alignment horizontal="left"/>
    </xf>
    <xf numFmtId="0" fontId="24" fillId="0" borderId="0" xfId="0" applyFont="1"/>
    <xf numFmtId="0" fontId="2" fillId="0" borderId="0" xfId="0" applyFont="1" applyAlignment="1">
      <alignment horizontal="left"/>
    </xf>
    <xf numFmtId="0" fontId="2" fillId="0" borderId="0" xfId="0" applyFont="1" applyAlignment="1">
      <alignment horizontal="center"/>
    </xf>
    <xf numFmtId="0" fontId="39" fillId="0" borderId="0" xfId="0" applyFont="1" applyAlignment="1">
      <alignment horizontal="left"/>
    </xf>
    <xf numFmtId="0" fontId="39" fillId="0" borderId="0" xfId="0" applyFont="1" applyAlignment="1">
      <alignment horizontal="center"/>
    </xf>
    <xf numFmtId="2" fontId="2" fillId="0" borderId="0" xfId="0" applyNumberFormat="1" applyFont="1"/>
    <xf numFmtId="0" fontId="40" fillId="0" borderId="2" xfId="0" applyFont="1" applyBorder="1" applyAlignment="1">
      <alignment wrapText="1"/>
    </xf>
    <xf numFmtId="0" fontId="40" fillId="0" borderId="2" xfId="0" applyFont="1" applyBorder="1" applyAlignment="1">
      <alignment horizontal="center" wrapText="1"/>
    </xf>
    <xf numFmtId="0" fontId="41" fillId="32" borderId="2" xfId="0" applyFont="1" applyFill="1" applyBorder="1" applyAlignment="1">
      <alignment wrapText="1"/>
    </xf>
    <xf numFmtId="0" fontId="41" fillId="32" borderId="2" xfId="0" applyFont="1" applyFill="1" applyBorder="1" applyAlignment="1">
      <alignment horizontal="center" wrapText="1"/>
    </xf>
    <xf numFmtId="0" fontId="41" fillId="0" borderId="2" xfId="0" applyFont="1" applyBorder="1" applyAlignment="1">
      <alignment wrapText="1"/>
    </xf>
    <xf numFmtId="0" fontId="41" fillId="0" borderId="2" xfId="0" applyFont="1" applyBorder="1" applyAlignment="1">
      <alignment horizontal="center" wrapText="1"/>
    </xf>
    <xf numFmtId="0" fontId="40" fillId="0" borderId="9" xfId="0" applyFont="1" applyBorder="1" applyAlignment="1">
      <alignment wrapText="1"/>
    </xf>
    <xf numFmtId="0" fontId="41" fillId="32" borderId="9" xfId="0" applyFont="1" applyFill="1" applyBorder="1" applyAlignment="1">
      <alignment wrapText="1"/>
    </xf>
    <xf numFmtId="0" fontId="41" fillId="0" borderId="9" xfId="0" applyFont="1" applyBorder="1" applyAlignment="1">
      <alignment wrapText="1"/>
    </xf>
    <xf numFmtId="0" fontId="41" fillId="3" borderId="2" xfId="0" applyFont="1" applyFill="1" applyBorder="1" applyAlignment="1">
      <alignment wrapText="1"/>
    </xf>
    <xf numFmtId="0" fontId="41" fillId="4" borderId="2" xfId="0" applyFont="1" applyFill="1" applyBorder="1" applyAlignment="1">
      <alignment wrapText="1"/>
    </xf>
    <xf numFmtId="0" fontId="42" fillId="32" borderId="2" xfId="0" applyFont="1" applyFill="1" applyBorder="1" applyAlignment="1">
      <alignment wrapText="1"/>
    </xf>
    <xf numFmtId="0" fontId="42" fillId="32" borderId="2" xfId="0" applyFont="1" applyFill="1" applyBorder="1" applyAlignment="1">
      <alignment horizontal="center" wrapText="1"/>
    </xf>
    <xf numFmtId="0" fontId="42" fillId="32" borderId="9" xfId="0" applyFont="1" applyFill="1" applyBorder="1" applyAlignment="1">
      <alignment wrapText="1"/>
    </xf>
    <xf numFmtId="0" fontId="42" fillId="0" borderId="2" xfId="0" applyFont="1" applyBorder="1" applyAlignment="1">
      <alignment wrapText="1"/>
    </xf>
    <xf numFmtId="0" fontId="42" fillId="0" borderId="2" xfId="0" applyFont="1" applyBorder="1" applyAlignment="1">
      <alignment horizontal="center" wrapText="1"/>
    </xf>
    <xf numFmtId="0" fontId="42" fillId="0" borderId="9" xfId="0" applyFont="1" applyBorder="1" applyAlignment="1">
      <alignment wrapText="1"/>
    </xf>
    <xf numFmtId="0" fontId="24" fillId="0" borderId="2" xfId="0" applyFont="1" applyBorder="1"/>
    <xf numFmtId="0" fontId="41" fillId="33" borderId="2" xfId="0" applyFont="1" applyFill="1" applyBorder="1" applyAlignment="1">
      <alignment wrapText="1"/>
    </xf>
    <xf numFmtId="0" fontId="0" fillId="0" borderId="0" xfId="0" quotePrefix="1" applyAlignment="1">
      <alignment horizontal="center"/>
    </xf>
    <xf numFmtId="14" fontId="38" fillId="0" borderId="0" xfId="0" applyNumberFormat="1" applyFont="1"/>
    <xf numFmtId="0" fontId="0" fillId="4" borderId="2" xfId="0" applyFill="1" applyBorder="1"/>
    <xf numFmtId="168" fontId="0" fillId="0" borderId="2" xfId="0" applyNumberFormat="1" applyBorder="1"/>
    <xf numFmtId="0" fontId="0" fillId="4" borderId="9" xfId="0" applyFill="1" applyBorder="1"/>
    <xf numFmtId="167" fontId="0" fillId="0" borderId="2" xfId="0" applyNumberFormat="1" applyBorder="1"/>
    <xf numFmtId="168" fontId="0" fillId="0" borderId="0" xfId="0" applyNumberFormat="1"/>
    <xf numFmtId="0" fontId="0" fillId="0" borderId="0" xfId="0" applyAlignment="1">
      <alignment readingOrder="1"/>
    </xf>
    <xf numFmtId="0" fontId="0" fillId="13" borderId="9" xfId="0" applyFill="1" applyBorder="1"/>
    <xf numFmtId="8" fontId="0" fillId="0" borderId="2" xfId="0" applyNumberFormat="1" applyBorder="1"/>
    <xf numFmtId="14" fontId="43" fillId="4" borderId="2" xfId="0" applyNumberFormat="1" applyFont="1" applyFill="1" applyBorder="1"/>
    <xf numFmtId="0" fontId="44" fillId="0" borderId="0" xfId="0" applyFont="1"/>
    <xf numFmtId="0" fontId="1" fillId="0" borderId="3" xfId="0" applyFont="1" applyBorder="1" applyAlignment="1">
      <alignment horizontal="center" vertical="center"/>
    </xf>
    <xf numFmtId="0" fontId="0" fillId="4" borderId="4" xfId="0" applyFill="1" applyBorder="1"/>
    <xf numFmtId="0" fontId="27" fillId="20" borderId="1" xfId="0" applyFont="1" applyFill="1" applyBorder="1"/>
    <xf numFmtId="0" fontId="27" fillId="34" borderId="1" xfId="0" applyFont="1" applyFill="1" applyBorder="1"/>
    <xf numFmtId="0" fontId="27" fillId="20" borderId="24" xfId="0" applyFont="1" applyFill="1" applyBorder="1"/>
    <xf numFmtId="0" fontId="0" fillId="3" borderId="4" xfId="0" applyFill="1" applyBorder="1"/>
    <xf numFmtId="0" fontId="46" fillId="0" borderId="2" xfId="0" applyFont="1" applyBorder="1"/>
    <xf numFmtId="14" fontId="1" fillId="0" borderId="9" xfId="0" applyNumberFormat="1" applyFont="1" applyBorder="1"/>
    <xf numFmtId="0" fontId="0" fillId="4" borderId="1" xfId="0" applyFill="1" applyBorder="1" applyAlignment="1">
      <alignment horizontal="left" indent="5"/>
    </xf>
    <xf numFmtId="16" fontId="0" fillId="4" borderId="1" xfId="0" applyNumberFormat="1" applyFill="1" applyBorder="1" applyAlignment="1">
      <alignment horizontal="left" indent="5"/>
    </xf>
    <xf numFmtId="16" fontId="0" fillId="35" borderId="1" xfId="0" applyNumberFormat="1" applyFill="1" applyBorder="1" applyAlignment="1">
      <alignment horizontal="left" indent="5"/>
    </xf>
    <xf numFmtId="0" fontId="0" fillId="35" borderId="1" xfId="0" applyFill="1" applyBorder="1" applyAlignment="1">
      <alignment horizontal="left" indent="5"/>
    </xf>
    <xf numFmtId="16" fontId="0" fillId="12" borderId="1" xfId="0" applyNumberFormat="1" applyFill="1" applyBorder="1" applyAlignment="1">
      <alignment horizontal="left" indent="5"/>
    </xf>
    <xf numFmtId="16" fontId="0" fillId="5" borderId="1" xfId="0" applyNumberFormat="1" applyFill="1" applyBorder="1" applyAlignment="1">
      <alignment horizontal="left" indent="5"/>
    </xf>
    <xf numFmtId="16" fontId="0" fillId="4" borderId="4" xfId="0" applyNumberFormat="1" applyFill="1" applyBorder="1" applyAlignment="1">
      <alignment horizontal="left" indent="5"/>
    </xf>
    <xf numFmtId="16" fontId="0" fillId="7" borderId="4" xfId="0" applyNumberFormat="1" applyFill="1" applyBorder="1" applyAlignment="1">
      <alignment horizontal="left" indent="5"/>
    </xf>
    <xf numFmtId="16" fontId="0" fillId="4" borderId="20" xfId="0" applyNumberFormat="1" applyFill="1" applyBorder="1" applyAlignment="1">
      <alignment horizontal="left" indent="5"/>
    </xf>
    <xf numFmtId="16" fontId="0" fillId="4" borderId="22" xfId="0" applyNumberFormat="1" applyFill="1" applyBorder="1" applyAlignment="1">
      <alignment horizontal="left" indent="5"/>
    </xf>
    <xf numFmtId="16" fontId="0" fillId="35" borderId="2" xfId="0" applyNumberFormat="1" applyFill="1" applyBorder="1" applyAlignment="1">
      <alignment horizontal="left" indent="5"/>
    </xf>
    <xf numFmtId="16" fontId="0" fillId="35" borderId="7" xfId="0" applyNumberFormat="1" applyFill="1" applyBorder="1" applyAlignment="1">
      <alignment horizontal="left" indent="5"/>
    </xf>
    <xf numFmtId="16" fontId="0" fillId="4" borderId="2" xfId="0" applyNumberFormat="1" applyFill="1" applyBorder="1" applyAlignment="1">
      <alignment horizontal="left" indent="5"/>
    </xf>
    <xf numFmtId="16" fontId="0" fillId="5" borderId="2" xfId="0" applyNumberFormat="1" applyFill="1" applyBorder="1" applyAlignment="1">
      <alignment horizontal="left" indent="5"/>
    </xf>
    <xf numFmtId="16" fontId="0" fillId="4" borderId="7" xfId="0" applyNumberFormat="1" applyFill="1" applyBorder="1" applyAlignment="1">
      <alignment horizontal="left" indent="5"/>
    </xf>
    <xf numFmtId="16" fontId="0" fillId="4" borderId="9" xfId="0" applyNumberFormat="1" applyFill="1" applyBorder="1" applyAlignment="1">
      <alignment horizontal="left" indent="5"/>
    </xf>
    <xf numFmtId="16" fontId="0" fillId="7" borderId="2" xfId="0" applyNumberFormat="1" applyFill="1" applyBorder="1" applyAlignment="1">
      <alignment horizontal="left" indent="5"/>
    </xf>
    <xf numFmtId="16" fontId="0" fillId="35" borderId="9" xfId="0" applyNumberFormat="1" applyFill="1" applyBorder="1" applyAlignment="1">
      <alignment horizontal="left" indent="5"/>
    </xf>
    <xf numFmtId="16" fontId="0" fillId="4" borderId="17" xfId="0" applyNumberFormat="1" applyFill="1" applyBorder="1" applyAlignment="1">
      <alignment horizontal="left" indent="5"/>
    </xf>
    <xf numFmtId="16" fontId="0" fillId="35" borderId="17" xfId="0" applyNumberFormat="1" applyFill="1" applyBorder="1" applyAlignment="1">
      <alignment horizontal="left" indent="5"/>
    </xf>
    <xf numFmtId="0" fontId="0" fillId="12" borderId="4" xfId="0" applyFill="1" applyBorder="1"/>
    <xf numFmtId="14" fontId="1" fillId="0" borderId="10" xfId="0" applyNumberFormat="1" applyFont="1" applyBorder="1"/>
    <xf numFmtId="0" fontId="0" fillId="4" borderId="19" xfId="0" applyFill="1" applyBorder="1"/>
    <xf numFmtId="0" fontId="0" fillId="0" borderId="5" xfId="0" applyBorder="1"/>
    <xf numFmtId="14" fontId="1" fillId="0" borderId="2" xfId="0" applyNumberFormat="1" applyFont="1" applyBorder="1"/>
    <xf numFmtId="0" fontId="0" fillId="3" borderId="2" xfId="0" quotePrefix="1" applyFill="1" applyBorder="1"/>
    <xf numFmtId="0" fontId="0" fillId="4" borderId="3" xfId="0" applyFill="1" applyBorder="1"/>
    <xf numFmtId="0" fontId="47" fillId="4" borderId="0" xfId="0" applyFont="1" applyFill="1"/>
    <xf numFmtId="14" fontId="1" fillId="12" borderId="22" xfId="0" applyNumberFormat="1" applyFont="1" applyFill="1" applyBorder="1"/>
    <xf numFmtId="14" fontId="1" fillId="12" borderId="9" xfId="0" applyNumberFormat="1" applyFont="1" applyFill="1" applyBorder="1"/>
    <xf numFmtId="44" fontId="0" fillId="0" borderId="2" xfId="2" applyFont="1" applyBorder="1"/>
    <xf numFmtId="168" fontId="0" fillId="0" borderId="2" xfId="2" applyNumberFormat="1" applyFont="1" applyBorder="1"/>
    <xf numFmtId="0" fontId="0" fillId="2" borderId="2" xfId="0" applyFill="1" applyBorder="1" applyAlignment="1">
      <alignment horizontal="right"/>
    </xf>
    <xf numFmtId="0" fontId="0" fillId="0" borderId="2" xfId="0" applyBorder="1" applyAlignment="1">
      <alignment horizontal="right"/>
    </xf>
    <xf numFmtId="168" fontId="0" fillId="0" borderId="7" xfId="2" applyNumberFormat="1" applyFont="1" applyBorder="1"/>
    <xf numFmtId="44" fontId="0" fillId="0" borderId="7" xfId="2" applyFont="1" applyBorder="1"/>
    <xf numFmtId="14" fontId="0" fillId="0" borderId="14" xfId="0" applyNumberFormat="1" applyBorder="1" applyAlignment="1">
      <alignment horizontal="center"/>
    </xf>
    <xf numFmtId="0" fontId="0" fillId="0" borderId="14" xfId="0" applyBorder="1" applyAlignment="1">
      <alignment horizontal="center"/>
    </xf>
    <xf numFmtId="0" fontId="0" fillId="12" borderId="20" xfId="0" applyFill="1" applyBorder="1"/>
    <xf numFmtId="44" fontId="0" fillId="12" borderId="2" xfId="2" applyFont="1" applyFill="1" applyBorder="1"/>
    <xf numFmtId="0" fontId="0" fillId="12" borderId="9" xfId="0" applyFill="1" applyBorder="1"/>
    <xf numFmtId="0" fontId="0" fillId="3" borderId="9" xfId="0" applyFill="1" applyBorder="1"/>
    <xf numFmtId="14" fontId="11" fillId="12" borderId="1" xfId="0" applyNumberFormat="1" applyFont="1" applyFill="1" applyBorder="1"/>
    <xf numFmtId="14" fontId="8" fillId="0" borderId="1" xfId="0" applyNumberFormat="1" applyFont="1" applyBorder="1"/>
    <xf numFmtId="14" fontId="1" fillId="0" borderId="11" xfId="0" applyNumberFormat="1" applyFont="1" applyBorder="1"/>
    <xf numFmtId="14" fontId="1" fillId="0" borderId="21" xfId="0" applyNumberFormat="1" applyFont="1" applyBorder="1"/>
    <xf numFmtId="14" fontId="1" fillId="0" borderId="31" xfId="0" applyNumberFormat="1" applyFont="1" applyBorder="1"/>
    <xf numFmtId="14" fontId="1" fillId="13" borderId="11" xfId="0" applyNumberFormat="1" applyFont="1" applyFill="1" applyBorder="1"/>
    <xf numFmtId="0" fontId="0" fillId="12" borderId="2" xfId="0" applyFill="1" applyBorder="1" applyAlignment="1">
      <alignment horizontal="left"/>
    </xf>
    <xf numFmtId="2" fontId="0" fillId="0" borderId="2" xfId="0" applyNumberFormat="1" applyBorder="1" applyAlignment="1">
      <alignment horizontal="left"/>
    </xf>
    <xf numFmtId="0" fontId="0" fillId="0" borderId="10" xfId="0" applyBorder="1" applyAlignment="1">
      <alignment horizontal="center"/>
    </xf>
    <xf numFmtId="0" fontId="0" fillId="0" borderId="11" xfId="0" applyBorder="1" applyAlignment="1">
      <alignment horizontal="center"/>
    </xf>
    <xf numFmtId="0" fontId="2" fillId="0" borderId="11" xfId="0" applyFont="1" applyBorder="1" applyAlignment="1">
      <alignment horizontal="center"/>
    </xf>
    <xf numFmtId="0" fontId="0" fillId="4" borderId="7" xfId="0" applyFill="1" applyBorder="1"/>
    <xf numFmtId="17" fontId="0" fillId="0" borderId="0" xfId="0" applyNumberFormat="1"/>
    <xf numFmtId="0" fontId="0" fillId="12" borderId="7" xfId="0" applyFill="1" applyBorder="1"/>
    <xf numFmtId="14" fontId="1" fillId="0" borderId="1" xfId="0" applyNumberFormat="1" applyFont="1" applyBorder="1"/>
    <xf numFmtId="14" fontId="1" fillId="12" borderId="1" xfId="0" applyNumberFormat="1" applyFont="1" applyFill="1" applyBorder="1"/>
    <xf numFmtId="14" fontId="1" fillId="0" borderId="0" xfId="0" applyNumberFormat="1" applyFont="1"/>
    <xf numFmtId="14" fontId="1" fillId="0" borderId="1" xfId="0" applyNumberFormat="1" applyFont="1" applyBorder="1" applyAlignment="1">
      <alignment wrapText="1"/>
    </xf>
    <xf numFmtId="14" fontId="1" fillId="2" borderId="1" xfId="0" applyNumberFormat="1" applyFont="1" applyFill="1" applyBorder="1"/>
    <xf numFmtId="14" fontId="1" fillId="13" borderId="1" xfId="0" applyNumberFormat="1" applyFont="1" applyFill="1" applyBorder="1"/>
    <xf numFmtId="14" fontId="1" fillId="3" borderId="1" xfId="0" applyNumberFormat="1" applyFont="1" applyFill="1" applyBorder="1"/>
    <xf numFmtId="14" fontId="1" fillId="3" borderId="11" xfId="0" applyNumberFormat="1" applyFont="1" applyFill="1" applyBorder="1"/>
    <xf numFmtId="14" fontId="1" fillId="4" borderId="1" xfId="0" applyNumberFormat="1" applyFont="1" applyFill="1" applyBorder="1"/>
    <xf numFmtId="14" fontId="1" fillId="13" borderId="21" xfId="0" applyNumberFormat="1" applyFont="1" applyFill="1" applyBorder="1"/>
    <xf numFmtId="14" fontId="1" fillId="13" borderId="2" xfId="0" applyNumberFormat="1" applyFont="1" applyFill="1" applyBorder="1"/>
    <xf numFmtId="14" fontId="1" fillId="13" borderId="13" xfId="0" applyNumberFormat="1" applyFont="1" applyFill="1" applyBorder="1"/>
    <xf numFmtId="0" fontId="33" fillId="0" borderId="0" xfId="0" applyFont="1"/>
    <xf numFmtId="14" fontId="1" fillId="13" borderId="1" xfId="0" applyNumberFormat="1" applyFont="1" applyFill="1" applyBorder="1" applyAlignment="1">
      <alignment vertical="center"/>
    </xf>
    <xf numFmtId="14" fontId="8" fillId="0" borderId="2" xfId="0" applyNumberFormat="1" applyFont="1" applyBorder="1"/>
    <xf numFmtId="14" fontId="1" fillId="3" borderId="2" xfId="0" applyNumberFormat="1" applyFont="1" applyFill="1" applyBorder="1"/>
    <xf numFmtId="14" fontId="1" fillId="4" borderId="2" xfId="0" applyNumberFormat="1" applyFont="1" applyFill="1" applyBorder="1"/>
    <xf numFmtId="14" fontId="8" fillId="4" borderId="2" xfId="0" applyNumberFormat="1" applyFont="1" applyFill="1" applyBorder="1"/>
    <xf numFmtId="14" fontId="1" fillId="12" borderId="2" xfId="0" applyNumberFormat="1" applyFont="1" applyFill="1" applyBorder="1"/>
    <xf numFmtId="0" fontId="4" fillId="4" borderId="2" xfId="0" applyFont="1" applyFill="1" applyBorder="1"/>
    <xf numFmtId="0" fontId="4" fillId="4" borderId="4" xfId="0" applyFont="1" applyFill="1" applyBorder="1"/>
    <xf numFmtId="14" fontId="1" fillId="12" borderId="10" xfId="0" applyNumberFormat="1" applyFont="1" applyFill="1" applyBorder="1"/>
    <xf numFmtId="14" fontId="1" fillId="0" borderId="22" xfId="0" applyNumberFormat="1" applyFont="1" applyBorder="1"/>
    <xf numFmtId="0" fontId="22" fillId="3" borderId="0" xfId="0" applyFont="1" applyFill="1"/>
    <xf numFmtId="14" fontId="1" fillId="0" borderId="2" xfId="0" applyNumberFormat="1" applyFont="1" applyBorder="1" applyAlignment="1">
      <alignment horizontal="center"/>
    </xf>
    <xf numFmtId="14" fontId="1" fillId="13" borderId="2" xfId="0" applyNumberFormat="1" applyFont="1" applyFill="1" applyBorder="1" applyAlignment="1">
      <alignment horizontal="center"/>
    </xf>
    <xf numFmtId="0" fontId="4" fillId="4" borderId="0" xfId="0" applyFont="1" applyFill="1"/>
    <xf numFmtId="14" fontId="1" fillId="38" borderId="2" xfId="0" applyNumberFormat="1" applyFont="1" applyFill="1" applyBorder="1"/>
    <xf numFmtId="0" fontId="8" fillId="0" borderId="0" xfId="0" applyFont="1"/>
    <xf numFmtId="168" fontId="1" fillId="0" borderId="0" xfId="0" applyNumberFormat="1" applyFont="1"/>
    <xf numFmtId="0" fontId="22" fillId="0" borderId="0" xfId="0" applyFont="1"/>
    <xf numFmtId="14" fontId="1" fillId="0" borderId="3" xfId="0" applyNumberFormat="1" applyFont="1" applyBorder="1"/>
    <xf numFmtId="14" fontId="1" fillId="0" borderId="4" xfId="0" applyNumberFormat="1" applyFont="1" applyBorder="1"/>
    <xf numFmtId="168" fontId="0" fillId="0" borderId="3" xfId="0" applyNumberFormat="1" applyBorder="1"/>
    <xf numFmtId="165" fontId="0" fillId="0" borderId="21" xfId="0" applyNumberFormat="1" applyBorder="1"/>
    <xf numFmtId="0" fontId="48" fillId="0" borderId="0" xfId="0" applyFont="1"/>
    <xf numFmtId="14" fontId="0" fillId="0" borderId="29" xfId="0" applyNumberFormat="1" applyBorder="1" applyAlignment="1">
      <alignment horizontal="center"/>
    </xf>
    <xf numFmtId="14" fontId="0" fillId="12" borderId="2" xfId="0" applyNumberFormat="1" applyFill="1" applyBorder="1" applyAlignment="1">
      <alignment horizontal="left"/>
    </xf>
    <xf numFmtId="0" fontId="49" fillId="0" borderId="0" xfId="0" applyFont="1"/>
    <xf numFmtId="14" fontId="0" fillId="3" borderId="0" xfId="0" applyNumberFormat="1" applyFill="1"/>
    <xf numFmtId="0" fontId="49" fillId="0" borderId="2" xfId="0" applyFont="1" applyBorder="1"/>
    <xf numFmtId="167" fontId="0" fillId="0" borderId="0" xfId="0" applyNumberFormat="1"/>
    <xf numFmtId="0" fontId="50" fillId="0" borderId="0" xfId="0" applyFont="1"/>
    <xf numFmtId="0" fontId="50" fillId="3" borderId="0" xfId="0" applyFont="1" applyFill="1"/>
    <xf numFmtId="14" fontId="0" fillId="3" borderId="2" xfId="0" applyNumberFormat="1" applyFill="1" applyBorder="1" applyAlignment="1">
      <alignment horizontal="left"/>
    </xf>
    <xf numFmtId="0" fontId="50" fillId="0" borderId="2" xfId="0" applyFont="1" applyBorder="1"/>
    <xf numFmtId="168" fontId="0" fillId="0" borderId="7" xfId="0" applyNumberFormat="1" applyBorder="1"/>
    <xf numFmtId="0" fontId="0" fillId="3" borderId="20" xfId="0" applyFill="1" applyBorder="1"/>
    <xf numFmtId="0" fontId="0" fillId="4" borderId="20" xfId="0" applyFill="1" applyBorder="1"/>
    <xf numFmtId="0" fontId="49" fillId="0" borderId="3" xfId="0" applyFont="1" applyBorder="1"/>
    <xf numFmtId="0" fontId="0" fillId="0" borderId="7" xfId="0" applyBorder="1" applyAlignment="1">
      <alignment horizontal="center"/>
    </xf>
    <xf numFmtId="0" fontId="0" fillId="0" borderId="7" xfId="0" applyBorder="1" applyAlignment="1">
      <alignment horizontal="center" vertical="center"/>
    </xf>
    <xf numFmtId="0" fontId="0" fillId="0" borderId="8" xfId="0" applyBorder="1" applyAlignment="1">
      <alignment horizontal="center"/>
    </xf>
    <xf numFmtId="0" fontId="51" fillId="0" borderId="2" xfId="0" applyFont="1" applyBorder="1"/>
    <xf numFmtId="0" fontId="51" fillId="0" borderId="3" xfId="0" applyFont="1" applyBorder="1"/>
    <xf numFmtId="14" fontId="0" fillId="3" borderId="2" xfId="0" applyNumberFormat="1" applyFill="1" applyBorder="1"/>
    <xf numFmtId="0" fontId="52" fillId="0" borderId="0" xfId="0" applyFont="1"/>
    <xf numFmtId="165" fontId="0" fillId="0" borderId="7" xfId="0" applyNumberFormat="1" applyBorder="1"/>
    <xf numFmtId="168" fontId="0" fillId="0" borderId="9" xfId="0" applyNumberFormat="1" applyBorder="1"/>
    <xf numFmtId="14" fontId="1" fillId="3" borderId="9" xfId="0" applyNumberFormat="1" applyFont="1" applyFill="1" applyBorder="1"/>
    <xf numFmtId="14" fontId="1" fillId="3" borderId="10" xfId="0" applyNumberFormat="1" applyFont="1" applyFill="1" applyBorder="1"/>
    <xf numFmtId="0" fontId="0" fillId="3" borderId="8" xfId="0" applyFill="1" applyBorder="1"/>
    <xf numFmtId="0" fontId="50" fillId="0" borderId="3" xfId="0" applyFont="1" applyBorder="1"/>
    <xf numFmtId="0" fontId="0" fillId="3" borderId="2" xfId="0" applyFill="1" applyBorder="1" applyAlignment="1">
      <alignment wrapText="1"/>
    </xf>
    <xf numFmtId="0" fontId="53" fillId="0" borderId="0" xfId="0" applyFont="1"/>
    <xf numFmtId="164" fontId="0" fillId="0" borderId="9" xfId="0" applyNumberFormat="1" applyBorder="1"/>
    <xf numFmtId="0" fontId="54" fillId="0" borderId="7" xfId="0" applyFont="1" applyBorder="1"/>
    <xf numFmtId="168" fontId="0" fillId="0" borderId="10" xfId="0" applyNumberFormat="1" applyBorder="1"/>
    <xf numFmtId="0" fontId="0" fillId="0" borderId="16" xfId="0" applyBorder="1"/>
    <xf numFmtId="0" fontId="0" fillId="0" borderId="18" xfId="0" applyBorder="1"/>
    <xf numFmtId="14" fontId="0" fillId="0" borderId="8" xfId="0" applyNumberFormat="1" applyBorder="1"/>
    <xf numFmtId="0" fontId="0" fillId="0" borderId="38" xfId="0" applyBorder="1"/>
    <xf numFmtId="14" fontId="0" fillId="0" borderId="5" xfId="0" applyNumberFormat="1" applyBorder="1"/>
    <xf numFmtId="167" fontId="0" fillId="0" borderId="16" xfId="0" applyNumberFormat="1" applyBorder="1"/>
    <xf numFmtId="14" fontId="0" fillId="0" borderId="20" xfId="0" applyNumberFormat="1" applyBorder="1"/>
    <xf numFmtId="167" fontId="0" fillId="0" borderId="3" xfId="0" applyNumberFormat="1" applyBorder="1"/>
    <xf numFmtId="167" fontId="0" fillId="0" borderId="8" xfId="0" applyNumberFormat="1" applyBorder="1"/>
    <xf numFmtId="167" fontId="0" fillId="0" borderId="5" xfId="0" applyNumberFormat="1" applyBorder="1"/>
    <xf numFmtId="0" fontId="0" fillId="12" borderId="10" xfId="0" applyFill="1" applyBorder="1"/>
    <xf numFmtId="167" fontId="0" fillId="0" borderId="19" xfId="0" applyNumberFormat="1" applyBorder="1"/>
    <xf numFmtId="167" fontId="0" fillId="0" borderId="4" xfId="0" applyNumberFormat="1" applyBorder="1"/>
    <xf numFmtId="0" fontId="0" fillId="0" borderId="17" xfId="0" applyBorder="1"/>
    <xf numFmtId="167" fontId="0" fillId="0" borderId="22" xfId="0" applyNumberFormat="1" applyBorder="1"/>
    <xf numFmtId="167" fontId="0" fillId="0" borderId="38" xfId="0" applyNumberFormat="1" applyBorder="1"/>
    <xf numFmtId="167" fontId="0" fillId="0" borderId="7" xfId="0" applyNumberFormat="1" applyBorder="1"/>
    <xf numFmtId="14" fontId="0" fillId="0" borderId="7" xfId="0" applyNumberFormat="1" applyBorder="1"/>
    <xf numFmtId="167" fontId="0" fillId="0" borderId="17" xfId="0" applyNumberFormat="1" applyBorder="1"/>
    <xf numFmtId="14" fontId="0" fillId="0" borderId="10" xfId="0" applyNumberFormat="1" applyBorder="1"/>
    <xf numFmtId="167" fontId="0" fillId="0" borderId="9" xfId="0" applyNumberFormat="1" applyBorder="1"/>
    <xf numFmtId="167" fontId="0" fillId="0" borderId="10" xfId="0" applyNumberFormat="1" applyBorder="1"/>
    <xf numFmtId="14" fontId="0" fillId="0" borderId="19" xfId="0" applyNumberFormat="1" applyBorder="1"/>
    <xf numFmtId="14" fontId="0" fillId="0" borderId="22" xfId="0" applyNumberFormat="1" applyBorder="1"/>
    <xf numFmtId="14" fontId="0" fillId="0" borderId="38" xfId="0" applyNumberFormat="1" applyBorder="1"/>
    <xf numFmtId="0" fontId="0" fillId="3" borderId="18" xfId="0" applyFill="1" applyBorder="1"/>
    <xf numFmtId="0" fontId="55" fillId="3" borderId="10" xfId="0" applyFont="1" applyFill="1" applyBorder="1"/>
    <xf numFmtId="0" fontId="0" fillId="3" borderId="16" xfId="0" applyFill="1" applyBorder="1"/>
    <xf numFmtId="0" fontId="0" fillId="39" borderId="2" xfId="0" applyFill="1" applyBorder="1"/>
    <xf numFmtId="0" fontId="56" fillId="0" borderId="0" xfId="0" applyFont="1"/>
    <xf numFmtId="44" fontId="0" fillId="0" borderId="10" xfId="2" applyFont="1" applyBorder="1"/>
    <xf numFmtId="0" fontId="50" fillId="3" borderId="2" xfId="0" applyFont="1" applyFill="1" applyBorder="1"/>
    <xf numFmtId="14" fontId="1" fillId="40" borderId="2" xfId="0" applyNumberFormat="1" applyFont="1" applyFill="1" applyBorder="1"/>
    <xf numFmtId="0" fontId="0" fillId="40" borderId="2" xfId="0" applyFill="1" applyBorder="1"/>
    <xf numFmtId="14" fontId="2" fillId="0" borderId="2" xfId="0" applyNumberFormat="1" applyFont="1" applyBorder="1"/>
    <xf numFmtId="0" fontId="53" fillId="40" borderId="0" xfId="0" applyFont="1" applyFill="1"/>
    <xf numFmtId="0" fontId="50" fillId="12" borderId="0" xfId="0" applyFont="1" applyFill="1"/>
    <xf numFmtId="0" fontId="56" fillId="12" borderId="2" xfId="0" applyFont="1" applyFill="1" applyBorder="1"/>
    <xf numFmtId="14" fontId="1" fillId="4" borderId="3" xfId="0" applyNumberFormat="1" applyFont="1" applyFill="1" applyBorder="1"/>
    <xf numFmtId="168" fontId="0" fillId="0" borderId="22" xfId="0" applyNumberFormat="1" applyBorder="1"/>
    <xf numFmtId="168" fontId="0" fillId="0" borderId="4" xfId="0" applyNumberFormat="1" applyBorder="1"/>
    <xf numFmtId="22" fontId="0" fillId="3" borderId="2" xfId="0" applyNumberFormat="1" applyFill="1" applyBorder="1"/>
    <xf numFmtId="0" fontId="1" fillId="3" borderId="2" xfId="0" applyFont="1" applyFill="1" applyBorder="1" applyAlignment="1">
      <alignment horizontal="center" vertical="center"/>
    </xf>
    <xf numFmtId="0" fontId="0" fillId="12" borderId="2" xfId="0" applyFill="1" applyBorder="1" applyAlignment="1">
      <alignment horizontal="center"/>
    </xf>
    <xf numFmtId="165" fontId="0" fillId="12" borderId="0" xfId="0" applyNumberFormat="1" applyFill="1"/>
    <xf numFmtId="14" fontId="0" fillId="12" borderId="2" xfId="0" applyNumberFormat="1" applyFill="1" applyBorder="1" applyAlignment="1">
      <alignment horizontal="center"/>
    </xf>
    <xf numFmtId="0" fontId="0" fillId="3" borderId="17" xfId="0" applyFill="1" applyBorder="1"/>
    <xf numFmtId="0" fontId="57" fillId="12" borderId="2" xfId="0" applyFont="1" applyFill="1" applyBorder="1"/>
    <xf numFmtId="22" fontId="0" fillId="12" borderId="2" xfId="0" applyNumberFormat="1" applyFill="1" applyBorder="1"/>
    <xf numFmtId="14" fontId="1" fillId="34" borderId="2" xfId="0" applyNumberFormat="1" applyFont="1" applyFill="1" applyBorder="1"/>
    <xf numFmtId="0" fontId="0" fillId="34" borderId="2" xfId="0" applyFill="1" applyBorder="1"/>
    <xf numFmtId="44" fontId="0" fillId="0" borderId="2" xfId="0" applyNumberFormat="1" applyBorder="1"/>
    <xf numFmtId="44" fontId="0" fillId="0" borderId="2" xfId="0" applyNumberFormat="1" applyBorder="1" applyAlignment="1">
      <alignment horizontal="right"/>
    </xf>
    <xf numFmtId="44" fontId="0" fillId="0" borderId="3" xfId="0" applyNumberFormat="1" applyBorder="1" applyAlignment="1">
      <alignment horizontal="right"/>
    </xf>
    <xf numFmtId="44" fontId="0" fillId="0" borderId="3" xfId="0" applyNumberFormat="1" applyBorder="1"/>
    <xf numFmtId="44" fontId="0" fillId="0" borderId="0" xfId="0" applyNumberFormat="1"/>
    <xf numFmtId="0" fontId="0" fillId="0" borderId="41" xfId="0" applyBorder="1" applyAlignment="1">
      <alignment wrapText="1"/>
    </xf>
    <xf numFmtId="0" fontId="0" fillId="0" borderId="43" xfId="0" applyBorder="1"/>
    <xf numFmtId="0" fontId="0" fillId="0" borderId="44" xfId="0" applyBorder="1"/>
    <xf numFmtId="0" fontId="0" fillId="0" borderId="43" xfId="0" applyBorder="1" applyAlignment="1">
      <alignment wrapText="1"/>
    </xf>
    <xf numFmtId="0" fontId="0" fillId="0" borderId="44" xfId="0" applyBorder="1" applyAlignment="1">
      <alignment wrapText="1"/>
    </xf>
    <xf numFmtId="0" fontId="0" fillId="0" borderId="45" xfId="0" applyBorder="1" applyAlignment="1">
      <alignment wrapText="1"/>
    </xf>
    <xf numFmtId="0" fontId="0" fillId="0" borderId="39" xfId="0" applyBorder="1" applyAlignment="1">
      <alignment wrapText="1"/>
    </xf>
    <xf numFmtId="0" fontId="0" fillId="0" borderId="42" xfId="0" applyBorder="1" applyAlignment="1">
      <alignment wrapText="1"/>
    </xf>
    <xf numFmtId="0" fontId="0" fillId="0" borderId="41" xfId="0" applyBorder="1"/>
    <xf numFmtId="0" fontId="0" fillId="0" borderId="46" xfId="0" applyBorder="1"/>
    <xf numFmtId="0" fontId="0" fillId="0" borderId="47" xfId="0" applyBorder="1"/>
    <xf numFmtId="14" fontId="1" fillId="36" borderId="2" xfId="0" applyNumberFormat="1" applyFont="1" applyFill="1" applyBorder="1"/>
    <xf numFmtId="0" fontId="0" fillId="36" borderId="2" xfId="0" applyFill="1" applyBorder="1"/>
    <xf numFmtId="0" fontId="4" fillId="0" borderId="40" xfId="0" applyFont="1" applyBorder="1" applyAlignment="1">
      <alignment wrapText="1"/>
    </xf>
    <xf numFmtId="0" fontId="5" fillId="0" borderId="0" xfId="0" applyFont="1"/>
    <xf numFmtId="14" fontId="24" fillId="0" borderId="14" xfId="0" applyNumberFormat="1" applyFont="1" applyBorder="1" applyAlignment="1">
      <alignment horizontal="center"/>
    </xf>
    <xf numFmtId="165" fontId="24" fillId="0" borderId="11" xfId="0" applyNumberFormat="1" applyFont="1" applyBorder="1"/>
    <xf numFmtId="14" fontId="24" fillId="0" borderId="2" xfId="0" applyNumberFormat="1" applyFont="1" applyBorder="1"/>
    <xf numFmtId="0" fontId="4" fillId="12" borderId="2" xfId="0" applyFont="1" applyFill="1" applyBorder="1"/>
    <xf numFmtId="14" fontId="4" fillId="0" borderId="2" xfId="0" applyNumberFormat="1" applyFont="1" applyBorder="1" applyAlignment="1">
      <alignment horizontal="center"/>
    </xf>
    <xf numFmtId="165" fontId="24" fillId="0" borderId="2" xfId="0" applyNumberFormat="1" applyFont="1" applyBorder="1"/>
    <xf numFmtId="0" fontId="4" fillId="12" borderId="3" xfId="0" applyFont="1" applyFill="1" applyBorder="1"/>
    <xf numFmtId="0" fontId="5" fillId="0" borderId="2" xfId="0" applyFont="1" applyBorder="1"/>
    <xf numFmtId="0" fontId="4" fillId="12" borderId="0" xfId="0" applyFont="1" applyFill="1"/>
    <xf numFmtId="14" fontId="8" fillId="0" borderId="0" xfId="0" applyNumberFormat="1" applyFont="1"/>
    <xf numFmtId="0" fontId="4" fillId="0" borderId="3" xfId="0" applyFont="1" applyBorder="1"/>
    <xf numFmtId="0" fontId="8" fillId="3" borderId="18" xfId="0" applyFont="1" applyFill="1" applyBorder="1"/>
    <xf numFmtId="0" fontId="8" fillId="3" borderId="0" xfId="0" applyFont="1" applyFill="1"/>
    <xf numFmtId="0" fontId="8" fillId="3" borderId="17" xfId="0" applyFont="1" applyFill="1" applyBorder="1"/>
    <xf numFmtId="0" fontId="1" fillId="3" borderId="16" xfId="0" applyFont="1" applyFill="1" applyBorder="1"/>
    <xf numFmtId="0" fontId="4" fillId="12" borderId="20" xfId="0" applyFont="1" applyFill="1" applyBorder="1"/>
    <xf numFmtId="0" fontId="8" fillId="3" borderId="16" xfId="0" applyFont="1" applyFill="1" applyBorder="1"/>
    <xf numFmtId="0" fontId="1" fillId="3" borderId="17" xfId="0" applyFont="1" applyFill="1" applyBorder="1"/>
    <xf numFmtId="0" fontId="58" fillId="3" borderId="17" xfId="0" applyFont="1" applyFill="1" applyBorder="1"/>
    <xf numFmtId="14" fontId="1" fillId="23" borderId="2" xfId="0" applyNumberFormat="1" applyFont="1" applyFill="1" applyBorder="1"/>
    <xf numFmtId="0" fontId="0" fillId="23" borderId="2" xfId="0" applyFill="1" applyBorder="1"/>
    <xf numFmtId="0" fontId="59" fillId="0" borderId="2" xfId="0" applyFont="1" applyBorder="1"/>
    <xf numFmtId="0" fontId="0" fillId="3" borderId="5" xfId="0" applyFill="1" applyBorder="1"/>
    <xf numFmtId="0" fontId="60" fillId="0" borderId="0" xfId="0" applyFont="1"/>
    <xf numFmtId="169" fontId="1" fillId="0" borderId="2" xfId="0" applyNumberFormat="1" applyFont="1" applyBorder="1"/>
    <xf numFmtId="166" fontId="1" fillId="0" borderId="2" xfId="0" applyNumberFormat="1" applyFont="1" applyBorder="1"/>
    <xf numFmtId="166" fontId="1" fillId="23" borderId="2" xfId="0" applyNumberFormat="1" applyFont="1" applyFill="1" applyBorder="1"/>
    <xf numFmtId="166" fontId="0" fillId="0" borderId="2" xfId="0" applyNumberFormat="1" applyBorder="1"/>
    <xf numFmtId="166" fontId="1" fillId="39" borderId="2" xfId="0" applyNumberFormat="1" applyFont="1" applyFill="1" applyBorder="1"/>
    <xf numFmtId="0" fontId="37" fillId="12" borderId="1" xfId="0" applyFont="1" applyFill="1" applyBorder="1"/>
    <xf numFmtId="166" fontId="1" fillId="5" borderId="2" xfId="0" applyNumberFormat="1" applyFont="1" applyFill="1" applyBorder="1"/>
    <xf numFmtId="0" fontId="0" fillId="5" borderId="2" xfId="0" applyFill="1" applyBorder="1"/>
    <xf numFmtId="44" fontId="0" fillId="0" borderId="8" xfId="0" applyNumberFormat="1" applyBorder="1"/>
    <xf numFmtId="166" fontId="1" fillId="20" borderId="2" xfId="0" applyNumberFormat="1" applyFont="1" applyFill="1" applyBorder="1"/>
    <xf numFmtId="0" fontId="0" fillId="20" borderId="2" xfId="0" applyFill="1" applyBorder="1"/>
    <xf numFmtId="0" fontId="0" fillId="8" borderId="2" xfId="0" applyFill="1" applyBorder="1"/>
    <xf numFmtId="166" fontId="1" fillId="4" borderId="2" xfId="0" applyNumberFormat="1" applyFont="1" applyFill="1" applyBorder="1"/>
    <xf numFmtId="14" fontId="59" fillId="3" borderId="2" xfId="0" applyNumberFormat="1" applyFont="1" applyFill="1" applyBorder="1"/>
    <xf numFmtId="166" fontId="1" fillId="0" borderId="3" xfId="0" applyNumberFormat="1" applyFont="1" applyBorder="1"/>
    <xf numFmtId="166" fontId="62" fillId="0" borderId="2" xfId="0" applyNumberFormat="1" applyFont="1" applyBorder="1" applyAlignment="1">
      <alignment horizontal="right"/>
    </xf>
    <xf numFmtId="0" fontId="0" fillId="8" borderId="2" xfId="0" applyFill="1" applyBorder="1" applyAlignment="1">
      <alignment horizontal="center"/>
    </xf>
    <xf numFmtId="14" fontId="1" fillId="8" borderId="2" xfId="0" applyNumberFormat="1" applyFont="1" applyFill="1" applyBorder="1"/>
    <xf numFmtId="14" fontId="0" fillId="3" borderId="3" xfId="0" applyNumberFormat="1" applyFill="1" applyBorder="1" applyAlignment="1">
      <alignment horizontal="left"/>
    </xf>
    <xf numFmtId="0" fontId="63" fillId="0" borderId="2" xfId="0" applyFont="1" applyBorder="1"/>
    <xf numFmtId="14" fontId="0" fillId="0" borderId="7" xfId="0" applyNumberFormat="1" applyBorder="1" applyAlignment="1">
      <alignment horizontal="center"/>
    </xf>
    <xf numFmtId="0" fontId="4" fillId="12" borderId="8" xfId="0" applyFont="1" applyFill="1" applyBorder="1"/>
    <xf numFmtId="0" fontId="4" fillId="0" borderId="19" xfId="0" applyFont="1" applyBorder="1"/>
    <xf numFmtId="0" fontId="61" fillId="12" borderId="2" xfId="0" applyFont="1" applyFill="1" applyBorder="1"/>
    <xf numFmtId="0" fontId="0" fillId="3" borderId="17" xfId="0" applyFill="1" applyBorder="1" applyAlignment="1">
      <alignment horizontal="center" wrapText="1"/>
    </xf>
    <xf numFmtId="0" fontId="0" fillId="3" borderId="17" xfId="0" applyFill="1" applyBorder="1" applyAlignment="1">
      <alignment horizontal="center" vertical="center"/>
    </xf>
    <xf numFmtId="0" fontId="0" fillId="3" borderId="17" xfId="0" applyFill="1" applyBorder="1" applyAlignment="1">
      <alignment horizontal="left"/>
    </xf>
    <xf numFmtId="14" fontId="1" fillId="41" borderId="2" xfId="0" applyNumberFormat="1" applyFont="1" applyFill="1" applyBorder="1"/>
    <xf numFmtId="0" fontId="0" fillId="41" borderId="2" xfId="0" applyFill="1" applyBorder="1"/>
    <xf numFmtId="14" fontId="1" fillId="4" borderId="10" xfId="0" applyNumberFormat="1" applyFont="1" applyFill="1" applyBorder="1"/>
    <xf numFmtId="14" fontId="1" fillId="4" borderId="9" xfId="0" applyNumberFormat="1" applyFont="1" applyFill="1" applyBorder="1"/>
    <xf numFmtId="0" fontId="58" fillId="0" borderId="2" xfId="0" applyFont="1" applyBorder="1"/>
    <xf numFmtId="14" fontId="1" fillId="35" borderId="2" xfId="0" applyNumberFormat="1" applyFont="1" applyFill="1" applyBorder="1"/>
    <xf numFmtId="0" fontId="0" fillId="35" borderId="4" xfId="0" applyFill="1" applyBorder="1"/>
    <xf numFmtId="0" fontId="0" fillId="35" borderId="2" xfId="0" applyFill="1" applyBorder="1"/>
    <xf numFmtId="14" fontId="8" fillId="42" borderId="2" xfId="0" applyNumberFormat="1" applyFont="1" applyFill="1" applyBorder="1"/>
    <xf numFmtId="0" fontId="59" fillId="42" borderId="2" xfId="0" applyFont="1" applyFill="1" applyBorder="1"/>
    <xf numFmtId="0" fontId="2" fillId="0" borderId="11" xfId="0" applyFont="1" applyBorder="1"/>
    <xf numFmtId="14" fontId="0" fillId="0" borderId="1" xfId="0" applyNumberFormat="1" applyBorder="1" applyAlignment="1">
      <alignment horizontal="center"/>
    </xf>
    <xf numFmtId="0" fontId="0" fillId="3" borderId="26" xfId="0" applyFill="1" applyBorder="1" applyAlignment="1">
      <alignment horizontal="center"/>
    </xf>
    <xf numFmtId="0" fontId="0" fillId="3" borderId="30" xfId="0" applyFill="1" applyBorder="1" applyAlignment="1">
      <alignment horizontal="center"/>
    </xf>
    <xf numFmtId="0" fontId="50" fillId="12" borderId="2" xfId="0" applyFont="1" applyFill="1" applyBorder="1"/>
    <xf numFmtId="165" fontId="0" fillId="0" borderId="2" xfId="0" applyNumberFormat="1" applyBorder="1" applyAlignment="1">
      <alignment horizontal="left"/>
    </xf>
    <xf numFmtId="165" fontId="0" fillId="0" borderId="0" xfId="0" applyNumberFormat="1" applyAlignment="1">
      <alignment horizontal="left"/>
    </xf>
    <xf numFmtId="0" fontId="58" fillId="0" borderId="3" xfId="0" applyFont="1" applyBorder="1"/>
    <xf numFmtId="0" fontId="66" fillId="0" borderId="0" xfId="0" applyFont="1"/>
    <xf numFmtId="0" fontId="22" fillId="12" borderId="0" xfId="0" applyFont="1" applyFill="1"/>
    <xf numFmtId="0" fontId="61" fillId="12" borderId="0" xfId="0" applyFont="1" applyFill="1"/>
    <xf numFmtId="0" fontId="59" fillId="12" borderId="0" xfId="0" applyFont="1" applyFill="1"/>
    <xf numFmtId="0" fontId="59" fillId="12" borderId="2" xfId="0" applyFont="1" applyFill="1" applyBorder="1"/>
    <xf numFmtId="0" fontId="59" fillId="12" borderId="3" xfId="0" applyFont="1" applyFill="1" applyBorder="1"/>
    <xf numFmtId="0" fontId="49" fillId="12" borderId="0" xfId="0" applyFont="1" applyFill="1"/>
    <xf numFmtId="169" fontId="0" fillId="0" borderId="2" xfId="0" applyNumberFormat="1" applyBorder="1" applyAlignment="1">
      <alignment horizontal="left"/>
    </xf>
    <xf numFmtId="0" fontId="58" fillId="3" borderId="18" xfId="0" applyFont="1" applyFill="1" applyBorder="1"/>
    <xf numFmtId="0" fontId="62" fillId="3" borderId="17" xfId="0" applyFont="1" applyFill="1" applyBorder="1"/>
    <xf numFmtId="44" fontId="0" fillId="12" borderId="3" xfId="0" applyNumberFormat="1" applyFill="1" applyBorder="1"/>
    <xf numFmtId="0" fontId="0" fillId="12" borderId="19" xfId="0" applyFill="1" applyBorder="1"/>
    <xf numFmtId="168" fontId="0" fillId="12" borderId="19" xfId="0" applyNumberFormat="1" applyFill="1" applyBorder="1"/>
    <xf numFmtId="44" fontId="0" fillId="12" borderId="2" xfId="0" applyNumberFormat="1" applyFill="1" applyBorder="1"/>
    <xf numFmtId="168" fontId="0" fillId="12" borderId="2" xfId="0" applyNumberFormat="1" applyFill="1" applyBorder="1"/>
    <xf numFmtId="168" fontId="0" fillId="12" borderId="4" xfId="0" applyNumberFormat="1" applyFill="1" applyBorder="1"/>
    <xf numFmtId="44" fontId="0" fillId="0" borderId="2" xfId="0" applyNumberFormat="1" applyBorder="1" applyAlignment="1">
      <alignment horizontal="left"/>
    </xf>
    <xf numFmtId="0" fontId="63" fillId="0" borderId="0" xfId="0" applyFont="1"/>
    <xf numFmtId="0" fontId="37" fillId="3" borderId="2" xfId="0" applyFont="1" applyFill="1" applyBorder="1" applyAlignment="1">
      <alignment horizontal="center"/>
    </xf>
    <xf numFmtId="0" fontId="37" fillId="3" borderId="3" xfId="0" applyFont="1" applyFill="1" applyBorder="1" applyAlignment="1">
      <alignment horizontal="center"/>
    </xf>
    <xf numFmtId="0" fontId="37" fillId="0" borderId="2" xfId="0" applyFont="1" applyBorder="1" applyAlignment="1">
      <alignment horizontal="center"/>
    </xf>
    <xf numFmtId="14" fontId="37" fillId="0" borderId="2" xfId="0" applyNumberFormat="1" applyFont="1" applyBorder="1" applyAlignment="1">
      <alignment horizontal="center"/>
    </xf>
    <xf numFmtId="11" fontId="37" fillId="0" borderId="2" xfId="0" applyNumberFormat="1" applyFont="1" applyBorder="1" applyAlignment="1">
      <alignment horizontal="center"/>
    </xf>
    <xf numFmtId="14" fontId="37" fillId="3" borderId="2" xfId="0" applyNumberFormat="1" applyFont="1" applyFill="1" applyBorder="1" applyAlignment="1">
      <alignment horizontal="center"/>
    </xf>
    <xf numFmtId="0" fontId="37" fillId="0" borderId="2" xfId="0" applyFont="1" applyBorder="1"/>
    <xf numFmtId="0" fontId="67" fillId="0" borderId="2" xfId="0" applyFont="1" applyBorder="1"/>
    <xf numFmtId="0" fontId="68" fillId="0" borderId="0" xfId="0" applyFont="1"/>
    <xf numFmtId="0" fontId="68" fillId="0" borderId="2" xfId="0" applyFont="1" applyBorder="1"/>
    <xf numFmtId="0" fontId="37" fillId="0" borderId="9" xfId="0" applyFont="1" applyBorder="1" applyAlignment="1">
      <alignment horizontal="center"/>
    </xf>
    <xf numFmtId="0" fontId="37" fillId="0" borderId="7" xfId="0" applyFont="1" applyBorder="1" applyAlignment="1">
      <alignment horizontal="center"/>
    </xf>
    <xf numFmtId="0" fontId="37" fillId="0" borderId="3" xfId="0" applyFont="1" applyBorder="1" applyAlignment="1">
      <alignment horizontal="center"/>
    </xf>
    <xf numFmtId="0" fontId="37" fillId="0" borderId="4" xfId="0" applyFont="1" applyBorder="1" applyAlignment="1">
      <alignment horizontal="center"/>
    </xf>
    <xf numFmtId="0" fontId="37" fillId="0" borderId="19" xfId="0" applyFont="1" applyBorder="1" applyAlignment="1">
      <alignment horizontal="center"/>
    </xf>
    <xf numFmtId="0" fontId="59" fillId="3" borderId="2" xfId="0" applyFont="1" applyFill="1" applyBorder="1"/>
    <xf numFmtId="0" fontId="58" fillId="3" borderId="2" xfId="0" applyFont="1" applyFill="1" applyBorder="1"/>
    <xf numFmtId="0" fontId="69" fillId="0" borderId="2" xfId="0" applyFont="1" applyBorder="1"/>
    <xf numFmtId="0" fontId="70" fillId="0" borderId="0" xfId="0" applyFont="1"/>
    <xf numFmtId="0" fontId="50" fillId="3" borderId="3" xfId="0" applyFont="1" applyFill="1" applyBorder="1"/>
    <xf numFmtId="14" fontId="1" fillId="20" borderId="2" xfId="0" applyNumberFormat="1" applyFont="1" applyFill="1" applyBorder="1"/>
    <xf numFmtId="0" fontId="0" fillId="20" borderId="3" xfId="0" applyFill="1" applyBorder="1"/>
    <xf numFmtId="0" fontId="60" fillId="0" borderId="2" xfId="0" applyFont="1" applyBorder="1"/>
    <xf numFmtId="0" fontId="59" fillId="3" borderId="2" xfId="0" applyFont="1" applyFill="1" applyBorder="1" applyAlignment="1">
      <alignment horizontal="left"/>
    </xf>
    <xf numFmtId="0" fontId="0" fillId="0" borderId="2" xfId="0" applyBorder="1" applyAlignment="1">
      <alignment vertical="center"/>
    </xf>
    <xf numFmtId="0" fontId="0" fillId="0" borderId="2" xfId="0" applyBorder="1" applyAlignment="1">
      <alignment horizontal="left" vertical="center"/>
    </xf>
    <xf numFmtId="0" fontId="37" fillId="0" borderId="3" xfId="0" applyFont="1" applyBorder="1"/>
    <xf numFmtId="0" fontId="37" fillId="0" borderId="9" xfId="0" applyFont="1" applyBorder="1"/>
    <xf numFmtId="0" fontId="37" fillId="3" borderId="2" xfId="0" applyFont="1" applyFill="1" applyBorder="1"/>
    <xf numFmtId="0" fontId="37" fillId="12" borderId="2" xfId="0" applyFont="1" applyFill="1" applyBorder="1"/>
    <xf numFmtId="0" fontId="37" fillId="3" borderId="9" xfId="0" applyFont="1" applyFill="1" applyBorder="1"/>
    <xf numFmtId="0" fontId="37" fillId="3" borderId="10" xfId="0" applyFont="1" applyFill="1" applyBorder="1"/>
    <xf numFmtId="0" fontId="37" fillId="3" borderId="3" xfId="0" applyFont="1" applyFill="1" applyBorder="1"/>
    <xf numFmtId="0" fontId="37" fillId="12" borderId="9" xfId="0" applyFont="1" applyFill="1" applyBorder="1"/>
    <xf numFmtId="0" fontId="37" fillId="0" borderId="7" xfId="0" applyFont="1" applyBorder="1"/>
    <xf numFmtId="0" fontId="0" fillId="0" borderId="0" xfId="0"/>
    <xf numFmtId="0" fontId="2" fillId="3" borderId="25"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7" xfId="0" applyBorder="1" applyAlignment="1">
      <alignment horizontal="center"/>
    </xf>
    <xf numFmtId="0" fontId="0" fillId="3" borderId="10" xfId="0" applyFill="1" applyBorder="1" applyAlignment="1">
      <alignment horizontal="center"/>
    </xf>
    <xf numFmtId="0" fontId="0" fillId="0" borderId="2" xfId="0" applyBorder="1" applyAlignment="1">
      <alignment horizontal="center"/>
    </xf>
    <xf numFmtId="0" fontId="0" fillId="12" borderId="9" xfId="0" applyFill="1" applyBorder="1" applyAlignment="1">
      <alignment horizontal="center"/>
    </xf>
    <xf numFmtId="0" fontId="0" fillId="3" borderId="9" xfId="0" applyFill="1" applyBorder="1" applyAlignment="1">
      <alignment horizontal="center"/>
    </xf>
    <xf numFmtId="0" fontId="65" fillId="43" borderId="1" xfId="3" applyFont="1" applyBorder="1" applyAlignment="1">
      <alignment horizontal="center"/>
    </xf>
    <xf numFmtId="17" fontId="1" fillId="3" borderId="9" xfId="0" applyNumberFormat="1" applyFont="1" applyFill="1" applyBorder="1" applyAlignment="1">
      <alignment horizontal="center" vertical="center"/>
    </xf>
    <xf numFmtId="17" fontId="1" fillId="3" borderId="17" xfId="0" applyNumberFormat="1" applyFont="1" applyFill="1" applyBorder="1" applyAlignment="1">
      <alignment horizontal="center" vertical="center"/>
    </xf>
    <xf numFmtId="17" fontId="1" fillId="3" borderId="7" xfId="0" applyNumberFormat="1" applyFont="1" applyFill="1" applyBorder="1" applyAlignment="1">
      <alignment horizontal="center" vertical="center"/>
    </xf>
    <xf numFmtId="0" fontId="0" fillId="3" borderId="25" xfId="0" applyFill="1" applyBorder="1" applyAlignment="1">
      <alignment horizontal="center"/>
    </xf>
    <xf numFmtId="0" fontId="0" fillId="3" borderId="26" xfId="0" applyFill="1" applyBorder="1" applyAlignment="1">
      <alignment horizontal="center"/>
    </xf>
    <xf numFmtId="0" fontId="0" fillId="3" borderId="30" xfId="0" applyFill="1" applyBorder="1" applyAlignment="1">
      <alignment horizontal="center"/>
    </xf>
    <xf numFmtId="0" fontId="0" fillId="3" borderId="28" xfId="0" applyFill="1" applyBorder="1" applyAlignment="1">
      <alignment horizontal="center"/>
    </xf>
    <xf numFmtId="0" fontId="0" fillId="3" borderId="27" xfId="0" applyFill="1" applyBorder="1" applyAlignment="1">
      <alignment horizontal="center"/>
    </xf>
    <xf numFmtId="0" fontId="0" fillId="3" borderId="0" xfId="0" applyFill="1" applyAlignment="1">
      <alignment horizontal="center"/>
    </xf>
    <xf numFmtId="0" fontId="0" fillId="3" borderId="2" xfId="0" applyFill="1" applyBorder="1" applyAlignment="1">
      <alignment horizontal="center"/>
    </xf>
    <xf numFmtId="0" fontId="0" fillId="3" borderId="17" xfId="0" applyFill="1" applyBorder="1" applyAlignment="1">
      <alignment horizontal="center"/>
    </xf>
    <xf numFmtId="0" fontId="0" fillId="3" borderId="7" xfId="0" applyFill="1" applyBorder="1" applyAlignment="1">
      <alignment horizontal="center"/>
    </xf>
    <xf numFmtId="0" fontId="0" fillId="3" borderId="3" xfId="0" applyFill="1" applyBorder="1" applyAlignment="1">
      <alignment horizontal="center"/>
    </xf>
    <xf numFmtId="0" fontId="0" fillId="3" borderId="18" xfId="0" applyFill="1" applyBorder="1" applyAlignment="1">
      <alignment horizontal="center"/>
    </xf>
    <xf numFmtId="0" fontId="0" fillId="3" borderId="8" xfId="0" applyFill="1" applyBorder="1" applyAlignment="1">
      <alignment horizontal="center"/>
    </xf>
    <xf numFmtId="0" fontId="0" fillId="3" borderId="16" xfId="0" applyFill="1" applyBorder="1" applyAlignment="1">
      <alignment horizontal="center"/>
    </xf>
    <xf numFmtId="0" fontId="1" fillId="36" borderId="12" xfId="0" applyFont="1" applyFill="1" applyBorder="1" applyAlignment="1">
      <alignment horizontal="center" vertical="center" textRotation="90"/>
    </xf>
    <xf numFmtId="0" fontId="1" fillId="36" borderId="24" xfId="0" applyFont="1" applyFill="1" applyBorder="1" applyAlignment="1">
      <alignment horizontal="center" vertical="center" textRotation="90"/>
    </xf>
    <xf numFmtId="0" fontId="1" fillId="36" borderId="13" xfId="0" applyFont="1" applyFill="1" applyBorder="1" applyAlignment="1">
      <alignment horizontal="center" vertical="center" textRotation="90"/>
    </xf>
    <xf numFmtId="0" fontId="11" fillId="36" borderId="1" xfId="0" applyFont="1" applyFill="1" applyBorder="1" applyAlignment="1">
      <alignment horizontal="center" vertical="center" textRotation="90"/>
    </xf>
    <xf numFmtId="0" fontId="11" fillId="37" borderId="1" xfId="0" applyFont="1" applyFill="1" applyBorder="1" applyAlignment="1">
      <alignment horizontal="center" vertical="center" textRotation="90"/>
    </xf>
    <xf numFmtId="0" fontId="11" fillId="36" borderId="12" xfId="0" applyFont="1" applyFill="1" applyBorder="1" applyAlignment="1">
      <alignment horizontal="center" vertical="center" textRotation="90"/>
    </xf>
    <xf numFmtId="0" fontId="11" fillId="36" borderId="24" xfId="0" applyFont="1" applyFill="1" applyBorder="1" applyAlignment="1">
      <alignment horizontal="center" vertical="center" textRotation="90"/>
    </xf>
    <xf numFmtId="0" fontId="11" fillId="36" borderId="13" xfId="0" applyFont="1" applyFill="1" applyBorder="1" applyAlignment="1">
      <alignment horizontal="center" vertical="center" textRotation="90"/>
    </xf>
    <xf numFmtId="0" fontId="11" fillId="37" borderId="12" xfId="0" applyFont="1" applyFill="1" applyBorder="1" applyAlignment="1">
      <alignment horizontal="center" vertical="center" textRotation="90"/>
    </xf>
    <xf numFmtId="0" fontId="11" fillId="37" borderId="24" xfId="0" applyFont="1" applyFill="1" applyBorder="1" applyAlignment="1">
      <alignment horizontal="center" vertical="center" textRotation="90"/>
    </xf>
    <xf numFmtId="0" fontId="11" fillId="37" borderId="13" xfId="0" applyFont="1" applyFill="1" applyBorder="1" applyAlignment="1">
      <alignment horizontal="center" vertical="center" textRotation="90"/>
    </xf>
    <xf numFmtId="0" fontId="2" fillId="0" borderId="1" xfId="0" applyFont="1" applyBorder="1" applyAlignment="1">
      <alignment horizontal="center"/>
    </xf>
    <xf numFmtId="0" fontId="0" fillId="0" borderId="1" xfId="0" applyBorder="1" applyAlignment="1">
      <alignment horizontal="center"/>
    </xf>
    <xf numFmtId="0" fontId="11" fillId="36" borderId="36" xfId="0" applyFont="1" applyFill="1" applyBorder="1" applyAlignment="1">
      <alignment horizontal="center" vertical="center" textRotation="90" wrapText="1"/>
    </xf>
    <xf numFmtId="0" fontId="11" fillId="36" borderId="37" xfId="0" applyFont="1" applyFill="1" applyBorder="1" applyAlignment="1">
      <alignment horizontal="center" vertical="center" textRotation="90" wrapText="1"/>
    </xf>
    <xf numFmtId="0" fontId="11" fillId="37" borderId="35" xfId="0" applyFont="1" applyFill="1" applyBorder="1" applyAlignment="1">
      <alignment horizontal="center" vertical="center" textRotation="90" wrapText="1"/>
    </xf>
    <xf numFmtId="0" fontId="11" fillId="37" borderId="32" xfId="0" applyFont="1" applyFill="1" applyBorder="1" applyAlignment="1">
      <alignment horizontal="center" vertical="center" textRotation="90" wrapText="1"/>
    </xf>
    <xf numFmtId="0" fontId="11" fillId="37" borderId="3" xfId="0" applyFont="1" applyFill="1" applyBorder="1" applyAlignment="1">
      <alignment horizontal="center" vertical="center" textRotation="90" wrapText="1"/>
    </xf>
    <xf numFmtId="0" fontId="11" fillId="37" borderId="19" xfId="0" applyFont="1" applyFill="1" applyBorder="1" applyAlignment="1">
      <alignment horizontal="center" vertical="center" textRotation="90" wrapText="1"/>
    </xf>
    <xf numFmtId="0" fontId="11" fillId="36" borderId="35" xfId="0" applyFont="1" applyFill="1" applyBorder="1" applyAlignment="1">
      <alignment horizontal="center" vertical="center" textRotation="90" wrapText="1"/>
    </xf>
    <xf numFmtId="0" fontId="11" fillId="36" borderId="32" xfId="0" applyFont="1" applyFill="1" applyBorder="1" applyAlignment="1">
      <alignment horizontal="center" vertical="center" textRotation="90" wrapText="1"/>
    </xf>
    <xf numFmtId="0" fontId="11" fillId="0" borderId="33" xfId="0" applyFont="1" applyBorder="1" applyAlignment="1">
      <alignment horizontal="center"/>
    </xf>
    <xf numFmtId="0" fontId="11" fillId="0" borderId="34" xfId="0" applyFont="1" applyBorder="1" applyAlignment="1">
      <alignment horizontal="center"/>
    </xf>
    <xf numFmtId="0" fontId="11" fillId="37" borderId="2" xfId="0" applyFont="1" applyFill="1" applyBorder="1" applyAlignment="1">
      <alignment horizontal="center" vertical="center" textRotation="90"/>
    </xf>
    <xf numFmtId="0" fontId="11" fillId="36" borderId="3" xfId="0" applyFont="1" applyFill="1" applyBorder="1" applyAlignment="1">
      <alignment horizontal="center" vertical="center" textRotation="90" wrapText="1"/>
    </xf>
    <xf numFmtId="0" fontId="11" fillId="36" borderId="19" xfId="0" applyFont="1" applyFill="1" applyBorder="1" applyAlignment="1">
      <alignment horizontal="center" vertical="center" textRotation="90" wrapText="1"/>
    </xf>
    <xf numFmtId="0" fontId="11" fillId="36" borderId="4" xfId="0" applyFont="1" applyFill="1" applyBorder="1" applyAlignment="1">
      <alignment horizontal="center" vertical="center" textRotation="90" wrapText="1"/>
    </xf>
    <xf numFmtId="0" fontId="45" fillId="0" borderId="1" xfId="0" applyFont="1" applyBorder="1" applyAlignment="1">
      <alignment horizontal="center"/>
    </xf>
    <xf numFmtId="17" fontId="0" fillId="3" borderId="3" xfId="0" applyNumberFormat="1" applyFill="1" applyBorder="1" applyAlignment="1">
      <alignment horizontal="center"/>
    </xf>
    <xf numFmtId="0" fontId="0" fillId="5" borderId="2" xfId="0" applyFill="1" applyBorder="1" applyAlignment="1">
      <alignment horizontal="center"/>
    </xf>
  </cellXfs>
  <cellStyles count="4">
    <cellStyle name="Bom" xfId="3" builtinId="26"/>
    <cellStyle name="Hiperlink" xfId="1" builtinId="8"/>
    <cellStyle name="Moeda" xfId="2" builtinId="4"/>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Vendas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'Resumo dos Numeros'!$C$9</c:f>
              <c:strCache>
                <c:ptCount val="1"/>
                <c:pt idx="0">
                  <c:v>Loja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Numeros'!$H$8:$O$8</c:f>
              <c:strCache>
                <c:ptCount val="8"/>
                <c:pt idx="0">
                  <c:v>Abril</c:v>
                </c:pt>
                <c:pt idx="1">
                  <c:v>Maio</c:v>
                </c:pt>
                <c:pt idx="2">
                  <c:v>Junho</c:v>
                </c:pt>
                <c:pt idx="3">
                  <c:v>Julho</c:v>
                </c:pt>
                <c:pt idx="4">
                  <c:v>Agosto</c:v>
                </c:pt>
                <c:pt idx="5">
                  <c:v>Setembro</c:v>
                </c:pt>
                <c:pt idx="6">
                  <c:v>Outubro</c:v>
                </c:pt>
                <c:pt idx="7">
                  <c:v>Novembro</c:v>
                </c:pt>
              </c:strCache>
            </c:strRef>
          </c:cat>
          <c:val>
            <c:numRef>
              <c:f>'Resumo dos Numeros'!$H$9:$O$9</c:f>
              <c:numCache>
                <c:formatCode>General</c:formatCode>
                <c:ptCount val="8"/>
                <c:pt idx="0">
                  <c:v>28</c:v>
                </c:pt>
                <c:pt idx="1">
                  <c:v>24</c:v>
                </c:pt>
                <c:pt idx="2">
                  <c:v>30</c:v>
                </c:pt>
                <c:pt idx="3">
                  <c:v>15</c:v>
                </c:pt>
                <c:pt idx="4">
                  <c:v>22</c:v>
                </c:pt>
                <c:pt idx="5">
                  <c:v>23</c:v>
                </c:pt>
                <c:pt idx="6">
                  <c:v>35</c:v>
                </c:pt>
                <c:pt idx="7">
                  <c:v>17</c:v>
                </c:pt>
              </c:numCache>
            </c:numRef>
          </c:val>
          <c:extLst>
            <c:ext xmlns:c16="http://schemas.microsoft.com/office/drawing/2014/chart" uri="{C3380CC4-5D6E-409C-BE32-E72D297353CC}">
              <c16:uniqueId val="{00000000-4597-4628-81F1-2A43C6512D1C}"/>
            </c:ext>
          </c:extLst>
        </c:ser>
        <c:ser>
          <c:idx val="1"/>
          <c:order val="1"/>
          <c:tx>
            <c:strRef>
              <c:f>'Resumo dos Numeros'!$C$10</c:f>
              <c:strCache>
                <c:ptCount val="1"/>
                <c:pt idx="0">
                  <c:v>Danubia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Numeros'!$H$8:$O$8</c:f>
              <c:strCache>
                <c:ptCount val="8"/>
                <c:pt idx="0">
                  <c:v>Abril</c:v>
                </c:pt>
                <c:pt idx="1">
                  <c:v>Maio</c:v>
                </c:pt>
                <c:pt idx="2">
                  <c:v>Junho</c:v>
                </c:pt>
                <c:pt idx="3">
                  <c:v>Julho</c:v>
                </c:pt>
                <c:pt idx="4">
                  <c:v>Agosto</c:v>
                </c:pt>
                <c:pt idx="5">
                  <c:v>Setembro</c:v>
                </c:pt>
                <c:pt idx="6">
                  <c:v>Outubro</c:v>
                </c:pt>
                <c:pt idx="7">
                  <c:v>Novembro</c:v>
                </c:pt>
              </c:strCache>
            </c:strRef>
          </c:cat>
          <c:val>
            <c:numRef>
              <c:f>'Resumo dos Numeros'!$H$10:$O$10</c:f>
              <c:numCache>
                <c:formatCode>General</c:formatCode>
                <c:ptCount val="8"/>
                <c:pt idx="0">
                  <c:v>1</c:v>
                </c:pt>
                <c:pt idx="1">
                  <c:v>0</c:v>
                </c:pt>
                <c:pt idx="2">
                  <c:v>3</c:v>
                </c:pt>
                <c:pt idx="4">
                  <c:v>1</c:v>
                </c:pt>
                <c:pt idx="6">
                  <c:v>2</c:v>
                </c:pt>
              </c:numCache>
            </c:numRef>
          </c:val>
          <c:extLst>
            <c:ext xmlns:c16="http://schemas.microsoft.com/office/drawing/2014/chart" uri="{C3380CC4-5D6E-409C-BE32-E72D297353CC}">
              <c16:uniqueId val="{00000001-4597-4628-81F1-2A43C6512D1C}"/>
            </c:ext>
          </c:extLst>
        </c:ser>
        <c:ser>
          <c:idx val="2"/>
          <c:order val="2"/>
          <c:tx>
            <c:strRef>
              <c:f>'Resumo dos Numeros'!$C$11</c:f>
              <c:strCache>
                <c:ptCount val="1"/>
                <c:pt idx="0">
                  <c:v>Duh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Numeros'!$H$8:$O$8</c:f>
              <c:strCache>
                <c:ptCount val="8"/>
                <c:pt idx="0">
                  <c:v>Abril</c:v>
                </c:pt>
                <c:pt idx="1">
                  <c:v>Maio</c:v>
                </c:pt>
                <c:pt idx="2">
                  <c:v>Junho</c:v>
                </c:pt>
                <c:pt idx="3">
                  <c:v>Julho</c:v>
                </c:pt>
                <c:pt idx="4">
                  <c:v>Agosto</c:v>
                </c:pt>
                <c:pt idx="5">
                  <c:v>Setembro</c:v>
                </c:pt>
                <c:pt idx="6">
                  <c:v>Outubro</c:v>
                </c:pt>
                <c:pt idx="7">
                  <c:v>Novembro</c:v>
                </c:pt>
              </c:strCache>
            </c:strRef>
          </c:cat>
          <c:val>
            <c:numRef>
              <c:f>'Resumo dos Numeros'!$H$11:$O$11</c:f>
              <c:numCache>
                <c:formatCode>General</c:formatCode>
                <c:ptCount val="8"/>
                <c:pt idx="0">
                  <c:v>1</c:v>
                </c:pt>
                <c:pt idx="1">
                  <c:v>5</c:v>
                </c:pt>
                <c:pt idx="2">
                  <c:v>5</c:v>
                </c:pt>
                <c:pt idx="5">
                  <c:v>2</c:v>
                </c:pt>
                <c:pt idx="6">
                  <c:v>1</c:v>
                </c:pt>
              </c:numCache>
            </c:numRef>
          </c:val>
          <c:extLst>
            <c:ext xmlns:c16="http://schemas.microsoft.com/office/drawing/2014/chart" uri="{C3380CC4-5D6E-409C-BE32-E72D297353CC}">
              <c16:uniqueId val="{00000002-4597-4628-81F1-2A43C6512D1C}"/>
            </c:ext>
          </c:extLst>
        </c:ser>
        <c:ser>
          <c:idx val="3"/>
          <c:order val="3"/>
          <c:tx>
            <c:strRef>
              <c:f>'Resumo dos Numeros'!$C$12</c:f>
              <c:strCache>
                <c:ptCount val="1"/>
                <c:pt idx="0">
                  <c:v>Outros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Numeros'!$H$8:$O$8</c:f>
              <c:strCache>
                <c:ptCount val="8"/>
                <c:pt idx="0">
                  <c:v>Abril</c:v>
                </c:pt>
                <c:pt idx="1">
                  <c:v>Maio</c:v>
                </c:pt>
                <c:pt idx="2">
                  <c:v>Junho</c:v>
                </c:pt>
                <c:pt idx="3">
                  <c:v>Julho</c:v>
                </c:pt>
                <c:pt idx="4">
                  <c:v>Agosto</c:v>
                </c:pt>
                <c:pt idx="5">
                  <c:v>Setembro</c:v>
                </c:pt>
                <c:pt idx="6">
                  <c:v>Outubro</c:v>
                </c:pt>
                <c:pt idx="7">
                  <c:v>Novembro</c:v>
                </c:pt>
              </c:strCache>
            </c:strRef>
          </c:cat>
          <c:val>
            <c:numRef>
              <c:f>'Resumo dos Numeros'!$H$12:$O$12</c:f>
              <c:numCache>
                <c:formatCode>General</c:formatCode>
                <c:ptCount val="8"/>
                <c:pt idx="1">
                  <c:v>0</c:v>
                </c:pt>
                <c:pt idx="2">
                  <c:v>1</c:v>
                </c:pt>
                <c:pt idx="3">
                  <c:v>2</c:v>
                </c:pt>
                <c:pt idx="4">
                  <c:v>5</c:v>
                </c:pt>
                <c:pt idx="6">
                  <c:v>2</c:v>
                </c:pt>
                <c:pt idx="7">
                  <c:v>2</c:v>
                </c:pt>
              </c:numCache>
            </c:numRef>
          </c:val>
          <c:extLst>
            <c:ext xmlns:c16="http://schemas.microsoft.com/office/drawing/2014/chart" uri="{C3380CC4-5D6E-409C-BE32-E72D297353CC}">
              <c16:uniqueId val="{00000005-4597-4628-81F1-2A43C6512D1C}"/>
            </c:ext>
          </c:extLst>
        </c:ser>
        <c:ser>
          <c:idx val="4"/>
          <c:order val="4"/>
          <c:tx>
            <c:strRef>
              <c:f>'Resumo dos Numeros'!$C$13</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Numeros'!$H$8:$O$8</c:f>
              <c:strCache>
                <c:ptCount val="8"/>
                <c:pt idx="0">
                  <c:v>Abril</c:v>
                </c:pt>
                <c:pt idx="1">
                  <c:v>Maio</c:v>
                </c:pt>
                <c:pt idx="2">
                  <c:v>Junho</c:v>
                </c:pt>
                <c:pt idx="3">
                  <c:v>Julho</c:v>
                </c:pt>
                <c:pt idx="4">
                  <c:v>Agosto</c:v>
                </c:pt>
                <c:pt idx="5">
                  <c:v>Setembro</c:v>
                </c:pt>
                <c:pt idx="6">
                  <c:v>Outubro</c:v>
                </c:pt>
                <c:pt idx="7">
                  <c:v>Novembro</c:v>
                </c:pt>
              </c:strCache>
            </c:strRef>
          </c:cat>
          <c:val>
            <c:numRef>
              <c:f>'Resumo dos Numeros'!$H$13:$O$13</c:f>
              <c:numCache>
                <c:formatCode>General</c:formatCode>
                <c:ptCount val="8"/>
                <c:pt idx="0">
                  <c:v>30</c:v>
                </c:pt>
                <c:pt idx="1">
                  <c:v>29</c:v>
                </c:pt>
                <c:pt idx="2">
                  <c:v>39</c:v>
                </c:pt>
                <c:pt idx="3">
                  <c:v>17</c:v>
                </c:pt>
                <c:pt idx="4">
                  <c:v>28</c:v>
                </c:pt>
                <c:pt idx="5">
                  <c:v>25</c:v>
                </c:pt>
                <c:pt idx="6">
                  <c:v>40</c:v>
                </c:pt>
                <c:pt idx="7">
                  <c:v>19</c:v>
                </c:pt>
              </c:numCache>
            </c:numRef>
          </c:val>
          <c:extLst>
            <c:ext xmlns:c16="http://schemas.microsoft.com/office/drawing/2014/chart" uri="{C3380CC4-5D6E-409C-BE32-E72D297353CC}">
              <c16:uniqueId val="{00000000-F877-4456-AF3F-C526AA196D36}"/>
            </c:ext>
          </c:extLst>
        </c:ser>
        <c:dLbls>
          <c:dLblPos val="outEnd"/>
          <c:showLegendKey val="0"/>
          <c:showVal val="1"/>
          <c:showCatName val="0"/>
          <c:showSerName val="0"/>
          <c:showPercent val="0"/>
          <c:showBubbleSize val="0"/>
        </c:dLbls>
        <c:gapWidth val="219"/>
        <c:axId val="122108575"/>
        <c:axId val="122108159"/>
      </c:barChart>
      <c:catAx>
        <c:axId val="122108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22108159"/>
        <c:crosses val="autoZero"/>
        <c:auto val="1"/>
        <c:lblAlgn val="ctr"/>
        <c:lblOffset val="100"/>
        <c:noMultiLvlLbl val="0"/>
      </c:catAx>
      <c:valAx>
        <c:axId val="122108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22108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Cancelamentos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'Resumo dos Numeros'!$C$2</c:f>
              <c:strCache>
                <c:ptCount val="1"/>
                <c:pt idx="0">
                  <c:v>Cancelamentos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Numeros'!$H$1:$O$1</c:f>
              <c:strCache>
                <c:ptCount val="8"/>
                <c:pt idx="0">
                  <c:v>Abril</c:v>
                </c:pt>
                <c:pt idx="1">
                  <c:v>Maio</c:v>
                </c:pt>
                <c:pt idx="2">
                  <c:v>Junho</c:v>
                </c:pt>
                <c:pt idx="3">
                  <c:v>Julho</c:v>
                </c:pt>
                <c:pt idx="4">
                  <c:v>Agosto</c:v>
                </c:pt>
                <c:pt idx="5">
                  <c:v>Setembro</c:v>
                </c:pt>
                <c:pt idx="6">
                  <c:v>Outubro</c:v>
                </c:pt>
                <c:pt idx="7">
                  <c:v>Novembro</c:v>
                </c:pt>
              </c:strCache>
            </c:strRef>
          </c:cat>
          <c:val>
            <c:numRef>
              <c:f>'Resumo dos Numeros'!$H$2:$O$2</c:f>
              <c:numCache>
                <c:formatCode>General</c:formatCode>
                <c:ptCount val="8"/>
                <c:pt idx="0">
                  <c:v>22</c:v>
                </c:pt>
                <c:pt idx="1">
                  <c:v>10</c:v>
                </c:pt>
                <c:pt idx="2">
                  <c:v>21</c:v>
                </c:pt>
                <c:pt idx="3">
                  <c:v>4</c:v>
                </c:pt>
                <c:pt idx="4">
                  <c:v>12</c:v>
                </c:pt>
                <c:pt idx="5">
                  <c:v>15</c:v>
                </c:pt>
                <c:pt idx="6">
                  <c:v>20</c:v>
                </c:pt>
                <c:pt idx="7">
                  <c:v>7</c:v>
                </c:pt>
              </c:numCache>
            </c:numRef>
          </c:val>
          <c:extLst>
            <c:ext xmlns:c16="http://schemas.microsoft.com/office/drawing/2014/chart" uri="{C3380CC4-5D6E-409C-BE32-E72D297353CC}">
              <c16:uniqueId val="{00000000-83C5-483C-80B6-CCA2A8B55104}"/>
            </c:ext>
          </c:extLst>
        </c:ser>
        <c:ser>
          <c:idx val="1"/>
          <c:order val="1"/>
          <c:tx>
            <c:strRef>
              <c:f>'Resumo dos Numeros'!$C$3</c:f>
              <c:strCache>
                <c:ptCount val="1"/>
                <c:pt idx="0">
                  <c:v>Inadimplencia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Numeros'!$H$1:$O$1</c:f>
              <c:strCache>
                <c:ptCount val="8"/>
                <c:pt idx="0">
                  <c:v>Abril</c:v>
                </c:pt>
                <c:pt idx="1">
                  <c:v>Maio</c:v>
                </c:pt>
                <c:pt idx="2">
                  <c:v>Junho</c:v>
                </c:pt>
                <c:pt idx="3">
                  <c:v>Julho</c:v>
                </c:pt>
                <c:pt idx="4">
                  <c:v>Agosto</c:v>
                </c:pt>
                <c:pt idx="5">
                  <c:v>Setembro</c:v>
                </c:pt>
                <c:pt idx="6">
                  <c:v>Outubro</c:v>
                </c:pt>
                <c:pt idx="7">
                  <c:v>Novembro</c:v>
                </c:pt>
              </c:strCache>
            </c:strRef>
          </c:cat>
          <c:val>
            <c:numRef>
              <c:f>'Resumo dos Numeros'!$H$3:$O$3</c:f>
              <c:numCache>
                <c:formatCode>General</c:formatCode>
                <c:ptCount val="8"/>
                <c:pt idx="0">
                  <c:v>32</c:v>
                </c:pt>
                <c:pt idx="1">
                  <c:v>3</c:v>
                </c:pt>
                <c:pt idx="2">
                  <c:v>2</c:v>
                </c:pt>
                <c:pt idx="3">
                  <c:v>3</c:v>
                </c:pt>
                <c:pt idx="4">
                  <c:v>6</c:v>
                </c:pt>
                <c:pt idx="5">
                  <c:v>12</c:v>
                </c:pt>
                <c:pt idx="6">
                  <c:v>11</c:v>
                </c:pt>
                <c:pt idx="7">
                  <c:v>5</c:v>
                </c:pt>
              </c:numCache>
            </c:numRef>
          </c:val>
          <c:extLst>
            <c:ext xmlns:c16="http://schemas.microsoft.com/office/drawing/2014/chart" uri="{C3380CC4-5D6E-409C-BE32-E72D297353CC}">
              <c16:uniqueId val="{00000001-83C5-483C-80B6-CCA2A8B55104}"/>
            </c:ext>
          </c:extLst>
        </c:ser>
        <c:ser>
          <c:idx val="2"/>
          <c:order val="2"/>
          <c:tx>
            <c:strRef>
              <c:f>'Resumo dos Numeros'!$C$4</c:f>
              <c:strCache>
                <c:ptCount val="1"/>
                <c:pt idx="0">
                  <c:v>Insatisfação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Numeros'!$H$1:$O$1</c:f>
              <c:strCache>
                <c:ptCount val="8"/>
                <c:pt idx="0">
                  <c:v>Abril</c:v>
                </c:pt>
                <c:pt idx="1">
                  <c:v>Maio</c:v>
                </c:pt>
                <c:pt idx="2">
                  <c:v>Junho</c:v>
                </c:pt>
                <c:pt idx="3">
                  <c:v>Julho</c:v>
                </c:pt>
                <c:pt idx="4">
                  <c:v>Agosto</c:v>
                </c:pt>
                <c:pt idx="5">
                  <c:v>Setembro</c:v>
                </c:pt>
                <c:pt idx="6">
                  <c:v>Outubro</c:v>
                </c:pt>
                <c:pt idx="7">
                  <c:v>Novembro</c:v>
                </c:pt>
              </c:strCache>
            </c:strRef>
          </c:cat>
          <c:val>
            <c:numRef>
              <c:f>'Resumo dos Numeros'!$H$4:$O$4</c:f>
              <c:numCache>
                <c:formatCode>General</c:formatCode>
                <c:ptCount val="8"/>
                <c:pt idx="0">
                  <c:v>3</c:v>
                </c:pt>
                <c:pt idx="1">
                  <c:v>1</c:v>
                </c:pt>
                <c:pt idx="2">
                  <c:v>1</c:v>
                </c:pt>
                <c:pt idx="3">
                  <c:v>1</c:v>
                </c:pt>
                <c:pt idx="4">
                  <c:v>1</c:v>
                </c:pt>
                <c:pt idx="5">
                  <c:v>2</c:v>
                </c:pt>
                <c:pt idx="6">
                  <c:v>3</c:v>
                </c:pt>
                <c:pt idx="7">
                  <c:v>2</c:v>
                </c:pt>
              </c:numCache>
            </c:numRef>
          </c:val>
          <c:extLst>
            <c:ext xmlns:c16="http://schemas.microsoft.com/office/drawing/2014/chart" uri="{C3380CC4-5D6E-409C-BE32-E72D297353CC}">
              <c16:uniqueId val="{00000002-83C5-483C-80B6-CCA2A8B55104}"/>
            </c:ext>
          </c:extLst>
        </c:ser>
        <c:ser>
          <c:idx val="3"/>
          <c:order val="3"/>
          <c:tx>
            <c:strRef>
              <c:f>'Resumo dos Numeros'!$C$5</c:f>
              <c:strCache>
                <c:ptCount val="1"/>
                <c:pt idx="0">
                  <c:v>Revertidos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Numeros'!$H$1:$O$1</c:f>
              <c:strCache>
                <c:ptCount val="8"/>
                <c:pt idx="0">
                  <c:v>Abril</c:v>
                </c:pt>
                <c:pt idx="1">
                  <c:v>Maio</c:v>
                </c:pt>
                <c:pt idx="2">
                  <c:v>Junho</c:v>
                </c:pt>
                <c:pt idx="3">
                  <c:v>Julho</c:v>
                </c:pt>
                <c:pt idx="4">
                  <c:v>Agosto</c:v>
                </c:pt>
                <c:pt idx="5">
                  <c:v>Setembro</c:v>
                </c:pt>
                <c:pt idx="6">
                  <c:v>Outubro</c:v>
                </c:pt>
                <c:pt idx="7">
                  <c:v>Novembro</c:v>
                </c:pt>
              </c:strCache>
            </c:strRef>
          </c:cat>
          <c:val>
            <c:numRef>
              <c:f>'Resumo dos Numeros'!$H$5:$O$5</c:f>
              <c:numCache>
                <c:formatCode>General</c:formatCode>
                <c:ptCount val="8"/>
                <c:pt idx="0">
                  <c:v>4</c:v>
                </c:pt>
                <c:pt idx="1">
                  <c:v>4</c:v>
                </c:pt>
                <c:pt idx="2">
                  <c:v>2</c:v>
                </c:pt>
                <c:pt idx="3">
                  <c:v>1</c:v>
                </c:pt>
                <c:pt idx="4">
                  <c:v>4</c:v>
                </c:pt>
                <c:pt idx="5">
                  <c:v>4</c:v>
                </c:pt>
                <c:pt idx="6">
                  <c:v>1</c:v>
                </c:pt>
                <c:pt idx="7">
                  <c:v>0</c:v>
                </c:pt>
              </c:numCache>
            </c:numRef>
          </c:val>
          <c:extLst>
            <c:ext xmlns:c16="http://schemas.microsoft.com/office/drawing/2014/chart" uri="{C3380CC4-5D6E-409C-BE32-E72D297353CC}">
              <c16:uniqueId val="{00000003-83C5-483C-80B6-CCA2A8B55104}"/>
            </c:ext>
          </c:extLst>
        </c:ser>
        <c:ser>
          <c:idx val="4"/>
          <c:order val="4"/>
          <c:tx>
            <c:strRef>
              <c:f>'Resumo dos Numeros'!$C$6</c:f>
              <c:strCache>
                <c:ptCount val="1"/>
                <c:pt idx="0">
                  <c:v>Tentativas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Numeros'!$H$1:$O$1</c:f>
              <c:strCache>
                <c:ptCount val="8"/>
                <c:pt idx="0">
                  <c:v>Abril</c:v>
                </c:pt>
                <c:pt idx="1">
                  <c:v>Maio</c:v>
                </c:pt>
                <c:pt idx="2">
                  <c:v>Junho</c:v>
                </c:pt>
                <c:pt idx="3">
                  <c:v>Julho</c:v>
                </c:pt>
                <c:pt idx="4">
                  <c:v>Agosto</c:v>
                </c:pt>
                <c:pt idx="5">
                  <c:v>Setembro</c:v>
                </c:pt>
                <c:pt idx="6">
                  <c:v>Outubro</c:v>
                </c:pt>
                <c:pt idx="7">
                  <c:v>Novembro</c:v>
                </c:pt>
              </c:strCache>
            </c:strRef>
          </c:cat>
          <c:val>
            <c:numRef>
              <c:f>'Resumo dos Numeros'!$H$6:$O$6</c:f>
              <c:numCache>
                <c:formatCode>General</c:formatCode>
                <c:ptCount val="8"/>
                <c:pt idx="0">
                  <c:v>26</c:v>
                </c:pt>
                <c:pt idx="1">
                  <c:v>14</c:v>
                </c:pt>
                <c:pt idx="2">
                  <c:v>22</c:v>
                </c:pt>
                <c:pt idx="3">
                  <c:v>9</c:v>
                </c:pt>
                <c:pt idx="4">
                  <c:v>22</c:v>
                </c:pt>
                <c:pt idx="5">
                  <c:v>19</c:v>
                </c:pt>
                <c:pt idx="6">
                  <c:v>22</c:v>
                </c:pt>
                <c:pt idx="7">
                  <c:v>7</c:v>
                </c:pt>
              </c:numCache>
            </c:numRef>
          </c:val>
          <c:extLst>
            <c:ext xmlns:c16="http://schemas.microsoft.com/office/drawing/2014/chart" uri="{C3380CC4-5D6E-409C-BE32-E72D297353CC}">
              <c16:uniqueId val="{00000004-83C5-483C-80B6-CCA2A8B55104}"/>
            </c:ext>
          </c:extLst>
        </c:ser>
        <c:dLbls>
          <c:showLegendKey val="0"/>
          <c:showVal val="0"/>
          <c:showCatName val="0"/>
          <c:showSerName val="0"/>
          <c:showPercent val="0"/>
          <c:showBubbleSize val="0"/>
        </c:dLbls>
        <c:gapWidth val="219"/>
        <c:overlap val="-27"/>
        <c:axId val="271302143"/>
        <c:axId val="271328543"/>
      </c:barChart>
      <c:catAx>
        <c:axId val="271302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1328543"/>
        <c:crosses val="autoZero"/>
        <c:auto val="1"/>
        <c:lblAlgn val="ctr"/>
        <c:lblOffset val="100"/>
        <c:noMultiLvlLbl val="0"/>
      </c:catAx>
      <c:valAx>
        <c:axId val="271328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13021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TicketMedio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'Resumo dos Numeros'!$S$3</c:f>
              <c:strCache>
                <c:ptCount val="1"/>
                <c:pt idx="0">
                  <c:v>08/07/2024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 dos Numeros'!$T$2:$V$2</c:f>
              <c:strCache>
                <c:ptCount val="3"/>
                <c:pt idx="0">
                  <c:v>Inconfidentes</c:v>
                </c:pt>
                <c:pt idx="1">
                  <c:v>Borda da Mata</c:v>
                </c:pt>
                <c:pt idx="2">
                  <c:v>Geral</c:v>
                </c:pt>
              </c:strCache>
            </c:strRef>
          </c:cat>
          <c:val>
            <c:numRef>
              <c:f>'Resumo dos Numeros'!$T$3:$V$3</c:f>
              <c:numCache>
                <c:formatCode>General</c:formatCode>
                <c:ptCount val="3"/>
                <c:pt idx="0">
                  <c:v>70.850483271375467</c:v>
                </c:pt>
                <c:pt idx="1">
                  <c:v>83.924891131173666</c:v>
                </c:pt>
                <c:pt idx="2">
                  <c:v>82.290590148698882</c:v>
                </c:pt>
              </c:numCache>
            </c:numRef>
          </c:val>
          <c:extLst>
            <c:ext xmlns:c16="http://schemas.microsoft.com/office/drawing/2014/chart" uri="{C3380CC4-5D6E-409C-BE32-E72D297353CC}">
              <c16:uniqueId val="{00000000-4E36-4ABF-9A38-F7F841476019}"/>
            </c:ext>
          </c:extLst>
        </c:ser>
        <c:ser>
          <c:idx val="1"/>
          <c:order val="1"/>
          <c:tx>
            <c:strRef>
              <c:f>'Resumo dos Numeros'!$N$4</c:f>
              <c:strCache>
                <c:ptCount val="1"/>
                <c:pt idx="0">
                  <c:v>3</c:v>
                </c:pt>
              </c:strCache>
            </c:strRef>
          </c:tx>
          <c:spPr>
            <a:solidFill>
              <a:schemeClr val="accent2"/>
            </a:solidFill>
            <a:ln>
              <a:noFill/>
            </a:ln>
            <a:effectLst/>
          </c:spPr>
          <c:invertIfNegative val="0"/>
          <c:cat>
            <c:strRef>
              <c:f>'Resumo dos Numeros'!$T$2:$V$2</c:f>
              <c:strCache>
                <c:ptCount val="3"/>
                <c:pt idx="0">
                  <c:v>Inconfidentes</c:v>
                </c:pt>
                <c:pt idx="1">
                  <c:v>Borda da Mata</c:v>
                </c:pt>
                <c:pt idx="2">
                  <c:v>Geral</c:v>
                </c:pt>
              </c:strCache>
            </c:strRef>
          </c:cat>
          <c:val>
            <c:numRef>
              <c:f>'Resumo dos Numeros'!$O$4:$Q$4</c:f>
              <c:numCache>
                <c:formatCode>General</c:formatCode>
                <c:ptCount val="3"/>
                <c:pt idx="0">
                  <c:v>2</c:v>
                </c:pt>
              </c:numCache>
            </c:numRef>
          </c:val>
          <c:extLst>
            <c:ext xmlns:c16="http://schemas.microsoft.com/office/drawing/2014/chart" uri="{C3380CC4-5D6E-409C-BE32-E72D297353CC}">
              <c16:uniqueId val="{00000001-4E36-4ABF-9A38-F7F841476019}"/>
            </c:ext>
          </c:extLst>
        </c:ser>
        <c:ser>
          <c:idx val="2"/>
          <c:order val="2"/>
          <c:tx>
            <c:strRef>
              <c:f>'Resumo dos Numeros'!$N$5</c:f>
              <c:strCache>
                <c:ptCount val="1"/>
                <c:pt idx="0">
                  <c:v>1</c:v>
                </c:pt>
              </c:strCache>
            </c:strRef>
          </c:tx>
          <c:spPr>
            <a:solidFill>
              <a:schemeClr val="accent3"/>
            </a:solidFill>
            <a:ln>
              <a:noFill/>
            </a:ln>
            <a:effectLst/>
          </c:spPr>
          <c:invertIfNegative val="0"/>
          <c:cat>
            <c:strRef>
              <c:f>'Resumo dos Numeros'!$T$2:$V$2</c:f>
              <c:strCache>
                <c:ptCount val="3"/>
                <c:pt idx="0">
                  <c:v>Inconfidentes</c:v>
                </c:pt>
                <c:pt idx="1">
                  <c:v>Borda da Mata</c:v>
                </c:pt>
                <c:pt idx="2">
                  <c:v>Geral</c:v>
                </c:pt>
              </c:strCache>
            </c:strRef>
          </c:cat>
          <c:val>
            <c:numRef>
              <c:f>'Resumo dos Numeros'!$O$5:$Q$5</c:f>
              <c:numCache>
                <c:formatCode>General</c:formatCode>
                <c:ptCount val="3"/>
                <c:pt idx="0">
                  <c:v>0</c:v>
                </c:pt>
              </c:numCache>
            </c:numRef>
          </c:val>
          <c:extLst>
            <c:ext xmlns:c16="http://schemas.microsoft.com/office/drawing/2014/chart" uri="{C3380CC4-5D6E-409C-BE32-E72D297353CC}">
              <c16:uniqueId val="{00000002-4E36-4ABF-9A38-F7F841476019}"/>
            </c:ext>
          </c:extLst>
        </c:ser>
        <c:dLbls>
          <c:showLegendKey val="0"/>
          <c:showVal val="0"/>
          <c:showCatName val="0"/>
          <c:showSerName val="0"/>
          <c:showPercent val="0"/>
          <c:showBubbleSize val="0"/>
        </c:dLbls>
        <c:gapWidth val="219"/>
        <c:overlap val="-27"/>
        <c:axId val="456310671"/>
        <c:axId val="456311151"/>
      </c:barChart>
      <c:catAx>
        <c:axId val="456310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6311151"/>
        <c:crosses val="autoZero"/>
        <c:auto val="1"/>
        <c:lblAlgn val="ctr"/>
        <c:lblOffset val="100"/>
        <c:noMultiLvlLbl val="0"/>
      </c:catAx>
      <c:valAx>
        <c:axId val="456311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6310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Cancelamentos!$I$12:$I$16</c:f>
              <c:strCache>
                <c:ptCount val="5"/>
                <c:pt idx="0">
                  <c:v>Fevereiro</c:v>
                </c:pt>
                <c:pt idx="1">
                  <c:v>Março</c:v>
                </c:pt>
                <c:pt idx="2">
                  <c:v>Abril</c:v>
                </c:pt>
                <c:pt idx="3">
                  <c:v>Maio</c:v>
                </c:pt>
                <c:pt idx="4">
                  <c:v>Junho</c:v>
                </c:pt>
              </c:strCache>
            </c:strRef>
          </c:cat>
          <c:val>
            <c:numRef>
              <c:f>Cancelamentos!$J$12:$J$16</c:f>
              <c:numCache>
                <c:formatCode>General</c:formatCode>
                <c:ptCount val="5"/>
                <c:pt idx="0">
                  <c:v>7</c:v>
                </c:pt>
                <c:pt idx="1">
                  <c:v>3</c:v>
                </c:pt>
                <c:pt idx="2">
                  <c:v>9</c:v>
                </c:pt>
                <c:pt idx="3">
                  <c:v>1</c:v>
                </c:pt>
                <c:pt idx="4">
                  <c:v>5</c:v>
                </c:pt>
              </c:numCache>
            </c:numRef>
          </c:val>
          <c:extLst>
            <c:ext xmlns:c16="http://schemas.microsoft.com/office/drawing/2014/chart" uri="{C3380CC4-5D6E-409C-BE32-E72D297353CC}">
              <c16:uniqueId val="{00000000-BAC0-4A80-99DE-1BA326397DE0}"/>
            </c:ext>
          </c:extLst>
        </c:ser>
        <c:dLbls>
          <c:dLblPos val="outEnd"/>
          <c:showLegendKey val="0"/>
          <c:showVal val="1"/>
          <c:showCatName val="0"/>
          <c:showSerName val="0"/>
          <c:showPercent val="0"/>
          <c:showBubbleSize val="0"/>
        </c:dLbls>
        <c:gapWidth val="219"/>
        <c:overlap val="-27"/>
        <c:axId val="335666239"/>
        <c:axId val="335666719"/>
      </c:barChart>
      <c:catAx>
        <c:axId val="335666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5666719"/>
        <c:crosses val="autoZero"/>
        <c:auto val="1"/>
        <c:lblAlgn val="ctr"/>
        <c:lblOffset val="100"/>
        <c:noMultiLvlLbl val="0"/>
      </c:catAx>
      <c:valAx>
        <c:axId val="335666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56662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Upgrades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'Upgrade de Planos'!$L$6</c:f>
              <c:strCache>
                <c:ptCount val="1"/>
                <c:pt idx="0">
                  <c:v>Quantidade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'Upgrade de Planos'!$K$20:$K$30</c:f>
              <c:strCache>
                <c:ptCount val="11"/>
                <c:pt idx="0">
                  <c:v>Janeiro</c:v>
                </c:pt>
                <c:pt idx="1">
                  <c:v>Fevereiro</c:v>
                </c:pt>
                <c:pt idx="2">
                  <c:v>Março</c:v>
                </c:pt>
                <c:pt idx="3">
                  <c:v>Abril</c:v>
                </c:pt>
                <c:pt idx="4">
                  <c:v>Maio</c:v>
                </c:pt>
                <c:pt idx="5">
                  <c:v>junho</c:v>
                </c:pt>
                <c:pt idx="6">
                  <c:v>Julho</c:v>
                </c:pt>
                <c:pt idx="7">
                  <c:v>Agosto</c:v>
                </c:pt>
                <c:pt idx="8">
                  <c:v>Setembro</c:v>
                </c:pt>
                <c:pt idx="9">
                  <c:v>Outubro</c:v>
                </c:pt>
                <c:pt idx="10">
                  <c:v>Novembro</c:v>
                </c:pt>
              </c:strCache>
            </c:strRef>
          </c:cat>
          <c:val>
            <c:numRef>
              <c:f>'Upgrade de Planos'!$L$20:$L$30</c:f>
              <c:numCache>
                <c:formatCode>General</c:formatCode>
                <c:ptCount val="11"/>
                <c:pt idx="0">
                  <c:v>18</c:v>
                </c:pt>
                <c:pt idx="1">
                  <c:v>14</c:v>
                </c:pt>
                <c:pt idx="2">
                  <c:v>18</c:v>
                </c:pt>
                <c:pt idx="3">
                  <c:v>10</c:v>
                </c:pt>
                <c:pt idx="4">
                  <c:v>11</c:v>
                </c:pt>
                <c:pt idx="5">
                  <c:v>7</c:v>
                </c:pt>
                <c:pt idx="6">
                  <c:v>6</c:v>
                </c:pt>
                <c:pt idx="7">
                  <c:v>20</c:v>
                </c:pt>
                <c:pt idx="8">
                  <c:v>10</c:v>
                </c:pt>
                <c:pt idx="9">
                  <c:v>18</c:v>
                </c:pt>
                <c:pt idx="10">
                  <c:v>8</c:v>
                </c:pt>
              </c:numCache>
            </c:numRef>
          </c:val>
          <c:extLst>
            <c:ext xmlns:c16="http://schemas.microsoft.com/office/drawing/2014/chart" uri="{C3380CC4-5D6E-409C-BE32-E72D297353CC}">
              <c16:uniqueId val="{00000001-C8D0-45EA-9D17-1FF9997A8A4D}"/>
            </c:ext>
          </c:extLst>
        </c:ser>
        <c:ser>
          <c:idx val="1"/>
          <c:order val="1"/>
          <c:tx>
            <c:strRef>
              <c:f>'Upgrade de Planos'!$M$6</c:f>
              <c:strCache>
                <c:ptCount val="1"/>
                <c:pt idx="0">
                  <c:v>Valor Adicional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'Upgrade de Planos'!$K$20:$K$30</c:f>
              <c:strCache>
                <c:ptCount val="11"/>
                <c:pt idx="0">
                  <c:v>Janeiro</c:v>
                </c:pt>
                <c:pt idx="1">
                  <c:v>Fevereiro</c:v>
                </c:pt>
                <c:pt idx="2">
                  <c:v>Março</c:v>
                </c:pt>
                <c:pt idx="3">
                  <c:v>Abril</c:v>
                </c:pt>
                <c:pt idx="4">
                  <c:v>Maio</c:v>
                </c:pt>
                <c:pt idx="5">
                  <c:v>junho</c:v>
                </c:pt>
                <c:pt idx="6">
                  <c:v>Julho</c:v>
                </c:pt>
                <c:pt idx="7">
                  <c:v>Agosto</c:v>
                </c:pt>
                <c:pt idx="8">
                  <c:v>Setembro</c:v>
                </c:pt>
                <c:pt idx="9">
                  <c:v>Outubro</c:v>
                </c:pt>
                <c:pt idx="10">
                  <c:v>Novembro</c:v>
                </c:pt>
              </c:strCache>
            </c:strRef>
          </c:cat>
          <c:val>
            <c:numRef>
              <c:f>'Upgrade de Planos'!$M$20:$M$30</c:f>
              <c:numCache>
                <c:formatCode>_("R$"* #,##0.00_);_("R$"* \(#,##0.00\);_("R$"* "-"??_);_(@_)</c:formatCode>
                <c:ptCount val="11"/>
                <c:pt idx="0">
                  <c:v>539.79999999999995</c:v>
                </c:pt>
                <c:pt idx="1">
                  <c:v>260</c:v>
                </c:pt>
                <c:pt idx="2">
                  <c:v>329.8</c:v>
                </c:pt>
                <c:pt idx="3">
                  <c:v>219.8</c:v>
                </c:pt>
                <c:pt idx="4">
                  <c:v>229.70000000000002</c:v>
                </c:pt>
                <c:pt idx="5">
                  <c:v>134.9</c:v>
                </c:pt>
                <c:pt idx="6">
                  <c:v>319.79999999999995</c:v>
                </c:pt>
                <c:pt idx="7">
                  <c:v>369.70000000000005</c:v>
                </c:pt>
                <c:pt idx="8">
                  <c:v>220.1</c:v>
                </c:pt>
                <c:pt idx="9">
                  <c:v>369.9</c:v>
                </c:pt>
                <c:pt idx="10">
                  <c:v>160</c:v>
                </c:pt>
              </c:numCache>
            </c:numRef>
          </c:val>
          <c:extLst>
            <c:ext xmlns:c16="http://schemas.microsoft.com/office/drawing/2014/chart" uri="{C3380CC4-5D6E-409C-BE32-E72D297353CC}">
              <c16:uniqueId val="{00000003-C8D0-45EA-9D17-1FF9997A8A4D}"/>
            </c:ext>
          </c:extLst>
        </c:ser>
        <c:dLbls>
          <c:showLegendKey val="0"/>
          <c:showVal val="0"/>
          <c:showCatName val="0"/>
          <c:showSerName val="0"/>
          <c:showPercent val="0"/>
          <c:showBubbleSize val="0"/>
        </c:dLbls>
        <c:gapWidth val="219"/>
        <c:overlap val="-27"/>
        <c:axId val="169101879"/>
        <c:axId val="1268320056"/>
      </c:barChart>
      <c:catAx>
        <c:axId val="169101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268320056"/>
        <c:crosses val="autoZero"/>
        <c:auto val="1"/>
        <c:lblAlgn val="ctr"/>
        <c:lblOffset val="100"/>
        <c:noMultiLvlLbl val="0"/>
      </c:catAx>
      <c:valAx>
        <c:axId val="1268320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9101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Clientes Inconfidentes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'Clientes Via 01 Inconfidentes '!$O$3:$Y$3</c:f>
              <c:strCache>
                <c:ptCount val="11"/>
                <c:pt idx="0">
                  <c:v>Janeiro </c:v>
                </c:pt>
                <c:pt idx="1">
                  <c:v>Fevereiro </c:v>
                </c:pt>
                <c:pt idx="2">
                  <c:v>Março</c:v>
                </c:pt>
                <c:pt idx="3">
                  <c:v>Abril </c:v>
                </c:pt>
                <c:pt idx="4">
                  <c:v>Maio </c:v>
                </c:pt>
                <c:pt idx="5">
                  <c:v>Junho </c:v>
                </c:pt>
                <c:pt idx="6">
                  <c:v>Julho </c:v>
                </c:pt>
                <c:pt idx="7">
                  <c:v>Agosto </c:v>
                </c:pt>
                <c:pt idx="8">
                  <c:v>Setembro</c:v>
                </c:pt>
                <c:pt idx="9">
                  <c:v>Outubro</c:v>
                </c:pt>
                <c:pt idx="10">
                  <c:v>Novembro </c:v>
                </c:pt>
              </c:strCache>
            </c:strRef>
          </c:cat>
          <c:val>
            <c:numRef>
              <c:f>'Clientes Via 01 Inconfidentes '!$O$4:$Y$4</c:f>
              <c:numCache>
                <c:formatCode>General</c:formatCode>
                <c:ptCount val="11"/>
                <c:pt idx="0">
                  <c:v>18</c:v>
                </c:pt>
                <c:pt idx="1">
                  <c:v>21</c:v>
                </c:pt>
                <c:pt idx="2">
                  <c:v>25</c:v>
                </c:pt>
                <c:pt idx="3">
                  <c:v>13</c:v>
                </c:pt>
                <c:pt idx="4">
                  <c:v>13</c:v>
                </c:pt>
                <c:pt idx="5">
                  <c:v>14</c:v>
                </c:pt>
                <c:pt idx="6">
                  <c:v>20</c:v>
                </c:pt>
                <c:pt idx="7">
                  <c:v>10</c:v>
                </c:pt>
                <c:pt idx="8">
                  <c:v>14</c:v>
                </c:pt>
                <c:pt idx="9">
                  <c:v>11</c:v>
                </c:pt>
                <c:pt idx="10">
                  <c:v>14</c:v>
                </c:pt>
              </c:numCache>
            </c:numRef>
          </c:val>
          <c:extLst>
            <c:ext xmlns:c16="http://schemas.microsoft.com/office/drawing/2014/chart" uri="{C3380CC4-5D6E-409C-BE32-E72D297353CC}">
              <c16:uniqueId val="{00000000-4333-4E00-B1EA-237BE2F7F723}"/>
            </c:ext>
          </c:extLst>
        </c:ser>
        <c:dLbls>
          <c:dLblPos val="outEnd"/>
          <c:showLegendKey val="0"/>
          <c:showVal val="1"/>
          <c:showCatName val="0"/>
          <c:showSerName val="0"/>
          <c:showPercent val="0"/>
          <c:showBubbleSize val="0"/>
        </c:dLbls>
        <c:gapWidth val="219"/>
        <c:overlap val="-27"/>
        <c:axId val="459064719"/>
        <c:axId val="459089199"/>
      </c:barChart>
      <c:catAx>
        <c:axId val="459064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9089199"/>
        <c:crosses val="autoZero"/>
        <c:auto val="1"/>
        <c:lblAlgn val="ctr"/>
        <c:lblOffset val="100"/>
        <c:noMultiLvlLbl val="0"/>
      </c:catAx>
      <c:valAx>
        <c:axId val="459089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906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Cancelamentos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'Cancelamentos Inconfidentes '!$E$3</c:f>
              <c:strCache>
                <c:ptCount val="1"/>
                <c:pt idx="0">
                  <c:v>Cancelamento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'Cancelamentos Inconfidentes '!$F$2:$Q$2</c:f>
              <c:strCache>
                <c:ptCount val="12"/>
                <c:pt idx="0">
                  <c:v>Dezembro</c:v>
                </c:pt>
                <c:pt idx="1">
                  <c:v>Janeiro</c:v>
                </c:pt>
                <c:pt idx="2">
                  <c:v>Fevereiro</c:v>
                </c:pt>
                <c:pt idx="3">
                  <c:v>Março</c:v>
                </c:pt>
                <c:pt idx="4">
                  <c:v>Abril</c:v>
                </c:pt>
                <c:pt idx="5">
                  <c:v>Maio </c:v>
                </c:pt>
                <c:pt idx="6">
                  <c:v>Junho </c:v>
                </c:pt>
                <c:pt idx="7">
                  <c:v>Julho</c:v>
                </c:pt>
                <c:pt idx="8">
                  <c:v>Agosto </c:v>
                </c:pt>
                <c:pt idx="9">
                  <c:v>Setembro</c:v>
                </c:pt>
                <c:pt idx="10">
                  <c:v>Outubro</c:v>
                </c:pt>
                <c:pt idx="11">
                  <c:v>Novembro</c:v>
                </c:pt>
              </c:strCache>
            </c:strRef>
          </c:cat>
          <c:val>
            <c:numRef>
              <c:f>'Cancelamentos Inconfidentes '!$F$3:$Q$3</c:f>
              <c:numCache>
                <c:formatCode>General</c:formatCode>
                <c:ptCount val="12"/>
                <c:pt idx="0">
                  <c:v>5</c:v>
                </c:pt>
                <c:pt idx="1">
                  <c:v>1</c:v>
                </c:pt>
                <c:pt idx="2">
                  <c:v>2</c:v>
                </c:pt>
                <c:pt idx="3">
                  <c:v>3</c:v>
                </c:pt>
                <c:pt idx="4">
                  <c:v>4</c:v>
                </c:pt>
                <c:pt idx="5">
                  <c:v>3</c:v>
                </c:pt>
                <c:pt idx="6">
                  <c:v>6</c:v>
                </c:pt>
                <c:pt idx="7">
                  <c:v>5</c:v>
                </c:pt>
                <c:pt idx="8">
                  <c:v>7</c:v>
                </c:pt>
                <c:pt idx="9">
                  <c:v>2</c:v>
                </c:pt>
                <c:pt idx="10">
                  <c:v>1</c:v>
                </c:pt>
                <c:pt idx="11">
                  <c:v>5</c:v>
                </c:pt>
              </c:numCache>
            </c:numRef>
          </c:val>
          <c:extLst>
            <c:ext xmlns:c16="http://schemas.microsoft.com/office/drawing/2014/chart" uri="{C3380CC4-5D6E-409C-BE32-E72D297353CC}">
              <c16:uniqueId val="{00000000-46EF-4A08-BC41-665CF7C68C62}"/>
            </c:ext>
          </c:extLst>
        </c:ser>
        <c:ser>
          <c:idx val="1"/>
          <c:order val="1"/>
          <c:tx>
            <c:strRef>
              <c:f>'Cancelamentos Inconfidentes '!$E$4</c:f>
              <c:strCache>
                <c:ptCount val="1"/>
                <c:pt idx="0">
                  <c:v>Financeiro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'Cancelamentos Inconfidentes '!$F$2:$Q$2</c:f>
              <c:strCache>
                <c:ptCount val="12"/>
                <c:pt idx="0">
                  <c:v>Dezembro</c:v>
                </c:pt>
                <c:pt idx="1">
                  <c:v>Janeiro</c:v>
                </c:pt>
                <c:pt idx="2">
                  <c:v>Fevereiro</c:v>
                </c:pt>
                <c:pt idx="3">
                  <c:v>Março</c:v>
                </c:pt>
                <c:pt idx="4">
                  <c:v>Abril</c:v>
                </c:pt>
                <c:pt idx="5">
                  <c:v>Maio </c:v>
                </c:pt>
                <c:pt idx="6">
                  <c:v>Junho </c:v>
                </c:pt>
                <c:pt idx="7">
                  <c:v>Julho</c:v>
                </c:pt>
                <c:pt idx="8">
                  <c:v>Agosto </c:v>
                </c:pt>
                <c:pt idx="9">
                  <c:v>Setembro</c:v>
                </c:pt>
                <c:pt idx="10">
                  <c:v>Outubro</c:v>
                </c:pt>
                <c:pt idx="11">
                  <c:v>Novembro</c:v>
                </c:pt>
              </c:strCache>
            </c:strRef>
          </c:cat>
          <c:val>
            <c:numRef>
              <c:f>'Cancelamentos Inconfidentes '!$F$4:$Q$4</c:f>
              <c:numCache>
                <c:formatCode>General</c:formatCode>
                <c:ptCount val="12"/>
                <c:pt idx="7">
                  <c:v>3</c:v>
                </c:pt>
                <c:pt idx="8">
                  <c:v>4</c:v>
                </c:pt>
                <c:pt idx="9">
                  <c:v>3</c:v>
                </c:pt>
                <c:pt idx="11">
                  <c:v>0</c:v>
                </c:pt>
              </c:numCache>
            </c:numRef>
          </c:val>
          <c:extLst>
            <c:ext xmlns:c16="http://schemas.microsoft.com/office/drawing/2014/chart" uri="{C3380CC4-5D6E-409C-BE32-E72D297353CC}">
              <c16:uniqueId val="{00000000-AE6C-4353-B36C-6EA60F6E5A25}"/>
            </c:ext>
          </c:extLst>
        </c:ser>
        <c:dLbls>
          <c:showLegendKey val="0"/>
          <c:showVal val="0"/>
          <c:showCatName val="0"/>
          <c:showSerName val="0"/>
          <c:showPercent val="0"/>
          <c:showBubbleSize val="0"/>
        </c:dLbls>
        <c:gapWidth val="219"/>
        <c:overlap val="-27"/>
        <c:axId val="271308383"/>
        <c:axId val="271299743"/>
      </c:barChart>
      <c:catAx>
        <c:axId val="271308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1299743"/>
        <c:crosses val="autoZero"/>
        <c:auto val="1"/>
        <c:lblAlgn val="ctr"/>
        <c:lblOffset val="100"/>
        <c:noMultiLvlLbl val="0"/>
      </c:catAx>
      <c:valAx>
        <c:axId val="271299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130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Upgrades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'Upgrade Planos Inconfidentes'!$K$3:$K$13</c:f>
              <c:strCache>
                <c:ptCount val="11"/>
                <c:pt idx="0">
                  <c:v>Dezembro</c:v>
                </c:pt>
                <c:pt idx="1">
                  <c:v>Janeiro</c:v>
                </c:pt>
                <c:pt idx="2">
                  <c:v>Fevereiro</c:v>
                </c:pt>
                <c:pt idx="3">
                  <c:v>Março</c:v>
                </c:pt>
                <c:pt idx="4">
                  <c:v>Abril</c:v>
                </c:pt>
                <c:pt idx="5">
                  <c:v>Maio</c:v>
                </c:pt>
                <c:pt idx="6">
                  <c:v>Junho</c:v>
                </c:pt>
                <c:pt idx="7">
                  <c:v>Julho</c:v>
                </c:pt>
                <c:pt idx="8">
                  <c:v>Agosto</c:v>
                </c:pt>
                <c:pt idx="9">
                  <c:v>Setembro</c:v>
                </c:pt>
                <c:pt idx="10">
                  <c:v>Outubro</c:v>
                </c:pt>
              </c:strCache>
            </c:strRef>
          </c:cat>
          <c:val>
            <c:numRef>
              <c:f>'Upgrade Planos Inconfidentes'!$L$3:$L$13</c:f>
              <c:numCache>
                <c:formatCode>_("R$"* #,##0.00_);_("R$"* \(#,##0.00\);_("R$"* "-"??_);_(@_)</c:formatCode>
                <c:ptCount val="11"/>
                <c:pt idx="0">
                  <c:v>20</c:v>
                </c:pt>
                <c:pt idx="1">
                  <c:v>55</c:v>
                </c:pt>
                <c:pt idx="2">
                  <c:v>25</c:v>
                </c:pt>
                <c:pt idx="3">
                  <c:v>30</c:v>
                </c:pt>
                <c:pt idx="4">
                  <c:v>20</c:v>
                </c:pt>
                <c:pt idx="5">
                  <c:v>35</c:v>
                </c:pt>
                <c:pt idx="6">
                  <c:v>45</c:v>
                </c:pt>
                <c:pt idx="7">
                  <c:v>25</c:v>
                </c:pt>
                <c:pt idx="9">
                  <c:v>40</c:v>
                </c:pt>
                <c:pt idx="10">
                  <c:v>20</c:v>
                </c:pt>
              </c:numCache>
            </c:numRef>
          </c:val>
          <c:extLst>
            <c:ext xmlns:c16="http://schemas.microsoft.com/office/drawing/2014/chart" uri="{C3380CC4-5D6E-409C-BE32-E72D297353CC}">
              <c16:uniqueId val="{00000000-3456-4A3B-9494-255A2F416061}"/>
            </c:ext>
          </c:extLst>
        </c:ser>
        <c:dLbls>
          <c:showLegendKey val="0"/>
          <c:showVal val="0"/>
          <c:showCatName val="0"/>
          <c:showSerName val="0"/>
          <c:showPercent val="0"/>
          <c:showBubbleSize val="0"/>
        </c:dLbls>
        <c:gapWidth val="219"/>
        <c:overlap val="-27"/>
        <c:axId val="1211698096"/>
        <c:axId val="1211697136"/>
      </c:barChart>
      <c:catAx>
        <c:axId val="121169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211697136"/>
        <c:crosses val="autoZero"/>
        <c:auto val="1"/>
        <c:lblAlgn val="ctr"/>
        <c:lblOffset val="100"/>
        <c:noMultiLvlLbl val="0"/>
      </c:catAx>
      <c:valAx>
        <c:axId val="121169713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211698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Atendimentos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Atendimentos!$A$3:$A$8</c:f>
              <c:strCache>
                <c:ptCount val="6"/>
                <c:pt idx="1">
                  <c:v>Alessandra</c:v>
                </c:pt>
                <c:pt idx="2">
                  <c:v>Wellison</c:v>
                </c:pt>
                <c:pt idx="3">
                  <c:v>Walquiria</c:v>
                </c:pt>
                <c:pt idx="4">
                  <c:v>Renan (plantão)</c:v>
                </c:pt>
                <c:pt idx="5">
                  <c:v>Robo</c:v>
                </c:pt>
              </c:strCache>
            </c:strRef>
          </c:cat>
          <c:val>
            <c:numRef>
              <c:f>Atendimentos!$B$3:$B$8</c:f>
              <c:numCache>
                <c:formatCode>General</c:formatCode>
                <c:ptCount val="6"/>
                <c:pt idx="0">
                  <c:v>0</c:v>
                </c:pt>
                <c:pt idx="1">
                  <c:v>497</c:v>
                </c:pt>
                <c:pt idx="2">
                  <c:v>287</c:v>
                </c:pt>
                <c:pt idx="3">
                  <c:v>28</c:v>
                </c:pt>
                <c:pt idx="4">
                  <c:v>26</c:v>
                </c:pt>
                <c:pt idx="5">
                  <c:v>68</c:v>
                </c:pt>
              </c:numCache>
            </c:numRef>
          </c:val>
          <c:extLst>
            <c:ext xmlns:c16="http://schemas.microsoft.com/office/drawing/2014/chart" uri="{C3380CC4-5D6E-409C-BE32-E72D297353CC}">
              <c16:uniqueId val="{00000000-4279-4BF5-BC3C-B0A0F45E359D}"/>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Atendimentos!$A$3:$A$8</c:f>
              <c:strCache>
                <c:ptCount val="6"/>
                <c:pt idx="1">
                  <c:v>Alessandra</c:v>
                </c:pt>
                <c:pt idx="2">
                  <c:v>Wellison</c:v>
                </c:pt>
                <c:pt idx="3">
                  <c:v>Walquiria</c:v>
                </c:pt>
                <c:pt idx="4">
                  <c:v>Renan (plantão)</c:v>
                </c:pt>
                <c:pt idx="5">
                  <c:v>Robo</c:v>
                </c:pt>
              </c:strCache>
            </c:strRef>
          </c:cat>
          <c:val>
            <c:numRef>
              <c:f>Atendimentos!$C$3:$C$8</c:f>
              <c:numCache>
                <c:formatCode>General</c:formatCode>
                <c:ptCount val="6"/>
                <c:pt idx="0">
                  <c:v>0</c:v>
                </c:pt>
                <c:pt idx="1">
                  <c:v>189</c:v>
                </c:pt>
                <c:pt idx="2">
                  <c:v>125</c:v>
                </c:pt>
                <c:pt idx="3">
                  <c:v>4</c:v>
                </c:pt>
                <c:pt idx="4">
                  <c:v>7</c:v>
                </c:pt>
                <c:pt idx="5">
                  <c:v>26</c:v>
                </c:pt>
              </c:numCache>
            </c:numRef>
          </c:val>
          <c:extLst>
            <c:ext xmlns:c16="http://schemas.microsoft.com/office/drawing/2014/chart" uri="{C3380CC4-5D6E-409C-BE32-E72D297353CC}">
              <c16:uniqueId val="{00000000-A6E5-4A19-B6B3-848E0D146A10}"/>
            </c:ext>
          </c:extLst>
        </c:ser>
        <c:dLbls>
          <c:dLblPos val="outEnd"/>
          <c:showLegendKey val="0"/>
          <c:showVal val="1"/>
          <c:showCatName val="0"/>
          <c:showSerName val="0"/>
          <c:showPercent val="0"/>
          <c:showBubbleSize val="0"/>
        </c:dLbls>
        <c:gapWidth val="219"/>
        <c:overlap val="-27"/>
        <c:axId val="1545948991"/>
        <c:axId val="231816367"/>
      </c:barChart>
      <c:catAx>
        <c:axId val="1545948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1816367"/>
        <c:crosses val="autoZero"/>
        <c:auto val="1"/>
        <c:lblAlgn val="ctr"/>
        <c:lblOffset val="100"/>
        <c:noMultiLvlLbl val="0"/>
      </c:catAx>
      <c:valAx>
        <c:axId val="231816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45948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409575</xdr:colOff>
      <xdr:row>14</xdr:row>
      <xdr:rowOff>119060</xdr:rowOff>
    </xdr:from>
    <xdr:to>
      <xdr:col>7</xdr:col>
      <xdr:colOff>133350</xdr:colOff>
      <xdr:row>31</xdr:row>
      <xdr:rowOff>9525</xdr:rowOff>
    </xdr:to>
    <xdr:graphicFrame macro="">
      <xdr:nvGraphicFramePr>
        <xdr:cNvPr id="9" name="Gráfico 3">
          <a:extLst>
            <a:ext uri="{FF2B5EF4-FFF2-40B4-BE49-F238E27FC236}">
              <a16:creationId xmlns:a16="http://schemas.microsoft.com/office/drawing/2014/main" id="{159F5F1F-AB4A-40B2-8DAB-4C6C13204C21}"/>
            </a:ext>
            <a:ext uri="{147F2762-F138-4A5C-976F-8EAC2B608ADB}">
              <a16:predDERef xmlns:a16="http://schemas.microsoft.com/office/drawing/2014/main" pred="{2D1DFE89-A277-4101-974D-0753A0CC2E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285750</xdr:colOff>
      <xdr:row>14</xdr:row>
      <xdr:rowOff>123825</xdr:rowOff>
    </xdr:from>
    <xdr:to>
      <xdr:col>14</xdr:col>
      <xdr:colOff>809625</xdr:colOff>
      <xdr:row>31</xdr:row>
      <xdr:rowOff>19050</xdr:rowOff>
    </xdr:to>
    <xdr:graphicFrame macro="">
      <xdr:nvGraphicFramePr>
        <xdr:cNvPr id="11" name="Gráfico 2">
          <a:extLst>
            <a:ext uri="{FF2B5EF4-FFF2-40B4-BE49-F238E27FC236}">
              <a16:creationId xmlns:a16="http://schemas.microsoft.com/office/drawing/2014/main" id="{3C40C3E7-7FCF-EE54-C931-B78EA7205BD3}"/>
            </a:ext>
            <a:ext uri="{147F2762-F138-4A5C-976F-8EAC2B608ADB}">
              <a16:predDERef xmlns:a16="http://schemas.microsoft.com/office/drawing/2014/main" pred="{159F5F1F-AB4A-40B2-8DAB-4C6C13204C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66675</xdr:colOff>
      <xdr:row>14</xdr:row>
      <xdr:rowOff>119062</xdr:rowOff>
    </xdr:from>
    <xdr:to>
      <xdr:col>20</xdr:col>
      <xdr:colOff>542925</xdr:colOff>
      <xdr:row>30</xdr:row>
      <xdr:rowOff>0</xdr:rowOff>
    </xdr:to>
    <xdr:graphicFrame macro="">
      <xdr:nvGraphicFramePr>
        <xdr:cNvPr id="13" name="Gráfico 1">
          <a:extLst>
            <a:ext uri="{FF2B5EF4-FFF2-40B4-BE49-F238E27FC236}">
              <a16:creationId xmlns:a16="http://schemas.microsoft.com/office/drawing/2014/main" id="{0C086F29-E5FA-5F2D-3997-03D353D5F2AB}"/>
            </a:ext>
            <a:ext uri="{147F2762-F138-4A5C-976F-8EAC2B608ADB}">
              <a16:predDERef xmlns:a16="http://schemas.microsoft.com/office/drawing/2014/main" pred="{3C40C3E7-7FCF-EE54-C931-B78EA7205B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47625</xdr:colOff>
      <xdr:row>18</xdr:row>
      <xdr:rowOff>0</xdr:rowOff>
    </xdr:from>
    <xdr:to>
      <xdr:col>13</xdr:col>
      <xdr:colOff>104775</xdr:colOff>
      <xdr:row>32</xdr:row>
      <xdr:rowOff>76200</xdr:rowOff>
    </xdr:to>
    <xdr:graphicFrame macro="">
      <xdr:nvGraphicFramePr>
        <xdr:cNvPr id="3" name="Gráfico 2">
          <a:extLst>
            <a:ext uri="{FF2B5EF4-FFF2-40B4-BE49-F238E27FC236}">
              <a16:creationId xmlns:a16="http://schemas.microsoft.com/office/drawing/2014/main" id="{D3A9E647-FC44-5EA9-DAD1-0B27668309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390525</xdr:colOff>
      <xdr:row>34</xdr:row>
      <xdr:rowOff>152400</xdr:rowOff>
    </xdr:from>
    <xdr:to>
      <xdr:col>14</xdr:col>
      <xdr:colOff>295275</xdr:colOff>
      <xdr:row>49</xdr:row>
      <xdr:rowOff>180975</xdr:rowOff>
    </xdr:to>
    <xdr:graphicFrame macro="">
      <xdr:nvGraphicFramePr>
        <xdr:cNvPr id="3" name="Gráfico 1">
          <a:extLst>
            <a:ext uri="{FF2B5EF4-FFF2-40B4-BE49-F238E27FC236}">
              <a16:creationId xmlns:a16="http://schemas.microsoft.com/office/drawing/2014/main" id="{6833D505-6236-9271-1094-C9C4BC2064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419100</xdr:colOff>
      <xdr:row>17</xdr:row>
      <xdr:rowOff>80962</xdr:rowOff>
    </xdr:from>
    <xdr:to>
      <xdr:col>16</xdr:col>
      <xdr:colOff>571500</xdr:colOff>
      <xdr:row>31</xdr:row>
      <xdr:rowOff>157162</xdr:rowOff>
    </xdr:to>
    <xdr:graphicFrame macro="">
      <xdr:nvGraphicFramePr>
        <xdr:cNvPr id="3" name="Gráfico 1">
          <a:extLst>
            <a:ext uri="{FF2B5EF4-FFF2-40B4-BE49-F238E27FC236}">
              <a16:creationId xmlns:a16="http://schemas.microsoft.com/office/drawing/2014/main" id="{73DE2CDD-6F43-0647-E2B9-75AEFBA91D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571500</xdr:colOff>
      <xdr:row>6</xdr:row>
      <xdr:rowOff>42862</xdr:rowOff>
    </xdr:from>
    <xdr:to>
      <xdr:col>9</xdr:col>
      <xdr:colOff>409575</xdr:colOff>
      <xdr:row>20</xdr:row>
      <xdr:rowOff>119062</xdr:rowOff>
    </xdr:to>
    <xdr:graphicFrame macro="">
      <xdr:nvGraphicFramePr>
        <xdr:cNvPr id="3" name="Gráfico 1">
          <a:extLst>
            <a:ext uri="{FF2B5EF4-FFF2-40B4-BE49-F238E27FC236}">
              <a16:creationId xmlns:a16="http://schemas.microsoft.com/office/drawing/2014/main" id="{6B4245E4-5CA6-FF17-A8D3-44EECB5641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514350</xdr:colOff>
      <xdr:row>20</xdr:row>
      <xdr:rowOff>80962</xdr:rowOff>
    </xdr:from>
    <xdr:to>
      <xdr:col>16</xdr:col>
      <xdr:colOff>85725</xdr:colOff>
      <xdr:row>33</xdr:row>
      <xdr:rowOff>157162</xdr:rowOff>
    </xdr:to>
    <xdr:graphicFrame macro="">
      <xdr:nvGraphicFramePr>
        <xdr:cNvPr id="2" name="Gráfico 1">
          <a:extLst>
            <a:ext uri="{FF2B5EF4-FFF2-40B4-BE49-F238E27FC236}">
              <a16:creationId xmlns:a16="http://schemas.microsoft.com/office/drawing/2014/main" id="{C882D5C0-DA9C-2FDE-A6E8-DF975E96DD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57150</xdr:colOff>
      <xdr:row>0</xdr:row>
      <xdr:rowOff>147636</xdr:rowOff>
    </xdr:from>
    <xdr:to>
      <xdr:col>12</xdr:col>
      <xdr:colOff>533400</xdr:colOff>
      <xdr:row>18</xdr:row>
      <xdr:rowOff>171449</xdr:rowOff>
    </xdr:to>
    <xdr:graphicFrame macro="">
      <xdr:nvGraphicFramePr>
        <xdr:cNvPr id="6" name="Gráfico 1">
          <a:extLst>
            <a:ext uri="{FF2B5EF4-FFF2-40B4-BE49-F238E27FC236}">
              <a16:creationId xmlns:a16="http://schemas.microsoft.com/office/drawing/2014/main" id="{7A86EEC9-7475-D2ED-5035-3C05776CC5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r1" id="{29131E33-A3A9-4B4B-923D-9353D765B47C}"/>
</namedSheetView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6" Type="http://schemas.openxmlformats.org/officeDocument/2006/relationships/hyperlink" Target="mailto:thiagoribeiro19@gmail.com" TargetMode="External"/><Relationship Id="rId117" Type="http://schemas.openxmlformats.org/officeDocument/2006/relationships/hyperlink" Target="mailto:Totticelular@hotmail.com" TargetMode="External"/><Relationship Id="rId21" Type="http://schemas.openxmlformats.org/officeDocument/2006/relationships/hyperlink" Target="mailto:resantos19@hotmail.com" TargetMode="External"/><Relationship Id="rId42" Type="http://schemas.openxmlformats.org/officeDocument/2006/relationships/hyperlink" Target="mailto:andreluizsouzalima199331@gmail.com" TargetMode="External"/><Relationship Id="rId47" Type="http://schemas.openxmlformats.org/officeDocument/2006/relationships/hyperlink" Target="mailto:clarahellenna@hotmail.com" TargetMode="External"/><Relationship Id="rId63" Type="http://schemas.openxmlformats.org/officeDocument/2006/relationships/hyperlink" Target="mailto:joaopedrojpdantas@gmail.com" TargetMode="External"/><Relationship Id="rId68" Type="http://schemas.openxmlformats.org/officeDocument/2006/relationships/hyperlink" Target="mailto:celio.andrade@hotmail.com" TargetMode="External"/><Relationship Id="rId84" Type="http://schemas.openxmlformats.org/officeDocument/2006/relationships/hyperlink" Target="mailto:cellyleopoldino@gmail.com" TargetMode="External"/><Relationship Id="rId89" Type="http://schemas.openxmlformats.org/officeDocument/2006/relationships/hyperlink" Target="mailto:dalvacouto@live.com" TargetMode="External"/><Relationship Id="rId112" Type="http://schemas.openxmlformats.org/officeDocument/2006/relationships/hyperlink" Target="mailto:humberto.oriolo@gmail.com" TargetMode="External"/><Relationship Id="rId16" Type="http://schemas.openxmlformats.org/officeDocument/2006/relationships/hyperlink" Target="mailto:joaomachado215@yahoo.com.br" TargetMode="External"/><Relationship Id="rId107" Type="http://schemas.openxmlformats.org/officeDocument/2006/relationships/hyperlink" Target="mailto:mamcristina874@gmail.com" TargetMode="External"/><Relationship Id="rId11" Type="http://schemas.openxmlformats.org/officeDocument/2006/relationships/hyperlink" Target="mailto:carlos.moura@via01.com.br" TargetMode="External"/><Relationship Id="rId32" Type="http://schemas.openxmlformats.org/officeDocument/2006/relationships/hyperlink" Target="mailto:lucioseguros@uol.com.br" TargetMode="External"/><Relationship Id="rId37" Type="http://schemas.openxmlformats.org/officeDocument/2006/relationships/hyperlink" Target="mailto:raulcobra.eng@hotmail.com" TargetMode="External"/><Relationship Id="rId53" Type="http://schemas.openxmlformats.org/officeDocument/2006/relationships/hyperlink" Target="mailto:Haugusto155@gmail.com" TargetMode="External"/><Relationship Id="rId58" Type="http://schemas.openxmlformats.org/officeDocument/2006/relationships/hyperlink" Target="mailto:robertopurim@gmail.com" TargetMode="External"/><Relationship Id="rId74" Type="http://schemas.openxmlformats.org/officeDocument/2006/relationships/hyperlink" Target="mailto:flaviotokos@gmail.com" TargetMode="External"/><Relationship Id="rId79" Type="http://schemas.openxmlformats.org/officeDocument/2006/relationships/hyperlink" Target="mailto:jack.silvap@yahoo.com.br" TargetMode="External"/><Relationship Id="rId102" Type="http://schemas.openxmlformats.org/officeDocument/2006/relationships/hyperlink" Target="mailto:carol.carolina.ana123@gmail.com" TargetMode="External"/><Relationship Id="rId123" Type="http://schemas.openxmlformats.org/officeDocument/2006/relationships/hyperlink" Target="mailto:roselainypadua@yahoo.com.br" TargetMode="External"/><Relationship Id="rId5" Type="http://schemas.openxmlformats.org/officeDocument/2006/relationships/hyperlink" Target="mailto:carlagabrielyy@gmail.com" TargetMode="External"/><Relationship Id="rId90" Type="http://schemas.openxmlformats.org/officeDocument/2006/relationships/hyperlink" Target="mailto:financeiromedclin@gmail.com" TargetMode="External"/><Relationship Id="rId95" Type="http://schemas.openxmlformats.org/officeDocument/2006/relationships/hyperlink" Target="mailto:trhpecasparatratores@hotmail.com" TargetMode="External"/><Relationship Id="rId22" Type="http://schemas.openxmlformats.org/officeDocument/2006/relationships/hyperlink" Target="mailto:amandagmpedagoga@gmail.com" TargetMode="External"/><Relationship Id="rId27" Type="http://schemas.openxmlformats.org/officeDocument/2006/relationships/hyperlink" Target="mailto:professoracristinasilva@hotmail.com" TargetMode="External"/><Relationship Id="rId43" Type="http://schemas.openxmlformats.org/officeDocument/2006/relationships/hyperlink" Target="mailto:igabrielamoreira@gmail.com" TargetMode="External"/><Relationship Id="rId48" Type="http://schemas.openxmlformats.org/officeDocument/2006/relationships/hyperlink" Target="mailto:carolbrandaoof@gmail.com" TargetMode="External"/><Relationship Id="rId64" Type="http://schemas.openxmlformats.org/officeDocument/2006/relationships/hyperlink" Target="mailto:dkcustom4@gmail.com" TargetMode="External"/><Relationship Id="rId69" Type="http://schemas.openxmlformats.org/officeDocument/2006/relationships/hyperlink" Target="mailto:judiado.jc@hotmail.com" TargetMode="External"/><Relationship Id="rId113" Type="http://schemas.openxmlformats.org/officeDocument/2006/relationships/hyperlink" Target="mailto:humberto.oriolo@gmail.com" TargetMode="External"/><Relationship Id="rId118" Type="http://schemas.openxmlformats.org/officeDocument/2006/relationships/hyperlink" Target="mailto:Totticelular@hotmail.com" TargetMode="External"/><Relationship Id="rId80" Type="http://schemas.openxmlformats.org/officeDocument/2006/relationships/hyperlink" Target="mailto:ml7957543@gmail.com" TargetMode="External"/><Relationship Id="rId85" Type="http://schemas.openxmlformats.org/officeDocument/2006/relationships/hyperlink" Target="mailto:teresa020165@mail.com" TargetMode="External"/><Relationship Id="rId12" Type="http://schemas.openxmlformats.org/officeDocument/2006/relationships/hyperlink" Target="mailto:luiz.cobra@via01.com.br" TargetMode="External"/><Relationship Id="rId17" Type="http://schemas.openxmlformats.org/officeDocument/2006/relationships/hyperlink" Target="mailto:pedro@haraszel.com.br" TargetMode="External"/><Relationship Id="rId33" Type="http://schemas.openxmlformats.org/officeDocument/2006/relationships/hyperlink" Target="mailto:kadusr7@gmail.com" TargetMode="External"/><Relationship Id="rId38" Type="http://schemas.openxmlformats.org/officeDocument/2006/relationships/hyperlink" Target="mailto:vanessanathy030@gmail.com" TargetMode="External"/><Relationship Id="rId59" Type="http://schemas.openxmlformats.org/officeDocument/2006/relationships/hyperlink" Target="mailto:nildasilva34335@gmail.com" TargetMode="External"/><Relationship Id="rId103" Type="http://schemas.openxmlformats.org/officeDocument/2006/relationships/hyperlink" Target="mailto:jorgeluizpsouza@hotmail.com" TargetMode="External"/><Relationship Id="rId108" Type="http://schemas.openxmlformats.org/officeDocument/2006/relationships/hyperlink" Target="mailto:gtti2009@hotmail.com" TargetMode="External"/><Relationship Id="rId124" Type="http://schemas.openxmlformats.org/officeDocument/2006/relationships/hyperlink" Target="mailto:roselainypadua@yahoo.com.br" TargetMode="External"/><Relationship Id="rId54" Type="http://schemas.openxmlformats.org/officeDocument/2006/relationships/hyperlink" Target="mailto:arquitetojaugusto@hotmail.com" TargetMode="External"/><Relationship Id="rId70" Type="http://schemas.openxmlformats.org/officeDocument/2006/relationships/hyperlink" Target="mailto:contasareceber@mcgestao.com" TargetMode="External"/><Relationship Id="rId75" Type="http://schemas.openxmlformats.org/officeDocument/2006/relationships/hyperlink" Target="mailto:coutoguilherme207@gmail.com" TargetMode="External"/><Relationship Id="rId91" Type="http://schemas.openxmlformats.org/officeDocument/2006/relationships/hyperlink" Target="mailto:renatabragapompeu@gmail.com" TargetMode="External"/><Relationship Id="rId96" Type="http://schemas.openxmlformats.org/officeDocument/2006/relationships/hyperlink" Target="mailto:diegotoledo84@yahoo.com.br" TargetMode="External"/><Relationship Id="rId1" Type="http://schemas.openxmlformats.org/officeDocument/2006/relationships/hyperlink" Target="mailto:dalbranndao12@gmail.com" TargetMode="External"/><Relationship Id="rId6" Type="http://schemas.openxmlformats.org/officeDocument/2006/relationships/hyperlink" Target="mailto:glauciabguilherme@hotmail.com" TargetMode="External"/><Relationship Id="rId23" Type="http://schemas.openxmlformats.org/officeDocument/2006/relationships/hyperlink" Target="mailto:Cristiantbruno@gmail.com" TargetMode="External"/><Relationship Id="rId28" Type="http://schemas.openxmlformats.org/officeDocument/2006/relationships/hyperlink" Target="mailto:edivaldoadm10@gmail.com" TargetMode="External"/><Relationship Id="rId49" Type="http://schemas.openxmlformats.org/officeDocument/2006/relationships/hyperlink" Target="mailto:carolbrandaoof@gmail.com" TargetMode="External"/><Relationship Id="rId114" Type="http://schemas.openxmlformats.org/officeDocument/2006/relationships/hyperlink" Target="mailto:pepe-goulart@hotmail.com" TargetMode="External"/><Relationship Id="rId119" Type="http://schemas.openxmlformats.org/officeDocument/2006/relationships/hyperlink" Target="mailto:cicerog.silva@outlook.com" TargetMode="External"/><Relationship Id="rId44" Type="http://schemas.openxmlformats.org/officeDocument/2006/relationships/hyperlink" Target="mailto:edgarcobra@gmail.com" TargetMode="External"/><Relationship Id="rId60" Type="http://schemas.openxmlformats.org/officeDocument/2006/relationships/hyperlink" Target="mailto:joaomachado215@yahoo.com.br" TargetMode="External"/><Relationship Id="rId65" Type="http://schemas.openxmlformats.org/officeDocument/2006/relationships/hyperlink" Target="mailto:h-sm2010@hotmail.com" TargetMode="External"/><Relationship Id="rId81" Type="http://schemas.openxmlformats.org/officeDocument/2006/relationships/hyperlink" Target="mailto:maysersantos@gmail.com" TargetMode="External"/><Relationship Id="rId86" Type="http://schemas.openxmlformats.org/officeDocument/2006/relationships/hyperlink" Target="mailto:lucasbuenomelo@uol.com.br" TargetMode="External"/><Relationship Id="rId13" Type="http://schemas.openxmlformats.org/officeDocument/2006/relationships/hyperlink" Target="mailto:alessandrajanerine@gmail.com" TargetMode="External"/><Relationship Id="rId18" Type="http://schemas.openxmlformats.org/officeDocument/2006/relationships/hyperlink" Target="mailto:resantos19@hotmail.com" TargetMode="External"/><Relationship Id="rId39" Type="http://schemas.openxmlformats.org/officeDocument/2006/relationships/hyperlink" Target="mailto:fabiobmmg@gmail.com" TargetMode="External"/><Relationship Id="rId109" Type="http://schemas.openxmlformats.org/officeDocument/2006/relationships/hyperlink" Target="mailto:silviojr257@gmail.com" TargetMode="External"/><Relationship Id="rId34" Type="http://schemas.openxmlformats.org/officeDocument/2006/relationships/hyperlink" Target="mailto:colegionossasenhoradocarmo@gmail.com" TargetMode="External"/><Relationship Id="rId50" Type="http://schemas.openxmlformats.org/officeDocument/2006/relationships/hyperlink" Target="mailto:roberleyjose22@Hotmail.com" TargetMode="External"/><Relationship Id="rId55" Type="http://schemas.openxmlformats.org/officeDocument/2006/relationships/hyperlink" Target="mailto:als_letter@hotmail.com" TargetMode="External"/><Relationship Id="rId76" Type="http://schemas.openxmlformats.org/officeDocument/2006/relationships/hyperlink" Target="mailto:nicholas.mancini@hotmail.com" TargetMode="External"/><Relationship Id="rId97" Type="http://schemas.openxmlformats.org/officeDocument/2006/relationships/hyperlink" Target="mailto:nordesteartes@yahoo.com.br" TargetMode="External"/><Relationship Id="rId104" Type="http://schemas.openxmlformats.org/officeDocument/2006/relationships/hyperlink" Target="mailto:giovanaborda@yahoo.com.br" TargetMode="External"/><Relationship Id="rId120" Type="http://schemas.openxmlformats.org/officeDocument/2006/relationships/hyperlink" Target="mailto:ramirezadvogado@hotmail.com" TargetMode="External"/><Relationship Id="rId125" Type="http://schemas.openxmlformats.org/officeDocument/2006/relationships/hyperlink" Target="mailto:danielacristina22@gmail.com" TargetMode="External"/><Relationship Id="rId7" Type="http://schemas.openxmlformats.org/officeDocument/2006/relationships/hyperlink" Target="mailto:fatimaabreu@live.com" TargetMode="External"/><Relationship Id="rId71" Type="http://schemas.openxmlformats.org/officeDocument/2006/relationships/hyperlink" Target="mailto:rosamariadelfino@hotmail.com" TargetMode="External"/><Relationship Id="rId92" Type="http://schemas.openxmlformats.org/officeDocument/2006/relationships/hyperlink" Target="mailto:jprdp2005@gmail.com" TargetMode="External"/><Relationship Id="rId2" Type="http://schemas.openxmlformats.org/officeDocument/2006/relationships/hyperlink" Target="mailto:daniellajuliidori@hotmail.com" TargetMode="External"/><Relationship Id="rId29" Type="http://schemas.openxmlformats.org/officeDocument/2006/relationships/hyperlink" Target="mailto:neiderdsrezende@gmail.com" TargetMode="External"/><Relationship Id="rId24" Type="http://schemas.openxmlformats.org/officeDocument/2006/relationships/hyperlink" Target="mailto:elieteapdias@yahoo.com.br" TargetMode="External"/><Relationship Id="rId40" Type="http://schemas.openxmlformats.org/officeDocument/2006/relationships/hyperlink" Target="mailto:diogoestefano1@yahoo.com.br" TargetMode="External"/><Relationship Id="rId45" Type="http://schemas.openxmlformats.org/officeDocument/2006/relationships/hyperlink" Target="mailto:samucamack@hotmail.com" TargetMode="External"/><Relationship Id="rId66" Type="http://schemas.openxmlformats.org/officeDocument/2006/relationships/hyperlink" Target="mailto:marabarbosa692@gmail.com" TargetMode="External"/><Relationship Id="rId87" Type="http://schemas.openxmlformats.org/officeDocument/2006/relationships/hyperlink" Target="mailto:silviasouza09@yahoo.com" TargetMode="External"/><Relationship Id="rId110" Type="http://schemas.openxmlformats.org/officeDocument/2006/relationships/hyperlink" Target="mailto:naruto.uzumak2017@gmail.com" TargetMode="External"/><Relationship Id="rId115" Type="http://schemas.openxmlformats.org/officeDocument/2006/relationships/hyperlink" Target="mailto:decormartins3@gmail.com" TargetMode="External"/><Relationship Id="rId61" Type="http://schemas.openxmlformats.org/officeDocument/2006/relationships/hyperlink" Target="mailto:lcardosoluan2015@gmail.com" TargetMode="External"/><Relationship Id="rId82" Type="http://schemas.openxmlformats.org/officeDocument/2006/relationships/hyperlink" Target="mailto:dkcustom4@gmail.com" TargetMode="External"/><Relationship Id="rId19" Type="http://schemas.openxmlformats.org/officeDocument/2006/relationships/hyperlink" Target="mailto:resantos19@hotmail.com" TargetMode="External"/><Relationship Id="rId14" Type="http://schemas.openxmlformats.org/officeDocument/2006/relationships/hyperlink" Target="mailto:silsouzamarques@hotmail.com" TargetMode="External"/><Relationship Id="rId30" Type="http://schemas.openxmlformats.org/officeDocument/2006/relationships/hyperlink" Target="mailto:gustavo.hen2013@gmail.com" TargetMode="External"/><Relationship Id="rId35" Type="http://schemas.openxmlformats.org/officeDocument/2006/relationships/hyperlink" Target="mailto:maysersantos@gmail.com" TargetMode="External"/><Relationship Id="rId56" Type="http://schemas.openxmlformats.org/officeDocument/2006/relationships/hyperlink" Target="mailto:als_letter@hotmail.com" TargetMode="External"/><Relationship Id="rId77" Type="http://schemas.openxmlformats.org/officeDocument/2006/relationships/hyperlink" Target="mailto:li108jd@gmail.com" TargetMode="External"/><Relationship Id="rId100" Type="http://schemas.openxmlformats.org/officeDocument/2006/relationships/hyperlink" Target="mailto:nordesteartes@yahoo.com.br" TargetMode="External"/><Relationship Id="rId105" Type="http://schemas.openxmlformats.org/officeDocument/2006/relationships/hyperlink" Target="mailto:rafasilvalopes709@gmail.com" TargetMode="External"/><Relationship Id="rId126" Type="http://schemas.openxmlformats.org/officeDocument/2006/relationships/printerSettings" Target="../printerSettings/printerSettings6.bin"/><Relationship Id="rId8" Type="http://schemas.openxmlformats.org/officeDocument/2006/relationships/hyperlink" Target="mailto:carolbrandaoof@gmail.com" TargetMode="External"/><Relationship Id="rId51" Type="http://schemas.openxmlformats.org/officeDocument/2006/relationships/hyperlink" Target="mailto:biiamarcall13@gmail.com" TargetMode="External"/><Relationship Id="rId72" Type="http://schemas.openxmlformats.org/officeDocument/2006/relationships/hyperlink" Target="mailto:ecoa040187@gmail.com" TargetMode="External"/><Relationship Id="rId93" Type="http://schemas.openxmlformats.org/officeDocument/2006/relationships/hyperlink" Target="mailto:fabianohenriquedossantos@hotmail.com" TargetMode="External"/><Relationship Id="rId98" Type="http://schemas.openxmlformats.org/officeDocument/2006/relationships/hyperlink" Target="mailto:nordesteartes@yahoo.com.br" TargetMode="External"/><Relationship Id="rId121" Type="http://schemas.openxmlformats.org/officeDocument/2006/relationships/hyperlink" Target="mailto:victoriagabriela662@gmail.com" TargetMode="External"/><Relationship Id="rId3" Type="http://schemas.openxmlformats.org/officeDocument/2006/relationships/hyperlink" Target="mailto:fabiotito2020@gmail.com" TargetMode="External"/><Relationship Id="rId25" Type="http://schemas.openxmlformats.org/officeDocument/2006/relationships/hyperlink" Target="mailto:giovanaborda@yahoo.com.br" TargetMode="External"/><Relationship Id="rId46" Type="http://schemas.openxmlformats.org/officeDocument/2006/relationships/hyperlink" Target="mailto:segundotabelionatonotasbm@hotmail.com" TargetMode="External"/><Relationship Id="rId67" Type="http://schemas.openxmlformats.org/officeDocument/2006/relationships/hyperlink" Target="mailto:Patricia-venancio@hotmail.com" TargetMode="External"/><Relationship Id="rId116" Type="http://schemas.openxmlformats.org/officeDocument/2006/relationships/hyperlink" Target="mailto:Totticelular@hotmail.com" TargetMode="External"/><Relationship Id="rId20" Type="http://schemas.openxmlformats.org/officeDocument/2006/relationships/hyperlink" Target="mailto:resantos19@hotmail.com" TargetMode="External"/><Relationship Id="rId41" Type="http://schemas.openxmlformats.org/officeDocument/2006/relationships/hyperlink" Target="mailto:anyborges@hotmail.com" TargetMode="External"/><Relationship Id="rId62" Type="http://schemas.openxmlformats.org/officeDocument/2006/relationships/hyperlink" Target="mailto:jeffersonestevao@hotmail.com" TargetMode="External"/><Relationship Id="rId83" Type="http://schemas.openxmlformats.org/officeDocument/2006/relationships/hyperlink" Target="mailto:bruschiiatoigreja@gmail.com" TargetMode="External"/><Relationship Id="rId88" Type="http://schemas.openxmlformats.org/officeDocument/2006/relationships/hyperlink" Target="mailto:cirleirossini26@gmail.com" TargetMode="External"/><Relationship Id="rId111" Type="http://schemas.openxmlformats.org/officeDocument/2006/relationships/hyperlink" Target="mailto:mariaangelagouveia@gmail.com" TargetMode="External"/><Relationship Id="rId15" Type="http://schemas.openxmlformats.org/officeDocument/2006/relationships/hyperlink" Target="mailto:artesanal@artesanateares.com.br" TargetMode="External"/><Relationship Id="rId36" Type="http://schemas.openxmlformats.org/officeDocument/2006/relationships/hyperlink" Target="mailto:alexandrefms@yahoo.com.br" TargetMode="External"/><Relationship Id="rId57" Type="http://schemas.openxmlformats.org/officeDocument/2006/relationships/hyperlink" Target="mailto:cbbebimais@gmail.com" TargetMode="External"/><Relationship Id="rId106" Type="http://schemas.openxmlformats.org/officeDocument/2006/relationships/hyperlink" Target="mailto:keila_a_silva@yahoo.com.br" TargetMode="External"/><Relationship Id="rId10" Type="http://schemas.openxmlformats.org/officeDocument/2006/relationships/hyperlink" Target="mailto:carlos.umberto1906@gmail.com" TargetMode="External"/><Relationship Id="rId31" Type="http://schemas.openxmlformats.org/officeDocument/2006/relationships/hyperlink" Target="mailto:lucioseguros@uol.com.br" TargetMode="External"/><Relationship Id="rId52" Type="http://schemas.openxmlformats.org/officeDocument/2006/relationships/hyperlink" Target="mailto:eder@haraszel.com.br" TargetMode="External"/><Relationship Id="rId73" Type="http://schemas.openxmlformats.org/officeDocument/2006/relationships/hyperlink" Target="mailto:marcelo@tecelagembordartes.com.br" TargetMode="External"/><Relationship Id="rId78" Type="http://schemas.openxmlformats.org/officeDocument/2006/relationships/hyperlink" Target="mailto:matheusaugustosimoes@hotmail.com" TargetMode="External"/><Relationship Id="rId94" Type="http://schemas.openxmlformats.org/officeDocument/2006/relationships/hyperlink" Target="mailto:cirleirossini26@gmail.com" TargetMode="External"/><Relationship Id="rId99" Type="http://schemas.openxmlformats.org/officeDocument/2006/relationships/hyperlink" Target="mailto:nordesteartes@yahoo.com.br" TargetMode="External"/><Relationship Id="rId101" Type="http://schemas.openxmlformats.org/officeDocument/2006/relationships/hyperlink" Target="mailto:walquiriamegale@gmail.com" TargetMode="External"/><Relationship Id="rId122" Type="http://schemas.openxmlformats.org/officeDocument/2006/relationships/hyperlink" Target="mailto:chilearinstalacao@outlook.com" TargetMode="External"/><Relationship Id="rId4" Type="http://schemas.openxmlformats.org/officeDocument/2006/relationships/hyperlink" Target="mailto:helitonbm@hotmail.com" TargetMode="External"/><Relationship Id="rId9" Type="http://schemas.openxmlformats.org/officeDocument/2006/relationships/hyperlink" Target="mailto:tha_padua@hotmail.com"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2.xml.rels><?xml version="1.0" encoding="UTF-8" standalone="yes"?>
<Relationships xmlns="http://schemas.openxmlformats.org/package/2006/relationships"><Relationship Id="rId8" Type="http://schemas.openxmlformats.org/officeDocument/2006/relationships/hyperlink" Target="mailto:funerariabrandinos@gmail.com" TargetMode="External"/><Relationship Id="rId3" Type="http://schemas.openxmlformats.org/officeDocument/2006/relationships/hyperlink" Target="mailto:jackygomes26@hotmail.com" TargetMode="External"/><Relationship Id="rId7" Type="http://schemas.openxmlformats.org/officeDocument/2006/relationships/hyperlink" Target="mailto:nivaldosil.78@gmail.com" TargetMode="External"/><Relationship Id="rId2" Type="http://schemas.openxmlformats.org/officeDocument/2006/relationships/hyperlink" Target="mailto:medicortopedia.mg@gmail.com" TargetMode="External"/><Relationship Id="rId1" Type="http://schemas.openxmlformats.org/officeDocument/2006/relationships/hyperlink" Target="mailto:medicortopedia.mg@gmail.com" TargetMode="External"/><Relationship Id="rId6" Type="http://schemas.openxmlformats.org/officeDocument/2006/relationships/hyperlink" Target="mailto:nohfernanda@gmail.com" TargetMode="External"/><Relationship Id="rId5" Type="http://schemas.openxmlformats.org/officeDocument/2006/relationships/hyperlink" Target="mailto:cidasilva180@hotmail.com" TargetMode="External"/><Relationship Id="rId10" Type="http://schemas.openxmlformats.org/officeDocument/2006/relationships/printerSettings" Target="../printerSettings/printerSettings9.bin"/><Relationship Id="rId4" Type="http://schemas.openxmlformats.org/officeDocument/2006/relationships/hyperlink" Target="mailto:digital_camisetas@hotmail.com" TargetMode="External"/><Relationship Id="rId9" Type="http://schemas.openxmlformats.org/officeDocument/2006/relationships/hyperlink" Target="mailto:thiago.juidori@hotmail.com" TargetMode="External"/></Relationships>
</file>

<file path=xl/worksheets/_rels/sheet50.xml.rels><?xml version="1.0" encoding="UTF-8" standalone="yes"?>
<Relationships xmlns="http://schemas.openxmlformats.org/package/2006/relationships"><Relationship Id="rId26" Type="http://schemas.openxmlformats.org/officeDocument/2006/relationships/hyperlink" Target="mailto:toqueideal2009@hotmail.com" TargetMode="External"/><Relationship Id="rId21" Type="http://schemas.openxmlformats.org/officeDocument/2006/relationships/hyperlink" Target="mailto:joshua14.8b@hotmail.com" TargetMode="External"/><Relationship Id="rId42" Type="http://schemas.openxmlformats.org/officeDocument/2006/relationships/hyperlink" Target="mailto:laticiniominaslacto@yahoo.com.br" TargetMode="External"/><Relationship Id="rId47" Type="http://schemas.openxmlformats.org/officeDocument/2006/relationships/hyperlink" Target="mailto:fsjbm@yahoo.com.br" TargetMode="External"/><Relationship Id="rId63" Type="http://schemas.openxmlformats.org/officeDocument/2006/relationships/hyperlink" Target="mailto:drogariasjtadeu@gmail.com" TargetMode="External"/><Relationship Id="rId68" Type="http://schemas.openxmlformats.org/officeDocument/2006/relationships/hyperlink" Target="mailto:sm-machado@hotmail.com" TargetMode="External"/><Relationship Id="rId84" Type="http://schemas.openxmlformats.org/officeDocument/2006/relationships/hyperlink" Target="mailto:filial01@supermercadobaleia.com.br" TargetMode="External"/><Relationship Id="rId89" Type="http://schemas.openxmlformats.org/officeDocument/2006/relationships/hyperlink" Target="mailto:contato@tunicaoveiculos.com.br" TargetMode="External"/><Relationship Id="rId16" Type="http://schemas.openxmlformats.org/officeDocument/2006/relationships/hyperlink" Target="mailto:super.nossa.sra.aparecida@hotmail.com" TargetMode="External"/><Relationship Id="rId11" Type="http://schemas.openxmlformats.org/officeDocument/2006/relationships/hyperlink" Target="mailto:colegionossasenhoradocarmo@gmail.com" TargetMode="External"/><Relationship Id="rId32" Type="http://schemas.openxmlformats.org/officeDocument/2006/relationships/hyperlink" Target="mailto:morais.fifi1973@gmail.com" TargetMode="External"/><Relationship Id="rId37" Type="http://schemas.openxmlformats.org/officeDocument/2006/relationships/hyperlink" Target="mailto:franca@mattoscalcados.com.br" TargetMode="External"/><Relationship Id="rId53" Type="http://schemas.openxmlformats.org/officeDocument/2006/relationships/hyperlink" Target="mailto:lucatelliveiculos@yahoo.com.br" TargetMode="External"/><Relationship Id="rId58" Type="http://schemas.openxmlformats.org/officeDocument/2006/relationships/hyperlink" Target="mailto:marciahelenasilvamota@yahoo.com.br" TargetMode="External"/><Relationship Id="rId74" Type="http://schemas.openxmlformats.org/officeDocument/2006/relationships/hyperlink" Target="mailto:manuelfv.filho@yahoo.com.br" TargetMode="External"/><Relationship Id="rId79" Type="http://schemas.openxmlformats.org/officeDocument/2006/relationships/hyperlink" Target="mailto:levelsbordadamata@gmail.com" TargetMode="External"/><Relationship Id="rId5" Type="http://schemas.openxmlformats.org/officeDocument/2006/relationships/hyperlink" Target="mailto:selariacurral@gmail.com" TargetMode="External"/><Relationship Id="rId90" Type="http://schemas.openxmlformats.org/officeDocument/2006/relationships/hyperlink" Target="mailto:consultorioedmundo_vanusa@hotmail.com" TargetMode="External"/><Relationship Id="rId95" Type="http://schemas.openxmlformats.org/officeDocument/2006/relationships/hyperlink" Target="https://www.google.com.br/search?tbs=lf:1,lf_ui:2&amp;tbm=lcl&amp;sxsrf=APq-WBsuG0MmgzW39_FLiKA3kunwt1uq5w:1648059758203&amp;q=tecelagens+borda+da+mata&amp;rflfq=1&amp;num=10&amp;sa=X&amp;ved=2ahUKEwih59KD7dz2AhVoupUCHYLcA94QjGp6BAgGEAE&amp;biw=1536&amp;bih=714&amp;dpr=1.25" TargetMode="External"/><Relationship Id="rId22" Type="http://schemas.openxmlformats.org/officeDocument/2006/relationships/hyperlink" Target="mailto:h2o@confeccaoh2o.com.br" TargetMode="External"/><Relationship Id="rId27" Type="http://schemas.openxmlformats.org/officeDocument/2006/relationships/hyperlink" Target="mailto:davidsamuel1997@icloud.com" TargetMode="External"/><Relationship Id="rId43" Type="http://schemas.openxmlformats.org/officeDocument/2006/relationships/hyperlink" Target="mailto:contato@telsulengenharia.com.br" TargetMode="External"/><Relationship Id="rId48" Type="http://schemas.openxmlformats.org/officeDocument/2006/relationships/hyperlink" Target="mailto:juliana.costurarte@gmail.com" TargetMode="External"/><Relationship Id="rId64" Type="http://schemas.openxmlformats.org/officeDocument/2006/relationships/hyperlink" Target="mailto:bebecruzeiro@hotmail.com" TargetMode="External"/><Relationship Id="rId69" Type="http://schemas.openxmlformats.org/officeDocument/2006/relationships/hyperlink" Target="mailto:gabriel_moreira@adv.aobmg.org.br" TargetMode="External"/><Relationship Id="rId80" Type="http://schemas.openxmlformats.org/officeDocument/2006/relationships/hyperlink" Target="mailto:karinamarques885@htmail.com" TargetMode="External"/><Relationship Id="rId85" Type="http://schemas.openxmlformats.org/officeDocument/2006/relationships/hyperlink" Target="mailto:tearesmoreira@gmail.com" TargetMode="External"/><Relationship Id="rId12" Type="http://schemas.openxmlformats.org/officeDocument/2006/relationships/hyperlink" Target="mailto:ampacessorios@gmail.com" TargetMode="External"/><Relationship Id="rId17" Type="http://schemas.openxmlformats.org/officeDocument/2006/relationships/hyperlink" Target="mailto:ipetintasecabamentos@hotmail.com" TargetMode="External"/><Relationship Id="rId25" Type="http://schemas.openxmlformats.org/officeDocument/2006/relationships/hyperlink" Target="mailto:anderson@efetivaengenharia.com" TargetMode="External"/><Relationship Id="rId33" Type="http://schemas.openxmlformats.org/officeDocument/2006/relationships/hyperlink" Target="mailto:adm.azzure@gmail.com" TargetMode="External"/><Relationship Id="rId38" Type="http://schemas.openxmlformats.org/officeDocument/2006/relationships/hyperlink" Target="mailto:tatianytmc@hotmail.com" TargetMode="External"/><Relationship Id="rId46" Type="http://schemas.openxmlformats.org/officeDocument/2006/relationships/hyperlink" Target="mailto:joelmafigueiredo9@gmail.com" TargetMode="External"/><Relationship Id="rId59" Type="http://schemas.openxmlformats.org/officeDocument/2006/relationships/hyperlink" Target="mailto:equipeeletrosat@gmail.com" TargetMode="External"/><Relationship Id="rId67" Type="http://schemas.openxmlformats.org/officeDocument/2006/relationships/hyperlink" Target="mailto:atendimento.kitaldecoracoes@gmail.com" TargetMode="External"/><Relationship Id="rId20" Type="http://schemas.openxmlformats.org/officeDocument/2006/relationships/hyperlink" Target="mailto:moginetborda@hotmail.com" TargetMode="External"/><Relationship Id="rId41" Type="http://schemas.openxmlformats.org/officeDocument/2006/relationships/hyperlink" Target="mailto:lucas.hoko@hotmail.com" TargetMode="External"/><Relationship Id="rId54" Type="http://schemas.openxmlformats.org/officeDocument/2006/relationships/hyperlink" Target="mailto:mlsbuza@hotmail.com" TargetMode="External"/><Relationship Id="rId62" Type="http://schemas.openxmlformats.org/officeDocument/2006/relationships/hyperlink" Target="mailto:magazinedosoculos@gmail.com" TargetMode="External"/><Relationship Id="rId70" Type="http://schemas.openxmlformats.org/officeDocument/2006/relationships/hyperlink" Target="mailto:boutiquefinaflor@yahoo.com.br" TargetMode="External"/><Relationship Id="rId75" Type="http://schemas.openxmlformats.org/officeDocument/2006/relationships/hyperlink" Target="mailto:pattymalhas@uol.com.br" TargetMode="External"/><Relationship Id="rId83" Type="http://schemas.openxmlformats.org/officeDocument/2006/relationships/hyperlink" Target="mailto:agromaquinastratores@hotmail.com" TargetMode="External"/><Relationship Id="rId88" Type="http://schemas.openxmlformats.org/officeDocument/2006/relationships/hyperlink" Target="mailto:amigocarro@hotmail.com" TargetMode="External"/><Relationship Id="rId91" Type="http://schemas.openxmlformats.org/officeDocument/2006/relationships/hyperlink" Target="mailto:yasmimcardoso55@gmail.com" TargetMode="External"/><Relationship Id="rId96" Type="http://schemas.openxmlformats.org/officeDocument/2006/relationships/hyperlink" Target="https://www.google.com.br/search?tbs=lf:1,lf_ui:2&amp;tbm=lcl&amp;sxsrf=APq-WBsuG0MmgzW39_FLiKA3kunwt1uq5w:1648059758203&amp;q=tecelagens+borda+da+mata&amp;rflfq=1&amp;num=10&amp;sa=X&amp;ved=2ahUKEwih59KD7dz2AhVoupUCHYLcA94QjGp6BAgGEAE&amp;biw=1536&amp;bih=714&amp;dpr=1.25" TargetMode="External"/><Relationship Id="rId1" Type="http://schemas.openxmlformats.org/officeDocument/2006/relationships/hyperlink" Target="mailto:comercialtextilmg@hotmail.com" TargetMode="External"/><Relationship Id="rId6" Type="http://schemas.openxmlformats.org/officeDocument/2006/relationships/hyperlink" Target="mailto:contabilsantosemachado@hotmail.com" TargetMode="External"/><Relationship Id="rId15" Type="http://schemas.openxmlformats.org/officeDocument/2006/relationships/hyperlink" Target="mailto:pozinho179@gmail.com" TargetMode="External"/><Relationship Id="rId23" Type="http://schemas.openxmlformats.org/officeDocument/2006/relationships/hyperlink" Target="mailto:jcodontologia@outlook.com" TargetMode="External"/><Relationship Id="rId28" Type="http://schemas.openxmlformats.org/officeDocument/2006/relationships/hyperlink" Target="mailto:drogariadroganossa@hotmail.com" TargetMode="External"/><Relationship Id="rId36" Type="http://schemas.openxmlformats.org/officeDocument/2006/relationships/hyperlink" Target="mailto:fernandalmalves2018@gmail.com" TargetMode="External"/><Relationship Id="rId49" Type="http://schemas.openxmlformats.org/officeDocument/2006/relationships/hyperlink" Target="mailto:sergioalmeidabm@gmail.com" TargetMode="External"/><Relationship Id="rId57" Type="http://schemas.openxmlformats.org/officeDocument/2006/relationships/hyperlink" Target="mailto:emiliasantosribeiro@hotmail.com" TargetMode="External"/><Relationship Id="rId10" Type="http://schemas.openxmlformats.org/officeDocument/2006/relationships/hyperlink" Target="mailto:grupotialourdes@yahoo.com.br" TargetMode="External"/><Relationship Id="rId31" Type="http://schemas.openxmlformats.org/officeDocument/2006/relationships/hyperlink" Target="mailto:spacoidealborda@gmail.com" TargetMode="External"/><Relationship Id="rId44" Type="http://schemas.openxmlformats.org/officeDocument/2006/relationships/hyperlink" Target="mailto:isa_joia@hotmail.com" TargetMode="External"/><Relationship Id="rId52" Type="http://schemas.openxmlformats.org/officeDocument/2006/relationships/hyperlink" Target="mailto:contato@lelekapijamas.com.br" TargetMode="External"/><Relationship Id="rId60" Type="http://schemas.openxmlformats.org/officeDocument/2006/relationships/hyperlink" Target="mailto:martinspijamas@yahoo.com.br" TargetMode="External"/><Relationship Id="rId65" Type="http://schemas.openxmlformats.org/officeDocument/2006/relationships/hyperlink" Target="mailto:cotocacalcados@yahoo.com.br" TargetMode="External"/><Relationship Id="rId73" Type="http://schemas.openxmlformats.org/officeDocument/2006/relationships/hyperlink" Target="mailto:pauloantoniod@yahoo.com.br" TargetMode="External"/><Relationship Id="rId78" Type="http://schemas.openxmlformats.org/officeDocument/2006/relationships/hyperlink" Target="mailto:rogerio.toqueideal@hotmail.com" TargetMode="External"/><Relationship Id="rId81" Type="http://schemas.openxmlformats.org/officeDocument/2006/relationships/hyperlink" Target="mailto:tataoeletricista@hotmail.com" TargetMode="External"/><Relationship Id="rId86" Type="http://schemas.openxmlformats.org/officeDocument/2006/relationships/hyperlink" Target="mailto:tecelagembordatextil@gmail.com" TargetMode="External"/><Relationship Id="rId94" Type="http://schemas.openxmlformats.org/officeDocument/2006/relationships/hyperlink" Target="https://www.google.com.br/search?tbs=lf:1,lf_ui:2&amp;tbm=lcl&amp;sxsrf=APq-WBsuG0MmgzW39_FLiKA3kunwt1uq5w:1648059758203&amp;q=tecelagens+borda+da+mata&amp;rflfq=1&amp;num=10&amp;sa=X&amp;ved=2ahUKEwih59KD7dz2AhVoupUCHYLcA94QjGp6BAgGEAE&amp;biw=1536&amp;bih=714&amp;dpr=1.25" TargetMode="External"/><Relationship Id="rId99" Type="http://schemas.openxmlformats.org/officeDocument/2006/relationships/hyperlink" Target="https://www.google.com.br/search?q=lojas+borda+da+mata&amp;biw=1536&amp;bih=714&amp;tbm=lcl&amp;sxsrf=APq-WBt8kG7UMJuP5srX-DI7FO4APFg14Q%3A1648061462764&amp;ei=Fmw7YpGSLrik1sQPvv-P2A8&amp;oq=lojas+borda+da+mata&amp;gs_l=psy-ab.3..0i8i30k1.7844.11029.0.12227.6.6.0.0.0.0.114.644.1j5.6.0....0...1c.1.64.psy-ab..0.3.326...35i304i39k1j0i13k1.0.55IFVvQV7T8" TargetMode="External"/><Relationship Id="rId101" Type="http://schemas.openxmlformats.org/officeDocument/2006/relationships/hyperlink" Target="https://www.google.com.br/search?q=edmil+borda+da+mata&amp;biw=1536&amp;bih=714&amp;tbm=lcl&amp;sxsrf=APq-WBvnTfMFnFhoT_lmZ_E5eQ4WzYufNg%3A1648061717734&amp;ei=FW07Yra0LOax5OUP_9GouA4&amp;oq=edmil+borda+da+mata&amp;gs_l=psy-ab.3...110581.117112.0.117564.19.19.0.0.0.0.112.1851.11j8.19.0....0...1c.1.64.psy-ab..0.8.850...35i39k1j0i512i433k1j0i512i433i131k1j0i512k1j0i433i131k1j0i67k1j0i433i67k1j0i433k1j0i433i10k1j0i10k1j0i22i30k1.0.BWvOPD9ExZw" TargetMode="External"/><Relationship Id="rId4" Type="http://schemas.openxmlformats.org/officeDocument/2006/relationships/hyperlink" Target="mailto:hotelvillagemg@yahoo.com.br" TargetMode="External"/><Relationship Id="rId9" Type="http://schemas.openxmlformats.org/officeDocument/2006/relationships/hyperlink" Target="mailto:andre@volpetextil.com" TargetMode="External"/><Relationship Id="rId13" Type="http://schemas.openxmlformats.org/officeDocument/2006/relationships/hyperlink" Target="mailto:bema.adm@hotmail.com" TargetMode="External"/><Relationship Id="rId18" Type="http://schemas.openxmlformats.org/officeDocument/2006/relationships/hyperlink" Target="mailto:pedro-cavallaro@hotmail.com" TargetMode="External"/><Relationship Id="rId39" Type="http://schemas.openxmlformats.org/officeDocument/2006/relationships/hyperlink" Target="mailto:guilherme_vbbento@hotmail.com" TargetMode="External"/><Relationship Id="rId34" Type="http://schemas.openxmlformats.org/officeDocument/2006/relationships/hyperlink" Target="mailto:rosemarcouto@hotmail.com" TargetMode="External"/><Relationship Id="rId50" Type="http://schemas.openxmlformats.org/officeDocument/2006/relationships/hyperlink" Target="mailto:lorenamodaintima2017@hotmail.com" TargetMode="External"/><Relationship Id="rId55" Type="http://schemas.openxmlformats.org/officeDocument/2006/relationships/hyperlink" Target="mailto:luizpa06@hotmail.com" TargetMode="External"/><Relationship Id="rId76" Type="http://schemas.openxmlformats.org/officeDocument/2006/relationships/hyperlink" Target="https://l.facebook.com/l.php?u=https%3A%2F%2Fapi.whatsapp.com%2Fsend%3Fphone%3D5535991956448%26fbclid%3DIwAR3OP08FMjflSPUuxegP5k1Q5Tjmq1grksX2GQ0rzyPZGkeTQZdxEfyRVtw&amp;h=AT3OMkamBs__BYbzoQ-nptfOWNKnH3on_2G4xBBuPIT5Iu45k1kvqLKzezBWVy0rs_riDQOSbYBdUth1BLk710jQiEgYynFIhNyX0jPbGyfRcLHPl0_m2do7J6H6hdqPZlfZyw" TargetMode="External"/><Relationship Id="rId97" Type="http://schemas.openxmlformats.org/officeDocument/2006/relationships/hyperlink" Target="https://www.google.com.br/search?sa=X&amp;tbs=lf:1,lf_ui:2&amp;tbm=lcl&amp;sxsrf=APq-WBuh_iBQb8xlAUuZi87bXhTCYX00jA:1648060752533&amp;q=tecelagens+borda+da+mata&amp;rflfq=1&amp;num=10&amp;ved=2ahUKEwiw7OPd8Nz2AhWRuZUCHbVjAhUQjGp6BAgJEAE&amp;biw=1536&amp;bih=714&amp;dpr=1.25" TargetMode="External"/><Relationship Id="rId7" Type="http://schemas.openxmlformats.org/officeDocument/2006/relationships/hyperlink" Target="mailto:autopostopetrolider@yahoo.com" TargetMode="External"/><Relationship Id="rId71" Type="http://schemas.openxmlformats.org/officeDocument/2006/relationships/hyperlink" Target="mailto:pcjunior.rep@gmail.com" TargetMode="External"/><Relationship Id="rId92" Type="http://schemas.openxmlformats.org/officeDocument/2006/relationships/hyperlink" Target="mailto:info@logiclink.com.br" TargetMode="External"/><Relationship Id="rId2" Type="http://schemas.openxmlformats.org/officeDocument/2006/relationships/hyperlink" Target="mailto:brandaoanatereza@gmail.com" TargetMode="External"/><Relationship Id="rId29" Type="http://schemas.openxmlformats.org/officeDocument/2006/relationships/hyperlink" Target="mailto:edison_lima_filho@hotmail.com" TargetMode="External"/><Relationship Id="rId24" Type="http://schemas.openxmlformats.org/officeDocument/2006/relationships/hyperlink" Target="mailto:construborda01@gmail.com" TargetMode="External"/><Relationship Id="rId40" Type="http://schemas.openxmlformats.org/officeDocument/2006/relationships/hyperlink" Target="mailto:g.aodontologiabm@gmail.com" TargetMode="External"/><Relationship Id="rId45" Type="http://schemas.openxmlformats.org/officeDocument/2006/relationships/hyperlink" Target="mailto:companhiadopijama@hotmail.com" TargetMode="External"/><Relationship Id="rId66" Type="http://schemas.openxmlformats.org/officeDocument/2006/relationships/hyperlink" Target="mailto:mauricioribaslied@hotmail.com" TargetMode="External"/><Relationship Id="rId87" Type="http://schemas.openxmlformats.org/officeDocument/2006/relationships/hyperlink" Target="mailto:funeraria.gruposefex@gmail.com" TargetMode="External"/><Relationship Id="rId61" Type="http://schemas.openxmlformats.org/officeDocument/2006/relationships/hyperlink" Target="mailto:toqueideal2009@hotmail.com" TargetMode="External"/><Relationship Id="rId82" Type="http://schemas.openxmlformats.org/officeDocument/2006/relationships/hyperlink" Target="mailto:dorisprsantana@hotmail.com" TargetMode="External"/><Relationship Id="rId19" Type="http://schemas.openxmlformats.org/officeDocument/2006/relationships/hyperlink" Target="mailto:celio-cabral@hotmail.com" TargetMode="External"/><Relationship Id="rId14" Type="http://schemas.openxmlformats.org/officeDocument/2006/relationships/hyperlink" Target="mailto:pereiravendasmg@gmail.com" TargetMode="External"/><Relationship Id="rId30" Type="http://schemas.openxmlformats.org/officeDocument/2006/relationships/hyperlink" Target="mailto:ivonealmeida@hotmail.com" TargetMode="External"/><Relationship Id="rId35" Type="http://schemas.openxmlformats.org/officeDocument/2006/relationships/hyperlink" Target="mailto:nordesteartes@yahoo.com.br" TargetMode="External"/><Relationship Id="rId56" Type="http://schemas.openxmlformats.org/officeDocument/2006/relationships/hyperlink" Target="mailto:neihardonlinej.mira@hotmail.com" TargetMode="External"/><Relationship Id="rId77" Type="http://schemas.openxmlformats.org/officeDocument/2006/relationships/hyperlink" Target="mailto:ampacessorios@gmail.com" TargetMode="External"/><Relationship Id="rId100" Type="http://schemas.openxmlformats.org/officeDocument/2006/relationships/hyperlink" Target="https://www.google.com.br/search?q=lojas+borda+da+mata&amp;biw=1536&amp;bih=714&amp;tbm=lcl&amp;sxsrf=APq-WBt8kG7UMJuP5srX-DI7FO4APFg14Q%3A1648061462764&amp;ei=Fmw7YpGSLrik1sQPvv-P2A8&amp;oq=lojas+borda+da+mata&amp;gs_l=psy-ab.3..0i8i30k1.7844.11029.0.12227.6.6.0.0.0.0.114.644.1j5.6.0....0...1c.1.64.psy-ab..0.3.326...35i304i39k1j0i13k1.0.55IFVvQV7T8" TargetMode="External"/><Relationship Id="rId8" Type="http://schemas.openxmlformats.org/officeDocument/2006/relationships/hyperlink" Target="mailto:vibotur@gmail.com" TargetMode="External"/><Relationship Id="rId51" Type="http://schemas.openxmlformats.org/officeDocument/2006/relationships/hyperlink" Target="mailto:gerencia.analasy@hotmail.com" TargetMode="External"/><Relationship Id="rId72" Type="http://schemas.openxmlformats.org/officeDocument/2006/relationships/hyperlink" Target="mailto:adriana@icamadriana.com.br" TargetMode="External"/><Relationship Id="rId93" Type="http://schemas.openxmlformats.org/officeDocument/2006/relationships/hyperlink" Target="mailto:magazinedosoculos@gmail.com%20%20%20%20%20%20%20%20nao%20&#233;%20autorizada%20a%20passar%20o%20contato" TargetMode="External"/><Relationship Id="rId98" Type="http://schemas.openxmlformats.org/officeDocument/2006/relationships/hyperlink" Target="https://www.google.com.br/search?q=hortifruti+borda+da+mata&amp;biw=1536&amp;bih=714&amp;tbm=lcl&amp;sxsrf=APq-WBvd80DdcYchG7W_wORwVdTa9YdvPQ%3A1648060756775&amp;ei=VGk7YvrwLoKa1sQPipmC6Aw&amp;oq=hortifruti+borda+da+mata&amp;gs_l=psy-ab.3...34091.43719.0.44235.24.21.0.3.3.0.299.2568.0j19j1.20.0....0...1c.1.64.psy-ab..1.21.2317...35i39k1j0i512i433i131k1j0i512i433k1j0i67k1j0i433i67k1j0i512i433i457k1j0i512k1j0i433k1j0i22i10i30k1j0i22i30k1j0i546k1j0i13k1j33i21k1j33i22i29i30k1.0.1eFJMV5UPFE" TargetMode="External"/><Relationship Id="rId3" Type="http://schemas.openxmlformats.org/officeDocument/2006/relationships/hyperlink" Target="mailto:vibotu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U644"/>
  <sheetViews>
    <sheetView topLeftCell="J18" zoomScale="80" zoomScaleNormal="80" workbookViewId="0">
      <selection activeCell="J18" sqref="J18"/>
    </sheetView>
  </sheetViews>
  <sheetFormatPr defaultRowHeight="15"/>
  <cols>
    <col min="1" max="1" width="14.5703125" bestFit="1" customWidth="1"/>
    <col min="2" max="2" width="62.140625" customWidth="1"/>
    <col min="3" max="3" width="66.5703125" bestFit="1" customWidth="1"/>
    <col min="4" max="4" width="13.42578125" customWidth="1"/>
    <col min="5" max="5" width="31.7109375" bestFit="1" customWidth="1"/>
    <col min="6" max="6" width="17.42578125" bestFit="1" customWidth="1"/>
    <col min="7" max="7" width="8.42578125" bestFit="1" customWidth="1"/>
    <col min="8" max="8" width="15.28515625" bestFit="1" customWidth="1"/>
    <col min="9" max="9" width="19.28515625" bestFit="1" customWidth="1"/>
    <col min="10" max="10" width="40.42578125" style="17" customWidth="1"/>
    <col min="11" max="11" width="7.140625" style="22" bestFit="1" customWidth="1"/>
    <col min="12" max="12" width="25" style="22" customWidth="1"/>
  </cols>
  <sheetData>
    <row r="1" spans="1:21">
      <c r="A1" s="796"/>
      <c r="B1" s="796"/>
      <c r="C1" s="796"/>
      <c r="D1" s="796"/>
      <c r="E1" s="796"/>
      <c r="F1" s="796"/>
      <c r="G1" s="796"/>
      <c r="H1" s="796"/>
      <c r="I1" s="796"/>
      <c r="M1" s="22"/>
      <c r="N1" s="22"/>
      <c r="O1" s="22"/>
      <c r="P1" s="22"/>
      <c r="Q1" s="22"/>
      <c r="R1" s="22"/>
    </row>
    <row r="2" spans="1:21">
      <c r="A2" s="232" t="s">
        <v>0</v>
      </c>
      <c r="B2" s="11" t="s">
        <v>1</v>
      </c>
      <c r="C2" s="11" t="s">
        <v>2</v>
      </c>
      <c r="D2" s="11" t="s">
        <v>3</v>
      </c>
      <c r="E2" s="11" t="s">
        <v>4</v>
      </c>
      <c r="F2" s="11" t="s">
        <v>5</v>
      </c>
      <c r="G2" s="11" t="s">
        <v>6</v>
      </c>
      <c r="H2" s="11" t="s">
        <v>7</v>
      </c>
      <c r="I2" s="11" t="s">
        <v>8</v>
      </c>
      <c r="J2" s="18" t="s">
        <v>9</v>
      </c>
      <c r="K2" s="18"/>
      <c r="L2" s="232"/>
      <c r="M2" s="22"/>
      <c r="N2" s="22"/>
      <c r="O2" s="22"/>
      <c r="P2" s="22"/>
      <c r="Q2" s="22"/>
      <c r="R2" s="22"/>
      <c r="S2" s="22"/>
      <c r="T2" s="22"/>
      <c r="U2" s="22"/>
    </row>
    <row r="3" spans="1:21">
      <c r="A3" s="22" t="s">
        <v>10</v>
      </c>
      <c r="B3" s="27" t="s">
        <v>11</v>
      </c>
      <c r="C3" s="27" t="s">
        <v>12</v>
      </c>
      <c r="D3" s="224">
        <v>1450</v>
      </c>
      <c r="E3" s="27" t="s">
        <v>13</v>
      </c>
      <c r="F3" s="27" t="s">
        <v>14</v>
      </c>
      <c r="G3" s="224">
        <v>10</v>
      </c>
      <c r="H3" s="225">
        <v>0</v>
      </c>
      <c r="I3" s="27" t="s">
        <v>15</v>
      </c>
      <c r="J3" s="17" t="str" cm="1">
        <f t="array" ref="J3">SeCcolor($A$634:$A$644,I3)</f>
        <v/>
      </c>
    </row>
    <row r="4" spans="1:21" s="3" customFormat="1">
      <c r="A4" s="22" t="s">
        <v>16</v>
      </c>
      <c r="B4" s="27" t="s">
        <v>17</v>
      </c>
      <c r="C4" s="27" t="s">
        <v>18</v>
      </c>
      <c r="D4" s="224">
        <v>345</v>
      </c>
      <c r="E4" s="27" t="s">
        <v>19</v>
      </c>
      <c r="F4" s="27" t="s">
        <v>20</v>
      </c>
      <c r="G4" s="224">
        <v>30</v>
      </c>
      <c r="H4" s="225">
        <v>90</v>
      </c>
      <c r="I4" s="27" t="s">
        <v>21</v>
      </c>
      <c r="J4" s="17" t="str" cm="1">
        <f t="array" ref="J4">SeCcolor($A$634:$A$644,I4)</f>
        <v/>
      </c>
      <c r="K4" s="22"/>
      <c r="L4" s="22"/>
      <c r="M4"/>
      <c r="N4"/>
      <c r="O4"/>
      <c r="P4"/>
      <c r="Q4"/>
      <c r="R4"/>
      <c r="S4"/>
      <c r="T4"/>
      <c r="U4"/>
    </row>
    <row r="5" spans="1:21" s="5" customFormat="1">
      <c r="A5" s="22" t="s">
        <v>22</v>
      </c>
      <c r="B5" s="27" t="s">
        <v>23</v>
      </c>
      <c r="C5" s="27" t="s">
        <v>24</v>
      </c>
      <c r="D5" s="224">
        <v>760</v>
      </c>
      <c r="E5" s="27" t="s">
        <v>25</v>
      </c>
      <c r="F5" s="27" t="s">
        <v>26</v>
      </c>
      <c r="G5" s="224">
        <v>10</v>
      </c>
      <c r="H5" s="225">
        <v>50</v>
      </c>
      <c r="I5" s="27" t="s">
        <v>27</v>
      </c>
      <c r="J5" s="17" t="str" cm="1">
        <f t="array" ref="J5">SeCcolor($A$634:$A$644,I5)</f>
        <v/>
      </c>
      <c r="K5" s="22"/>
      <c r="L5" s="22"/>
      <c r="M5"/>
      <c r="N5"/>
      <c r="O5"/>
      <c r="P5"/>
      <c r="Q5"/>
      <c r="R5"/>
      <c r="S5"/>
      <c r="T5"/>
      <c r="U5"/>
    </row>
    <row r="6" spans="1:21" s="1" customFormat="1">
      <c r="A6" s="22" t="s">
        <v>28</v>
      </c>
      <c r="B6" s="27" t="s">
        <v>29</v>
      </c>
      <c r="C6" s="27" t="s">
        <v>30</v>
      </c>
      <c r="D6" s="27" t="s">
        <v>31</v>
      </c>
      <c r="E6" s="27" t="s">
        <v>32</v>
      </c>
      <c r="F6" s="27" t="s">
        <v>33</v>
      </c>
      <c r="G6" s="224">
        <v>10</v>
      </c>
      <c r="H6" s="225">
        <v>60</v>
      </c>
      <c r="I6" s="27" t="s">
        <v>34</v>
      </c>
      <c r="J6" s="17" t="str" cm="1">
        <f t="array" ref="J6">SeCcolor($A$634:$A$644,I6)</f>
        <v/>
      </c>
      <c r="K6" s="22"/>
      <c r="L6" s="22"/>
      <c r="M6"/>
      <c r="N6"/>
      <c r="O6" s="2"/>
      <c r="P6" s="2"/>
      <c r="Q6" s="2"/>
      <c r="R6" s="2"/>
      <c r="S6" s="2"/>
      <c r="T6" s="2"/>
      <c r="U6" s="2"/>
    </row>
    <row r="7" spans="1:21">
      <c r="A7" s="1" t="s">
        <v>35</v>
      </c>
      <c r="B7" s="27" t="s">
        <v>36</v>
      </c>
      <c r="C7" s="27" t="s">
        <v>37</v>
      </c>
      <c r="D7" s="224">
        <v>20</v>
      </c>
      <c r="E7" s="27" t="s">
        <v>19</v>
      </c>
      <c r="F7" s="27" t="s">
        <v>38</v>
      </c>
      <c r="G7" s="224">
        <v>10</v>
      </c>
      <c r="H7" s="225">
        <v>60</v>
      </c>
      <c r="I7" s="27" t="s">
        <v>39</v>
      </c>
      <c r="J7" s="17" t="str" cm="1">
        <f t="array" ref="J7">SeCcolor($A$634:$A$644,I7)</f>
        <v/>
      </c>
      <c r="O7" s="22"/>
      <c r="P7" s="22"/>
      <c r="Q7" s="22"/>
      <c r="R7" s="22"/>
      <c r="S7" s="22"/>
      <c r="T7" s="22"/>
      <c r="U7" s="22"/>
    </row>
    <row r="8" spans="1:21" s="1" customFormat="1">
      <c r="A8" s="22" t="s">
        <v>40</v>
      </c>
      <c r="B8" s="27" t="s">
        <v>41</v>
      </c>
      <c r="C8" s="27" t="s">
        <v>25</v>
      </c>
      <c r="D8" s="27" t="s">
        <v>42</v>
      </c>
      <c r="E8" s="27" t="s">
        <v>25</v>
      </c>
      <c r="F8" s="27" t="s">
        <v>43</v>
      </c>
      <c r="G8" s="224">
        <v>30</v>
      </c>
      <c r="H8" s="225">
        <v>50</v>
      </c>
      <c r="I8" s="27" t="s">
        <v>44</v>
      </c>
      <c r="J8" s="17" t="str" cm="1">
        <f t="array" ref="J8">SeCcolor($A$634:$A$644,I8)</f>
        <v/>
      </c>
      <c r="K8" s="22"/>
      <c r="L8" s="22"/>
      <c r="M8"/>
      <c r="N8"/>
      <c r="O8"/>
      <c r="P8"/>
      <c r="Q8"/>
      <c r="R8"/>
      <c r="S8"/>
      <c r="T8"/>
      <c r="U8"/>
    </row>
    <row r="9" spans="1:21">
      <c r="A9" s="22" t="s">
        <v>45</v>
      </c>
      <c r="B9" s="27" t="s">
        <v>46</v>
      </c>
      <c r="C9" s="27" t="s">
        <v>47</v>
      </c>
      <c r="D9" s="27" t="s">
        <v>42</v>
      </c>
      <c r="E9" s="27" t="s">
        <v>48</v>
      </c>
      <c r="F9" s="27" t="s">
        <v>49</v>
      </c>
      <c r="G9" s="224">
        <v>15</v>
      </c>
      <c r="H9" s="225">
        <v>60</v>
      </c>
      <c r="I9" s="27" t="s">
        <v>50</v>
      </c>
      <c r="J9" s="17" t="str" cm="1">
        <f t="array" ref="J9">SeCcolor($A$634:$A$644,I9)</f>
        <v/>
      </c>
    </row>
    <row r="10" spans="1:21">
      <c r="A10" s="22" t="s">
        <v>51</v>
      </c>
      <c r="B10" s="27" t="s">
        <v>52</v>
      </c>
      <c r="C10" s="27" t="s">
        <v>53</v>
      </c>
      <c r="D10" s="27" t="s">
        <v>31</v>
      </c>
      <c r="E10" s="27" t="s">
        <v>54</v>
      </c>
      <c r="F10" s="27" t="s">
        <v>55</v>
      </c>
      <c r="G10" s="224">
        <v>20</v>
      </c>
      <c r="H10" s="225">
        <v>60</v>
      </c>
      <c r="I10" s="27" t="s">
        <v>56</v>
      </c>
      <c r="J10" s="17" t="str" cm="1">
        <f t="array" ref="J10">SeCcolor($A$634:$A$644,I10)</f>
        <v/>
      </c>
      <c r="O10" s="1"/>
      <c r="P10" s="1"/>
      <c r="Q10" s="1"/>
      <c r="R10" s="1"/>
      <c r="S10" s="1"/>
      <c r="T10" s="1"/>
      <c r="U10" s="1"/>
    </row>
    <row r="11" spans="1:21" s="1" customFormat="1">
      <c r="A11" s="235">
        <v>42506</v>
      </c>
      <c r="B11" s="1" t="s">
        <v>57</v>
      </c>
      <c r="C11" s="1" t="s">
        <v>58</v>
      </c>
      <c r="D11" s="12">
        <v>151</v>
      </c>
      <c r="E11" s="1" t="s">
        <v>19</v>
      </c>
      <c r="F11" s="1" t="s">
        <v>59</v>
      </c>
      <c r="G11" s="12">
        <v>15</v>
      </c>
      <c r="H11" s="13">
        <v>59.9</v>
      </c>
      <c r="I11" s="1" t="s">
        <v>60</v>
      </c>
      <c r="J11" s="17" t="str" cm="1">
        <f t="array" ref="J11">SeCcolor($A$634:$A$644,I11)</f>
        <v/>
      </c>
      <c r="K11" s="22"/>
      <c r="L11" s="17"/>
      <c r="M11"/>
      <c r="N11"/>
      <c r="O11"/>
      <c r="P11"/>
      <c r="Q11"/>
      <c r="R11"/>
      <c r="S11"/>
      <c r="T11"/>
      <c r="U11"/>
    </row>
    <row r="12" spans="1:21" s="1" customFormat="1">
      <c r="A12" s="22" t="s">
        <v>61</v>
      </c>
      <c r="B12" s="1" t="s">
        <v>62</v>
      </c>
      <c r="C12" s="1" t="s">
        <v>63</v>
      </c>
      <c r="D12" s="12">
        <v>39</v>
      </c>
      <c r="E12" s="1" t="s">
        <v>64</v>
      </c>
      <c r="F12" s="1" t="s">
        <v>65</v>
      </c>
      <c r="G12" s="12">
        <v>20</v>
      </c>
      <c r="H12" s="13">
        <v>110</v>
      </c>
      <c r="I12" s="1" t="s">
        <v>66</v>
      </c>
      <c r="J12" s="17" t="str" cm="1">
        <f t="array" ref="J12">SeCcolor($A$634:$A$644,I12)</f>
        <v/>
      </c>
      <c r="K12" s="22"/>
      <c r="L12" s="22"/>
      <c r="M12" t="s">
        <v>67</v>
      </c>
      <c r="N12"/>
      <c r="O12" s="3"/>
      <c r="P12" s="3"/>
      <c r="Q12" s="3"/>
      <c r="R12" s="3"/>
      <c r="S12" s="3"/>
      <c r="T12" s="3"/>
      <c r="U12" s="3"/>
    </row>
    <row r="13" spans="1:21">
      <c r="A13" s="22" t="s">
        <v>68</v>
      </c>
      <c r="B13" s="1" t="s">
        <v>29</v>
      </c>
      <c r="C13" s="1" t="s">
        <v>69</v>
      </c>
      <c r="D13" s="12">
        <v>50</v>
      </c>
      <c r="E13" s="1" t="s">
        <v>70</v>
      </c>
      <c r="F13" s="1" t="s">
        <v>33</v>
      </c>
      <c r="G13" s="12">
        <v>10</v>
      </c>
      <c r="H13" s="13">
        <v>59.9</v>
      </c>
      <c r="I13" s="1" t="s">
        <v>34</v>
      </c>
      <c r="J13" s="17" t="str" cm="1">
        <f t="array" ref="J13">SeCcolor($A$634:$A$644,I13)</f>
        <v/>
      </c>
      <c r="O13" s="5"/>
      <c r="P13" s="5"/>
      <c r="Q13" s="5"/>
      <c r="R13" s="5"/>
      <c r="S13" s="5"/>
      <c r="T13" s="5"/>
      <c r="U13" s="5"/>
    </row>
    <row r="14" spans="1:21" s="2" customFormat="1">
      <c r="A14" s="22" t="s">
        <v>71</v>
      </c>
      <c r="B14" s="1" t="s">
        <v>72</v>
      </c>
      <c r="C14" s="1" t="s">
        <v>73</v>
      </c>
      <c r="D14" s="12">
        <v>113</v>
      </c>
      <c r="E14" s="1" t="s">
        <v>74</v>
      </c>
      <c r="F14" s="1" t="s">
        <v>75</v>
      </c>
      <c r="G14" s="12">
        <v>10</v>
      </c>
      <c r="H14" s="13">
        <v>50</v>
      </c>
      <c r="I14" s="1" t="s">
        <v>76</v>
      </c>
      <c r="J14" s="17" t="str" cm="1">
        <f t="array" ref="J14">SeCcolor($A$634:$A$644,I14)</f>
        <v/>
      </c>
      <c r="K14" s="22"/>
      <c r="L14" s="22"/>
      <c r="M14" s="1"/>
      <c r="N14" s="1"/>
      <c r="O14"/>
      <c r="P14"/>
      <c r="Q14"/>
      <c r="R14"/>
      <c r="S14"/>
      <c r="T14"/>
      <c r="U14"/>
    </row>
    <row r="15" spans="1:21">
      <c r="A15" s="22" t="s">
        <v>77</v>
      </c>
      <c r="B15" s="1" t="s">
        <v>78</v>
      </c>
      <c r="C15" s="1" t="s">
        <v>79</v>
      </c>
      <c r="D15" s="12">
        <v>160</v>
      </c>
      <c r="E15" s="1" t="s">
        <v>70</v>
      </c>
      <c r="F15" s="1" t="s">
        <v>80</v>
      </c>
      <c r="G15" s="12">
        <v>25</v>
      </c>
      <c r="H15" s="13">
        <v>60</v>
      </c>
      <c r="I15" s="1" t="s">
        <v>81</v>
      </c>
      <c r="J15" s="17" t="str" cm="1">
        <f t="array" ref="J15">SeCcolor($A$634:$A$644,I15)</f>
        <v/>
      </c>
    </row>
    <row r="16" spans="1:21">
      <c r="A16" s="22" t="s">
        <v>82</v>
      </c>
      <c r="B16" s="1" t="s">
        <v>83</v>
      </c>
      <c r="C16" s="1" t="s">
        <v>84</v>
      </c>
      <c r="D16" s="12">
        <v>148</v>
      </c>
      <c r="E16" s="1" t="s">
        <v>19</v>
      </c>
      <c r="F16" s="1" t="s">
        <v>85</v>
      </c>
      <c r="G16" s="12">
        <v>10</v>
      </c>
      <c r="H16" s="13">
        <v>50</v>
      </c>
      <c r="I16" s="1" t="s">
        <v>86</v>
      </c>
      <c r="J16" s="17" t="str" cm="1">
        <f t="array" ref="J16">SeCcolor($A$634:$A$644,I16)</f>
        <v/>
      </c>
      <c r="M16" s="3"/>
      <c r="N16" s="3"/>
      <c r="O16" s="1"/>
      <c r="P16" s="1"/>
      <c r="Q16" s="1"/>
      <c r="R16" s="1"/>
      <c r="S16" s="1"/>
      <c r="T16" s="1"/>
      <c r="U16" s="1"/>
    </row>
    <row r="17" spans="1:21" s="3" customFormat="1">
      <c r="A17" s="22" t="s">
        <v>87</v>
      </c>
      <c r="B17" s="1" t="s">
        <v>88</v>
      </c>
      <c r="C17" s="1" t="s">
        <v>89</v>
      </c>
      <c r="D17" s="12">
        <v>181</v>
      </c>
      <c r="E17" s="1" t="s">
        <v>90</v>
      </c>
      <c r="F17" s="1" t="s">
        <v>91</v>
      </c>
      <c r="G17" s="12">
        <v>20</v>
      </c>
      <c r="H17" s="13">
        <v>60</v>
      </c>
      <c r="I17" s="1" t="s">
        <v>92</v>
      </c>
      <c r="J17" s="17" t="str" cm="1">
        <f t="array" ref="J17">SeCcolor($A$634:$A$644,I17)</f>
        <v/>
      </c>
      <c r="K17" s="22"/>
      <c r="L17" s="22"/>
      <c r="M17"/>
      <c r="N17"/>
      <c r="O17" s="2"/>
      <c r="P17" s="2"/>
      <c r="Q17" s="2"/>
      <c r="R17" s="2"/>
      <c r="S17" s="2"/>
      <c r="T17" s="2"/>
      <c r="U17" s="2"/>
    </row>
    <row r="18" spans="1:21">
      <c r="A18" s="22" t="s">
        <v>82</v>
      </c>
      <c r="B18" s="1" t="s">
        <v>93</v>
      </c>
      <c r="C18" s="1" t="s">
        <v>94</v>
      </c>
      <c r="D18" s="12">
        <v>60</v>
      </c>
      <c r="E18" s="1" t="s">
        <v>70</v>
      </c>
      <c r="F18" s="1" t="s">
        <v>95</v>
      </c>
      <c r="G18" s="12">
        <v>10</v>
      </c>
      <c r="H18" s="13">
        <v>75</v>
      </c>
      <c r="I18" s="1" t="s">
        <v>96</v>
      </c>
      <c r="J18" s="17" t="str" cm="1">
        <f t="array" ref="J18">SeCcolor($A$634:$A$644,I18)</f>
        <v/>
      </c>
      <c r="M18" s="2"/>
      <c r="N18" s="2"/>
    </row>
    <row r="19" spans="1:21" s="3" customFormat="1">
      <c r="A19" s="22" t="s">
        <v>97</v>
      </c>
      <c r="B19" s="14" t="s">
        <v>98</v>
      </c>
      <c r="C19" s="1" t="s">
        <v>99</v>
      </c>
      <c r="D19" s="12">
        <v>675</v>
      </c>
      <c r="E19" s="1" t="s">
        <v>19</v>
      </c>
      <c r="F19" s="14" t="s">
        <v>100</v>
      </c>
      <c r="G19" s="12">
        <v>5</v>
      </c>
      <c r="H19" s="13">
        <v>70</v>
      </c>
      <c r="I19" s="1" t="s">
        <v>101</v>
      </c>
      <c r="J19" s="17" t="str" cm="1">
        <f t="array" ref="J19">SeCcolor($A$634:$A$644,I19)</f>
        <v/>
      </c>
      <c r="K19" s="22"/>
      <c r="L19" s="22"/>
      <c r="M19"/>
      <c r="N19"/>
    </row>
    <row r="20" spans="1:21">
      <c r="A20" s="22" t="s">
        <v>102</v>
      </c>
      <c r="B20" s="14" t="s">
        <v>103</v>
      </c>
      <c r="C20" s="1" t="s">
        <v>104</v>
      </c>
      <c r="D20" s="12">
        <v>132</v>
      </c>
      <c r="E20" s="1" t="s">
        <v>105</v>
      </c>
      <c r="F20" s="1" t="s">
        <v>106</v>
      </c>
      <c r="G20" s="12">
        <v>15</v>
      </c>
      <c r="H20" s="13">
        <v>70</v>
      </c>
      <c r="I20" s="1" t="s">
        <v>107</v>
      </c>
      <c r="J20" s="17" t="str" cm="1">
        <f t="array" ref="J20">SeCcolor($A$634:$A$644,I20)</f>
        <v/>
      </c>
      <c r="M20" t="s">
        <v>108</v>
      </c>
      <c r="O20" s="3"/>
      <c r="P20" s="3"/>
      <c r="Q20" s="3"/>
      <c r="R20" s="3"/>
      <c r="S20" s="3"/>
      <c r="T20" s="3"/>
      <c r="U20" s="3"/>
    </row>
    <row r="21" spans="1:21">
      <c r="A21" s="22" t="s">
        <v>109</v>
      </c>
      <c r="B21" s="1" t="s">
        <v>110</v>
      </c>
      <c r="C21" s="1" t="s">
        <v>111</v>
      </c>
      <c r="D21" s="12">
        <v>41</v>
      </c>
      <c r="E21" s="1" t="s">
        <v>90</v>
      </c>
      <c r="F21" s="1" t="s">
        <v>112</v>
      </c>
      <c r="G21" s="12">
        <v>10</v>
      </c>
      <c r="H21" s="13">
        <v>50</v>
      </c>
      <c r="I21" s="1" t="s">
        <v>113</v>
      </c>
      <c r="J21" s="17" t="str" cm="1">
        <f t="array" ref="J21">SeCcolor($A$634:$A$644,I21)</f>
        <v/>
      </c>
    </row>
    <row r="22" spans="1:21" s="2" customFormat="1">
      <c r="A22" s="22" t="s">
        <v>114</v>
      </c>
      <c r="B22" s="1" t="s">
        <v>115</v>
      </c>
      <c r="C22" s="1" t="s">
        <v>116</v>
      </c>
      <c r="D22" s="12">
        <v>52</v>
      </c>
      <c r="E22" s="1" t="s">
        <v>19</v>
      </c>
      <c r="F22" s="1" t="s">
        <v>117</v>
      </c>
      <c r="G22" s="12">
        <v>20</v>
      </c>
      <c r="H22" s="13">
        <v>70</v>
      </c>
      <c r="I22" s="1" t="s">
        <v>118</v>
      </c>
      <c r="J22" s="17" t="str" cm="1">
        <f t="array" ref="J22">SeCcolor($A$634:$A$644,I22)</f>
        <v/>
      </c>
      <c r="K22" s="22"/>
      <c r="L22" s="22"/>
      <c r="M22" s="1"/>
      <c r="N22" s="1"/>
      <c r="O22"/>
      <c r="P22"/>
      <c r="Q22"/>
      <c r="R22"/>
      <c r="S22"/>
      <c r="T22"/>
      <c r="U22"/>
    </row>
    <row r="23" spans="1:21">
      <c r="A23" s="22" t="s">
        <v>119</v>
      </c>
      <c r="B23" s="1" t="s">
        <v>120</v>
      </c>
      <c r="C23" s="1" t="s">
        <v>121</v>
      </c>
      <c r="D23" s="12">
        <v>30</v>
      </c>
      <c r="E23" s="1" t="s">
        <v>70</v>
      </c>
      <c r="F23" s="1" t="s">
        <v>122</v>
      </c>
      <c r="G23" s="12">
        <v>30</v>
      </c>
      <c r="H23" s="13">
        <v>59.9</v>
      </c>
      <c r="I23" s="1" t="s">
        <v>123</v>
      </c>
      <c r="J23" s="17" t="str" cm="1">
        <f t="array" ref="J23">SeCcolor($A$634:$A$644,I23)</f>
        <v/>
      </c>
      <c r="O23" s="2"/>
      <c r="P23" s="2"/>
      <c r="Q23" s="2"/>
      <c r="R23" s="2"/>
      <c r="S23" s="2"/>
      <c r="T23" s="2"/>
      <c r="U23" s="2"/>
    </row>
    <row r="24" spans="1:21">
      <c r="A24" s="22" t="s">
        <v>124</v>
      </c>
      <c r="B24" s="1" t="s">
        <v>125</v>
      </c>
      <c r="C24" s="1" t="s">
        <v>126</v>
      </c>
      <c r="D24" s="12">
        <v>1325</v>
      </c>
      <c r="E24" s="1" t="s">
        <v>127</v>
      </c>
      <c r="F24" s="1" t="s">
        <v>128</v>
      </c>
      <c r="G24" s="12">
        <v>15</v>
      </c>
      <c r="H24" s="13">
        <v>50</v>
      </c>
      <c r="I24" s="1" t="s">
        <v>129</v>
      </c>
      <c r="J24" s="17" t="str" cm="1">
        <f t="array" ref="J24">SeCcolor($A$634:$A$644,I24)</f>
        <v/>
      </c>
    </row>
    <row r="25" spans="1:21">
      <c r="A25" s="22" t="s">
        <v>130</v>
      </c>
      <c r="B25" s="1" t="s">
        <v>131</v>
      </c>
      <c r="C25" s="1" t="s">
        <v>104</v>
      </c>
      <c r="D25" s="12">
        <v>120</v>
      </c>
      <c r="E25" s="1" t="s">
        <v>19</v>
      </c>
      <c r="F25" s="1" t="s">
        <v>132</v>
      </c>
      <c r="G25" s="12">
        <v>20</v>
      </c>
      <c r="H25" s="13">
        <v>70</v>
      </c>
      <c r="I25" s="1" t="s">
        <v>133</v>
      </c>
      <c r="J25" s="17" t="str" cm="1">
        <f t="array" ref="J25">SeCcolor($A$634:$A$644,I25)</f>
        <v/>
      </c>
      <c r="M25" s="1"/>
      <c r="N25" s="1"/>
    </row>
    <row r="26" spans="1:21">
      <c r="A26" s="22" t="s">
        <v>134</v>
      </c>
      <c r="B26" s="1" t="s">
        <v>135</v>
      </c>
      <c r="C26" s="1" t="s">
        <v>136</v>
      </c>
      <c r="D26" s="12">
        <v>77</v>
      </c>
      <c r="E26" s="1" t="s">
        <v>32</v>
      </c>
      <c r="F26" s="1" t="s">
        <v>137</v>
      </c>
      <c r="G26" s="12">
        <v>5</v>
      </c>
      <c r="H26" s="13">
        <v>50</v>
      </c>
      <c r="I26" s="1" t="s">
        <v>138</v>
      </c>
      <c r="J26" s="17" t="str" cm="1">
        <f t="array" ref="J26">SeCcolor($A$634:$A$644,I26)</f>
        <v/>
      </c>
      <c r="M26" s="1"/>
      <c r="N26" s="1"/>
    </row>
    <row r="27" spans="1:21">
      <c r="A27" s="1" t="s">
        <v>139</v>
      </c>
      <c r="B27" s="1" t="s">
        <v>140</v>
      </c>
      <c r="C27" s="1" t="s">
        <v>141</v>
      </c>
      <c r="D27" s="12">
        <v>131</v>
      </c>
      <c r="E27" s="1" t="s">
        <v>142</v>
      </c>
      <c r="F27" s="1" t="s">
        <v>143</v>
      </c>
      <c r="G27" s="12">
        <v>10</v>
      </c>
      <c r="H27" s="13">
        <v>39.9</v>
      </c>
      <c r="I27" s="1" t="s">
        <v>144</v>
      </c>
      <c r="J27" s="17" t="str" cm="1">
        <f t="array" ref="J27">SeCcolor($A$634:$A$644,I27)</f>
        <v/>
      </c>
    </row>
    <row r="28" spans="1:21" s="3" customFormat="1">
      <c r="A28" s="22" t="s">
        <v>145</v>
      </c>
      <c r="B28" s="1" t="s">
        <v>146</v>
      </c>
      <c r="C28" s="1" t="s">
        <v>147</v>
      </c>
      <c r="D28" s="12">
        <v>50</v>
      </c>
      <c r="E28" s="1" t="s">
        <v>32</v>
      </c>
      <c r="F28" s="1" t="s">
        <v>148</v>
      </c>
      <c r="G28" s="12">
        <v>20</v>
      </c>
      <c r="H28" s="13">
        <v>59.9</v>
      </c>
      <c r="I28" s="1" t="s">
        <v>149</v>
      </c>
      <c r="J28" s="17" t="str" cm="1">
        <f t="array" ref="J28">SeCcolor($A$634:$A$644,I28)</f>
        <v/>
      </c>
      <c r="K28" s="22"/>
      <c r="L28" s="22"/>
      <c r="M28" s="7"/>
      <c r="N28" s="7"/>
    </row>
    <row r="29" spans="1:21" s="2" customFormat="1">
      <c r="A29" s="22" t="s">
        <v>150</v>
      </c>
      <c r="B29" s="1" t="s">
        <v>151</v>
      </c>
      <c r="C29" s="1" t="s">
        <v>152</v>
      </c>
      <c r="D29" s="12">
        <v>140</v>
      </c>
      <c r="E29" s="1" t="s">
        <v>70</v>
      </c>
      <c r="F29" s="1" t="s">
        <v>153</v>
      </c>
      <c r="G29" s="12">
        <v>10</v>
      </c>
      <c r="H29" s="13">
        <v>59.9</v>
      </c>
      <c r="I29" s="1" t="s">
        <v>154</v>
      </c>
      <c r="J29" s="17" t="str" cm="1">
        <f t="array" ref="J29">SeCcolor($A$634:$A$644,I29)</f>
        <v/>
      </c>
      <c r="K29" s="22"/>
      <c r="L29" s="22"/>
      <c r="M29"/>
      <c r="N29"/>
    </row>
    <row r="30" spans="1:21" s="2" customFormat="1">
      <c r="A30" s="22" t="s">
        <v>155</v>
      </c>
      <c r="B30" s="1" t="s">
        <v>156</v>
      </c>
      <c r="C30" s="1" t="s">
        <v>157</v>
      </c>
      <c r="D30" s="12">
        <v>674</v>
      </c>
      <c r="E30" s="1" t="s">
        <v>19</v>
      </c>
      <c r="F30" s="1" t="s">
        <v>158</v>
      </c>
      <c r="G30" s="12">
        <v>5</v>
      </c>
      <c r="H30" s="13">
        <v>60</v>
      </c>
      <c r="I30" s="1" t="s">
        <v>159</v>
      </c>
      <c r="J30" s="17" t="str" cm="1">
        <f t="array" ref="J30">SeCcolor($A$634:$A$644,I30)</f>
        <v/>
      </c>
      <c r="K30" s="264"/>
      <c r="L30" s="17" t="s">
        <v>160</v>
      </c>
      <c r="M30"/>
      <c r="N30"/>
    </row>
    <row r="31" spans="1:21" s="3" customFormat="1">
      <c r="A31" s="22" t="s">
        <v>134</v>
      </c>
      <c r="B31" s="1" t="s">
        <v>161</v>
      </c>
      <c r="C31" s="1" t="s">
        <v>162</v>
      </c>
      <c r="D31" s="12">
        <v>21</v>
      </c>
      <c r="E31" s="1" t="s">
        <v>105</v>
      </c>
      <c r="F31" s="1" t="s">
        <v>163</v>
      </c>
      <c r="G31" s="12">
        <v>15</v>
      </c>
      <c r="H31" s="13">
        <v>50</v>
      </c>
      <c r="I31" s="1" t="s">
        <v>164</v>
      </c>
      <c r="J31" s="17" t="str" cm="1">
        <f t="array" ref="J31">SeCcolor($A$634:$A$644,I31)</f>
        <v/>
      </c>
      <c r="K31" s="22"/>
      <c r="L31" s="22"/>
      <c r="M31"/>
      <c r="N31"/>
      <c r="O31" s="8"/>
      <c r="P31" s="8"/>
      <c r="Q31" s="8"/>
      <c r="R31" s="8"/>
      <c r="S31" s="8"/>
      <c r="T31" s="8"/>
      <c r="U31" s="8"/>
    </row>
    <row r="32" spans="1:21" s="8" customFormat="1">
      <c r="A32" s="22" t="s">
        <v>165</v>
      </c>
      <c r="B32" s="1" t="s">
        <v>166</v>
      </c>
      <c r="C32" s="1" t="s">
        <v>167</v>
      </c>
      <c r="D32" s="12">
        <v>740</v>
      </c>
      <c r="E32" s="1" t="s">
        <v>70</v>
      </c>
      <c r="F32" s="1" t="s">
        <v>168</v>
      </c>
      <c r="G32" s="12">
        <v>10</v>
      </c>
      <c r="H32" s="13">
        <v>40</v>
      </c>
      <c r="I32" s="1" t="s">
        <v>169</v>
      </c>
      <c r="J32" s="17" t="str" cm="1">
        <f t="array" ref="J32">SeCcolor($A$634:$A$644,I32)</f>
        <v/>
      </c>
      <c r="K32" s="22"/>
      <c r="L32" s="22"/>
      <c r="M32"/>
      <c r="N32"/>
      <c r="O32" s="2"/>
      <c r="P32" s="2"/>
      <c r="Q32" s="2"/>
      <c r="R32" s="2"/>
      <c r="S32" s="2"/>
      <c r="T32" s="2"/>
      <c r="U32" s="2"/>
    </row>
    <row r="33" spans="1:21" s="2" customFormat="1">
      <c r="A33" s="22" t="s">
        <v>170</v>
      </c>
      <c r="B33" s="1" t="s">
        <v>171</v>
      </c>
      <c r="C33" s="1" t="s">
        <v>172</v>
      </c>
      <c r="D33" s="12">
        <v>26</v>
      </c>
      <c r="E33" s="1" t="s">
        <v>19</v>
      </c>
      <c r="F33" s="1" t="s">
        <v>173</v>
      </c>
      <c r="G33" s="12">
        <v>25</v>
      </c>
      <c r="H33" s="13">
        <v>80</v>
      </c>
      <c r="I33" s="1" t="s">
        <v>174</v>
      </c>
      <c r="J33" s="17" t="str" cm="1">
        <f t="array" ref="J33">SeCcolor($A$634:$A$644,I33)</f>
        <v/>
      </c>
      <c r="K33" s="22"/>
      <c r="L33" s="22"/>
      <c r="M33" s="1"/>
      <c r="N33" s="1"/>
      <c r="O33" s="1"/>
      <c r="P33" s="1"/>
      <c r="Q33" s="1"/>
      <c r="R33" s="1"/>
      <c r="S33" s="1"/>
      <c r="T33" s="1"/>
      <c r="U33" s="1"/>
    </row>
    <row r="34" spans="1:21" s="1" customFormat="1">
      <c r="A34" s="22" t="s">
        <v>82</v>
      </c>
      <c r="B34" s="1" t="s">
        <v>175</v>
      </c>
      <c r="C34" s="1" t="s">
        <v>176</v>
      </c>
      <c r="D34" s="12">
        <v>768</v>
      </c>
      <c r="E34" s="1" t="s">
        <v>127</v>
      </c>
      <c r="F34" s="1" t="s">
        <v>177</v>
      </c>
      <c r="G34" s="12">
        <v>25</v>
      </c>
      <c r="H34" s="13">
        <v>85.9</v>
      </c>
      <c r="I34" s="1" t="s">
        <v>178</v>
      </c>
      <c r="J34" s="17" t="str" cm="1">
        <f t="array" ref="J34">SeCcolor($A$634:$A$644,I34)</f>
        <v/>
      </c>
      <c r="K34" s="22"/>
      <c r="L34" s="22"/>
      <c r="M34" s="3" t="s">
        <v>179</v>
      </c>
      <c r="N34" s="3"/>
      <c r="O34"/>
      <c r="P34"/>
      <c r="Q34"/>
      <c r="R34"/>
      <c r="S34"/>
      <c r="T34"/>
      <c r="U34"/>
    </row>
    <row r="35" spans="1:21">
      <c r="A35" s="22" t="s">
        <v>180</v>
      </c>
      <c r="B35" s="1" t="s">
        <v>181</v>
      </c>
      <c r="C35" s="1" t="s">
        <v>182</v>
      </c>
      <c r="D35" s="1" t="s">
        <v>42</v>
      </c>
      <c r="E35" s="1" t="s">
        <v>25</v>
      </c>
      <c r="F35" s="1" t="s">
        <v>183</v>
      </c>
      <c r="G35" s="12">
        <v>10</v>
      </c>
      <c r="H35" s="13">
        <v>60</v>
      </c>
      <c r="I35" s="1" t="s">
        <v>184</v>
      </c>
      <c r="J35" s="17" t="str" cm="1">
        <f t="array" ref="J35">SeCcolor($A$634:$A$644,I35)</f>
        <v/>
      </c>
      <c r="O35" s="2"/>
      <c r="P35" s="2"/>
      <c r="Q35" s="2"/>
      <c r="R35" s="2"/>
      <c r="S35" s="2"/>
      <c r="T35" s="2"/>
      <c r="U35" s="2"/>
    </row>
    <row r="36" spans="1:21" s="2" customFormat="1">
      <c r="A36" s="22" t="s">
        <v>185</v>
      </c>
      <c r="B36" s="1" t="s">
        <v>186</v>
      </c>
      <c r="C36" s="1" t="s">
        <v>187</v>
      </c>
      <c r="D36" s="12">
        <v>76</v>
      </c>
      <c r="E36" s="1" t="s">
        <v>188</v>
      </c>
      <c r="F36" s="1" t="s">
        <v>189</v>
      </c>
      <c r="G36" s="12">
        <v>10</v>
      </c>
      <c r="H36" s="13">
        <v>59.9</v>
      </c>
      <c r="I36" s="1" t="s">
        <v>190</v>
      </c>
      <c r="J36" s="17" t="str" cm="1">
        <f t="array" ref="J36">SeCcolor($A$634:$A$644,I36)</f>
        <v/>
      </c>
      <c r="K36" s="22"/>
      <c r="L36" s="22"/>
      <c r="M36"/>
      <c r="N36"/>
      <c r="O36" s="22"/>
      <c r="P36" s="22"/>
      <c r="Q36" s="22"/>
      <c r="R36" s="22"/>
      <c r="S36" s="22"/>
      <c r="T36" s="22"/>
      <c r="U36" s="22"/>
    </row>
    <row r="37" spans="1:21" s="1" customFormat="1">
      <c r="A37" s="22" t="s">
        <v>191</v>
      </c>
      <c r="B37" s="1" t="s">
        <v>192</v>
      </c>
      <c r="C37" s="1" t="s">
        <v>193</v>
      </c>
      <c r="D37" s="12">
        <v>130</v>
      </c>
      <c r="E37" s="1" t="s">
        <v>19</v>
      </c>
      <c r="F37" s="1" t="s">
        <v>194</v>
      </c>
      <c r="G37" s="12">
        <v>15</v>
      </c>
      <c r="H37" s="13">
        <v>60</v>
      </c>
      <c r="I37" s="1" t="s">
        <v>195</v>
      </c>
      <c r="J37" s="17" t="str" cm="1">
        <f t="array" ref="J37">SeCcolor($A$634:$A$644,I37)</f>
        <v/>
      </c>
      <c r="K37" s="22"/>
      <c r="L37" s="22"/>
      <c r="M37"/>
      <c r="N37"/>
      <c r="O37" s="29"/>
      <c r="P37" s="29"/>
      <c r="Q37" s="29"/>
      <c r="R37" s="29"/>
      <c r="S37" s="29"/>
      <c r="T37" s="29"/>
      <c r="U37" s="29"/>
    </row>
    <row r="38" spans="1:21" s="29" customFormat="1">
      <c r="A38" s="22" t="s">
        <v>196</v>
      </c>
      <c r="B38" s="1" t="s">
        <v>197</v>
      </c>
      <c r="C38" s="1" t="s">
        <v>198</v>
      </c>
      <c r="D38" s="12">
        <v>161</v>
      </c>
      <c r="E38" s="1" t="s">
        <v>127</v>
      </c>
      <c r="F38" s="1" t="s">
        <v>199</v>
      </c>
      <c r="G38" s="12">
        <v>20</v>
      </c>
      <c r="H38" s="13">
        <v>59.9</v>
      </c>
      <c r="I38" s="1" t="s">
        <v>200</v>
      </c>
      <c r="J38" s="17" t="str" cm="1">
        <f t="array" ref="J38">SeCcolor($A$634:$A$644,I38)</f>
        <v/>
      </c>
      <c r="K38" s="22"/>
      <c r="L38" s="22"/>
      <c r="M38"/>
      <c r="N38"/>
      <c r="O38" s="22"/>
      <c r="P38" s="22"/>
      <c r="Q38" s="22"/>
      <c r="R38" s="22"/>
      <c r="S38" s="22"/>
      <c r="T38" s="22"/>
      <c r="U38" s="22"/>
    </row>
    <row r="39" spans="1:21" s="29" customFormat="1">
      <c r="A39" s="22" t="s">
        <v>201</v>
      </c>
      <c r="B39" s="1" t="s">
        <v>202</v>
      </c>
      <c r="C39" s="1" t="s">
        <v>203</v>
      </c>
      <c r="D39" s="12">
        <v>158</v>
      </c>
      <c r="E39" s="1" t="s">
        <v>105</v>
      </c>
      <c r="F39" s="1" t="s">
        <v>204</v>
      </c>
      <c r="G39" s="12">
        <v>15</v>
      </c>
      <c r="H39" s="13">
        <v>50</v>
      </c>
      <c r="I39" s="1" t="s">
        <v>205</v>
      </c>
      <c r="J39" s="17" t="str" cm="1">
        <f t="array" ref="J39">SeCcolor($A$634:$A$644,I39)</f>
        <v/>
      </c>
      <c r="K39" s="22"/>
      <c r="L39" s="22"/>
      <c r="M39" t="s">
        <v>206</v>
      </c>
      <c r="N39"/>
      <c r="O39" s="8"/>
      <c r="P39" s="8"/>
      <c r="Q39" s="8"/>
      <c r="R39" s="8"/>
      <c r="S39" s="8"/>
      <c r="T39" s="8"/>
      <c r="U39" s="8"/>
    </row>
    <row r="40" spans="1:21" s="1" customFormat="1">
      <c r="A40" s="22" t="s">
        <v>207</v>
      </c>
      <c r="B40" s="1" t="s">
        <v>208</v>
      </c>
      <c r="C40" s="1" t="s">
        <v>209</v>
      </c>
      <c r="D40" s="12">
        <v>94</v>
      </c>
      <c r="E40" s="1" t="s">
        <v>19</v>
      </c>
      <c r="F40" s="1" t="s">
        <v>210</v>
      </c>
      <c r="G40" s="12">
        <v>15</v>
      </c>
      <c r="H40" s="13">
        <v>400</v>
      </c>
      <c r="I40" s="1" t="s">
        <v>211</v>
      </c>
      <c r="J40" s="17" t="str" cm="1">
        <f t="array" ref="J40">SeCcolor($A$634:$A$644,I40)</f>
        <v/>
      </c>
      <c r="K40" s="22"/>
      <c r="L40" s="22"/>
      <c r="M40"/>
      <c r="N40"/>
      <c r="O40"/>
      <c r="P40"/>
      <c r="Q40"/>
      <c r="R40"/>
      <c r="S40"/>
      <c r="T40"/>
      <c r="U40"/>
    </row>
    <row r="41" spans="1:21" s="8" customFormat="1">
      <c r="A41" s="22" t="s">
        <v>212</v>
      </c>
      <c r="B41" s="1" t="s">
        <v>213</v>
      </c>
      <c r="C41" s="1" t="s">
        <v>214</v>
      </c>
      <c r="D41" s="12">
        <v>187</v>
      </c>
      <c r="E41" s="1" t="s">
        <v>32</v>
      </c>
      <c r="F41" s="1" t="s">
        <v>215</v>
      </c>
      <c r="G41" s="12">
        <v>20</v>
      </c>
      <c r="H41" s="13">
        <v>60</v>
      </c>
      <c r="I41" s="1" t="s">
        <v>216</v>
      </c>
      <c r="J41" s="17" t="str" cm="1">
        <f t="array" ref="J41">SeCcolor($A$634:$A$644,I41)</f>
        <v/>
      </c>
      <c r="K41" s="22"/>
      <c r="L41" s="22"/>
      <c r="M41" s="1"/>
      <c r="N41" s="1"/>
      <c r="O41" s="1"/>
      <c r="P41" s="1"/>
      <c r="Q41" s="1"/>
      <c r="R41" s="1"/>
      <c r="S41" s="1"/>
      <c r="T41" s="1"/>
      <c r="U41" s="1"/>
    </row>
    <row r="42" spans="1:21" s="1" customFormat="1">
      <c r="A42" s="22" t="s">
        <v>217</v>
      </c>
      <c r="B42" s="1" t="s">
        <v>218</v>
      </c>
      <c r="C42" s="1" t="s">
        <v>219</v>
      </c>
      <c r="D42" s="12">
        <v>180</v>
      </c>
      <c r="E42" s="1" t="s">
        <v>220</v>
      </c>
      <c r="F42" s="1" t="s">
        <v>221</v>
      </c>
      <c r="G42" s="12">
        <v>25</v>
      </c>
      <c r="H42" s="13">
        <v>70</v>
      </c>
      <c r="I42" s="1" t="s">
        <v>222</v>
      </c>
      <c r="J42" s="17" t="str" cm="1">
        <f t="array" ref="J42">SeCcolor($A$634:$A$644,I42)</f>
        <v/>
      </c>
      <c r="K42" s="22"/>
      <c r="L42" s="17"/>
      <c r="M42" s="2"/>
      <c r="N42" s="2"/>
      <c r="O42" s="22"/>
      <c r="P42" s="22"/>
      <c r="Q42" s="22"/>
      <c r="R42" s="22"/>
      <c r="S42" s="22"/>
      <c r="T42" s="22"/>
      <c r="U42" s="22"/>
    </row>
    <row r="43" spans="1:21">
      <c r="A43" s="22" t="s">
        <v>223</v>
      </c>
      <c r="B43" s="1" t="s">
        <v>224</v>
      </c>
      <c r="C43" s="1" t="s">
        <v>176</v>
      </c>
      <c r="D43" s="12">
        <v>146</v>
      </c>
      <c r="E43" s="1" t="s">
        <v>19</v>
      </c>
      <c r="F43" s="1" t="s">
        <v>225</v>
      </c>
      <c r="G43" s="12">
        <v>10</v>
      </c>
      <c r="H43" s="13">
        <v>70</v>
      </c>
      <c r="I43" s="1" t="s">
        <v>226</v>
      </c>
      <c r="J43" s="17" t="str" cm="1">
        <f t="array" ref="J43">SeCcolor($A$634:$A$644,I43)</f>
        <v/>
      </c>
      <c r="M43" t="s">
        <v>108</v>
      </c>
      <c r="O43" s="1"/>
      <c r="P43" s="1"/>
      <c r="Q43" s="1"/>
      <c r="R43" s="1"/>
      <c r="S43" s="1"/>
      <c r="T43" s="1"/>
      <c r="U43" s="1"/>
    </row>
    <row r="44" spans="1:21" s="2" customFormat="1">
      <c r="A44" s="22" t="s">
        <v>227</v>
      </c>
      <c r="B44" s="1" t="s">
        <v>228</v>
      </c>
      <c r="C44" s="1" t="s">
        <v>229</v>
      </c>
      <c r="D44" s="12">
        <v>69</v>
      </c>
      <c r="E44" s="1" t="s">
        <v>188</v>
      </c>
      <c r="F44" s="1" t="s">
        <v>230</v>
      </c>
      <c r="G44" s="12">
        <v>20</v>
      </c>
      <c r="H44" s="13">
        <v>69.900000000000006</v>
      </c>
      <c r="I44" s="1" t="s">
        <v>231</v>
      </c>
      <c r="J44" s="17" t="str" cm="1">
        <f t="array" ref="J44">SeCcolor($A$634:$A$644,I44)</f>
        <v/>
      </c>
      <c r="K44" s="22"/>
      <c r="L44" s="17"/>
      <c r="M44" s="22"/>
      <c r="N44" s="22"/>
      <c r="O44" s="22"/>
      <c r="P44" s="22"/>
      <c r="Q44" s="22"/>
      <c r="R44" s="22"/>
      <c r="S44" s="22"/>
      <c r="T44" s="22"/>
      <c r="U44" s="22"/>
    </row>
    <row r="45" spans="1:21" s="1" customFormat="1">
      <c r="A45" s="22" t="s">
        <v>232</v>
      </c>
      <c r="B45" s="1" t="s">
        <v>233</v>
      </c>
      <c r="C45" s="1" t="s">
        <v>234</v>
      </c>
      <c r="D45" s="12">
        <v>160</v>
      </c>
      <c r="E45" s="1" t="s">
        <v>70</v>
      </c>
      <c r="F45" s="1" t="s">
        <v>235</v>
      </c>
      <c r="G45" s="12">
        <v>20</v>
      </c>
      <c r="H45" s="13">
        <v>60</v>
      </c>
      <c r="I45" s="1" t="s">
        <v>236</v>
      </c>
      <c r="J45" s="17" t="str" cm="1">
        <f t="array" ref="J45">SeCcolor($A$634:$A$644,I45)</f>
        <v/>
      </c>
      <c r="K45" s="22"/>
      <c r="L45" s="22"/>
      <c r="M45"/>
      <c r="N45"/>
    </row>
    <row r="46" spans="1:21" s="2" customFormat="1">
      <c r="A46" s="22" t="s">
        <v>237</v>
      </c>
      <c r="B46" s="1" t="s">
        <v>238</v>
      </c>
      <c r="C46" s="1" t="s">
        <v>239</v>
      </c>
      <c r="D46" s="12">
        <v>670</v>
      </c>
      <c r="E46" s="1" t="s">
        <v>19</v>
      </c>
      <c r="F46" s="1" t="s">
        <v>240</v>
      </c>
      <c r="G46" s="12">
        <v>20</v>
      </c>
      <c r="H46" s="13">
        <v>50</v>
      </c>
      <c r="I46" s="1" t="s">
        <v>241</v>
      </c>
      <c r="J46" s="17" t="str" cm="1">
        <f t="array" ref="J46">SeCcolor($A$634:$A$644,I46)</f>
        <v/>
      </c>
      <c r="K46" s="22"/>
      <c r="L46" s="22"/>
      <c r="M46"/>
      <c r="N46"/>
      <c r="O46" s="22"/>
      <c r="P46" s="22"/>
      <c r="Q46" s="22"/>
      <c r="R46" s="22"/>
      <c r="S46" s="22"/>
      <c r="T46" s="22"/>
      <c r="U46" s="22"/>
    </row>
    <row r="47" spans="1:21" s="1" customFormat="1">
      <c r="A47" s="22" t="s">
        <v>242</v>
      </c>
      <c r="B47" s="1" t="s">
        <v>243</v>
      </c>
      <c r="C47" s="1" t="s">
        <v>244</v>
      </c>
      <c r="D47" s="12">
        <v>605</v>
      </c>
      <c r="E47" s="1" t="s">
        <v>220</v>
      </c>
      <c r="F47" s="14" t="s">
        <v>245</v>
      </c>
      <c r="G47" s="12">
        <v>20</v>
      </c>
      <c r="H47" s="13">
        <v>75.900000000000006</v>
      </c>
      <c r="I47" s="1" t="s">
        <v>246</v>
      </c>
      <c r="J47" s="17" t="str" cm="1">
        <f t="array" ref="J47">SeCcolor($A$634:$A$644,I47)</f>
        <v/>
      </c>
      <c r="K47" s="22"/>
      <c r="L47" s="22"/>
      <c r="M47" s="2"/>
      <c r="N47" s="2"/>
    </row>
    <row r="48" spans="1:21" s="2" customFormat="1">
      <c r="A48" s="22" t="s">
        <v>247</v>
      </c>
      <c r="B48" s="1" t="s">
        <v>248</v>
      </c>
      <c r="C48" s="1" t="s">
        <v>249</v>
      </c>
      <c r="D48" s="12">
        <v>30</v>
      </c>
      <c r="E48" s="1" t="s">
        <v>105</v>
      </c>
      <c r="F48" s="1" t="s">
        <v>250</v>
      </c>
      <c r="G48" s="12">
        <v>30</v>
      </c>
      <c r="H48" s="13">
        <v>60</v>
      </c>
      <c r="I48" s="1" t="s">
        <v>251</v>
      </c>
      <c r="J48" s="17" t="str" cm="1">
        <f t="array" ref="J48">SeCcolor($A$634:$A$644,I48)</f>
        <v/>
      </c>
      <c r="K48" s="22"/>
      <c r="L48" s="22"/>
      <c r="M48"/>
      <c r="N48"/>
    </row>
    <row r="49" spans="1:21" s="1" customFormat="1">
      <c r="A49" s="22" t="s">
        <v>252</v>
      </c>
      <c r="B49" s="1" t="s">
        <v>253</v>
      </c>
      <c r="C49" s="1" t="s">
        <v>254</v>
      </c>
      <c r="D49" s="12">
        <v>290</v>
      </c>
      <c r="E49" s="1" t="s">
        <v>90</v>
      </c>
      <c r="F49" s="1" t="s">
        <v>255</v>
      </c>
      <c r="G49" s="12">
        <v>20</v>
      </c>
      <c r="H49" s="13">
        <v>65</v>
      </c>
      <c r="I49" s="1" t="s">
        <v>256</v>
      </c>
      <c r="J49" s="17" t="str" cm="1">
        <f t="array" ref="J49">SeCcolor($A$634:$A$644,I49)</f>
        <v/>
      </c>
      <c r="K49" s="22"/>
      <c r="L49" s="22"/>
      <c r="M49" s="22"/>
      <c r="N49" s="22"/>
      <c r="O49" s="22"/>
      <c r="P49" s="22"/>
      <c r="Q49" s="22"/>
      <c r="R49" s="22"/>
      <c r="S49" s="22"/>
      <c r="T49" s="22"/>
      <c r="U49" s="22"/>
    </row>
    <row r="50" spans="1:21">
      <c r="A50" s="22" t="s">
        <v>257</v>
      </c>
      <c r="B50" s="1" t="s">
        <v>258</v>
      </c>
      <c r="C50" s="1" t="s">
        <v>259</v>
      </c>
      <c r="D50" s="12">
        <v>855</v>
      </c>
      <c r="E50" s="1" t="s">
        <v>19</v>
      </c>
      <c r="F50" s="1" t="s">
        <v>260</v>
      </c>
      <c r="G50" s="12">
        <v>25</v>
      </c>
      <c r="H50" s="13">
        <v>60</v>
      </c>
      <c r="I50" s="1" t="s">
        <v>261</v>
      </c>
      <c r="J50" s="17" t="str" cm="1">
        <f t="array" ref="J50">SeCcolor($A$634:$A$644,I50)</f>
        <v/>
      </c>
      <c r="O50" s="1"/>
      <c r="P50" s="1"/>
      <c r="Q50" s="1"/>
      <c r="R50" s="1"/>
      <c r="S50" s="1"/>
      <c r="T50" s="1"/>
      <c r="U50" s="1"/>
    </row>
    <row r="51" spans="1:21" s="1" customFormat="1">
      <c r="A51" s="22" t="s">
        <v>262</v>
      </c>
      <c r="B51" s="1" t="s">
        <v>263</v>
      </c>
      <c r="C51" s="1" t="s">
        <v>264</v>
      </c>
      <c r="D51" s="12">
        <v>41</v>
      </c>
      <c r="E51" s="1" t="s">
        <v>19</v>
      </c>
      <c r="F51" s="1" t="s">
        <v>265</v>
      </c>
      <c r="G51" s="12">
        <v>10</v>
      </c>
      <c r="H51" s="13">
        <v>59.9</v>
      </c>
      <c r="I51" s="1" t="s">
        <v>266</v>
      </c>
      <c r="J51" s="17" t="str" cm="1">
        <f t="array" ref="J51">SeCcolor($A$634:$A$644,I51)</f>
        <v/>
      </c>
      <c r="K51" s="22"/>
      <c r="L51" s="22"/>
      <c r="M51" s="22"/>
      <c r="N51" s="22"/>
      <c r="O51" s="2"/>
      <c r="P51" s="2"/>
      <c r="Q51" s="2"/>
      <c r="R51" s="2"/>
      <c r="S51" s="2"/>
      <c r="T51" s="2"/>
      <c r="U51" s="2"/>
    </row>
    <row r="52" spans="1:21" s="2" customFormat="1">
      <c r="A52" s="22" t="s">
        <v>267</v>
      </c>
      <c r="B52" s="1" t="s">
        <v>268</v>
      </c>
      <c r="C52" s="1" t="s">
        <v>269</v>
      </c>
      <c r="D52" s="12">
        <v>20</v>
      </c>
      <c r="E52" s="1" t="s">
        <v>270</v>
      </c>
      <c r="F52" s="1" t="s">
        <v>271</v>
      </c>
      <c r="G52" s="12">
        <v>20</v>
      </c>
      <c r="H52" s="13">
        <v>50</v>
      </c>
      <c r="I52" s="1" t="s">
        <v>272</v>
      </c>
      <c r="J52" s="17" t="str" cm="1">
        <f t="array" ref="J52">SeCcolor($A$634:$A$644,I52)</f>
        <v/>
      </c>
      <c r="K52" s="22"/>
      <c r="L52" s="22"/>
      <c r="M52"/>
      <c r="N52"/>
      <c r="O52" s="3"/>
      <c r="P52" s="3"/>
      <c r="Q52" s="3"/>
      <c r="R52" s="3"/>
      <c r="S52" s="3"/>
      <c r="T52" s="3"/>
      <c r="U52" s="3"/>
    </row>
    <row r="53" spans="1:21" s="3" customFormat="1">
      <c r="A53" s="22" t="s">
        <v>273</v>
      </c>
      <c r="B53" s="1" t="s">
        <v>274</v>
      </c>
      <c r="C53" s="1" t="s">
        <v>275</v>
      </c>
      <c r="D53" s="12">
        <v>78</v>
      </c>
      <c r="E53" s="1" t="s">
        <v>64</v>
      </c>
      <c r="F53" s="1" t="s">
        <v>276</v>
      </c>
      <c r="G53" s="12">
        <v>5</v>
      </c>
      <c r="H53" s="13">
        <v>50</v>
      </c>
      <c r="I53" s="1" t="s">
        <v>277</v>
      </c>
      <c r="J53" s="17" t="str" cm="1">
        <f t="array" ref="J53">SeCcolor($A$634:$A$644,I53)</f>
        <v/>
      </c>
      <c r="K53" s="22" t="s">
        <v>278</v>
      </c>
      <c r="L53" s="22"/>
      <c r="M53"/>
      <c r="N53"/>
      <c r="O53"/>
      <c r="P53"/>
      <c r="Q53"/>
      <c r="R53"/>
      <c r="S53"/>
      <c r="T53"/>
      <c r="U53"/>
    </row>
    <row r="54" spans="1:21" s="2" customFormat="1">
      <c r="A54" s="1" t="s">
        <v>279</v>
      </c>
      <c r="B54" s="1" t="s">
        <v>280</v>
      </c>
      <c r="C54" s="1" t="s">
        <v>281</v>
      </c>
      <c r="D54" s="12">
        <v>80</v>
      </c>
      <c r="E54" s="1" t="s">
        <v>19</v>
      </c>
      <c r="F54" s="1" t="s">
        <v>282</v>
      </c>
      <c r="G54" s="12">
        <v>10</v>
      </c>
      <c r="H54" s="13">
        <v>40</v>
      </c>
      <c r="I54" s="1" t="s">
        <v>283</v>
      </c>
      <c r="J54" s="17" t="str" cm="1">
        <f t="array" ref="J54">SeCcolor($A$634:$A$644,I54)</f>
        <v/>
      </c>
      <c r="K54" s="264"/>
      <c r="L54" s="17"/>
      <c r="M54"/>
      <c r="N54"/>
      <c r="O54"/>
      <c r="P54"/>
      <c r="Q54"/>
      <c r="R54"/>
      <c r="S54"/>
      <c r="T54"/>
      <c r="U54"/>
    </row>
    <row r="55" spans="1:21" s="2" customFormat="1">
      <c r="A55" s="22" t="s">
        <v>284</v>
      </c>
      <c r="B55" s="1" t="s">
        <v>285</v>
      </c>
      <c r="C55" s="1" t="s">
        <v>286</v>
      </c>
      <c r="D55" s="12">
        <v>94</v>
      </c>
      <c r="E55" s="1" t="s">
        <v>64</v>
      </c>
      <c r="F55" s="1" t="s">
        <v>287</v>
      </c>
      <c r="G55" s="12">
        <v>10</v>
      </c>
      <c r="H55" s="13">
        <v>50</v>
      </c>
      <c r="I55" s="1" t="s">
        <v>288</v>
      </c>
      <c r="J55" s="17" t="str" cm="1">
        <f t="array" ref="J55">SeCcolor($A$634:$A$644,I55)</f>
        <v/>
      </c>
      <c r="K55" s="22"/>
      <c r="L55" s="22"/>
      <c r="M55"/>
      <c r="N55"/>
      <c r="O55"/>
      <c r="P55"/>
      <c r="Q55"/>
      <c r="R55"/>
      <c r="S55"/>
      <c r="T55"/>
      <c r="U55"/>
    </row>
    <row r="56" spans="1:21" s="2" customFormat="1">
      <c r="A56" s="22" t="s">
        <v>196</v>
      </c>
      <c r="B56" s="1" t="s">
        <v>289</v>
      </c>
      <c r="C56" s="1" t="s">
        <v>290</v>
      </c>
      <c r="D56" s="12">
        <v>54</v>
      </c>
      <c r="E56" s="1" t="s">
        <v>19</v>
      </c>
      <c r="F56" s="1" t="s">
        <v>291</v>
      </c>
      <c r="G56" s="12">
        <v>30</v>
      </c>
      <c r="H56" s="13">
        <v>99.9</v>
      </c>
      <c r="I56" s="1" t="s">
        <v>292</v>
      </c>
      <c r="J56" s="17" t="str" cm="1">
        <f t="array" ref="J56">SeCcolor($A$634:$A$644,I56)</f>
        <v/>
      </c>
      <c r="K56" s="22"/>
      <c r="L56" s="22"/>
      <c r="M56"/>
      <c r="N56"/>
      <c r="O56"/>
      <c r="P56"/>
      <c r="Q56"/>
      <c r="R56"/>
      <c r="S56"/>
      <c r="T56"/>
      <c r="U56"/>
    </row>
    <row r="57" spans="1:21" s="3" customFormat="1">
      <c r="A57" s="22" t="s">
        <v>293</v>
      </c>
      <c r="B57" s="1" t="s">
        <v>294</v>
      </c>
      <c r="C57" s="1" t="s">
        <v>295</v>
      </c>
      <c r="D57" s="12">
        <v>35</v>
      </c>
      <c r="E57" s="1" t="s">
        <v>70</v>
      </c>
      <c r="F57" s="1" t="s">
        <v>296</v>
      </c>
      <c r="G57" s="12">
        <v>5</v>
      </c>
      <c r="H57" s="13">
        <v>50</v>
      </c>
      <c r="I57" s="1" t="s">
        <v>297</v>
      </c>
      <c r="J57" s="17" t="str" cm="1">
        <f t="array" ref="J57">SeCcolor($A$634:$A$644,I57)</f>
        <v/>
      </c>
      <c r="K57" s="22"/>
      <c r="L57" s="22"/>
      <c r="M57"/>
      <c r="N57"/>
      <c r="O57"/>
      <c r="P57"/>
      <c r="Q57"/>
      <c r="R57"/>
      <c r="S57"/>
      <c r="T57"/>
      <c r="U57"/>
    </row>
    <row r="58" spans="1:21">
      <c r="A58" s="22" t="s">
        <v>82</v>
      </c>
      <c r="B58" s="1" t="s">
        <v>298</v>
      </c>
      <c r="C58" s="1" t="s">
        <v>299</v>
      </c>
      <c r="D58" s="12">
        <v>393</v>
      </c>
      <c r="E58" s="1" t="s">
        <v>19</v>
      </c>
      <c r="F58" s="1">
        <v>999126112</v>
      </c>
      <c r="G58" s="12">
        <v>10</v>
      </c>
      <c r="H58" s="13">
        <v>60</v>
      </c>
      <c r="I58" s="1" t="s">
        <v>300</v>
      </c>
      <c r="J58" s="17" t="str" cm="1">
        <f t="array" ref="J58">SeCcolor($A$634:$A$644,I58)</f>
        <v/>
      </c>
      <c r="L58" s="17"/>
    </row>
    <row r="59" spans="1:21" s="2" customFormat="1">
      <c r="A59" s="22" t="s">
        <v>301</v>
      </c>
      <c r="B59" s="1" t="s">
        <v>302</v>
      </c>
      <c r="C59" s="1" t="s">
        <v>303</v>
      </c>
      <c r="D59" s="12">
        <v>108</v>
      </c>
      <c r="E59" s="1" t="s">
        <v>19</v>
      </c>
      <c r="F59" s="1" t="s">
        <v>304</v>
      </c>
      <c r="G59" s="12">
        <v>10</v>
      </c>
      <c r="H59" s="13">
        <v>39.9</v>
      </c>
      <c r="I59" s="1" t="s">
        <v>305</v>
      </c>
      <c r="J59" s="17" t="str" cm="1">
        <f t="array" ref="J59">SeCcolor($A$634:$A$644,I59)</f>
        <v/>
      </c>
      <c r="K59" s="22" t="s">
        <v>278</v>
      </c>
      <c r="L59" s="22"/>
      <c r="M59"/>
      <c r="N59"/>
      <c r="O59"/>
      <c r="P59"/>
      <c r="Q59"/>
      <c r="R59"/>
      <c r="S59"/>
      <c r="T59"/>
      <c r="U59"/>
    </row>
    <row r="60" spans="1:21">
      <c r="A60" s="1" t="s">
        <v>306</v>
      </c>
      <c r="B60" s="1" t="s">
        <v>307</v>
      </c>
      <c r="C60" s="1" t="s">
        <v>308</v>
      </c>
      <c r="D60" s="12">
        <v>278</v>
      </c>
      <c r="E60" s="1" t="s">
        <v>19</v>
      </c>
      <c r="F60" s="1" t="s">
        <v>309</v>
      </c>
      <c r="G60" s="12">
        <v>15</v>
      </c>
      <c r="H60" s="13">
        <v>40</v>
      </c>
      <c r="I60" s="1" t="s">
        <v>310</v>
      </c>
      <c r="J60" s="17" t="str" cm="1">
        <f t="array" ref="J60">SeCcolor($A$634:$A$644,I60)</f>
        <v/>
      </c>
    </row>
    <row r="61" spans="1:21">
      <c r="A61" s="22" t="s">
        <v>311</v>
      </c>
      <c r="B61" s="1" t="s">
        <v>312</v>
      </c>
      <c r="C61" s="1" t="s">
        <v>313</v>
      </c>
      <c r="D61" s="12">
        <v>24</v>
      </c>
      <c r="E61" s="1" t="s">
        <v>314</v>
      </c>
      <c r="F61" s="1" t="s">
        <v>315</v>
      </c>
      <c r="G61" s="12">
        <v>10</v>
      </c>
      <c r="H61" s="13">
        <v>60</v>
      </c>
      <c r="I61" s="1" t="s">
        <v>316</v>
      </c>
      <c r="J61" s="17" t="str" cm="1">
        <f t="array" ref="J61">SeCcolor($A$634:$A$644,I61)</f>
        <v/>
      </c>
      <c r="O61" s="3"/>
      <c r="P61" s="3"/>
      <c r="Q61" s="3"/>
      <c r="R61" s="3"/>
      <c r="S61" s="3"/>
      <c r="T61" s="3"/>
      <c r="U61" s="3"/>
    </row>
    <row r="62" spans="1:21" s="1" customFormat="1">
      <c r="A62" s="22" t="s">
        <v>317</v>
      </c>
      <c r="B62" s="1" t="s">
        <v>318</v>
      </c>
      <c r="C62" s="1" t="s">
        <v>319</v>
      </c>
      <c r="D62" s="12">
        <v>59</v>
      </c>
      <c r="E62" s="1" t="s">
        <v>320</v>
      </c>
      <c r="F62" s="1" t="s">
        <v>321</v>
      </c>
      <c r="G62" s="12">
        <v>15</v>
      </c>
      <c r="H62" s="13">
        <v>40</v>
      </c>
      <c r="I62" s="1" t="s">
        <v>322</v>
      </c>
      <c r="J62" s="17" t="str" cm="1">
        <f t="array" ref="J62">SeCcolor($A$634:$A$644,I62)</f>
        <v/>
      </c>
      <c r="K62" s="22" t="s">
        <v>278</v>
      </c>
      <c r="L62" s="22"/>
      <c r="M62"/>
      <c r="N62"/>
      <c r="O62"/>
      <c r="P62"/>
      <c r="Q62"/>
      <c r="R62"/>
      <c r="S62"/>
      <c r="T62"/>
      <c r="U62"/>
    </row>
    <row r="63" spans="1:21">
      <c r="A63" s="22" t="s">
        <v>134</v>
      </c>
      <c r="B63" s="1" t="s">
        <v>323</v>
      </c>
      <c r="C63" s="1" t="s">
        <v>324</v>
      </c>
      <c r="D63" s="12">
        <v>108</v>
      </c>
      <c r="E63" s="1" t="s">
        <v>325</v>
      </c>
      <c r="F63" s="1" t="s">
        <v>326</v>
      </c>
      <c r="G63" s="12">
        <v>20</v>
      </c>
      <c r="H63" s="13">
        <v>50</v>
      </c>
      <c r="I63" s="1" t="s">
        <v>327</v>
      </c>
      <c r="J63" s="17" t="str" cm="1">
        <f t="array" ref="J63">SeCcolor($A$634:$A$644,I63)</f>
        <v/>
      </c>
      <c r="M63" s="207" t="s">
        <v>328</v>
      </c>
      <c r="N63" s="22"/>
      <c r="O63" s="2"/>
      <c r="P63" s="2"/>
      <c r="Q63" s="2"/>
      <c r="R63" s="2"/>
      <c r="S63" s="2"/>
      <c r="T63" s="2"/>
      <c r="U63" s="2"/>
    </row>
    <row r="64" spans="1:21">
      <c r="A64" s="22" t="s">
        <v>329</v>
      </c>
      <c r="B64" s="1" t="s">
        <v>330</v>
      </c>
      <c r="C64" s="1" t="s">
        <v>331</v>
      </c>
      <c r="D64" s="12">
        <v>290</v>
      </c>
      <c r="E64" s="1" t="s">
        <v>70</v>
      </c>
      <c r="F64" s="1" t="s">
        <v>332</v>
      </c>
      <c r="G64" s="12">
        <v>30</v>
      </c>
      <c r="H64" s="13">
        <v>60</v>
      </c>
      <c r="I64" s="1" t="s">
        <v>333</v>
      </c>
      <c r="J64" s="17" t="str" cm="1">
        <f t="array" ref="J64">SeCcolor($A$634:$A$644,I64)</f>
        <v/>
      </c>
    </row>
    <row r="65" spans="1:21" s="1" customFormat="1">
      <c r="A65" s="22" t="s">
        <v>334</v>
      </c>
      <c r="B65" s="1" t="s">
        <v>335</v>
      </c>
      <c r="C65" s="1" t="s">
        <v>336</v>
      </c>
      <c r="E65" s="1" t="s">
        <v>19</v>
      </c>
      <c r="F65" s="1" t="s">
        <v>337</v>
      </c>
      <c r="G65" s="12">
        <v>10</v>
      </c>
      <c r="H65" s="13">
        <v>0</v>
      </c>
      <c r="I65" s="1" t="s">
        <v>338</v>
      </c>
      <c r="J65" s="17" t="str" cm="1">
        <f t="array" ref="J65">SeCcolor($A$634:$A$644,I65)</f>
        <v/>
      </c>
      <c r="K65" s="264"/>
      <c r="L65" s="17"/>
      <c r="M65"/>
      <c r="N65"/>
      <c r="O65"/>
      <c r="P65"/>
      <c r="Q65"/>
      <c r="R65"/>
      <c r="S65"/>
      <c r="T65"/>
      <c r="U65"/>
    </row>
    <row r="66" spans="1:21" s="2" customFormat="1">
      <c r="A66" s="22" t="s">
        <v>339</v>
      </c>
      <c r="B66" s="1" t="s">
        <v>340</v>
      </c>
      <c r="C66" s="1" t="s">
        <v>341</v>
      </c>
      <c r="D66" s="12">
        <v>120</v>
      </c>
      <c r="E66" s="1" t="s">
        <v>70</v>
      </c>
      <c r="F66" s="1" t="s">
        <v>342</v>
      </c>
      <c r="G66" s="12">
        <v>20</v>
      </c>
      <c r="H66" s="13">
        <v>70</v>
      </c>
      <c r="I66" s="1" t="s">
        <v>343</v>
      </c>
      <c r="J66" s="17" t="str" cm="1">
        <f t="array" ref="J66">SeCcolor($A$634:$A$644,I66)</f>
        <v/>
      </c>
      <c r="K66" s="22"/>
      <c r="L66" s="22"/>
      <c r="M66"/>
      <c r="N66"/>
      <c r="O66"/>
      <c r="P66"/>
      <c r="Q66"/>
      <c r="R66"/>
      <c r="S66"/>
      <c r="T66"/>
      <c r="U66"/>
    </row>
    <row r="67" spans="1:21" s="3" customFormat="1">
      <c r="A67" s="22" t="s">
        <v>344</v>
      </c>
      <c r="B67" s="1" t="s">
        <v>345</v>
      </c>
      <c r="C67" s="1" t="s">
        <v>346</v>
      </c>
      <c r="D67" s="12">
        <v>147</v>
      </c>
      <c r="E67" s="1" t="s">
        <v>19</v>
      </c>
      <c r="F67" s="1" t="s">
        <v>347</v>
      </c>
      <c r="G67" s="12">
        <v>10</v>
      </c>
      <c r="H67" s="13">
        <v>40</v>
      </c>
      <c r="I67" s="1" t="s">
        <v>348</v>
      </c>
      <c r="J67" s="17" t="str" cm="1">
        <f t="array" ref="J67">SeCcolor($A$634:$A$644,I67)</f>
        <v/>
      </c>
      <c r="K67" s="22"/>
      <c r="L67" s="22"/>
      <c r="M67"/>
      <c r="N67"/>
      <c r="O67"/>
      <c r="P67"/>
      <c r="Q67"/>
      <c r="R67"/>
      <c r="S67"/>
      <c r="T67"/>
      <c r="U67"/>
    </row>
    <row r="68" spans="1:21" s="1" customFormat="1">
      <c r="A68" s="22" t="s">
        <v>349</v>
      </c>
      <c r="B68" s="1" t="s">
        <v>350</v>
      </c>
      <c r="C68" s="1" t="s">
        <v>351</v>
      </c>
      <c r="D68" s="12">
        <v>90</v>
      </c>
      <c r="E68" s="1" t="s">
        <v>105</v>
      </c>
      <c r="F68" s="1" t="s">
        <v>352</v>
      </c>
      <c r="G68" s="12">
        <v>10</v>
      </c>
      <c r="H68" s="13">
        <v>50</v>
      </c>
      <c r="I68" s="1" t="s">
        <v>353</v>
      </c>
      <c r="J68" s="17" t="str" cm="1">
        <f t="array" ref="J68">SeCcolor($A$634:$A$644,I68)</f>
        <v/>
      </c>
      <c r="K68" s="17"/>
      <c r="L68" s="22"/>
      <c r="M68"/>
      <c r="N68"/>
      <c r="O68"/>
      <c r="P68"/>
      <c r="Q68"/>
      <c r="R68"/>
      <c r="S68"/>
      <c r="T68"/>
      <c r="U68"/>
    </row>
    <row r="69" spans="1:21" s="2" customFormat="1">
      <c r="A69" s="22" t="s">
        <v>354</v>
      </c>
      <c r="B69" s="1" t="s">
        <v>355</v>
      </c>
      <c r="C69" s="1" t="s">
        <v>356</v>
      </c>
      <c r="D69" s="12">
        <v>60</v>
      </c>
      <c r="E69" s="1" t="s">
        <v>357</v>
      </c>
      <c r="F69" s="1">
        <v>999244127</v>
      </c>
      <c r="G69" s="12">
        <v>10</v>
      </c>
      <c r="H69" s="13">
        <v>70</v>
      </c>
      <c r="I69" s="1" t="s">
        <v>358</v>
      </c>
      <c r="J69" s="17" t="str" cm="1">
        <f t="array" ref="J69">SeCcolor($A$634:$A$644,I69)</f>
        <v/>
      </c>
      <c r="K69" s="22"/>
      <c r="L69" s="22"/>
      <c r="M69"/>
      <c r="N69"/>
      <c r="O69"/>
      <c r="P69"/>
      <c r="Q69"/>
      <c r="R69"/>
      <c r="S69"/>
      <c r="T69"/>
      <c r="U69"/>
    </row>
    <row r="70" spans="1:21">
      <c r="A70" s="22" t="s">
        <v>359</v>
      </c>
      <c r="B70" s="1" t="s">
        <v>360</v>
      </c>
      <c r="C70" s="1" t="s">
        <v>361</v>
      </c>
      <c r="D70" s="12">
        <v>35</v>
      </c>
      <c r="E70" s="1" t="s">
        <v>270</v>
      </c>
      <c r="F70" s="1" t="s">
        <v>362</v>
      </c>
      <c r="G70" s="12">
        <v>5</v>
      </c>
      <c r="H70" s="13">
        <v>50</v>
      </c>
      <c r="I70" s="1" t="s">
        <v>363</v>
      </c>
      <c r="J70" s="17" t="str" cm="1">
        <f t="array" ref="J70">SeCcolor($A$634:$A$644,I70)</f>
        <v/>
      </c>
      <c r="O70" s="2"/>
      <c r="P70" s="2"/>
      <c r="Q70" s="2"/>
      <c r="R70" s="2"/>
      <c r="S70" s="2"/>
      <c r="T70" s="2"/>
      <c r="U70" s="2"/>
    </row>
    <row r="71" spans="1:21">
      <c r="A71" s="22" t="s">
        <v>364</v>
      </c>
      <c r="B71" s="1" t="s">
        <v>365</v>
      </c>
      <c r="C71" s="1" t="s">
        <v>366</v>
      </c>
      <c r="D71" s="1"/>
      <c r="E71" s="1" t="s">
        <v>19</v>
      </c>
      <c r="F71" s="1" t="s">
        <v>367</v>
      </c>
      <c r="G71" s="12">
        <v>10</v>
      </c>
      <c r="H71" s="13">
        <v>0</v>
      </c>
      <c r="I71" s="1" t="s">
        <v>368</v>
      </c>
      <c r="J71" s="17" t="str" cm="1">
        <f t="array" ref="J71">SeCcolor($A$634:$A$644,I71)</f>
        <v/>
      </c>
    </row>
    <row r="72" spans="1:21">
      <c r="A72" s="1" t="s">
        <v>369</v>
      </c>
      <c r="B72" s="1" t="s">
        <v>370</v>
      </c>
      <c r="C72" s="1" t="s">
        <v>371</v>
      </c>
      <c r="D72" s="12">
        <v>80</v>
      </c>
      <c r="E72" s="1" t="s">
        <v>19</v>
      </c>
      <c r="F72" s="1" t="s">
        <v>372</v>
      </c>
      <c r="G72" s="12">
        <v>20</v>
      </c>
      <c r="H72" s="13">
        <v>40</v>
      </c>
      <c r="I72" s="1" t="s">
        <v>373</v>
      </c>
      <c r="J72" s="17" t="str" cm="1">
        <f t="array" ref="J72">SeCcolor($A$634:$A$644,I72)</f>
        <v/>
      </c>
      <c r="L72" s="17"/>
    </row>
    <row r="73" spans="1:21">
      <c r="A73" s="22" t="s">
        <v>374</v>
      </c>
      <c r="B73" s="1" t="s">
        <v>375</v>
      </c>
      <c r="C73" s="1" t="s">
        <v>376</v>
      </c>
      <c r="D73" s="12">
        <v>310</v>
      </c>
      <c r="E73" s="1" t="s">
        <v>220</v>
      </c>
      <c r="F73" s="1" t="s">
        <v>377</v>
      </c>
      <c r="G73" s="12">
        <v>25</v>
      </c>
      <c r="H73" s="13">
        <v>60</v>
      </c>
      <c r="I73" s="1" t="s">
        <v>378</v>
      </c>
      <c r="J73" s="17" t="str" cm="1">
        <f t="array" ref="J73">SeCcolor($A$634:$A$644,I73)</f>
        <v/>
      </c>
      <c r="O73" s="2"/>
      <c r="P73" s="2"/>
      <c r="Q73" s="2"/>
      <c r="R73" s="2"/>
      <c r="S73" s="2"/>
      <c r="T73" s="2"/>
      <c r="U73" s="2"/>
    </row>
    <row r="74" spans="1:21">
      <c r="A74" s="22" t="s">
        <v>82</v>
      </c>
      <c r="B74" s="1" t="s">
        <v>379</v>
      </c>
      <c r="C74" s="1" t="s">
        <v>380</v>
      </c>
      <c r="D74" s="12">
        <v>150</v>
      </c>
      <c r="E74" s="1" t="s">
        <v>19</v>
      </c>
      <c r="F74" s="1" t="s">
        <v>381</v>
      </c>
      <c r="G74" s="12">
        <v>20</v>
      </c>
      <c r="H74" s="13">
        <v>70</v>
      </c>
      <c r="I74" s="1" t="s">
        <v>382</v>
      </c>
      <c r="J74" s="17" t="str" cm="1">
        <f t="array" ref="J74">SeCcolor($A$634:$A$644,I74)</f>
        <v/>
      </c>
    </row>
    <row r="75" spans="1:21">
      <c r="A75" s="22" t="s">
        <v>383</v>
      </c>
      <c r="B75" s="1" t="s">
        <v>384</v>
      </c>
      <c r="C75" s="1" t="s">
        <v>286</v>
      </c>
      <c r="D75" s="12">
        <v>88</v>
      </c>
      <c r="E75" s="1" t="s">
        <v>64</v>
      </c>
      <c r="F75" s="1" t="s">
        <v>385</v>
      </c>
      <c r="G75" s="12">
        <v>20</v>
      </c>
      <c r="H75" s="13">
        <v>70</v>
      </c>
      <c r="I75" s="1" t="s">
        <v>386</v>
      </c>
      <c r="J75" s="17" t="str" cm="1">
        <f t="array" ref="J75">SeCcolor($A$634:$A$644,I75)</f>
        <v/>
      </c>
      <c r="O75" s="3"/>
      <c r="P75" s="3"/>
      <c r="Q75" s="3"/>
      <c r="R75" s="3"/>
      <c r="S75" s="3"/>
      <c r="T75" s="3"/>
      <c r="U75" s="3"/>
    </row>
    <row r="76" spans="1:21">
      <c r="A76" s="22" t="s">
        <v>387</v>
      </c>
      <c r="B76" s="1" t="s">
        <v>388</v>
      </c>
      <c r="C76" s="1" t="s">
        <v>389</v>
      </c>
      <c r="D76" s="12">
        <v>30</v>
      </c>
      <c r="E76" s="1" t="s">
        <v>25</v>
      </c>
      <c r="F76" s="1" t="s">
        <v>390</v>
      </c>
      <c r="G76" s="12">
        <v>25</v>
      </c>
      <c r="H76" s="13">
        <v>100</v>
      </c>
      <c r="I76" s="1" t="s">
        <v>391</v>
      </c>
      <c r="J76" s="17" t="str" cm="1">
        <f t="array" ref="J76">SeCcolor($A$634:$A$644,I76)</f>
        <v/>
      </c>
      <c r="M76" s="2"/>
      <c r="N76" s="2"/>
      <c r="O76" s="2"/>
      <c r="P76" s="2"/>
      <c r="Q76" s="2"/>
      <c r="R76" s="2"/>
      <c r="S76" s="2"/>
      <c r="T76" s="2"/>
      <c r="U76" s="2"/>
    </row>
    <row r="77" spans="1:21" s="2" customFormat="1">
      <c r="A77" s="22" t="s">
        <v>392</v>
      </c>
      <c r="B77" s="1" t="s">
        <v>393</v>
      </c>
      <c r="C77" s="1" t="s">
        <v>193</v>
      </c>
      <c r="D77" s="12">
        <v>117</v>
      </c>
      <c r="E77" s="1" t="s">
        <v>19</v>
      </c>
      <c r="F77" s="1">
        <v>9999165004</v>
      </c>
      <c r="G77" s="12">
        <v>10</v>
      </c>
      <c r="H77" s="13">
        <v>70</v>
      </c>
      <c r="I77" s="1" t="s">
        <v>394</v>
      </c>
      <c r="J77" s="17" t="str" cm="1">
        <f t="array" ref="J77">SeCcolor($A$634:$A$644,I77)</f>
        <v/>
      </c>
      <c r="K77" s="22"/>
      <c r="L77" s="22"/>
      <c r="M77"/>
      <c r="N77"/>
      <c r="O77" s="1"/>
      <c r="P77" s="1"/>
      <c r="Q77" s="1"/>
      <c r="R77" s="1"/>
      <c r="S77" s="1"/>
      <c r="T77" s="1"/>
      <c r="U77" s="1"/>
    </row>
    <row r="78" spans="1:21" s="2" customFormat="1">
      <c r="A78" s="22" t="s">
        <v>395</v>
      </c>
      <c r="B78" s="1" t="s">
        <v>396</v>
      </c>
      <c r="C78" s="1" t="s">
        <v>397</v>
      </c>
      <c r="D78" s="12">
        <v>91</v>
      </c>
      <c r="E78" s="1" t="s">
        <v>19</v>
      </c>
      <c r="F78" s="1" t="s">
        <v>398</v>
      </c>
      <c r="G78" s="12">
        <v>5</v>
      </c>
      <c r="H78" s="13">
        <v>60</v>
      </c>
      <c r="I78" s="1" t="s">
        <v>399</v>
      </c>
      <c r="J78" s="17" t="str" cm="1">
        <f t="array" ref="J78">SeCcolor($A$634:$A$644,I78)</f>
        <v/>
      </c>
      <c r="K78" s="22"/>
      <c r="L78" s="17"/>
      <c r="M78" t="s">
        <v>400</v>
      </c>
      <c r="N78"/>
      <c r="O78" s="1"/>
      <c r="P78" s="1"/>
      <c r="Q78" s="1"/>
      <c r="R78" s="1"/>
      <c r="S78" s="1"/>
      <c r="T78" s="1"/>
      <c r="U78" s="1"/>
    </row>
    <row r="79" spans="1:21" s="2" customFormat="1">
      <c r="A79" s="207" t="s">
        <v>401</v>
      </c>
      <c r="B79" s="14" t="s">
        <v>402</v>
      </c>
      <c r="C79" s="14" t="s">
        <v>403</v>
      </c>
      <c r="D79" s="200">
        <v>790</v>
      </c>
      <c r="E79" s="14" t="s">
        <v>19</v>
      </c>
      <c r="F79" s="14" t="s">
        <v>404</v>
      </c>
      <c r="G79" s="200">
        <v>30</v>
      </c>
      <c r="H79" s="201">
        <v>140</v>
      </c>
      <c r="I79" s="14" t="s">
        <v>405</v>
      </c>
      <c r="J79" s="17" t="str" cm="1">
        <f t="array" ref="J79">SeCcolor($A$634:$A$644,I79)</f>
        <v/>
      </c>
      <c r="K79" s="22"/>
      <c r="L79" s="22"/>
      <c r="M79"/>
      <c r="N79"/>
      <c r="O79" s="22"/>
      <c r="P79" s="22"/>
      <c r="Q79" s="22"/>
      <c r="R79" s="22"/>
      <c r="S79" s="22"/>
      <c r="T79" s="22"/>
      <c r="U79" s="22"/>
    </row>
    <row r="80" spans="1:21" s="2" customFormat="1">
      <c r="A80" s="22" t="s">
        <v>406</v>
      </c>
      <c r="B80" s="1" t="s">
        <v>407</v>
      </c>
      <c r="C80" s="1" t="s">
        <v>408</v>
      </c>
      <c r="D80" s="12">
        <v>132</v>
      </c>
      <c r="E80" s="1" t="s">
        <v>70</v>
      </c>
      <c r="F80" s="1" t="s">
        <v>409</v>
      </c>
      <c r="G80" s="12">
        <v>10</v>
      </c>
      <c r="H80" s="13">
        <v>60</v>
      </c>
      <c r="I80" s="1" t="s">
        <v>410</v>
      </c>
      <c r="J80" s="17" t="str" cm="1">
        <f t="array" ref="J80">SeCcolor($A$634:$A$644,I80)</f>
        <v/>
      </c>
      <c r="K80" s="22"/>
      <c r="L80" s="22"/>
      <c r="M80" s="156" t="s">
        <v>411</v>
      </c>
      <c r="N80" s="156"/>
      <c r="O80" s="1"/>
      <c r="P80" s="1"/>
      <c r="Q80" s="1"/>
      <c r="R80" s="1"/>
      <c r="S80" s="1"/>
      <c r="T80" s="1"/>
      <c r="U80" s="1"/>
    </row>
    <row r="81" spans="1:21" s="1" customFormat="1">
      <c r="A81" s="22" t="s">
        <v>412</v>
      </c>
      <c r="B81" s="1" t="s">
        <v>413</v>
      </c>
      <c r="C81" s="1" t="s">
        <v>414</v>
      </c>
      <c r="D81" s="12">
        <v>146</v>
      </c>
      <c r="E81" s="1" t="s">
        <v>19</v>
      </c>
      <c r="F81" s="1" t="s">
        <v>415</v>
      </c>
      <c r="G81" s="12">
        <v>20</v>
      </c>
      <c r="H81" s="13">
        <v>70</v>
      </c>
      <c r="I81" s="1" t="s">
        <v>416</v>
      </c>
      <c r="J81" s="17" t="str" cm="1">
        <f t="array" ref="J81">SeCcolor($A$634:$A$644,I81)</f>
        <v/>
      </c>
      <c r="K81" s="22"/>
      <c r="L81" s="22"/>
      <c r="M81"/>
      <c r="N81"/>
      <c r="O81"/>
      <c r="P81"/>
      <c r="Q81"/>
      <c r="R81"/>
      <c r="S81"/>
      <c r="T81"/>
      <c r="U81"/>
    </row>
    <row r="82" spans="1:21">
      <c r="A82" s="22" t="s">
        <v>417</v>
      </c>
      <c r="B82" s="1" t="s">
        <v>418</v>
      </c>
      <c r="C82" s="1" t="s">
        <v>419</v>
      </c>
      <c r="D82" s="12">
        <v>110</v>
      </c>
      <c r="E82" s="1" t="s">
        <v>127</v>
      </c>
      <c r="F82" s="1" t="s">
        <v>420</v>
      </c>
      <c r="G82" s="12">
        <v>10</v>
      </c>
      <c r="H82" s="13">
        <v>70</v>
      </c>
      <c r="I82" s="1" t="s">
        <v>421</v>
      </c>
      <c r="J82" s="17" t="str" cm="1">
        <f t="array" ref="J82">SeCcolor($A$634:$A$644,I82)</f>
        <v/>
      </c>
    </row>
    <row r="83" spans="1:21" s="3" customFormat="1">
      <c r="A83" s="22" t="s">
        <v>422</v>
      </c>
      <c r="B83" s="1" t="s">
        <v>423</v>
      </c>
      <c r="C83" s="1" t="s">
        <v>424</v>
      </c>
      <c r="D83" s="12">
        <v>395</v>
      </c>
      <c r="E83" s="1" t="s">
        <v>19</v>
      </c>
      <c r="F83" s="1" t="s">
        <v>425</v>
      </c>
      <c r="G83" s="12">
        <v>10</v>
      </c>
      <c r="H83" s="13">
        <v>75.900000000000006</v>
      </c>
      <c r="I83" s="1" t="s">
        <v>426</v>
      </c>
      <c r="J83" s="17" t="str" cm="1">
        <f t="array" ref="J83">SeCcolor($A$634:$A$644,I83)</f>
        <v/>
      </c>
      <c r="K83" s="22"/>
      <c r="L83" s="22"/>
      <c r="M83" s="2"/>
      <c r="N83" s="2"/>
      <c r="O83"/>
      <c r="P83"/>
      <c r="Q83"/>
      <c r="R83"/>
      <c r="S83"/>
      <c r="T83"/>
      <c r="U83"/>
    </row>
    <row r="84" spans="1:21" s="2" customFormat="1">
      <c r="A84" s="22" t="s">
        <v>427</v>
      </c>
      <c r="B84" s="1" t="s">
        <v>428</v>
      </c>
      <c r="C84" s="1" t="s">
        <v>380</v>
      </c>
      <c r="D84" s="12">
        <v>150</v>
      </c>
      <c r="E84" s="1" t="s">
        <v>19</v>
      </c>
      <c r="F84" s="1" t="s">
        <v>429</v>
      </c>
      <c r="G84" s="12">
        <v>15</v>
      </c>
      <c r="H84" s="13">
        <v>60</v>
      </c>
      <c r="I84" s="1" t="s">
        <v>430</v>
      </c>
      <c r="J84" s="17" t="str" cm="1">
        <f t="array" ref="J84">SeCcolor($A$634:$A$644,I84)</f>
        <v/>
      </c>
      <c r="K84" s="22"/>
      <c r="L84" s="22"/>
      <c r="M84"/>
      <c r="N84"/>
      <c r="O84"/>
      <c r="P84"/>
      <c r="Q84"/>
      <c r="R84"/>
      <c r="S84"/>
      <c r="T84"/>
      <c r="U84"/>
    </row>
    <row r="85" spans="1:21" s="2" customFormat="1">
      <c r="A85" s="22" t="s">
        <v>431</v>
      </c>
      <c r="B85" s="1" t="s">
        <v>432</v>
      </c>
      <c r="C85" s="1" t="s">
        <v>433</v>
      </c>
      <c r="D85" s="12">
        <v>122</v>
      </c>
      <c r="E85" s="1" t="s">
        <v>90</v>
      </c>
      <c r="F85" s="1" t="s">
        <v>434</v>
      </c>
      <c r="G85" s="12">
        <v>15</v>
      </c>
      <c r="H85" s="13">
        <v>70</v>
      </c>
      <c r="I85" s="1" t="s">
        <v>435</v>
      </c>
      <c r="J85" s="17" t="str" cm="1">
        <f t="array" ref="J85">SeCcolor($A$634:$A$644,I85)</f>
        <v/>
      </c>
      <c r="K85" s="22"/>
      <c r="L85" s="22"/>
      <c r="M85"/>
      <c r="N85"/>
      <c r="O85" s="1"/>
      <c r="P85" s="1"/>
      <c r="Q85" s="1"/>
      <c r="R85" s="1"/>
      <c r="S85" s="1"/>
      <c r="T85" s="1"/>
      <c r="U85" s="1"/>
    </row>
    <row r="86" spans="1:21" s="1" customFormat="1">
      <c r="A86" s="22" t="s">
        <v>436</v>
      </c>
      <c r="B86" s="1" t="s">
        <v>437</v>
      </c>
      <c r="C86" s="1" t="s">
        <v>438</v>
      </c>
      <c r="D86" s="12">
        <v>120</v>
      </c>
      <c r="E86" s="1" t="s">
        <v>19</v>
      </c>
      <c r="F86" s="12">
        <v>9998076430</v>
      </c>
      <c r="G86" s="12">
        <v>15</v>
      </c>
      <c r="H86" s="13">
        <v>60</v>
      </c>
      <c r="I86" s="1" t="s">
        <v>439</v>
      </c>
      <c r="J86" s="17" t="str" cm="1">
        <f t="array" ref="J86">SeCcolor($A$634:$A$644,I86)</f>
        <v/>
      </c>
      <c r="K86" s="22"/>
      <c r="L86" s="17"/>
      <c r="M86"/>
      <c r="N86"/>
      <c r="O86"/>
      <c r="P86"/>
      <c r="Q86"/>
      <c r="R86"/>
      <c r="S86"/>
      <c r="T86"/>
      <c r="U86"/>
    </row>
    <row r="87" spans="1:21" s="1" customFormat="1">
      <c r="A87" s="22" t="s">
        <v>401</v>
      </c>
      <c r="B87" s="1" t="s">
        <v>440</v>
      </c>
      <c r="C87" s="1" t="s">
        <v>441</v>
      </c>
      <c r="D87" s="12">
        <v>116</v>
      </c>
      <c r="E87" s="1" t="s">
        <v>19</v>
      </c>
      <c r="F87" s="1" t="s">
        <v>442</v>
      </c>
      <c r="G87" s="12">
        <v>10</v>
      </c>
      <c r="H87" s="13">
        <v>135</v>
      </c>
      <c r="I87" s="1" t="s">
        <v>443</v>
      </c>
      <c r="J87" s="17" t="str" cm="1">
        <f t="array" ref="J87">SeCcolor($A$634:$A$644,I87)</f>
        <v/>
      </c>
      <c r="K87" s="22"/>
      <c r="L87" s="22"/>
      <c r="M87"/>
      <c r="N87"/>
      <c r="O87"/>
      <c r="P87"/>
      <c r="Q87"/>
      <c r="R87"/>
      <c r="S87"/>
      <c r="T87"/>
      <c r="U87"/>
    </row>
    <row r="88" spans="1:21" s="1" customFormat="1">
      <c r="A88" s="22" t="s">
        <v>444</v>
      </c>
      <c r="B88" s="1" t="s">
        <v>445</v>
      </c>
      <c r="C88" s="1" t="s">
        <v>446</v>
      </c>
      <c r="D88" s="12">
        <v>657</v>
      </c>
      <c r="E88" s="1" t="s">
        <v>19</v>
      </c>
      <c r="F88" s="1" t="s">
        <v>442</v>
      </c>
      <c r="G88" s="12">
        <v>10</v>
      </c>
      <c r="H88" s="13">
        <v>0</v>
      </c>
      <c r="I88" s="1" t="s">
        <v>443</v>
      </c>
      <c r="J88" s="17" t="str" cm="1">
        <f t="array" ref="J88">SeCcolor($A$634:$A$644,I88)</f>
        <v/>
      </c>
      <c r="K88" s="22"/>
      <c r="L88" s="22"/>
      <c r="M88"/>
      <c r="N88"/>
      <c r="O88"/>
      <c r="P88"/>
      <c r="Q88"/>
      <c r="R88"/>
      <c r="S88"/>
      <c r="T88"/>
      <c r="U88"/>
    </row>
    <row r="89" spans="1:21">
      <c r="A89" s="22" t="s">
        <v>447</v>
      </c>
      <c r="B89" s="1" t="s">
        <v>448</v>
      </c>
      <c r="C89" s="1" t="s">
        <v>449</v>
      </c>
      <c r="D89" s="12">
        <v>222</v>
      </c>
      <c r="E89" s="1" t="s">
        <v>19</v>
      </c>
      <c r="F89" s="1">
        <v>998145736</v>
      </c>
      <c r="G89" s="12">
        <v>10</v>
      </c>
      <c r="H89" s="13">
        <v>76</v>
      </c>
      <c r="I89" s="1" t="s">
        <v>450</v>
      </c>
      <c r="J89" s="17" t="str" cm="1">
        <f t="array" ref="J89">SeCcolor($A$634:$A$644,I89)</f>
        <v/>
      </c>
      <c r="M89" s="2"/>
      <c r="N89" s="2"/>
    </row>
    <row r="90" spans="1:21" s="1" customFormat="1">
      <c r="A90" s="22" t="s">
        <v>451</v>
      </c>
      <c r="B90" s="1" t="s">
        <v>452</v>
      </c>
      <c r="C90" s="1" t="s">
        <v>453</v>
      </c>
      <c r="D90" s="12">
        <v>126</v>
      </c>
      <c r="E90" s="1" t="s">
        <v>127</v>
      </c>
      <c r="F90" s="1">
        <v>999367162</v>
      </c>
      <c r="G90" s="12">
        <v>20</v>
      </c>
      <c r="H90" s="13">
        <v>50</v>
      </c>
      <c r="I90" s="1" t="s">
        <v>454</v>
      </c>
      <c r="J90" s="17" t="str" cm="1">
        <f t="array" ref="J90">SeCcolor($A$634:$A$644,I90)</f>
        <v/>
      </c>
      <c r="K90" s="22" t="s">
        <v>278</v>
      </c>
      <c r="L90" s="22"/>
      <c r="M90" s="2"/>
      <c r="N90" s="2"/>
      <c r="O90"/>
      <c r="P90"/>
      <c r="Q90"/>
      <c r="R90"/>
      <c r="S90"/>
      <c r="T90"/>
      <c r="U90"/>
    </row>
    <row r="91" spans="1:21">
      <c r="A91" s="22" t="s">
        <v>455</v>
      </c>
      <c r="B91" s="1" t="s">
        <v>456</v>
      </c>
      <c r="C91" s="1" t="s">
        <v>457</v>
      </c>
      <c r="D91" s="12">
        <v>210</v>
      </c>
      <c r="E91" s="1" t="s">
        <v>90</v>
      </c>
      <c r="F91" s="1" t="s">
        <v>458</v>
      </c>
      <c r="G91" s="12">
        <v>20</v>
      </c>
      <c r="H91" s="13">
        <v>60</v>
      </c>
      <c r="I91" s="1" t="s">
        <v>459</v>
      </c>
      <c r="J91" s="17" t="str" cm="1">
        <f t="array" ref="J91">SeCcolor($A$634:$A$644,I91)</f>
        <v/>
      </c>
      <c r="O91" s="1"/>
      <c r="P91" s="1"/>
      <c r="Q91" s="1"/>
      <c r="R91" s="1"/>
      <c r="S91" s="1"/>
      <c r="T91" s="1"/>
      <c r="U91" s="1"/>
    </row>
    <row r="92" spans="1:21">
      <c r="A92" s="22" t="s">
        <v>460</v>
      </c>
      <c r="B92" s="1" t="s">
        <v>461</v>
      </c>
      <c r="C92" s="1" t="s">
        <v>167</v>
      </c>
      <c r="D92" s="12">
        <v>370</v>
      </c>
      <c r="E92" s="1" t="s">
        <v>220</v>
      </c>
      <c r="F92" s="1" t="s">
        <v>462</v>
      </c>
      <c r="G92" s="12">
        <v>25</v>
      </c>
      <c r="H92" s="13">
        <v>70</v>
      </c>
      <c r="I92" s="1" t="s">
        <v>463</v>
      </c>
      <c r="J92" s="17" t="str" cm="1">
        <f t="array" ref="J92">SeCcolor($A$634:$A$644,I92)</f>
        <v/>
      </c>
      <c r="M92" s="1"/>
      <c r="N92" s="1"/>
    </row>
    <row r="93" spans="1:21">
      <c r="A93" s="22" t="s">
        <v>464</v>
      </c>
      <c r="B93" s="1" t="s">
        <v>465</v>
      </c>
      <c r="C93" s="1" t="s">
        <v>466</v>
      </c>
      <c r="D93" s="12">
        <v>211</v>
      </c>
      <c r="E93" s="1" t="s">
        <v>19</v>
      </c>
      <c r="F93" s="1" t="s">
        <v>467</v>
      </c>
      <c r="G93" s="12">
        <v>20</v>
      </c>
      <c r="H93" s="13">
        <v>40</v>
      </c>
      <c r="I93" s="1" t="s">
        <v>468</v>
      </c>
      <c r="J93" s="17" t="str" cm="1">
        <f t="array" ref="J93">SeCcolor($A$634:$A$644,I93)</f>
        <v/>
      </c>
    </row>
    <row r="94" spans="1:21">
      <c r="A94" t="s">
        <v>469</v>
      </c>
      <c r="B94" s="1" t="s">
        <v>470</v>
      </c>
      <c r="C94" s="1" t="s">
        <v>471</v>
      </c>
      <c r="D94" s="12">
        <v>70</v>
      </c>
      <c r="E94" s="1" t="s">
        <v>90</v>
      </c>
      <c r="F94" s="1">
        <v>997224572</v>
      </c>
      <c r="G94" s="12">
        <v>5</v>
      </c>
      <c r="H94" s="13">
        <v>60</v>
      </c>
      <c r="I94" s="1" t="s">
        <v>472</v>
      </c>
      <c r="J94" s="17" t="str" cm="1">
        <f t="array" ref="J94">SeCcolor($A$634:$A$644,I94)</f>
        <v/>
      </c>
      <c r="O94" s="22"/>
      <c r="P94" s="22"/>
      <c r="Q94" s="22"/>
      <c r="R94" s="22"/>
      <c r="S94" s="22"/>
      <c r="T94" s="22"/>
      <c r="U94" s="22"/>
    </row>
    <row r="95" spans="1:21" s="1" customFormat="1">
      <c r="A95" s="22" t="s">
        <v>473</v>
      </c>
      <c r="B95" s="1" t="s">
        <v>474</v>
      </c>
      <c r="C95" s="1" t="s">
        <v>475</v>
      </c>
      <c r="D95" s="12">
        <v>50</v>
      </c>
      <c r="E95" s="1" t="s">
        <v>70</v>
      </c>
      <c r="F95" s="1" t="s">
        <v>476</v>
      </c>
      <c r="G95" s="12">
        <v>10</v>
      </c>
      <c r="H95" s="13">
        <v>70</v>
      </c>
      <c r="I95" s="1" t="s">
        <v>477</v>
      </c>
      <c r="J95" s="17" t="str" cm="1">
        <f t="array" ref="J95">SeCcolor($A$634:$A$644,I95)</f>
        <v/>
      </c>
      <c r="K95" s="22"/>
      <c r="L95" s="22"/>
      <c r="M95"/>
      <c r="N95"/>
      <c r="O95"/>
      <c r="P95"/>
      <c r="Q95"/>
      <c r="R95"/>
      <c r="S95"/>
      <c r="T95"/>
      <c r="U95"/>
    </row>
    <row r="96" spans="1:21">
      <c r="A96" s="22" t="s">
        <v>478</v>
      </c>
      <c r="B96" s="1" t="s">
        <v>479</v>
      </c>
      <c r="C96" s="1" t="s">
        <v>480</v>
      </c>
      <c r="D96" s="12">
        <v>40</v>
      </c>
      <c r="E96" s="1" t="s">
        <v>127</v>
      </c>
      <c r="F96" s="1" t="s">
        <v>481</v>
      </c>
      <c r="G96" s="12">
        <v>20</v>
      </c>
      <c r="H96" s="13">
        <v>0</v>
      </c>
      <c r="I96" s="1" t="s">
        <v>482</v>
      </c>
      <c r="J96" s="17" t="str" cm="1">
        <f t="array" ref="J96">SeCcolor($A$634:$A$644,I96)</f>
        <v/>
      </c>
    </row>
    <row r="97" spans="1:21">
      <c r="A97" s="22" t="s">
        <v>483</v>
      </c>
      <c r="B97" s="1" t="s">
        <v>479</v>
      </c>
      <c r="C97" s="1" t="s">
        <v>484</v>
      </c>
      <c r="D97" s="12">
        <v>18</v>
      </c>
      <c r="E97" s="1" t="s">
        <v>19</v>
      </c>
      <c r="F97" s="1" t="s">
        <v>481</v>
      </c>
      <c r="G97" s="12">
        <v>20</v>
      </c>
      <c r="H97" s="13">
        <v>120</v>
      </c>
      <c r="I97" s="1" t="s">
        <v>482</v>
      </c>
      <c r="J97" s="17" t="str" cm="1">
        <f t="array" ref="J97">SeCcolor($A$634:$A$644,I97)</f>
        <v/>
      </c>
    </row>
    <row r="98" spans="1:21">
      <c r="A98" s="22" t="s">
        <v>485</v>
      </c>
      <c r="B98" s="1" t="s">
        <v>486</v>
      </c>
      <c r="C98" s="1" t="s">
        <v>487</v>
      </c>
      <c r="D98" s="12">
        <v>100</v>
      </c>
      <c r="E98" s="1" t="s">
        <v>90</v>
      </c>
      <c r="F98" s="1" t="s">
        <v>488</v>
      </c>
      <c r="G98" s="12">
        <v>10</v>
      </c>
      <c r="H98" s="13">
        <v>60</v>
      </c>
      <c r="I98" s="1" t="s">
        <v>489</v>
      </c>
      <c r="J98" s="17" t="str" cm="1">
        <f t="array" ref="J98">SeCcolor($A$634:$A$644,I98)</f>
        <v/>
      </c>
      <c r="M98" s="5"/>
      <c r="N98" s="5"/>
    </row>
    <row r="99" spans="1:21">
      <c r="A99" s="22" t="s">
        <v>490</v>
      </c>
      <c r="B99" s="1" t="s">
        <v>491</v>
      </c>
      <c r="C99" s="1" t="s">
        <v>492</v>
      </c>
      <c r="D99" s="12">
        <v>57</v>
      </c>
      <c r="E99" s="1" t="s">
        <v>127</v>
      </c>
      <c r="F99" s="1" t="s">
        <v>493</v>
      </c>
      <c r="G99" s="12">
        <v>5</v>
      </c>
      <c r="H99" s="13">
        <v>60</v>
      </c>
      <c r="I99" s="1" t="s">
        <v>494</v>
      </c>
      <c r="J99" s="17" t="str" cm="1">
        <f t="array" ref="J99">SeCcolor($A$634:$A$644,I99)</f>
        <v/>
      </c>
    </row>
    <row r="100" spans="1:21">
      <c r="A100" s="1" t="s">
        <v>495</v>
      </c>
      <c r="B100" s="1" t="s">
        <v>496</v>
      </c>
      <c r="C100" s="1" t="s">
        <v>497</v>
      </c>
      <c r="D100" s="12">
        <v>200</v>
      </c>
      <c r="E100" s="1" t="s">
        <v>70</v>
      </c>
      <c r="F100" s="1" t="s">
        <v>498</v>
      </c>
      <c r="G100" s="12">
        <v>25</v>
      </c>
      <c r="H100" s="13">
        <v>40</v>
      </c>
      <c r="I100" s="1" t="s">
        <v>499</v>
      </c>
      <c r="J100" s="17" t="str" cm="1">
        <f t="array" ref="J100">SeCcolor($A$634:$A$644,I100)</f>
        <v/>
      </c>
      <c r="K100" s="264"/>
      <c r="L100" s="17"/>
    </row>
    <row r="101" spans="1:21">
      <c r="A101" s="22" t="s">
        <v>500</v>
      </c>
      <c r="B101" s="1" t="s">
        <v>501</v>
      </c>
      <c r="C101" s="1" t="s">
        <v>502</v>
      </c>
      <c r="D101" s="12">
        <v>16</v>
      </c>
      <c r="E101" s="1" t="s">
        <v>25</v>
      </c>
      <c r="F101" s="1" t="s">
        <v>503</v>
      </c>
      <c r="G101" s="12">
        <v>20</v>
      </c>
      <c r="H101" s="13">
        <v>50</v>
      </c>
      <c r="I101" s="1" t="s">
        <v>504</v>
      </c>
      <c r="J101" s="17" t="str" cm="1">
        <f t="array" ref="J101">SeCcolor($A$634:$A$644,I101)</f>
        <v/>
      </c>
      <c r="L101" s="17"/>
    </row>
    <row r="102" spans="1:21">
      <c r="A102" s="22" t="s">
        <v>505</v>
      </c>
      <c r="B102" s="1" t="s">
        <v>506</v>
      </c>
      <c r="C102" s="1" t="s">
        <v>507</v>
      </c>
      <c r="D102" s="12">
        <v>29</v>
      </c>
      <c r="E102" s="1" t="s">
        <v>105</v>
      </c>
      <c r="F102" s="1" t="s">
        <v>508</v>
      </c>
      <c r="G102" s="12">
        <v>15</v>
      </c>
      <c r="H102" s="13">
        <v>40</v>
      </c>
      <c r="I102" s="1" t="s">
        <v>509</v>
      </c>
      <c r="J102" s="17" t="str" cm="1">
        <f t="array" ref="J102">SeCcolor($A$634:$A$644,I102)</f>
        <v/>
      </c>
    </row>
    <row r="103" spans="1:21">
      <c r="A103" s="22" t="s">
        <v>339</v>
      </c>
      <c r="B103" s="1" t="s">
        <v>510</v>
      </c>
      <c r="C103" s="1" t="s">
        <v>511</v>
      </c>
      <c r="D103" s="1" t="s">
        <v>31</v>
      </c>
      <c r="E103" s="1" t="s">
        <v>70</v>
      </c>
      <c r="F103" s="1" t="s">
        <v>512</v>
      </c>
      <c r="G103" s="12">
        <v>25</v>
      </c>
      <c r="H103" s="13">
        <v>70</v>
      </c>
      <c r="I103" s="1" t="s">
        <v>513</v>
      </c>
      <c r="J103" s="17" t="str" cm="1">
        <f t="array" ref="J103">SeCcolor($A$634:$A$644,I103)</f>
        <v/>
      </c>
      <c r="M103" s="1"/>
      <c r="N103" s="1"/>
    </row>
    <row r="104" spans="1:21">
      <c r="A104" s="22" t="s">
        <v>514</v>
      </c>
      <c r="B104" s="1" t="s">
        <v>515</v>
      </c>
      <c r="C104" s="1" t="s">
        <v>516</v>
      </c>
      <c r="D104" s="12">
        <v>81</v>
      </c>
      <c r="E104" s="1" t="s">
        <v>32</v>
      </c>
      <c r="F104" s="1" t="s">
        <v>517</v>
      </c>
      <c r="G104" s="12">
        <v>15</v>
      </c>
      <c r="H104" s="13">
        <v>50</v>
      </c>
      <c r="I104" s="1" t="s">
        <v>518</v>
      </c>
      <c r="J104" s="17" t="str" cm="1">
        <f t="array" ref="J104">SeCcolor($A$634:$A$644,I104)</f>
        <v/>
      </c>
    </row>
    <row r="105" spans="1:21">
      <c r="A105" s="22" t="s">
        <v>519</v>
      </c>
      <c r="B105" s="1" t="s">
        <v>520</v>
      </c>
      <c r="C105" s="1" t="s">
        <v>521</v>
      </c>
      <c r="D105" s="12">
        <v>75</v>
      </c>
      <c r="E105" s="1" t="s">
        <v>19</v>
      </c>
      <c r="F105" s="1" t="s">
        <v>522</v>
      </c>
      <c r="G105" s="12">
        <v>10</v>
      </c>
      <c r="H105" s="13">
        <v>59.9</v>
      </c>
      <c r="I105" s="1" t="s">
        <v>523</v>
      </c>
      <c r="J105" s="17" t="str" cm="1">
        <f t="array" ref="J105">SeCcolor($A$634:$A$644,I105)</f>
        <v/>
      </c>
      <c r="O105" s="22"/>
      <c r="P105" s="22"/>
      <c r="Q105" s="22"/>
      <c r="R105" s="22"/>
      <c r="S105" s="22"/>
      <c r="T105" s="22"/>
      <c r="U105" s="22"/>
    </row>
    <row r="106" spans="1:21">
      <c r="A106" s="234">
        <v>41599</v>
      </c>
      <c r="B106" s="1" t="s">
        <v>524</v>
      </c>
      <c r="C106" s="1" t="s">
        <v>525</v>
      </c>
      <c r="D106" s="12">
        <v>379</v>
      </c>
      <c r="E106" s="1" t="s">
        <v>70</v>
      </c>
      <c r="F106" s="1" t="s">
        <v>526</v>
      </c>
      <c r="G106" s="12">
        <v>10</v>
      </c>
      <c r="H106" s="13">
        <v>55</v>
      </c>
      <c r="I106" s="1" t="s">
        <v>527</v>
      </c>
      <c r="J106" s="17" t="str" cm="1">
        <f t="array" ref="J106">SeCcolor($A$634:$A$644,I106)</f>
        <v/>
      </c>
    </row>
    <row r="107" spans="1:21">
      <c r="A107" s="22" t="s">
        <v>528</v>
      </c>
      <c r="B107" s="1" t="s">
        <v>529</v>
      </c>
      <c r="C107" s="1" t="s">
        <v>530</v>
      </c>
      <c r="D107" s="12">
        <v>59</v>
      </c>
      <c r="E107" s="1" t="s">
        <v>320</v>
      </c>
      <c r="F107" s="1" t="s">
        <v>531</v>
      </c>
      <c r="G107" s="12">
        <v>10</v>
      </c>
      <c r="H107" s="13">
        <v>60</v>
      </c>
      <c r="I107" s="1" t="s">
        <v>532</v>
      </c>
      <c r="J107" s="17" t="str" cm="1">
        <f t="array" ref="J107">SeCcolor($A$634:$A$644,I107)</f>
        <v/>
      </c>
    </row>
    <row r="108" spans="1:21">
      <c r="A108" s="22" t="s">
        <v>533</v>
      </c>
      <c r="B108" s="1" t="s">
        <v>534</v>
      </c>
      <c r="C108" s="1" t="s">
        <v>187</v>
      </c>
      <c r="D108" s="12">
        <v>66</v>
      </c>
      <c r="E108" s="1" t="s">
        <v>188</v>
      </c>
      <c r="F108" s="1" t="s">
        <v>535</v>
      </c>
      <c r="G108" s="12">
        <v>15</v>
      </c>
      <c r="H108" s="13">
        <v>50</v>
      </c>
      <c r="I108" s="1" t="s">
        <v>536</v>
      </c>
      <c r="J108" s="17" t="str" cm="1">
        <f t="array" ref="J108">SeCcolor($A$634:$A$644,I108)</f>
        <v/>
      </c>
    </row>
    <row r="109" spans="1:21">
      <c r="A109" s="22" t="s">
        <v>537</v>
      </c>
      <c r="B109" s="1" t="s">
        <v>538</v>
      </c>
      <c r="C109" s="1" t="s">
        <v>539</v>
      </c>
      <c r="D109" s="12">
        <v>753</v>
      </c>
      <c r="E109" s="1" t="s">
        <v>540</v>
      </c>
      <c r="F109" s="1" t="s">
        <v>541</v>
      </c>
      <c r="G109" s="12">
        <v>20</v>
      </c>
      <c r="H109" s="13">
        <v>50</v>
      </c>
      <c r="I109" s="1" t="s">
        <v>542</v>
      </c>
      <c r="J109" s="17" t="str" cm="1">
        <f t="array" ref="J109">SeCcolor($A$634:$A$644,I109)</f>
        <v/>
      </c>
      <c r="M109" s="22" t="s">
        <v>543</v>
      </c>
      <c r="N109" s="22"/>
    </row>
    <row r="110" spans="1:21">
      <c r="A110" s="22" t="s">
        <v>155</v>
      </c>
      <c r="B110" s="1" t="s">
        <v>544</v>
      </c>
      <c r="C110" s="1" t="s">
        <v>157</v>
      </c>
      <c r="D110" s="12">
        <v>381</v>
      </c>
      <c r="E110" s="1" t="s">
        <v>19</v>
      </c>
      <c r="F110" s="1" t="s">
        <v>545</v>
      </c>
      <c r="G110" s="12">
        <v>30</v>
      </c>
      <c r="H110" s="13">
        <v>60</v>
      </c>
      <c r="I110" s="1" t="s">
        <v>546</v>
      </c>
      <c r="J110" s="17" t="str" cm="1">
        <f t="array" ref="J110">SeCcolor($A$634:$A$644,I110)</f>
        <v/>
      </c>
      <c r="M110" s="1"/>
      <c r="N110" s="1"/>
      <c r="O110" s="1"/>
      <c r="P110" s="1"/>
      <c r="Q110" s="1"/>
      <c r="R110" s="1"/>
      <c r="S110" s="1"/>
      <c r="T110" s="1"/>
      <c r="U110" s="1"/>
    </row>
    <row r="111" spans="1:21">
      <c r="A111" s="22" t="s">
        <v>547</v>
      </c>
      <c r="B111" s="1" t="s">
        <v>548</v>
      </c>
      <c r="C111" s="1" t="s">
        <v>47</v>
      </c>
      <c r="D111" s="1" t="s">
        <v>42</v>
      </c>
      <c r="E111" s="1" t="s">
        <v>48</v>
      </c>
      <c r="F111" s="1" t="s">
        <v>549</v>
      </c>
      <c r="G111" s="12">
        <v>10</v>
      </c>
      <c r="H111" s="13">
        <v>60</v>
      </c>
      <c r="I111" s="1" t="s">
        <v>550</v>
      </c>
      <c r="J111" s="17" t="str" cm="1">
        <f t="array" ref="J111">SeCcolor($A$634:$A$644,I111)</f>
        <v/>
      </c>
    </row>
    <row r="112" spans="1:21" s="1" customFormat="1">
      <c r="A112" s="22" t="s">
        <v>551</v>
      </c>
      <c r="B112" s="1" t="s">
        <v>552</v>
      </c>
      <c r="C112" s="1" t="s">
        <v>553</v>
      </c>
      <c r="D112" s="12">
        <v>165</v>
      </c>
      <c r="E112" s="1" t="s">
        <v>127</v>
      </c>
      <c r="F112" s="1" t="s">
        <v>554</v>
      </c>
      <c r="G112" s="12">
        <v>15</v>
      </c>
      <c r="H112" s="13">
        <v>70</v>
      </c>
      <c r="I112" s="1" t="s">
        <v>555</v>
      </c>
      <c r="J112" s="17" t="str" cm="1">
        <f t="array" ref="J112">SeCcolor($A$634:$A$644,I112)</f>
        <v/>
      </c>
      <c r="K112" s="22"/>
      <c r="L112" s="22"/>
      <c r="M112"/>
      <c r="N112"/>
      <c r="O112"/>
      <c r="P112"/>
      <c r="Q112"/>
      <c r="R112"/>
      <c r="S112"/>
      <c r="T112"/>
      <c r="U112"/>
    </row>
    <row r="113" spans="1:21">
      <c r="A113" s="234">
        <v>42657</v>
      </c>
      <c r="B113" s="1" t="s">
        <v>556</v>
      </c>
      <c r="C113" s="1" t="s">
        <v>557</v>
      </c>
      <c r="D113" s="12">
        <v>124</v>
      </c>
      <c r="E113" s="1" t="s">
        <v>558</v>
      </c>
      <c r="F113" s="1" t="s">
        <v>559</v>
      </c>
      <c r="G113" s="12">
        <v>5</v>
      </c>
      <c r="H113" s="13">
        <v>60</v>
      </c>
      <c r="I113" s="1" t="s">
        <v>560</v>
      </c>
      <c r="J113" s="17" t="str" cm="1">
        <f t="array" ref="J113">SeCcolor($A$634:$A$644,I113)</f>
        <v/>
      </c>
      <c r="M113" s="1"/>
      <c r="N113" s="1"/>
    </row>
    <row r="114" spans="1:21">
      <c r="A114" s="22" t="s">
        <v>561</v>
      </c>
      <c r="B114" s="1" t="s">
        <v>562</v>
      </c>
      <c r="C114" s="1" t="s">
        <v>557</v>
      </c>
      <c r="D114" s="1" t="s">
        <v>563</v>
      </c>
      <c r="E114" s="1" t="s">
        <v>19</v>
      </c>
      <c r="F114" s="1" t="s">
        <v>564</v>
      </c>
      <c r="G114" s="12">
        <v>15</v>
      </c>
      <c r="H114" s="13">
        <v>50</v>
      </c>
      <c r="I114" s="1" t="s">
        <v>565</v>
      </c>
      <c r="J114" s="17" t="str" cm="1">
        <f t="array" ref="J114">SeCcolor($A$634:$A$644,I114)</f>
        <v/>
      </c>
      <c r="M114" s="29"/>
      <c r="N114" s="29"/>
    </row>
    <row r="115" spans="1:21">
      <c r="A115" s="22" t="s">
        <v>566</v>
      </c>
      <c r="B115" s="1" t="s">
        <v>567</v>
      </c>
      <c r="C115" s="1" t="s">
        <v>259</v>
      </c>
      <c r="D115" s="12">
        <v>1064</v>
      </c>
      <c r="E115" s="1" t="s">
        <v>188</v>
      </c>
      <c r="F115" s="1" t="s">
        <v>568</v>
      </c>
      <c r="G115" s="12">
        <v>5</v>
      </c>
      <c r="H115" s="13">
        <v>50</v>
      </c>
      <c r="I115" s="1" t="s">
        <v>569</v>
      </c>
      <c r="J115" s="17" t="str" cm="1">
        <f t="array" ref="J115">SeCcolor($A$634:$A$644,I115)</f>
        <v/>
      </c>
    </row>
    <row r="116" spans="1:21">
      <c r="A116" s="22"/>
      <c r="B116" s="1" t="s">
        <v>570</v>
      </c>
      <c r="C116" s="1"/>
      <c r="D116" s="12"/>
      <c r="E116" s="1"/>
      <c r="F116" s="1"/>
      <c r="G116" s="12"/>
      <c r="H116" s="13"/>
      <c r="I116" s="1"/>
      <c r="J116" s="17" t="str" cm="1">
        <f t="array" ref="J116">SeCcolor($A$634:$A$644,I116)</f>
        <v/>
      </c>
    </row>
    <row r="117" spans="1:21">
      <c r="A117" s="22" t="s">
        <v>571</v>
      </c>
      <c r="B117" s="1" t="s">
        <v>570</v>
      </c>
      <c r="C117" s="1" t="s">
        <v>572</v>
      </c>
      <c r="D117" s="12">
        <v>602</v>
      </c>
      <c r="E117" s="1" t="s">
        <v>19</v>
      </c>
      <c r="F117" s="1" t="s">
        <v>573</v>
      </c>
      <c r="G117" s="12">
        <v>30</v>
      </c>
      <c r="H117" s="13">
        <v>75</v>
      </c>
      <c r="I117" s="1" t="s">
        <v>574</v>
      </c>
      <c r="J117" s="17" t="str" cm="1">
        <f t="array" ref="J117">SeCcolor($A$634:$A$644,I117)</f>
        <v/>
      </c>
      <c r="M117" s="1"/>
      <c r="N117" s="1"/>
    </row>
    <row r="118" spans="1:21">
      <c r="A118" s="22" t="s">
        <v>575</v>
      </c>
      <c r="B118" s="1" t="s">
        <v>576</v>
      </c>
      <c r="C118" s="1" t="s">
        <v>577</v>
      </c>
      <c r="D118" s="12">
        <v>210</v>
      </c>
      <c r="E118" s="1" t="s">
        <v>70</v>
      </c>
      <c r="F118" s="1">
        <v>998098040</v>
      </c>
      <c r="G118" s="12">
        <v>10</v>
      </c>
      <c r="H118" s="13">
        <v>60</v>
      </c>
      <c r="I118" s="1" t="s">
        <v>578</v>
      </c>
      <c r="J118" s="17" t="str" cm="1">
        <f t="array" ref="J118">SeCcolor($A$634:$A$644,I118)</f>
        <v/>
      </c>
      <c r="O118" s="22"/>
      <c r="P118" s="22"/>
      <c r="Q118" s="22"/>
      <c r="R118" s="22"/>
      <c r="S118" s="22"/>
      <c r="T118" s="22"/>
      <c r="U118" s="22"/>
    </row>
    <row r="119" spans="1:21">
      <c r="A119" s="22" t="s">
        <v>579</v>
      </c>
      <c r="B119" s="1" t="s">
        <v>580</v>
      </c>
      <c r="C119" s="1" t="s">
        <v>581</v>
      </c>
      <c r="D119" s="12">
        <v>999</v>
      </c>
      <c r="E119" s="1" t="s">
        <v>19</v>
      </c>
      <c r="F119" s="1" t="s">
        <v>582</v>
      </c>
      <c r="G119" s="12">
        <v>15</v>
      </c>
      <c r="H119" s="13">
        <v>40</v>
      </c>
      <c r="I119" s="1" t="s">
        <v>583</v>
      </c>
      <c r="J119" s="17" t="str" cm="1">
        <f t="array" ref="J119">SeCcolor($A$634:$A$644,I119)</f>
        <v/>
      </c>
      <c r="K119" s="264"/>
      <c r="L119" s="17"/>
    </row>
    <row r="120" spans="1:21">
      <c r="A120" s="22" t="s">
        <v>451</v>
      </c>
      <c r="B120" s="1" t="s">
        <v>584</v>
      </c>
      <c r="C120" s="1" t="s">
        <v>585</v>
      </c>
      <c r="D120" s="12">
        <v>100</v>
      </c>
      <c r="E120" s="1" t="s">
        <v>188</v>
      </c>
      <c r="F120" s="1" t="s">
        <v>586</v>
      </c>
      <c r="G120" s="12">
        <v>10</v>
      </c>
      <c r="H120" s="13">
        <v>70</v>
      </c>
      <c r="I120" s="1" t="s">
        <v>587</v>
      </c>
      <c r="J120" s="17" t="str" cm="1">
        <f t="array" ref="J120">SeCcolor($A$634:$A$644,I120)</f>
        <v/>
      </c>
    </row>
    <row r="121" spans="1:21">
      <c r="A121" s="22" t="s">
        <v>82</v>
      </c>
      <c r="B121" s="1" t="s">
        <v>588</v>
      </c>
      <c r="C121" s="1" t="s">
        <v>589</v>
      </c>
      <c r="D121" s="12">
        <v>169</v>
      </c>
      <c r="E121" s="1" t="s">
        <v>19</v>
      </c>
      <c r="F121" s="1" t="s">
        <v>590</v>
      </c>
      <c r="G121" s="12">
        <v>10</v>
      </c>
      <c r="H121" s="13">
        <v>69.900000000000006</v>
      </c>
      <c r="I121" s="1" t="s">
        <v>591</v>
      </c>
      <c r="J121" s="17" t="str" cm="1">
        <f t="array" ref="J121">SeCcolor($A$634:$A$644,I121)</f>
        <v/>
      </c>
      <c r="M121" s="1"/>
      <c r="N121" s="1"/>
    </row>
    <row r="122" spans="1:21">
      <c r="A122" s="22" t="s">
        <v>592</v>
      </c>
      <c r="B122" s="1" t="s">
        <v>593</v>
      </c>
      <c r="C122" s="1" t="s">
        <v>594</v>
      </c>
      <c r="D122" s="12">
        <v>50</v>
      </c>
      <c r="E122" s="1" t="s">
        <v>32</v>
      </c>
      <c r="F122" s="1" t="s">
        <v>595</v>
      </c>
      <c r="G122" s="12">
        <v>20</v>
      </c>
      <c r="H122" s="13">
        <v>60</v>
      </c>
      <c r="I122" s="1" t="s">
        <v>596</v>
      </c>
      <c r="J122" s="17" t="str" cm="1">
        <f t="array" ref="J122">SeCcolor($A$634:$A$644,I122)</f>
        <v/>
      </c>
      <c r="M122" s="3"/>
      <c r="N122" s="3"/>
    </row>
    <row r="123" spans="1:21">
      <c r="A123" s="22" t="s">
        <v>597</v>
      </c>
      <c r="B123" s="1" t="s">
        <v>598</v>
      </c>
      <c r="C123" s="1" t="s">
        <v>599</v>
      </c>
      <c r="D123" s="12">
        <v>54</v>
      </c>
      <c r="E123" s="1" t="s">
        <v>270</v>
      </c>
      <c r="F123" s="1" t="s">
        <v>600</v>
      </c>
      <c r="G123" s="12">
        <v>20</v>
      </c>
      <c r="H123" s="13">
        <v>60</v>
      </c>
      <c r="I123" s="1" t="s">
        <v>601</v>
      </c>
      <c r="J123" s="17" t="str" cm="1">
        <f t="array" ref="J123">SeCcolor($A$634:$A$644,I123)</f>
        <v/>
      </c>
    </row>
    <row r="124" spans="1:21">
      <c r="A124" s="22" t="s">
        <v>602</v>
      </c>
      <c r="B124" s="108" t="s">
        <v>603</v>
      </c>
      <c r="C124" s="1" t="s">
        <v>604</v>
      </c>
      <c r="D124" s="12">
        <v>182</v>
      </c>
      <c r="E124" s="1" t="s">
        <v>220</v>
      </c>
      <c r="F124" s="1" t="s">
        <v>605</v>
      </c>
      <c r="G124" s="12">
        <v>20</v>
      </c>
      <c r="H124" s="13">
        <v>70</v>
      </c>
      <c r="I124" s="1" t="s">
        <v>606</v>
      </c>
      <c r="J124" s="17" t="str" cm="1">
        <f t="array" ref="J124">SeCcolor($A$634:$A$644,I124)</f>
        <v/>
      </c>
      <c r="M124" s="1"/>
      <c r="N124" s="1"/>
      <c r="O124" s="22"/>
      <c r="P124" s="22"/>
      <c r="Q124" s="22"/>
      <c r="R124" s="22"/>
      <c r="S124" s="22"/>
      <c r="T124" s="22"/>
      <c r="U124" s="22"/>
    </row>
    <row r="125" spans="1:21">
      <c r="A125" s="22" t="s">
        <v>607</v>
      </c>
      <c r="B125" s="1" t="s">
        <v>608</v>
      </c>
      <c r="C125" s="1" t="s">
        <v>609</v>
      </c>
      <c r="D125" s="12">
        <v>53</v>
      </c>
      <c r="E125" s="1" t="s">
        <v>320</v>
      </c>
      <c r="F125" s="1" t="s">
        <v>610</v>
      </c>
      <c r="G125" s="12">
        <v>5</v>
      </c>
      <c r="H125" s="13">
        <v>50</v>
      </c>
      <c r="I125" s="1" t="s">
        <v>611</v>
      </c>
      <c r="J125" s="17" t="str" cm="1">
        <f t="array" ref="J125">SeCcolor($A$634:$A$644,I125)</f>
        <v/>
      </c>
    </row>
    <row r="126" spans="1:21" s="1" customFormat="1">
      <c r="A126" s="22" t="s">
        <v>612</v>
      </c>
      <c r="B126" s="1" t="s">
        <v>613</v>
      </c>
      <c r="C126" s="1" t="s">
        <v>614</v>
      </c>
      <c r="D126" s="12">
        <v>624</v>
      </c>
      <c r="E126" s="1" t="s">
        <v>127</v>
      </c>
      <c r="F126" s="1" t="s">
        <v>615</v>
      </c>
      <c r="G126" s="12">
        <v>10</v>
      </c>
      <c r="H126" s="13">
        <v>50</v>
      </c>
      <c r="I126" s="1" t="s">
        <v>616</v>
      </c>
      <c r="J126" s="17" t="str" cm="1">
        <f t="array" ref="J126">SeCcolor($A$634:$A$644,I126)</f>
        <v/>
      </c>
      <c r="K126" s="22"/>
      <c r="L126" s="22"/>
      <c r="M126" s="22"/>
      <c r="N126" s="22"/>
      <c r="O126"/>
      <c r="P126"/>
      <c r="Q126"/>
      <c r="R126"/>
      <c r="S126"/>
      <c r="T126"/>
      <c r="U126"/>
    </row>
    <row r="127" spans="1:21">
      <c r="A127" s="22" t="s">
        <v>617</v>
      </c>
      <c r="B127" s="1" t="s">
        <v>618</v>
      </c>
      <c r="C127" s="1" t="s">
        <v>619</v>
      </c>
      <c r="D127" s="12">
        <v>45</v>
      </c>
      <c r="E127" s="1" t="s">
        <v>70</v>
      </c>
      <c r="F127" s="1" t="s">
        <v>620</v>
      </c>
      <c r="G127" s="12">
        <v>20</v>
      </c>
      <c r="H127" s="13">
        <v>60</v>
      </c>
      <c r="I127" s="1" t="s">
        <v>621</v>
      </c>
      <c r="J127" s="17" t="str" cm="1">
        <f t="array" ref="J127">SeCcolor($A$634:$A$644,I127)</f>
        <v/>
      </c>
    </row>
    <row r="128" spans="1:21">
      <c r="A128" s="22" t="s">
        <v>622</v>
      </c>
      <c r="B128" s="1" t="s">
        <v>623</v>
      </c>
      <c r="C128" s="1" t="s">
        <v>624</v>
      </c>
      <c r="D128" s="12">
        <v>958</v>
      </c>
      <c r="E128" s="1" t="s">
        <v>19</v>
      </c>
      <c r="F128" s="1" t="s">
        <v>625</v>
      </c>
      <c r="G128" s="12">
        <v>20</v>
      </c>
      <c r="H128" s="13">
        <v>50</v>
      </c>
      <c r="I128" s="1" t="s">
        <v>626</v>
      </c>
      <c r="J128" s="17" t="str" cm="1">
        <f t="array" ref="J128">SeCcolor($A$634:$A$644,I128)</f>
        <v/>
      </c>
      <c r="K128" s="264"/>
      <c r="L128" s="17"/>
      <c r="M128" s="8"/>
      <c r="N128" s="8"/>
    </row>
    <row r="129" spans="1:21">
      <c r="A129" s="22" t="s">
        <v>627</v>
      </c>
      <c r="B129" s="1" t="s">
        <v>628</v>
      </c>
      <c r="C129" s="1" t="s">
        <v>629</v>
      </c>
      <c r="D129" s="12">
        <v>18</v>
      </c>
      <c r="E129" s="1" t="s">
        <v>90</v>
      </c>
      <c r="F129" s="1" t="s">
        <v>630</v>
      </c>
      <c r="G129" s="12">
        <v>25</v>
      </c>
      <c r="H129" s="13">
        <v>50</v>
      </c>
      <c r="I129" s="1" t="s">
        <v>631</v>
      </c>
      <c r="J129" s="17" t="str" cm="1">
        <f t="array" ref="J129">SeCcolor($A$634:$A$644,I129)</f>
        <v/>
      </c>
    </row>
    <row r="130" spans="1:21">
      <c r="A130" s="22" t="s">
        <v>145</v>
      </c>
      <c r="B130" s="1" t="s">
        <v>632</v>
      </c>
      <c r="C130" s="1" t="s">
        <v>633</v>
      </c>
      <c r="D130" s="12">
        <v>120</v>
      </c>
      <c r="E130" s="1" t="s">
        <v>634</v>
      </c>
      <c r="F130" s="1" t="s">
        <v>635</v>
      </c>
      <c r="G130" s="12">
        <v>10</v>
      </c>
      <c r="H130" s="13">
        <v>70</v>
      </c>
      <c r="I130" s="1" t="s">
        <v>636</v>
      </c>
      <c r="J130" s="17" t="str" cm="1">
        <f t="array" ref="J130">SeCcolor($A$634:$A$644,I130)</f>
        <v/>
      </c>
    </row>
    <row r="131" spans="1:21">
      <c r="A131" s="22" t="s">
        <v>637</v>
      </c>
      <c r="B131" s="1" t="s">
        <v>638</v>
      </c>
      <c r="C131" s="1" t="s">
        <v>639</v>
      </c>
      <c r="D131" s="12">
        <v>222</v>
      </c>
      <c r="E131" s="1" t="s">
        <v>32</v>
      </c>
      <c r="F131" s="1" t="s">
        <v>640</v>
      </c>
      <c r="G131" s="12">
        <v>20</v>
      </c>
      <c r="H131" s="13">
        <v>50</v>
      </c>
      <c r="I131" s="1" t="s">
        <v>641</v>
      </c>
      <c r="J131" s="17" t="str" cm="1">
        <f t="array" ref="J131">SeCcolor($A$634:$A$644,I131)</f>
        <v/>
      </c>
    </row>
    <row r="132" spans="1:21">
      <c r="A132" s="22" t="s">
        <v>642</v>
      </c>
      <c r="B132" s="1" t="s">
        <v>643</v>
      </c>
      <c r="C132" s="1" t="s">
        <v>644</v>
      </c>
      <c r="D132" s="12">
        <v>215</v>
      </c>
      <c r="E132" s="1" t="s">
        <v>19</v>
      </c>
      <c r="F132" s="1" t="s">
        <v>645</v>
      </c>
      <c r="G132" s="12">
        <v>20</v>
      </c>
      <c r="H132" s="13">
        <v>59.9</v>
      </c>
      <c r="I132" s="1" t="s">
        <v>646</v>
      </c>
      <c r="J132" s="17" t="str" cm="1">
        <f t="array" ref="J132">SeCcolor($A$634:$A$644,I132)</f>
        <v/>
      </c>
    </row>
    <row r="133" spans="1:21" s="1" customFormat="1">
      <c r="A133" s="22" t="s">
        <v>647</v>
      </c>
      <c r="B133" s="1" t="s">
        <v>648</v>
      </c>
      <c r="C133" s="1" t="s">
        <v>649</v>
      </c>
      <c r="D133" s="12">
        <v>150</v>
      </c>
      <c r="E133" s="1" t="s">
        <v>19</v>
      </c>
      <c r="F133" s="1" t="s">
        <v>650</v>
      </c>
      <c r="G133" s="12">
        <v>20</v>
      </c>
      <c r="H133" s="13">
        <v>60</v>
      </c>
      <c r="I133" s="1" t="s">
        <v>651</v>
      </c>
      <c r="J133" s="17" t="str" cm="1">
        <f t="array" ref="J133">SeCcolor($A$634:$A$644,I133)</f>
        <v/>
      </c>
      <c r="K133" s="22"/>
      <c r="L133" s="22"/>
      <c r="M133"/>
      <c r="N133"/>
      <c r="O133"/>
      <c r="P133"/>
      <c r="Q133"/>
      <c r="R133"/>
      <c r="S133"/>
      <c r="T133"/>
      <c r="U133"/>
    </row>
    <row r="134" spans="1:21">
      <c r="A134" s="22" t="s">
        <v>652</v>
      </c>
      <c r="B134" s="1" t="s">
        <v>653</v>
      </c>
      <c r="C134" s="1" t="s">
        <v>654</v>
      </c>
      <c r="D134" s="12">
        <v>51</v>
      </c>
      <c r="E134" s="1" t="s">
        <v>188</v>
      </c>
      <c r="F134" s="1" t="s">
        <v>655</v>
      </c>
      <c r="G134" s="12">
        <v>10</v>
      </c>
      <c r="H134" s="13">
        <v>50</v>
      </c>
      <c r="I134" s="1" t="s">
        <v>656</v>
      </c>
      <c r="J134" s="17" t="str" cm="1">
        <f t="array" ref="J134">SeCcolor($A$634:$A$644,I134)</f>
        <v/>
      </c>
      <c r="M134" s="1"/>
      <c r="N134" s="1"/>
    </row>
    <row r="135" spans="1:21">
      <c r="A135" s="22" t="s">
        <v>657</v>
      </c>
      <c r="B135" s="1" t="s">
        <v>658</v>
      </c>
      <c r="C135" s="1" t="s">
        <v>659</v>
      </c>
      <c r="D135" s="12">
        <v>178</v>
      </c>
      <c r="E135" s="1" t="s">
        <v>105</v>
      </c>
      <c r="F135" s="1" t="s">
        <v>660</v>
      </c>
      <c r="G135" s="12">
        <v>10</v>
      </c>
      <c r="H135" s="13">
        <v>50</v>
      </c>
      <c r="I135" s="1" t="s">
        <v>661</v>
      </c>
      <c r="J135" s="17" t="str" cm="1">
        <f t="array" ref="J135">SeCcolor($A$634:$A$644,I135)</f>
        <v/>
      </c>
    </row>
    <row r="136" spans="1:21">
      <c r="A136" s="22" t="s">
        <v>662</v>
      </c>
      <c r="B136" s="1" t="s">
        <v>663</v>
      </c>
      <c r="C136" s="1" t="s">
        <v>286</v>
      </c>
      <c r="D136" s="12">
        <v>34</v>
      </c>
      <c r="E136" s="1" t="s">
        <v>64</v>
      </c>
      <c r="F136" s="1" t="s">
        <v>664</v>
      </c>
      <c r="G136" s="12">
        <v>25</v>
      </c>
      <c r="H136" s="13">
        <v>60</v>
      </c>
      <c r="I136" s="1" t="s">
        <v>665</v>
      </c>
      <c r="J136" s="17" t="str" cm="1">
        <f t="array" ref="J136">SeCcolor($A$634:$A$644,I136)</f>
        <v/>
      </c>
    </row>
    <row r="137" spans="1:21">
      <c r="A137" s="22" t="s">
        <v>666</v>
      </c>
      <c r="B137" s="1" t="s">
        <v>613</v>
      </c>
      <c r="C137" s="1" t="s">
        <v>667</v>
      </c>
      <c r="D137" s="12">
        <v>115</v>
      </c>
      <c r="E137" s="1" t="s">
        <v>127</v>
      </c>
      <c r="F137" s="1" t="s">
        <v>615</v>
      </c>
      <c r="G137" s="12">
        <v>10</v>
      </c>
      <c r="H137" s="13">
        <v>50</v>
      </c>
      <c r="I137" s="1" t="s">
        <v>616</v>
      </c>
      <c r="J137" s="17" t="str" cm="1">
        <f t="array" ref="J137">SeCcolor($A$634:$A$644,I137)</f>
        <v/>
      </c>
      <c r="M137" s="22"/>
      <c r="N137" s="22"/>
    </row>
    <row r="138" spans="1:21" s="1" customFormat="1">
      <c r="A138" s="22" t="s">
        <v>668</v>
      </c>
      <c r="B138" s="1" t="s">
        <v>669</v>
      </c>
      <c r="C138" s="1" t="s">
        <v>275</v>
      </c>
      <c r="D138" s="12">
        <v>55</v>
      </c>
      <c r="E138" s="1" t="s">
        <v>670</v>
      </c>
      <c r="F138" s="1" t="s">
        <v>671</v>
      </c>
      <c r="G138" s="12">
        <v>15</v>
      </c>
      <c r="H138" s="13">
        <v>60</v>
      </c>
      <c r="I138" s="1" t="s">
        <v>672</v>
      </c>
      <c r="J138" s="17" t="str" cm="1">
        <f t="array" ref="J138">SeCcolor($A$634:$A$644,I138)</f>
        <v/>
      </c>
      <c r="K138" s="22"/>
      <c r="L138" s="22"/>
      <c r="M138"/>
      <c r="N138"/>
      <c r="O138"/>
      <c r="P138"/>
      <c r="Q138"/>
      <c r="R138"/>
      <c r="S138"/>
      <c r="T138"/>
      <c r="U138"/>
    </row>
    <row r="139" spans="1:21">
      <c r="A139" s="22" t="s">
        <v>673</v>
      </c>
      <c r="B139" s="1" t="s">
        <v>674</v>
      </c>
      <c r="C139" s="1" t="s">
        <v>675</v>
      </c>
      <c r="D139" s="12">
        <v>107</v>
      </c>
      <c r="E139" s="1" t="s">
        <v>19</v>
      </c>
      <c r="F139" s="1" t="s">
        <v>676</v>
      </c>
      <c r="G139" s="12">
        <v>15</v>
      </c>
      <c r="H139" s="13">
        <v>50</v>
      </c>
      <c r="I139" s="1" t="s">
        <v>677</v>
      </c>
      <c r="J139" s="17" t="str" cm="1">
        <f t="array" ref="J139">SeCcolor($A$634:$A$644,I139)</f>
        <v/>
      </c>
    </row>
    <row r="140" spans="1:21">
      <c r="A140" s="22" t="s">
        <v>678</v>
      </c>
      <c r="B140" s="1" t="s">
        <v>679</v>
      </c>
      <c r="C140" s="1" t="s">
        <v>680</v>
      </c>
      <c r="D140" s="12">
        <v>510</v>
      </c>
      <c r="E140" s="1" t="s">
        <v>32</v>
      </c>
      <c r="F140" s="1" t="s">
        <v>681</v>
      </c>
      <c r="G140" s="12">
        <v>10</v>
      </c>
      <c r="H140" s="13">
        <v>50</v>
      </c>
      <c r="I140" s="1" t="s">
        <v>682</v>
      </c>
      <c r="J140" s="17" t="str" cm="1">
        <f t="array" ref="J140">SeCcolor($A$634:$A$644,I140)</f>
        <v/>
      </c>
    </row>
    <row r="141" spans="1:21">
      <c r="A141" s="22" t="s">
        <v>339</v>
      </c>
      <c r="B141" s="1" t="s">
        <v>683</v>
      </c>
      <c r="C141" s="1" t="s">
        <v>684</v>
      </c>
      <c r="D141" s="12">
        <v>103</v>
      </c>
      <c r="E141" s="1" t="s">
        <v>90</v>
      </c>
      <c r="F141" s="1" t="s">
        <v>685</v>
      </c>
      <c r="G141" s="12">
        <v>10</v>
      </c>
      <c r="H141" s="13">
        <v>70</v>
      </c>
      <c r="I141" s="1" t="s">
        <v>686</v>
      </c>
      <c r="J141" s="17" t="str" cm="1">
        <f t="array" ref="J141">SeCcolor($A$634:$A$644,I141)</f>
        <v/>
      </c>
    </row>
    <row r="142" spans="1:21">
      <c r="A142" s="22" t="s">
        <v>687</v>
      </c>
      <c r="B142" s="1" t="s">
        <v>688</v>
      </c>
      <c r="C142" s="1" t="s">
        <v>198</v>
      </c>
      <c r="D142" s="12">
        <v>91</v>
      </c>
      <c r="E142" s="1" t="s">
        <v>127</v>
      </c>
      <c r="F142" s="1" t="s">
        <v>689</v>
      </c>
      <c r="G142" s="12">
        <v>15</v>
      </c>
      <c r="H142" s="13">
        <v>70</v>
      </c>
      <c r="I142" s="1" t="s">
        <v>690</v>
      </c>
      <c r="J142" s="17" t="str" cm="1">
        <f t="array" ref="J142">SeCcolor($A$634:$A$644,I142)</f>
        <v/>
      </c>
      <c r="O142" s="22"/>
      <c r="P142" s="22"/>
      <c r="Q142" s="22"/>
      <c r="R142" s="22"/>
      <c r="S142" s="22"/>
      <c r="T142" s="22"/>
      <c r="U142" s="22"/>
    </row>
    <row r="143" spans="1:21">
      <c r="A143" s="22" t="s">
        <v>691</v>
      </c>
      <c r="B143" s="1" t="s">
        <v>692</v>
      </c>
      <c r="C143" s="1" t="s">
        <v>693</v>
      </c>
      <c r="D143" s="12">
        <v>118</v>
      </c>
      <c r="E143" s="1" t="s">
        <v>64</v>
      </c>
      <c r="F143" s="1" t="s">
        <v>694</v>
      </c>
      <c r="G143" s="12">
        <v>20</v>
      </c>
      <c r="H143" s="13">
        <v>70</v>
      </c>
      <c r="I143" s="1" t="s">
        <v>695</v>
      </c>
      <c r="J143" s="17" t="str" cm="1">
        <f t="array" ref="J143">SeCcolor($A$634:$A$644,I143)</f>
        <v/>
      </c>
    </row>
    <row r="144" spans="1:21">
      <c r="A144" s="22" t="s">
        <v>696</v>
      </c>
      <c r="B144" s="1" t="s">
        <v>697</v>
      </c>
      <c r="C144" s="1" t="s">
        <v>698</v>
      </c>
      <c r="D144" s="12">
        <v>345</v>
      </c>
      <c r="E144" s="1" t="s">
        <v>19</v>
      </c>
      <c r="F144" s="1" t="s">
        <v>699</v>
      </c>
      <c r="G144" s="12">
        <v>10</v>
      </c>
      <c r="H144" s="13">
        <v>70</v>
      </c>
      <c r="I144" s="1" t="s">
        <v>700</v>
      </c>
      <c r="J144" s="17" t="str" cm="1">
        <f t="array" ref="J144">SeCcolor($A$634:$A$644,I144)</f>
        <v/>
      </c>
      <c r="O144" s="22"/>
      <c r="P144" s="22"/>
      <c r="Q144" s="22"/>
      <c r="R144" s="22"/>
      <c r="S144" s="22"/>
      <c r="T144" s="22"/>
      <c r="U144" s="22"/>
    </row>
    <row r="145" spans="1:21">
      <c r="A145" s="22" t="s">
        <v>701</v>
      </c>
      <c r="B145" s="1" t="s">
        <v>702</v>
      </c>
      <c r="C145" s="1" t="s">
        <v>703</v>
      </c>
      <c r="D145" s="12">
        <v>70</v>
      </c>
      <c r="E145" s="1" t="s">
        <v>32</v>
      </c>
      <c r="F145" s="1" t="s">
        <v>704</v>
      </c>
      <c r="G145" s="12">
        <v>30</v>
      </c>
      <c r="H145" s="13">
        <v>60</v>
      </c>
      <c r="I145" s="1" t="s">
        <v>705</v>
      </c>
      <c r="J145" s="17" t="str" cm="1">
        <f t="array" ref="J145">SeCcolor($A$634:$A$644,I145)</f>
        <v/>
      </c>
      <c r="M145" s="3"/>
      <c r="N145" s="3"/>
    </row>
    <row r="146" spans="1:21">
      <c r="A146" s="22" t="s">
        <v>706</v>
      </c>
      <c r="B146" s="1" t="s">
        <v>707</v>
      </c>
      <c r="C146" s="1" t="s">
        <v>708</v>
      </c>
      <c r="D146" s="12">
        <v>113</v>
      </c>
      <c r="E146" s="1" t="s">
        <v>105</v>
      </c>
      <c r="F146" s="1" t="s">
        <v>709</v>
      </c>
      <c r="G146" s="12">
        <v>20</v>
      </c>
      <c r="H146" s="13">
        <v>40</v>
      </c>
      <c r="I146" s="1" t="s">
        <v>710</v>
      </c>
      <c r="J146" s="17" t="str" cm="1">
        <f t="array" ref="J146">SeCcolor($A$634:$A$644,I146)</f>
        <v/>
      </c>
    </row>
    <row r="147" spans="1:21">
      <c r="A147" s="22" t="s">
        <v>711</v>
      </c>
      <c r="B147" s="1" t="s">
        <v>501</v>
      </c>
      <c r="C147" s="1" t="s">
        <v>712</v>
      </c>
      <c r="D147" s="12">
        <v>380</v>
      </c>
      <c r="E147" s="1" t="s">
        <v>70</v>
      </c>
      <c r="F147" s="1" t="s">
        <v>503</v>
      </c>
      <c r="G147" s="12">
        <v>15</v>
      </c>
      <c r="H147" s="13">
        <v>40</v>
      </c>
      <c r="I147" s="1" t="s">
        <v>504</v>
      </c>
      <c r="J147" s="17" t="str" cm="1">
        <f t="array" ref="J147">SeCcolor($A$634:$A$644,I147)</f>
        <v/>
      </c>
      <c r="K147" s="22" t="s">
        <v>278</v>
      </c>
      <c r="M147" s="22" t="s">
        <v>713</v>
      </c>
      <c r="N147" s="22"/>
    </row>
    <row r="148" spans="1:21">
      <c r="A148" s="22" t="s">
        <v>714</v>
      </c>
      <c r="B148" s="1" t="s">
        <v>715</v>
      </c>
      <c r="C148" s="1" t="s">
        <v>716</v>
      </c>
      <c r="D148" s="12">
        <v>300</v>
      </c>
      <c r="E148" s="1" t="s">
        <v>19</v>
      </c>
      <c r="F148" s="1" t="s">
        <v>717</v>
      </c>
      <c r="G148" s="12">
        <v>25</v>
      </c>
      <c r="H148" s="13">
        <v>59.9</v>
      </c>
      <c r="I148" s="1" t="s">
        <v>718</v>
      </c>
      <c r="J148" s="17" t="str" cm="1">
        <f t="array" ref="J148">SeCcolor($A$634:$A$644,I148)</f>
        <v/>
      </c>
    </row>
    <row r="149" spans="1:21">
      <c r="A149" s="1" t="s">
        <v>719</v>
      </c>
      <c r="B149" s="1" t="s">
        <v>496</v>
      </c>
      <c r="C149" s="1" t="s">
        <v>720</v>
      </c>
      <c r="D149" s="12">
        <v>832</v>
      </c>
      <c r="E149" s="1" t="s">
        <v>70</v>
      </c>
      <c r="F149" s="1" t="s">
        <v>498</v>
      </c>
      <c r="G149" s="12">
        <v>10</v>
      </c>
      <c r="H149" s="13">
        <v>50</v>
      </c>
      <c r="I149" s="1" t="s">
        <v>499</v>
      </c>
      <c r="J149" s="17" t="str" cm="1">
        <f t="array" ref="J149">SeCcolor($A$634:$A$644,I149)</f>
        <v/>
      </c>
    </row>
    <row r="150" spans="1:21">
      <c r="A150" s="22"/>
      <c r="B150" s="1" t="s">
        <v>721</v>
      </c>
      <c r="C150" s="1" t="s">
        <v>722</v>
      </c>
      <c r="D150" s="12">
        <v>100</v>
      </c>
      <c r="E150" s="1" t="s">
        <v>127</v>
      </c>
      <c r="F150" s="30" t="s">
        <v>723</v>
      </c>
      <c r="G150" s="12">
        <v>25</v>
      </c>
      <c r="H150" s="13">
        <v>60</v>
      </c>
      <c r="I150" s="155" t="s">
        <v>724</v>
      </c>
      <c r="J150" s="17" t="str" cm="1">
        <f t="array" ref="J150">SeCcolor($A$634:$A$644,I150)</f>
        <v/>
      </c>
      <c r="O150" s="2"/>
      <c r="P150" s="2"/>
      <c r="Q150" s="2"/>
      <c r="R150" s="2"/>
      <c r="S150" s="2"/>
      <c r="T150" s="2"/>
      <c r="U150" s="2"/>
    </row>
    <row r="151" spans="1:21">
      <c r="A151" s="22" t="s">
        <v>725</v>
      </c>
      <c r="B151" s="1" t="s">
        <v>726</v>
      </c>
      <c r="C151" s="1" t="s">
        <v>136</v>
      </c>
      <c r="D151" s="12">
        <v>162</v>
      </c>
      <c r="E151" s="1" t="s">
        <v>32</v>
      </c>
      <c r="F151" s="1" t="s">
        <v>727</v>
      </c>
      <c r="G151" s="12">
        <v>20</v>
      </c>
      <c r="H151" s="13">
        <v>70</v>
      </c>
      <c r="I151" s="1" t="s">
        <v>728</v>
      </c>
      <c r="J151" s="17" t="str" cm="1">
        <f t="array" ref="J151">SeCcolor($A$634:$A$644,I151)</f>
        <v/>
      </c>
      <c r="K151" s="17"/>
      <c r="M151" s="1"/>
      <c r="N151" s="1"/>
    </row>
    <row r="152" spans="1:21">
      <c r="A152" s="22" t="s">
        <v>729</v>
      </c>
      <c r="B152" s="1" t="s">
        <v>730</v>
      </c>
      <c r="C152" s="1" t="s">
        <v>731</v>
      </c>
      <c r="D152" s="12">
        <v>310</v>
      </c>
      <c r="E152" s="1" t="s">
        <v>127</v>
      </c>
      <c r="F152" s="1" t="s">
        <v>732</v>
      </c>
      <c r="G152" s="12">
        <v>20</v>
      </c>
      <c r="H152" s="13">
        <v>70</v>
      </c>
      <c r="I152" s="1" t="s">
        <v>733</v>
      </c>
      <c r="J152" s="17" t="str" cm="1">
        <f t="array" ref="J152">SeCcolor($A$634:$A$644,I152)</f>
        <v/>
      </c>
    </row>
    <row r="153" spans="1:21">
      <c r="A153" s="22" t="s">
        <v>734</v>
      </c>
      <c r="B153" s="1" t="s">
        <v>735</v>
      </c>
      <c r="C153" s="1" t="s">
        <v>516</v>
      </c>
      <c r="D153" s="12">
        <v>80</v>
      </c>
      <c r="E153" s="1" t="s">
        <v>32</v>
      </c>
      <c r="F153" s="1" t="s">
        <v>736</v>
      </c>
      <c r="G153" s="12">
        <v>25</v>
      </c>
      <c r="H153" s="13">
        <v>50</v>
      </c>
      <c r="I153" s="1" t="s">
        <v>737</v>
      </c>
      <c r="J153" s="17" t="str" cm="1">
        <f t="array" ref="J153">SeCcolor($A$634:$A$644,I153)</f>
        <v/>
      </c>
      <c r="K153" s="22" t="s">
        <v>278</v>
      </c>
      <c r="M153" s="22" t="s">
        <v>738</v>
      </c>
      <c r="N153" s="22"/>
      <c r="O153" s="3"/>
      <c r="P153" s="3"/>
      <c r="Q153" s="3"/>
      <c r="R153" s="3"/>
      <c r="S153" s="3"/>
      <c r="T153" s="3"/>
      <c r="U153" s="3"/>
    </row>
    <row r="154" spans="1:21">
      <c r="A154" s="22" t="s">
        <v>82</v>
      </c>
      <c r="B154" s="1" t="s">
        <v>739</v>
      </c>
      <c r="C154" s="1" t="s">
        <v>740</v>
      </c>
      <c r="D154" s="12">
        <v>27</v>
      </c>
      <c r="E154" s="1" t="s">
        <v>127</v>
      </c>
      <c r="F154" s="1">
        <v>992099944</v>
      </c>
      <c r="G154" s="12">
        <v>10</v>
      </c>
      <c r="H154" s="13">
        <v>75</v>
      </c>
      <c r="I154" s="1" t="s">
        <v>741</v>
      </c>
      <c r="J154" s="17" t="str" cm="1">
        <f t="array" ref="J154">SeCcolor($A$634:$A$644,I154)</f>
        <v/>
      </c>
      <c r="O154" s="7"/>
      <c r="P154" s="7"/>
      <c r="Q154" s="7"/>
      <c r="R154" s="7"/>
      <c r="S154" s="7"/>
      <c r="T154" s="7"/>
      <c r="U154" s="7"/>
    </row>
    <row r="155" spans="1:21">
      <c r="A155" s="22" t="s">
        <v>401</v>
      </c>
      <c r="B155" s="1" t="s">
        <v>742</v>
      </c>
      <c r="C155" s="1" t="s">
        <v>743</v>
      </c>
      <c r="D155" s="12">
        <v>108</v>
      </c>
      <c r="E155" s="1" t="s">
        <v>70</v>
      </c>
      <c r="F155" s="1">
        <v>3599470033</v>
      </c>
      <c r="G155" s="12">
        <v>20</v>
      </c>
      <c r="H155" s="13">
        <v>60</v>
      </c>
      <c r="I155" s="1" t="s">
        <v>744</v>
      </c>
      <c r="J155" s="17" t="str" cm="1">
        <f t="array" ref="J155">SeCcolor($A$634:$A$644,I155)</f>
        <v/>
      </c>
    </row>
    <row r="156" spans="1:21">
      <c r="A156" s="22" t="s">
        <v>745</v>
      </c>
      <c r="B156" s="1" t="s">
        <v>746</v>
      </c>
      <c r="C156" s="1" t="s">
        <v>747</v>
      </c>
      <c r="D156" s="1" t="s">
        <v>31</v>
      </c>
      <c r="E156" s="1" t="s">
        <v>540</v>
      </c>
      <c r="F156" s="1" t="s">
        <v>748</v>
      </c>
      <c r="G156" s="12">
        <v>10</v>
      </c>
      <c r="H156" s="13">
        <v>0</v>
      </c>
      <c r="I156" s="1" t="s">
        <v>749</v>
      </c>
      <c r="J156" s="17" t="str" cm="1">
        <f t="array" ref="J156">SeCcolor($A$634:$A$644,I156)</f>
        <v/>
      </c>
    </row>
    <row r="157" spans="1:21">
      <c r="A157" s="22" t="s">
        <v>750</v>
      </c>
      <c r="B157" s="1" t="s">
        <v>751</v>
      </c>
      <c r="C157" s="1" t="s">
        <v>752</v>
      </c>
      <c r="D157" s="12">
        <v>200</v>
      </c>
      <c r="E157" s="1" t="s">
        <v>753</v>
      </c>
      <c r="F157" s="1" t="s">
        <v>754</v>
      </c>
      <c r="G157" s="12">
        <v>10</v>
      </c>
      <c r="H157" s="13">
        <v>59.9</v>
      </c>
      <c r="I157" s="1" t="s">
        <v>755</v>
      </c>
      <c r="J157" s="17" t="str" cm="1">
        <f t="array" ref="J157">SeCcolor($A$634:$A$644,I157)</f>
        <v/>
      </c>
    </row>
    <row r="158" spans="1:21">
      <c r="A158" s="22" t="s">
        <v>627</v>
      </c>
      <c r="B158" s="1" t="s">
        <v>756</v>
      </c>
      <c r="C158" s="1" t="s">
        <v>757</v>
      </c>
      <c r="D158" s="12">
        <v>40</v>
      </c>
      <c r="E158" s="1" t="s">
        <v>64</v>
      </c>
      <c r="F158" s="1" t="s">
        <v>758</v>
      </c>
      <c r="G158" s="12">
        <v>10</v>
      </c>
      <c r="H158" s="13">
        <v>75.900000000000006</v>
      </c>
      <c r="I158" s="1" t="s">
        <v>759</v>
      </c>
      <c r="J158" s="17" t="str" cm="1">
        <f t="array" ref="J158">SeCcolor($A$634:$A$644,I158)</f>
        <v/>
      </c>
      <c r="M158" s="2"/>
      <c r="N158" s="2"/>
    </row>
    <row r="159" spans="1:21">
      <c r="A159" s="22" t="s">
        <v>760</v>
      </c>
      <c r="B159" s="1" t="s">
        <v>761</v>
      </c>
      <c r="C159" s="1" t="s">
        <v>762</v>
      </c>
      <c r="D159" s="12">
        <v>9</v>
      </c>
      <c r="E159" s="1" t="s">
        <v>188</v>
      </c>
      <c r="F159" s="1" t="s">
        <v>763</v>
      </c>
      <c r="G159" s="12">
        <v>5</v>
      </c>
      <c r="H159" s="13">
        <v>50</v>
      </c>
      <c r="I159" s="1" t="s">
        <v>764</v>
      </c>
      <c r="J159" s="17" t="str" cm="1">
        <f t="array" ref="J159">SeCcolor($A$634:$A$644,I159)</f>
        <v/>
      </c>
    </row>
    <row r="160" spans="1:21">
      <c r="A160" s="22" t="s">
        <v>765</v>
      </c>
      <c r="B160" s="1" t="s">
        <v>761</v>
      </c>
      <c r="C160" s="1" t="s">
        <v>766</v>
      </c>
      <c r="D160" s="12">
        <v>73</v>
      </c>
      <c r="E160" s="1" t="s">
        <v>314</v>
      </c>
      <c r="F160" s="1" t="s">
        <v>763</v>
      </c>
      <c r="G160" s="12">
        <v>5</v>
      </c>
      <c r="H160" s="13">
        <v>50</v>
      </c>
      <c r="I160" s="1" t="s">
        <v>764</v>
      </c>
      <c r="J160" s="17" t="str" cm="1">
        <f t="array" ref="J160">SeCcolor($A$634:$A$644,I160)</f>
        <v/>
      </c>
    </row>
    <row r="161" spans="1:21">
      <c r="A161" s="1" t="s">
        <v>767</v>
      </c>
      <c r="B161" s="1" t="s">
        <v>768</v>
      </c>
      <c r="C161" s="1" t="s">
        <v>769</v>
      </c>
      <c r="D161" s="12">
        <v>101</v>
      </c>
      <c r="E161" s="1" t="s">
        <v>188</v>
      </c>
      <c r="F161" s="1" t="s">
        <v>770</v>
      </c>
      <c r="G161" s="12">
        <v>10</v>
      </c>
      <c r="H161" s="13">
        <v>59.9</v>
      </c>
      <c r="I161" s="1" t="s">
        <v>771</v>
      </c>
      <c r="J161" s="17" t="str" cm="1">
        <f t="array" ref="J161">SeCcolor($A$634:$A$644,I161)</f>
        <v/>
      </c>
    </row>
    <row r="162" spans="1:21">
      <c r="A162" s="1" t="s">
        <v>772</v>
      </c>
      <c r="B162" s="1" t="s">
        <v>773</v>
      </c>
      <c r="C162" s="1" t="s">
        <v>774</v>
      </c>
      <c r="D162" s="12">
        <v>49</v>
      </c>
      <c r="E162" s="1" t="s">
        <v>64</v>
      </c>
      <c r="F162" s="1" t="s">
        <v>775</v>
      </c>
      <c r="G162" s="12">
        <v>10</v>
      </c>
      <c r="H162" s="13">
        <v>59.9</v>
      </c>
      <c r="I162" s="1" t="s">
        <v>776</v>
      </c>
      <c r="J162" s="17" t="str" cm="1">
        <f t="array" ref="J162">SeCcolor($A$634:$A$644,I162)</f>
        <v/>
      </c>
    </row>
    <row r="163" spans="1:21">
      <c r="A163" s="22" t="s">
        <v>777</v>
      </c>
      <c r="B163" s="1" t="s">
        <v>778</v>
      </c>
      <c r="C163" s="1" t="s">
        <v>779</v>
      </c>
      <c r="D163" s="12">
        <v>335</v>
      </c>
      <c r="E163" s="1" t="s">
        <v>19</v>
      </c>
      <c r="F163" s="1" t="s">
        <v>780</v>
      </c>
      <c r="G163" s="12">
        <v>10</v>
      </c>
      <c r="H163" s="13">
        <v>60</v>
      </c>
      <c r="I163" s="1" t="s">
        <v>781</v>
      </c>
      <c r="J163" s="17" t="str" cm="1">
        <f t="array" ref="J163">SeCcolor($A$634:$A$644,I163)</f>
        <v/>
      </c>
    </row>
    <row r="164" spans="1:21">
      <c r="A164" s="22" t="s">
        <v>782</v>
      </c>
      <c r="B164" s="1" t="s">
        <v>783</v>
      </c>
      <c r="C164" s="1" t="s">
        <v>784</v>
      </c>
      <c r="D164" s="12">
        <v>72</v>
      </c>
      <c r="E164" s="1" t="s">
        <v>64</v>
      </c>
      <c r="F164" s="1" t="s">
        <v>785</v>
      </c>
      <c r="G164" s="12">
        <v>30</v>
      </c>
      <c r="H164" s="13">
        <v>50</v>
      </c>
      <c r="I164" s="1" t="s">
        <v>786</v>
      </c>
      <c r="J164" s="17" t="str" cm="1">
        <f t="array" ref="J164">SeCcolor($A$634:$A$644,I164)</f>
        <v/>
      </c>
      <c r="K164" s="22" t="s">
        <v>278</v>
      </c>
    </row>
    <row r="165" spans="1:21">
      <c r="A165" s="22" t="s">
        <v>787</v>
      </c>
      <c r="B165" s="1" t="s">
        <v>788</v>
      </c>
      <c r="C165" s="1" t="s">
        <v>789</v>
      </c>
      <c r="D165" s="12">
        <v>160</v>
      </c>
      <c r="E165" s="1" t="s">
        <v>64</v>
      </c>
      <c r="F165" s="1" t="s">
        <v>790</v>
      </c>
      <c r="G165" s="12">
        <v>25</v>
      </c>
      <c r="H165" s="13">
        <v>50</v>
      </c>
      <c r="I165" s="1" t="s">
        <v>791</v>
      </c>
      <c r="J165" s="17" t="str" cm="1">
        <f t="array" ref="J165">SeCcolor($A$634:$A$644,I165)</f>
        <v/>
      </c>
    </row>
    <row r="166" spans="1:21">
      <c r="A166" s="22" t="s">
        <v>792</v>
      </c>
      <c r="B166" s="1" t="s">
        <v>793</v>
      </c>
      <c r="C166" s="1" t="s">
        <v>794</v>
      </c>
      <c r="D166" s="12">
        <v>169</v>
      </c>
      <c r="E166" s="1" t="s">
        <v>188</v>
      </c>
      <c r="F166" s="1" t="s">
        <v>795</v>
      </c>
      <c r="G166" s="12">
        <v>20</v>
      </c>
      <c r="H166" s="13">
        <v>59.9</v>
      </c>
      <c r="I166" s="1" t="s">
        <v>796</v>
      </c>
      <c r="J166" s="17" t="str" cm="1">
        <f t="array" ref="J166">SeCcolor($A$634:$A$644,I166)</f>
        <v/>
      </c>
    </row>
    <row r="167" spans="1:21">
      <c r="A167" s="22" t="s">
        <v>797</v>
      </c>
      <c r="B167" s="1" t="s">
        <v>798</v>
      </c>
      <c r="C167" s="1" t="s">
        <v>799</v>
      </c>
      <c r="D167" s="12">
        <v>21</v>
      </c>
      <c r="E167" s="1" t="s">
        <v>800</v>
      </c>
      <c r="F167" s="1" t="s">
        <v>801</v>
      </c>
      <c r="G167" s="12">
        <v>10</v>
      </c>
      <c r="H167" s="13">
        <v>50</v>
      </c>
      <c r="I167" s="1" t="s">
        <v>802</v>
      </c>
      <c r="J167" s="17" t="str" cm="1">
        <f t="array" ref="J167">SeCcolor($A$634:$A$644,I167)</f>
        <v/>
      </c>
      <c r="K167" s="22" t="s">
        <v>278</v>
      </c>
      <c r="M167" s="22" t="s">
        <v>803</v>
      </c>
      <c r="N167" s="22"/>
      <c r="O167" s="1"/>
      <c r="P167" s="1"/>
      <c r="Q167" s="1"/>
      <c r="R167" s="1"/>
      <c r="S167" s="1"/>
      <c r="T167" s="1"/>
      <c r="U167" s="1"/>
    </row>
    <row r="168" spans="1:21" s="1" customFormat="1">
      <c r="A168" s="22" t="s">
        <v>804</v>
      </c>
      <c r="B168" s="1" t="s">
        <v>805</v>
      </c>
      <c r="C168" s="1" t="s">
        <v>806</v>
      </c>
      <c r="D168" s="12">
        <v>88</v>
      </c>
      <c r="E168" s="1" t="s">
        <v>64</v>
      </c>
      <c r="F168" s="1" t="s">
        <v>807</v>
      </c>
      <c r="G168" s="12">
        <v>15</v>
      </c>
      <c r="H168" s="13">
        <v>50</v>
      </c>
      <c r="I168" s="1" t="s">
        <v>808</v>
      </c>
      <c r="J168" s="17" t="str" cm="1">
        <f t="array" ref="J168">SeCcolor($A$634:$A$644,I168)</f>
        <v/>
      </c>
      <c r="K168" s="22"/>
      <c r="L168" s="22"/>
      <c r="M168"/>
      <c r="N168"/>
      <c r="O168"/>
      <c r="P168"/>
      <c r="Q168"/>
      <c r="R168"/>
      <c r="S168"/>
      <c r="T168"/>
      <c r="U168"/>
    </row>
    <row r="169" spans="1:21" s="1" customFormat="1">
      <c r="A169" s="22" t="s">
        <v>809</v>
      </c>
      <c r="B169" s="1" t="s">
        <v>810</v>
      </c>
      <c r="C169" s="1" t="s">
        <v>811</v>
      </c>
      <c r="D169" s="12">
        <v>203</v>
      </c>
      <c r="E169" s="1" t="s">
        <v>19</v>
      </c>
      <c r="F169" s="1" t="s">
        <v>812</v>
      </c>
      <c r="G169" s="12">
        <v>20</v>
      </c>
      <c r="H169" s="13">
        <v>85.9</v>
      </c>
      <c r="I169" s="1" t="s">
        <v>813</v>
      </c>
      <c r="J169" s="17" t="str" cm="1">
        <f t="array" ref="J169">SeCcolor($A$634:$A$644,I169)</f>
        <v/>
      </c>
      <c r="K169" s="22"/>
      <c r="L169" s="22"/>
      <c r="M169" s="3"/>
      <c r="N169" s="3"/>
      <c r="O169"/>
      <c r="P169"/>
      <c r="Q169"/>
      <c r="R169"/>
      <c r="S169"/>
      <c r="T169"/>
      <c r="U169"/>
    </row>
    <row r="170" spans="1:21">
      <c r="A170" s="22" t="s">
        <v>814</v>
      </c>
      <c r="B170" s="1" t="s">
        <v>810</v>
      </c>
      <c r="C170" s="1" t="s">
        <v>589</v>
      </c>
      <c r="D170" s="12">
        <v>232</v>
      </c>
      <c r="E170" s="1" t="s">
        <v>19</v>
      </c>
      <c r="F170" s="1" t="s">
        <v>812</v>
      </c>
      <c r="G170" s="12">
        <v>20</v>
      </c>
      <c r="H170" s="13">
        <v>60</v>
      </c>
      <c r="I170" s="1" t="s">
        <v>813</v>
      </c>
      <c r="J170" s="17" t="str" cm="1">
        <f t="array" ref="J170">SeCcolor($A$634:$A$644,I170)</f>
        <v/>
      </c>
      <c r="O170" s="22"/>
      <c r="P170" s="22"/>
      <c r="Q170" s="22"/>
      <c r="R170" s="22"/>
      <c r="S170" s="22"/>
      <c r="T170" s="22"/>
      <c r="U170" s="22"/>
    </row>
    <row r="171" spans="1:21">
      <c r="A171" s="22" t="s">
        <v>815</v>
      </c>
      <c r="B171" s="1" t="s">
        <v>816</v>
      </c>
      <c r="C171" s="1" t="s">
        <v>817</v>
      </c>
      <c r="D171" s="12">
        <v>160</v>
      </c>
      <c r="E171" s="1" t="s">
        <v>314</v>
      </c>
      <c r="F171" s="1" t="s">
        <v>818</v>
      </c>
      <c r="G171" s="12">
        <v>20</v>
      </c>
      <c r="H171" s="13">
        <v>59.9</v>
      </c>
      <c r="I171" s="1" t="s">
        <v>819</v>
      </c>
      <c r="J171" s="17" t="str" cm="1">
        <f t="array" ref="J171">SeCcolor($A$634:$A$644,I171)</f>
        <v/>
      </c>
    </row>
    <row r="172" spans="1:21">
      <c r="A172" s="22" t="s">
        <v>401</v>
      </c>
      <c r="B172" s="1" t="s">
        <v>820</v>
      </c>
      <c r="C172" s="1" t="s">
        <v>821</v>
      </c>
      <c r="D172" s="12">
        <v>88</v>
      </c>
      <c r="E172" s="1" t="s">
        <v>188</v>
      </c>
      <c r="F172" s="1">
        <v>998604803</v>
      </c>
      <c r="G172" s="12">
        <v>10</v>
      </c>
      <c r="H172" s="13">
        <v>59.9</v>
      </c>
      <c r="I172" s="1" t="s">
        <v>822</v>
      </c>
      <c r="J172" s="17" t="str" cm="1">
        <f t="array" ref="J172">SeCcolor($A$634:$A$644,I172)</f>
        <v/>
      </c>
      <c r="O172" s="22"/>
      <c r="P172" s="22"/>
      <c r="Q172" s="22"/>
      <c r="R172" s="22"/>
      <c r="S172" s="22"/>
      <c r="T172" s="22"/>
      <c r="U172" s="22"/>
    </row>
    <row r="173" spans="1:21">
      <c r="A173" s="22" t="s">
        <v>823</v>
      </c>
      <c r="B173" s="1" t="s">
        <v>824</v>
      </c>
      <c r="C173" s="1" t="s">
        <v>825</v>
      </c>
      <c r="D173" s="12">
        <v>90</v>
      </c>
      <c r="E173" s="1" t="s">
        <v>19</v>
      </c>
      <c r="F173" s="1" t="s">
        <v>826</v>
      </c>
      <c r="G173" s="12">
        <v>20</v>
      </c>
      <c r="H173" s="13">
        <v>50</v>
      </c>
      <c r="I173" s="1" t="s">
        <v>827</v>
      </c>
      <c r="J173" s="17" t="str" cm="1">
        <f t="array" ref="J173">SeCcolor($A$634:$A$644,I173)</f>
        <v/>
      </c>
    </row>
    <row r="174" spans="1:21">
      <c r="A174" s="22" t="s">
        <v>528</v>
      </c>
      <c r="B174" s="1" t="s">
        <v>824</v>
      </c>
      <c r="C174" s="1" t="s">
        <v>828</v>
      </c>
      <c r="D174" s="12">
        <v>53</v>
      </c>
      <c r="E174" s="1" t="s">
        <v>19</v>
      </c>
      <c r="F174" s="1" t="s">
        <v>826</v>
      </c>
      <c r="G174" s="12">
        <v>20</v>
      </c>
      <c r="H174" s="13">
        <v>59.9</v>
      </c>
      <c r="I174" s="1" t="s">
        <v>827</v>
      </c>
      <c r="J174" s="17" t="str" cm="1">
        <f t="array" ref="J174">SeCcolor($A$634:$A$644,I174)</f>
        <v/>
      </c>
    </row>
    <row r="175" spans="1:21">
      <c r="A175" s="22" t="s">
        <v>829</v>
      </c>
      <c r="B175" s="1" t="s">
        <v>830</v>
      </c>
      <c r="C175" s="1" t="s">
        <v>831</v>
      </c>
      <c r="D175" s="12">
        <v>35</v>
      </c>
      <c r="E175" s="1" t="s">
        <v>19</v>
      </c>
      <c r="F175" s="1" t="s">
        <v>832</v>
      </c>
      <c r="G175" s="12">
        <v>30</v>
      </c>
      <c r="H175" s="13">
        <v>70</v>
      </c>
      <c r="I175" s="1" t="s">
        <v>833</v>
      </c>
      <c r="J175" s="17" t="str" cm="1">
        <f t="array" ref="J175">SeCcolor($A$634:$A$644,I175)</f>
        <v/>
      </c>
    </row>
    <row r="176" spans="1:21">
      <c r="A176" s="22" t="s">
        <v>834</v>
      </c>
      <c r="B176" s="1" t="s">
        <v>835</v>
      </c>
      <c r="C176" s="1" t="s">
        <v>836</v>
      </c>
      <c r="D176" s="12">
        <v>33</v>
      </c>
      <c r="E176" s="1" t="s">
        <v>837</v>
      </c>
      <c r="F176" s="1" t="s">
        <v>838</v>
      </c>
      <c r="G176" s="12">
        <v>10</v>
      </c>
      <c r="H176" s="13">
        <v>70</v>
      </c>
      <c r="I176" s="1" t="s">
        <v>839</v>
      </c>
      <c r="J176" s="17" t="str" cm="1">
        <f t="array" ref="J176">SeCcolor($A$634:$A$644,I176)</f>
        <v/>
      </c>
      <c r="M176" s="1"/>
      <c r="N176" s="1"/>
    </row>
    <row r="177" spans="1:21">
      <c r="A177" s="22" t="s">
        <v>114</v>
      </c>
      <c r="B177" s="1" t="s">
        <v>840</v>
      </c>
      <c r="C177" s="1" t="s">
        <v>841</v>
      </c>
      <c r="D177" s="12">
        <v>90</v>
      </c>
      <c r="E177" s="1" t="s">
        <v>19</v>
      </c>
      <c r="F177" s="1" t="s">
        <v>842</v>
      </c>
      <c r="G177" s="12">
        <v>20</v>
      </c>
      <c r="H177" s="13">
        <v>59.9</v>
      </c>
      <c r="I177" s="1" t="s">
        <v>843</v>
      </c>
      <c r="J177" s="17" t="str" cm="1">
        <f t="array" ref="J177">SeCcolor($A$634:$A$644,I177)</f>
        <v/>
      </c>
    </row>
    <row r="178" spans="1:21" s="22" customFormat="1">
      <c r="A178" s="22" t="s">
        <v>844</v>
      </c>
      <c r="B178" s="1" t="s">
        <v>845</v>
      </c>
      <c r="C178" s="1" t="s">
        <v>530</v>
      </c>
      <c r="D178" s="12">
        <v>20</v>
      </c>
      <c r="E178" s="1" t="s">
        <v>320</v>
      </c>
      <c r="F178" s="1" t="s">
        <v>846</v>
      </c>
      <c r="G178" s="12">
        <v>20</v>
      </c>
      <c r="H178" s="13">
        <v>76</v>
      </c>
      <c r="I178" s="1" t="s">
        <v>847</v>
      </c>
      <c r="J178" s="17" t="str" cm="1">
        <f t="array" ref="J178">SeCcolor($A$634:$A$644,I178)</f>
        <v/>
      </c>
      <c r="M178" s="1"/>
      <c r="N178" s="1"/>
      <c r="O178"/>
      <c r="P178"/>
      <c r="Q178"/>
      <c r="R178"/>
      <c r="S178"/>
      <c r="T178"/>
      <c r="U178"/>
    </row>
    <row r="179" spans="1:21">
      <c r="A179" s="22" t="s">
        <v>848</v>
      </c>
      <c r="B179" s="1" t="s">
        <v>849</v>
      </c>
      <c r="C179" s="1" t="s">
        <v>850</v>
      </c>
      <c r="D179" s="12">
        <v>45</v>
      </c>
      <c r="E179" s="1" t="s">
        <v>70</v>
      </c>
      <c r="F179" s="1" t="s">
        <v>851</v>
      </c>
      <c r="G179" s="12">
        <v>25</v>
      </c>
      <c r="H179" s="13">
        <v>59.9</v>
      </c>
      <c r="I179" s="1" t="s">
        <v>852</v>
      </c>
      <c r="J179" s="17" t="str" cm="1">
        <f t="array" ref="J179">SeCcolor($A$634:$A$644,I179)</f>
        <v/>
      </c>
    </row>
    <row r="180" spans="1:21">
      <c r="A180" s="22" t="s">
        <v>853</v>
      </c>
      <c r="B180" s="1" t="s">
        <v>854</v>
      </c>
      <c r="C180" s="1" t="s">
        <v>855</v>
      </c>
      <c r="D180" s="12">
        <v>210</v>
      </c>
      <c r="E180" s="1" t="s">
        <v>70</v>
      </c>
      <c r="F180" s="1" t="s">
        <v>856</v>
      </c>
      <c r="G180" s="12">
        <v>20</v>
      </c>
      <c r="H180" s="13">
        <v>59.9</v>
      </c>
      <c r="I180" s="1" t="s">
        <v>857</v>
      </c>
      <c r="J180" s="17" t="str" cm="1">
        <f t="array" ref="J180">SeCcolor($A$634:$A$644,I180)</f>
        <v/>
      </c>
    </row>
    <row r="181" spans="1:21">
      <c r="A181" s="22" t="s">
        <v>858</v>
      </c>
      <c r="B181" s="1" t="s">
        <v>859</v>
      </c>
      <c r="C181" s="1" t="s">
        <v>341</v>
      </c>
      <c r="D181" s="12">
        <v>859</v>
      </c>
      <c r="E181" s="1" t="s">
        <v>64</v>
      </c>
      <c r="F181" s="1">
        <v>99342063</v>
      </c>
      <c r="G181" s="12">
        <v>5</v>
      </c>
      <c r="H181" s="13">
        <v>60</v>
      </c>
      <c r="I181" s="1" t="s">
        <v>860</v>
      </c>
      <c r="J181" s="17" t="str" cm="1">
        <f t="array" ref="J181">SeCcolor($A$634:$A$644,I181)</f>
        <v/>
      </c>
    </row>
    <row r="182" spans="1:21">
      <c r="A182" s="22" t="s">
        <v>861</v>
      </c>
      <c r="B182" s="1" t="s">
        <v>862</v>
      </c>
      <c r="C182" s="1" t="s">
        <v>863</v>
      </c>
      <c r="D182" s="12">
        <v>270</v>
      </c>
      <c r="E182" s="1" t="s">
        <v>32</v>
      </c>
      <c r="F182" s="1" t="s">
        <v>864</v>
      </c>
      <c r="G182" s="12">
        <v>10</v>
      </c>
      <c r="H182" s="13">
        <v>59.9</v>
      </c>
      <c r="I182" s="1" t="s">
        <v>865</v>
      </c>
      <c r="J182" s="17" t="str" cm="1">
        <f t="array" ref="J182">SeCcolor($A$634:$A$644,I182)</f>
        <v/>
      </c>
      <c r="M182" s="6"/>
      <c r="N182" s="6"/>
    </row>
    <row r="183" spans="1:21">
      <c r="A183" s="22" t="s">
        <v>866</v>
      </c>
      <c r="B183" s="1" t="s">
        <v>867</v>
      </c>
      <c r="C183" s="1" t="s">
        <v>868</v>
      </c>
      <c r="D183" s="12">
        <v>100</v>
      </c>
      <c r="E183" s="1" t="s">
        <v>105</v>
      </c>
      <c r="F183" s="1" t="s">
        <v>869</v>
      </c>
      <c r="G183" s="12">
        <v>20</v>
      </c>
      <c r="H183" s="13">
        <v>70</v>
      </c>
      <c r="I183" s="1" t="s">
        <v>870</v>
      </c>
      <c r="J183" s="17" t="str" cm="1">
        <f t="array" ref="J183">SeCcolor($A$634:$A$644,I183)</f>
        <v/>
      </c>
      <c r="K183" s="264"/>
      <c r="L183" s="17"/>
    </row>
    <row r="184" spans="1:21">
      <c r="A184" s="22" t="s">
        <v>871</v>
      </c>
      <c r="B184" s="1" t="s">
        <v>872</v>
      </c>
      <c r="C184" s="1" t="s">
        <v>873</v>
      </c>
      <c r="D184" s="12">
        <v>129</v>
      </c>
      <c r="E184" s="1" t="s">
        <v>32</v>
      </c>
      <c r="F184" s="1" t="s">
        <v>874</v>
      </c>
      <c r="G184" s="12">
        <v>20</v>
      </c>
      <c r="H184" s="13">
        <v>60</v>
      </c>
      <c r="I184" s="1" t="s">
        <v>875</v>
      </c>
      <c r="J184" s="17" t="str" cm="1">
        <f t="array" ref="J184">SeCcolor($A$634:$A$644,I184)</f>
        <v/>
      </c>
      <c r="M184" s="1"/>
      <c r="N184" s="1"/>
      <c r="O184" s="22"/>
      <c r="P184" s="22"/>
      <c r="Q184" s="22"/>
      <c r="R184" s="22"/>
      <c r="S184" s="22"/>
      <c r="T184" s="22"/>
      <c r="U184" s="22"/>
    </row>
    <row r="185" spans="1:21">
      <c r="A185" s="235">
        <v>43384</v>
      </c>
      <c r="B185" s="1" t="s">
        <v>876</v>
      </c>
      <c r="C185" s="1" t="s">
        <v>877</v>
      </c>
      <c r="D185" s="12">
        <v>240</v>
      </c>
      <c r="E185" s="1" t="s">
        <v>32</v>
      </c>
      <c r="F185" s="1" t="s">
        <v>878</v>
      </c>
      <c r="G185" s="12">
        <v>10</v>
      </c>
      <c r="H185" s="13">
        <v>50</v>
      </c>
      <c r="I185" s="1" t="s">
        <v>879</v>
      </c>
      <c r="J185" s="17" t="str" cm="1">
        <f t="array" ref="J185">SeCcolor($A$634:$A$644,I185)</f>
        <v/>
      </c>
    </row>
    <row r="186" spans="1:21" s="2" customFormat="1">
      <c r="A186" s="22" t="s">
        <v>880</v>
      </c>
      <c r="B186" s="1" t="s">
        <v>307</v>
      </c>
      <c r="C186" s="1" t="s">
        <v>881</v>
      </c>
      <c r="D186" s="1" t="s">
        <v>31</v>
      </c>
      <c r="E186" s="1" t="s">
        <v>127</v>
      </c>
      <c r="F186" s="1" t="s">
        <v>309</v>
      </c>
      <c r="G186" s="12">
        <v>15</v>
      </c>
      <c r="H186" s="13">
        <v>59.9</v>
      </c>
      <c r="I186" s="1" t="s">
        <v>310</v>
      </c>
      <c r="J186" s="17" t="str" cm="1">
        <f t="array" ref="J186">SeCcolor($A$634:$A$644,I186)</f>
        <v/>
      </c>
      <c r="K186" s="22"/>
      <c r="L186" s="22"/>
      <c r="M186"/>
      <c r="N186"/>
      <c r="O186"/>
      <c r="P186"/>
      <c r="Q186"/>
      <c r="R186"/>
      <c r="S186"/>
      <c r="T186"/>
      <c r="U186"/>
    </row>
    <row r="187" spans="1:21">
      <c r="A187" s="22" t="s">
        <v>217</v>
      </c>
      <c r="B187" s="1" t="s">
        <v>882</v>
      </c>
      <c r="C187" s="1" t="s">
        <v>883</v>
      </c>
      <c r="D187" s="12">
        <v>72</v>
      </c>
      <c r="E187" s="1" t="s">
        <v>127</v>
      </c>
      <c r="F187" s="1" t="s">
        <v>884</v>
      </c>
      <c r="G187" s="12">
        <v>25</v>
      </c>
      <c r="H187" s="13">
        <v>50</v>
      </c>
      <c r="I187" s="1" t="s">
        <v>885</v>
      </c>
      <c r="J187" s="17" t="str" cm="1">
        <f t="array" ref="J187">SeCcolor($A$634:$A$644,I187)</f>
        <v/>
      </c>
      <c r="K187" s="22" t="s">
        <v>278</v>
      </c>
    </row>
    <row r="188" spans="1:21">
      <c r="A188" s="22" t="s">
        <v>886</v>
      </c>
      <c r="B188" s="1" t="s">
        <v>887</v>
      </c>
      <c r="C188" s="1" t="s">
        <v>881</v>
      </c>
      <c r="D188" s="1" t="s">
        <v>31</v>
      </c>
      <c r="E188" s="1" t="s">
        <v>19</v>
      </c>
      <c r="F188" s="1" t="s">
        <v>888</v>
      </c>
      <c r="G188" s="12">
        <v>10</v>
      </c>
      <c r="H188" s="13">
        <v>59.9</v>
      </c>
      <c r="I188" s="1" t="s">
        <v>889</v>
      </c>
      <c r="J188" s="17" t="str" cm="1">
        <f t="array" ref="J188">SeCcolor($A$634:$A$644,I188)</f>
        <v/>
      </c>
      <c r="O188" s="1"/>
      <c r="P188" s="1"/>
      <c r="Q188" s="1"/>
      <c r="R188" s="1"/>
      <c r="S188" s="1"/>
      <c r="T188" s="1"/>
      <c r="U188" s="1"/>
    </row>
    <row r="189" spans="1:21">
      <c r="A189" s="22" t="s">
        <v>82</v>
      </c>
      <c r="B189" s="1" t="s">
        <v>890</v>
      </c>
      <c r="C189" s="1" t="s">
        <v>244</v>
      </c>
      <c r="D189" s="12">
        <v>865</v>
      </c>
      <c r="E189" s="1" t="s">
        <v>70</v>
      </c>
      <c r="F189" s="1" t="s">
        <v>891</v>
      </c>
      <c r="G189" s="12">
        <v>10</v>
      </c>
      <c r="H189" s="13">
        <v>139.80000000000001</v>
      </c>
      <c r="I189" s="1" t="s">
        <v>892</v>
      </c>
      <c r="J189" s="17" t="str" cm="1">
        <f t="array" ref="J189">SeCcolor($A$634:$A$644,I189)</f>
        <v/>
      </c>
      <c r="M189" s="1"/>
      <c r="N189" s="1"/>
    </row>
    <row r="190" spans="1:21" s="1" customFormat="1">
      <c r="A190" s="22" t="s">
        <v>893</v>
      </c>
      <c r="B190" s="1" t="s">
        <v>894</v>
      </c>
      <c r="C190" s="1" t="s">
        <v>259</v>
      </c>
      <c r="D190" s="12">
        <v>567</v>
      </c>
      <c r="E190" s="1" t="s">
        <v>19</v>
      </c>
      <c r="F190" s="1" t="s">
        <v>891</v>
      </c>
      <c r="G190" s="12">
        <v>10</v>
      </c>
      <c r="H190" s="13">
        <v>0</v>
      </c>
      <c r="I190" s="1" t="s">
        <v>892</v>
      </c>
      <c r="J190" s="17" t="str" cm="1">
        <f t="array" ref="J190">SeCcolor($A$634:$A$644,I190)</f>
        <v/>
      </c>
      <c r="K190" s="22"/>
      <c r="L190" s="17"/>
      <c r="M190"/>
      <c r="N190"/>
      <c r="O190" s="22"/>
      <c r="P190" s="22"/>
      <c r="Q190" s="22"/>
      <c r="R190" s="22"/>
      <c r="S190" s="22"/>
      <c r="T190" s="22"/>
      <c r="U190" s="22"/>
    </row>
    <row r="191" spans="1:21" s="7" customFormat="1">
      <c r="A191" s="22" t="s">
        <v>895</v>
      </c>
      <c r="B191" s="1" t="s">
        <v>896</v>
      </c>
      <c r="C191" s="1" t="s">
        <v>397</v>
      </c>
      <c r="D191" s="12">
        <v>41</v>
      </c>
      <c r="E191" s="1" t="s">
        <v>19</v>
      </c>
      <c r="F191" s="1" t="s">
        <v>897</v>
      </c>
      <c r="G191" s="12">
        <v>10</v>
      </c>
      <c r="H191" s="13">
        <v>60</v>
      </c>
      <c r="I191" s="1" t="s">
        <v>898</v>
      </c>
      <c r="J191" s="17" t="str" cm="1">
        <f t="array" ref="J191">SeCcolor($A$634:$A$644,I191)</f>
        <v/>
      </c>
      <c r="K191" s="22"/>
      <c r="L191" s="22"/>
      <c r="M191"/>
      <c r="N191"/>
      <c r="O191" s="22"/>
      <c r="P191" s="22"/>
      <c r="Q191" s="22"/>
      <c r="R191" s="22"/>
      <c r="S191" s="22"/>
      <c r="T191" s="22"/>
      <c r="U191" s="22"/>
    </row>
    <row r="192" spans="1:21">
      <c r="A192" s="22" t="s">
        <v>899</v>
      </c>
      <c r="B192" s="1" t="s">
        <v>900</v>
      </c>
      <c r="C192" s="1" t="s">
        <v>901</v>
      </c>
      <c r="D192" s="12">
        <v>145</v>
      </c>
      <c r="E192" s="1" t="s">
        <v>270</v>
      </c>
      <c r="F192" s="1" t="s">
        <v>902</v>
      </c>
      <c r="G192" s="12">
        <v>20</v>
      </c>
      <c r="H192" s="13">
        <v>59.9</v>
      </c>
      <c r="I192" s="1" t="s">
        <v>903</v>
      </c>
      <c r="J192" s="17" t="str" cm="1">
        <f t="array" ref="J192">SeCcolor($A$634:$A$644,I192)</f>
        <v/>
      </c>
    </row>
    <row r="193" spans="1:21">
      <c r="A193" s="22" t="s">
        <v>904</v>
      </c>
      <c r="B193" s="1" t="s">
        <v>905</v>
      </c>
      <c r="C193" s="1" t="s">
        <v>906</v>
      </c>
      <c r="D193" s="1" t="s">
        <v>42</v>
      </c>
      <c r="E193" s="1" t="s">
        <v>25</v>
      </c>
      <c r="F193" s="108" t="s">
        <v>907</v>
      </c>
      <c r="G193" s="12">
        <v>15</v>
      </c>
      <c r="H193" s="13">
        <v>70</v>
      </c>
      <c r="I193" s="1" t="s">
        <v>908</v>
      </c>
      <c r="J193" s="17" t="str" cm="1">
        <f t="array" ref="J193">SeCcolor($A$634:$A$644,I193)</f>
        <v/>
      </c>
    </row>
    <row r="194" spans="1:21">
      <c r="A194" s="22" t="s">
        <v>909</v>
      </c>
      <c r="B194" s="1" t="s">
        <v>905</v>
      </c>
      <c r="C194" s="1" t="s">
        <v>910</v>
      </c>
      <c r="D194" s="12">
        <v>177</v>
      </c>
      <c r="E194" s="1" t="s">
        <v>19</v>
      </c>
      <c r="F194" s="1" t="s">
        <v>907</v>
      </c>
      <c r="G194" s="12">
        <v>15</v>
      </c>
      <c r="H194" s="13">
        <v>70</v>
      </c>
      <c r="I194" s="1" t="s">
        <v>908</v>
      </c>
      <c r="J194" s="17" t="str" cm="1">
        <f t="array" ref="J194">SeCcolor($A$634:$A$644,I194)</f>
        <v/>
      </c>
    </row>
    <row r="195" spans="1:21">
      <c r="A195" s="22" t="s">
        <v>911</v>
      </c>
      <c r="B195" s="1" t="s">
        <v>912</v>
      </c>
      <c r="C195" s="1" t="s">
        <v>913</v>
      </c>
      <c r="D195" s="12">
        <v>146</v>
      </c>
      <c r="E195" s="1" t="s">
        <v>127</v>
      </c>
      <c r="F195" s="1" t="s">
        <v>914</v>
      </c>
      <c r="G195" s="12">
        <v>10</v>
      </c>
      <c r="H195" s="13">
        <v>70</v>
      </c>
      <c r="I195" s="1" t="s">
        <v>915</v>
      </c>
      <c r="J195" s="17" t="str" cm="1">
        <f t="array" ref="J195">SeCcolor($A$634:$A$644,I195)</f>
        <v/>
      </c>
    </row>
    <row r="196" spans="1:21">
      <c r="A196" s="22" t="s">
        <v>916</v>
      </c>
      <c r="B196" s="1" t="s">
        <v>917</v>
      </c>
      <c r="C196" s="1" t="s">
        <v>577</v>
      </c>
      <c r="D196" s="12">
        <v>100</v>
      </c>
      <c r="E196" s="1" t="s">
        <v>70</v>
      </c>
      <c r="F196" s="1" t="s">
        <v>918</v>
      </c>
      <c r="G196" s="12">
        <v>10</v>
      </c>
      <c r="H196" s="13">
        <v>70</v>
      </c>
      <c r="I196" s="1" t="s">
        <v>919</v>
      </c>
      <c r="J196" s="17" t="str" cm="1">
        <f t="array" ref="J196">SeCcolor($A$634:$A$644,I196)</f>
        <v/>
      </c>
    </row>
    <row r="197" spans="1:21">
      <c r="A197" s="22" t="s">
        <v>920</v>
      </c>
      <c r="B197" s="1" t="s">
        <v>921</v>
      </c>
      <c r="C197" s="1" t="s">
        <v>589</v>
      </c>
      <c r="D197" s="12">
        <v>79</v>
      </c>
      <c r="E197" s="1" t="s">
        <v>19</v>
      </c>
      <c r="F197" s="1">
        <v>998520457</v>
      </c>
      <c r="G197" s="12">
        <v>10</v>
      </c>
      <c r="H197" s="13">
        <v>60</v>
      </c>
      <c r="I197" s="1" t="s">
        <v>922</v>
      </c>
      <c r="J197" s="17" t="str" cm="1">
        <f t="array" ref="J197">SeCcolor($A$634:$A$644,I197)</f>
        <v/>
      </c>
      <c r="K197" s="264"/>
      <c r="L197" s="17"/>
      <c r="O197" s="22"/>
      <c r="P197" s="22"/>
      <c r="Q197" s="22"/>
      <c r="R197" s="22"/>
      <c r="S197" s="22"/>
      <c r="T197" s="22"/>
      <c r="U197" s="22"/>
    </row>
    <row r="198" spans="1:21">
      <c r="A198" s="22" t="s">
        <v>923</v>
      </c>
      <c r="B198" s="1" t="s">
        <v>924</v>
      </c>
      <c r="C198" s="1" t="s">
        <v>925</v>
      </c>
      <c r="D198" s="12">
        <v>201</v>
      </c>
      <c r="E198" s="1" t="s">
        <v>70</v>
      </c>
      <c r="F198" s="1" t="s">
        <v>926</v>
      </c>
      <c r="G198" s="12">
        <v>10</v>
      </c>
      <c r="H198" s="13">
        <v>60</v>
      </c>
      <c r="I198" s="1" t="s">
        <v>927</v>
      </c>
      <c r="J198" s="17" t="str" cm="1">
        <f t="array" ref="J198">SeCcolor($A$634:$A$644,I198)</f>
        <v/>
      </c>
    </row>
    <row r="199" spans="1:21">
      <c r="A199" s="22" t="s">
        <v>928</v>
      </c>
      <c r="B199" s="1" t="s">
        <v>929</v>
      </c>
      <c r="C199" s="1" t="s">
        <v>930</v>
      </c>
      <c r="D199" s="12">
        <v>79</v>
      </c>
      <c r="E199" s="1" t="s">
        <v>25</v>
      </c>
      <c r="F199" s="1" t="s">
        <v>931</v>
      </c>
      <c r="G199" s="12">
        <v>10</v>
      </c>
      <c r="H199" s="13">
        <v>70</v>
      </c>
      <c r="I199" s="1" t="s">
        <v>932</v>
      </c>
      <c r="J199" s="17" t="str" cm="1">
        <f t="array" ref="J199">SeCcolor($A$634:$A$644,I199)</f>
        <v/>
      </c>
      <c r="M199" s="3"/>
      <c r="N199" s="3"/>
    </row>
    <row r="200" spans="1:21">
      <c r="A200" s="22" t="s">
        <v>933</v>
      </c>
      <c r="B200" s="1" t="s">
        <v>934</v>
      </c>
      <c r="C200" s="1" t="s">
        <v>935</v>
      </c>
      <c r="D200" s="12">
        <v>485</v>
      </c>
      <c r="E200" s="1" t="s">
        <v>19</v>
      </c>
      <c r="F200" s="1" t="s">
        <v>936</v>
      </c>
      <c r="G200" s="12">
        <v>30</v>
      </c>
      <c r="H200" s="13">
        <v>50</v>
      </c>
      <c r="I200" s="1" t="s">
        <v>937</v>
      </c>
      <c r="J200" s="17" t="str" cm="1">
        <f t="array" ref="J200">SeCcolor($A$634:$A$644,I200)</f>
        <v/>
      </c>
      <c r="O200" s="2"/>
      <c r="P200" s="2"/>
      <c r="Q200" s="2"/>
      <c r="R200" s="2"/>
      <c r="S200" s="2"/>
      <c r="T200" s="2"/>
      <c r="U200" s="2"/>
    </row>
    <row r="201" spans="1:21">
      <c r="A201" s="22" t="s">
        <v>938</v>
      </c>
      <c r="B201" s="1" t="s">
        <v>939</v>
      </c>
      <c r="C201" s="1" t="s">
        <v>940</v>
      </c>
      <c r="D201" s="12">
        <v>306</v>
      </c>
      <c r="E201" s="1" t="s">
        <v>941</v>
      </c>
      <c r="F201" s="1" t="s">
        <v>942</v>
      </c>
      <c r="G201" s="12">
        <v>5</v>
      </c>
      <c r="H201" s="13">
        <v>70</v>
      </c>
      <c r="I201" s="1" t="s">
        <v>943</v>
      </c>
      <c r="J201" s="17" t="str" cm="1">
        <f t="array" ref="J201">SeCcolor($A$634:$A$644,I201)</f>
        <v/>
      </c>
    </row>
    <row r="202" spans="1:21">
      <c r="A202" s="233" t="s">
        <v>834</v>
      </c>
      <c r="B202" s="1" t="s">
        <v>944</v>
      </c>
      <c r="C202" s="1" t="s">
        <v>945</v>
      </c>
      <c r="D202" s="12">
        <v>200</v>
      </c>
      <c r="E202" s="1" t="s">
        <v>127</v>
      </c>
      <c r="F202" s="1" t="s">
        <v>946</v>
      </c>
      <c r="G202" s="12">
        <v>20</v>
      </c>
      <c r="H202" s="13">
        <v>50</v>
      </c>
      <c r="I202" s="1" t="s">
        <v>947</v>
      </c>
      <c r="J202" s="17" t="str" cm="1">
        <f t="array" ref="J202">SeCcolor($A$634:$A$644,I202)</f>
        <v/>
      </c>
      <c r="M202" s="2"/>
      <c r="N202" s="2"/>
    </row>
    <row r="203" spans="1:21">
      <c r="A203" s="22" t="s">
        <v>948</v>
      </c>
      <c r="B203" s="1" t="s">
        <v>949</v>
      </c>
      <c r="C203" s="1" t="s">
        <v>136</v>
      </c>
      <c r="D203" s="12">
        <v>400</v>
      </c>
      <c r="E203" s="1" t="s">
        <v>32</v>
      </c>
      <c r="F203" s="1" t="s">
        <v>950</v>
      </c>
      <c r="G203" s="12">
        <v>25</v>
      </c>
      <c r="H203" s="13">
        <v>40</v>
      </c>
      <c r="I203" s="1" t="s">
        <v>951</v>
      </c>
      <c r="J203" s="17" t="str" cm="1">
        <f t="array" ref="J203">SeCcolor($A$634:$A$644,I203)</f>
        <v/>
      </c>
    </row>
    <row r="204" spans="1:21">
      <c r="A204" s="22" t="s">
        <v>257</v>
      </c>
      <c r="B204" s="1" t="s">
        <v>952</v>
      </c>
      <c r="C204" s="1" t="s">
        <v>553</v>
      </c>
      <c r="D204" s="12">
        <v>17</v>
      </c>
      <c r="E204" s="1" t="s">
        <v>127</v>
      </c>
      <c r="F204" s="1" t="s">
        <v>953</v>
      </c>
      <c r="G204" s="12">
        <v>10</v>
      </c>
      <c r="H204" s="13">
        <v>60</v>
      </c>
      <c r="I204" s="1" t="s">
        <v>954</v>
      </c>
      <c r="J204" s="17" t="str" cm="1">
        <f t="array" ref="J204">SeCcolor($A$634:$A$644,I204)</f>
        <v/>
      </c>
      <c r="K204" s="264"/>
      <c r="L204" s="17"/>
    </row>
    <row r="205" spans="1:21">
      <c r="A205" s="22" t="s">
        <v>955</v>
      </c>
      <c r="B205" s="1" t="s">
        <v>956</v>
      </c>
      <c r="C205" s="1" t="s">
        <v>521</v>
      </c>
      <c r="D205" s="12">
        <v>150</v>
      </c>
      <c r="E205" s="1" t="s">
        <v>957</v>
      </c>
      <c r="F205" s="1" t="s">
        <v>958</v>
      </c>
      <c r="G205" s="12">
        <v>10</v>
      </c>
      <c r="H205" s="13">
        <v>50</v>
      </c>
      <c r="I205" s="1" t="s">
        <v>959</v>
      </c>
      <c r="J205" s="17" t="str" cm="1">
        <f t="array" ref="J205">SeCcolor($A$634:$A$644,I205)</f>
        <v/>
      </c>
      <c r="M205" s="1"/>
      <c r="N205" s="1"/>
    </row>
    <row r="206" spans="1:21" s="1" customFormat="1">
      <c r="A206" s="22" t="s">
        <v>880</v>
      </c>
      <c r="B206" s="1" t="s">
        <v>960</v>
      </c>
      <c r="C206" s="1" t="s">
        <v>961</v>
      </c>
      <c r="D206" s="12">
        <v>905</v>
      </c>
      <c r="E206" s="1" t="s">
        <v>19</v>
      </c>
      <c r="F206" s="1" t="s">
        <v>962</v>
      </c>
      <c r="G206" s="12">
        <v>20</v>
      </c>
      <c r="H206" s="13">
        <v>75</v>
      </c>
      <c r="I206" s="1" t="s">
        <v>963</v>
      </c>
      <c r="J206" s="17" t="str" cm="1">
        <f t="array" ref="J206">SeCcolor($A$634:$A$644,I206)</f>
        <v/>
      </c>
      <c r="K206" s="22"/>
      <c r="L206" s="22"/>
      <c r="O206" s="2"/>
      <c r="P206" s="2"/>
      <c r="Q206" s="2"/>
      <c r="R206" s="2"/>
      <c r="S206" s="2"/>
      <c r="T206" s="2"/>
      <c r="U206" s="2"/>
    </row>
    <row r="207" spans="1:21">
      <c r="A207" s="22" t="s">
        <v>964</v>
      </c>
      <c r="B207" s="1" t="s">
        <v>965</v>
      </c>
      <c r="C207" s="1" t="s">
        <v>167</v>
      </c>
      <c r="D207" s="12">
        <v>856</v>
      </c>
      <c r="E207" s="1" t="s">
        <v>64</v>
      </c>
      <c r="F207" s="1" t="s">
        <v>966</v>
      </c>
      <c r="G207" s="12">
        <v>20</v>
      </c>
      <c r="H207" s="13">
        <v>70</v>
      </c>
      <c r="I207" s="1" t="s">
        <v>967</v>
      </c>
      <c r="J207" s="17" t="str" cm="1">
        <f t="array" ref="J207">SeCcolor($A$634:$A$644,I207)</f>
        <v/>
      </c>
      <c r="O207" s="22"/>
      <c r="P207" s="22"/>
      <c r="Q207" s="22"/>
      <c r="R207" s="22"/>
      <c r="S207" s="22"/>
      <c r="T207" s="22"/>
      <c r="U207" s="22"/>
    </row>
    <row r="208" spans="1:21">
      <c r="A208" s="22" t="s">
        <v>339</v>
      </c>
      <c r="B208" s="1" t="s">
        <v>968</v>
      </c>
      <c r="C208" s="1" t="s">
        <v>969</v>
      </c>
      <c r="D208" s="12">
        <v>62</v>
      </c>
      <c r="E208" s="1" t="s">
        <v>90</v>
      </c>
      <c r="F208" s="1" t="s">
        <v>970</v>
      </c>
      <c r="G208" s="12">
        <v>10</v>
      </c>
      <c r="H208" s="13">
        <v>60</v>
      </c>
      <c r="I208" s="1" t="s">
        <v>971</v>
      </c>
      <c r="J208" s="17" t="str" cm="1">
        <f t="array" ref="J208">SeCcolor($A$634:$A$644,I208)</f>
        <v/>
      </c>
      <c r="K208" s="264"/>
      <c r="L208" s="17"/>
      <c r="M208" s="1"/>
      <c r="N208" s="1"/>
    </row>
    <row r="209" spans="1:21">
      <c r="A209" s="22" t="s">
        <v>972</v>
      </c>
      <c r="B209" s="1" t="s">
        <v>973</v>
      </c>
      <c r="C209" s="1" t="s">
        <v>974</v>
      </c>
      <c r="D209" s="12">
        <v>145</v>
      </c>
      <c r="E209" s="1" t="s">
        <v>975</v>
      </c>
      <c r="F209" s="1" t="s">
        <v>976</v>
      </c>
      <c r="G209" s="12">
        <v>20</v>
      </c>
      <c r="H209" s="13">
        <v>85.9</v>
      </c>
      <c r="I209" s="1" t="s">
        <v>977</v>
      </c>
      <c r="J209" s="17" t="str" cm="1">
        <f t="array" ref="J209">SeCcolor($A$634:$A$644,I209)</f>
        <v/>
      </c>
      <c r="M209" s="2"/>
      <c r="N209" s="2"/>
    </row>
    <row r="210" spans="1:21">
      <c r="A210" s="22" t="s">
        <v>978</v>
      </c>
      <c r="B210" s="1" t="s">
        <v>979</v>
      </c>
      <c r="C210" s="1" t="s">
        <v>980</v>
      </c>
      <c r="D210" s="12">
        <v>130</v>
      </c>
      <c r="E210" s="1" t="s">
        <v>32</v>
      </c>
      <c r="F210" s="1" t="s">
        <v>981</v>
      </c>
      <c r="G210" s="12">
        <v>15</v>
      </c>
      <c r="H210" s="13">
        <v>50</v>
      </c>
      <c r="I210" s="1" t="s">
        <v>982</v>
      </c>
      <c r="J210" s="17" t="str" cm="1">
        <f t="array" ref="J210">SeCcolor($A$634:$A$644,I210)</f>
        <v/>
      </c>
      <c r="O210" s="22"/>
      <c r="P210" s="22"/>
      <c r="Q210" s="22"/>
      <c r="R210" s="22"/>
      <c r="S210" s="22"/>
      <c r="T210" s="22"/>
      <c r="U210" s="22"/>
    </row>
    <row r="211" spans="1:21">
      <c r="A211" s="22" t="s">
        <v>983</v>
      </c>
      <c r="B211" s="1" t="s">
        <v>984</v>
      </c>
      <c r="C211" s="1" t="s">
        <v>985</v>
      </c>
      <c r="D211" s="12">
        <v>20</v>
      </c>
      <c r="E211" s="1" t="s">
        <v>320</v>
      </c>
      <c r="F211" s="1" t="s">
        <v>986</v>
      </c>
      <c r="G211" s="12">
        <v>10</v>
      </c>
      <c r="H211" s="13">
        <v>70</v>
      </c>
      <c r="I211" s="1" t="s">
        <v>987</v>
      </c>
      <c r="J211" s="17" t="str" cm="1">
        <f t="array" ref="J211">SeCcolor($A$634:$A$644,I211)</f>
        <v/>
      </c>
    </row>
    <row r="212" spans="1:21">
      <c r="A212" s="22" t="s">
        <v>988</v>
      </c>
      <c r="B212" s="1" t="s">
        <v>989</v>
      </c>
      <c r="C212" s="1" t="s">
        <v>990</v>
      </c>
      <c r="D212" s="12">
        <v>115</v>
      </c>
      <c r="E212" s="1" t="s">
        <v>127</v>
      </c>
      <c r="F212" s="1" t="s">
        <v>991</v>
      </c>
      <c r="G212" s="12">
        <v>30</v>
      </c>
      <c r="H212" s="13">
        <v>70</v>
      </c>
      <c r="I212" s="1" t="s">
        <v>992</v>
      </c>
      <c r="J212" s="17" t="str" cm="1">
        <f t="array" ref="J212">SeCcolor($A$634:$A$644,I212)</f>
        <v/>
      </c>
    </row>
    <row r="213" spans="1:21">
      <c r="A213" s="22" t="s">
        <v>993</v>
      </c>
      <c r="B213" s="1" t="s">
        <v>994</v>
      </c>
      <c r="C213" s="1" t="s">
        <v>995</v>
      </c>
      <c r="D213" s="12">
        <v>240</v>
      </c>
      <c r="E213" s="1" t="s">
        <v>70</v>
      </c>
      <c r="F213" s="1" t="s">
        <v>996</v>
      </c>
      <c r="G213" s="12">
        <v>15</v>
      </c>
      <c r="H213" s="13">
        <v>50</v>
      </c>
      <c r="I213" s="1" t="s">
        <v>997</v>
      </c>
      <c r="J213" s="17" t="str" cm="1">
        <f t="array" ref="J213">SeCcolor($A$634:$A$644,I213)</f>
        <v/>
      </c>
    </row>
    <row r="214" spans="1:21">
      <c r="A214" s="22" t="s">
        <v>998</v>
      </c>
      <c r="B214" s="1" t="s">
        <v>999</v>
      </c>
      <c r="C214" s="1" t="s">
        <v>1000</v>
      </c>
      <c r="D214" s="12">
        <v>75</v>
      </c>
      <c r="E214" s="1" t="s">
        <v>314</v>
      </c>
      <c r="F214" s="1" t="s">
        <v>14</v>
      </c>
      <c r="G214" s="12">
        <v>10</v>
      </c>
      <c r="H214" s="13">
        <v>80</v>
      </c>
      <c r="I214" s="1" t="s">
        <v>15</v>
      </c>
      <c r="J214" s="17" t="str" cm="1">
        <f t="array" ref="J214">SeCcolor($A$634:$A$644,I214)</f>
        <v/>
      </c>
      <c r="M214" s="1"/>
      <c r="N214" s="1"/>
    </row>
    <row r="215" spans="1:21">
      <c r="A215" s="1" t="s">
        <v>1001</v>
      </c>
      <c r="B215" s="1" t="s">
        <v>1002</v>
      </c>
      <c r="C215" s="1" t="s">
        <v>1003</v>
      </c>
      <c r="D215" s="12">
        <v>471</v>
      </c>
      <c r="E215" s="1" t="s">
        <v>325</v>
      </c>
      <c r="F215" s="1" t="s">
        <v>1004</v>
      </c>
      <c r="G215" s="12">
        <v>10</v>
      </c>
      <c r="H215" s="13">
        <v>50</v>
      </c>
      <c r="I215" s="1" t="s">
        <v>1005</v>
      </c>
      <c r="J215" s="17" t="str" cm="1">
        <f t="array" ref="J215">SeCcolor($A$634:$A$644,I215)</f>
        <v/>
      </c>
    </row>
    <row r="216" spans="1:21">
      <c r="A216" s="22" t="s">
        <v>1006</v>
      </c>
      <c r="B216" s="1" t="s">
        <v>1007</v>
      </c>
      <c r="C216" s="1" t="s">
        <v>1008</v>
      </c>
      <c r="D216" s="12">
        <v>47</v>
      </c>
      <c r="E216" s="1" t="s">
        <v>70</v>
      </c>
      <c r="F216" s="1" t="s">
        <v>1009</v>
      </c>
      <c r="G216" s="12">
        <v>20</v>
      </c>
      <c r="H216" s="13">
        <v>50</v>
      </c>
      <c r="I216" s="1" t="s">
        <v>1010</v>
      </c>
      <c r="J216" s="17" t="str" cm="1">
        <f t="array" ref="J216">SeCcolor($A$634:$A$644,I216)</f>
        <v/>
      </c>
      <c r="K216" s="22" t="s">
        <v>278</v>
      </c>
      <c r="M216" s="22" t="s">
        <v>1011</v>
      </c>
      <c r="N216" s="22"/>
    </row>
    <row r="217" spans="1:21">
      <c r="A217" s="22" t="s">
        <v>1012</v>
      </c>
      <c r="B217" s="1" t="s">
        <v>1013</v>
      </c>
      <c r="C217" s="1" t="s">
        <v>1014</v>
      </c>
      <c r="D217" s="12">
        <v>328</v>
      </c>
      <c r="E217" s="1" t="s">
        <v>19</v>
      </c>
      <c r="F217" s="1">
        <v>998267968</v>
      </c>
      <c r="G217" s="12">
        <v>30</v>
      </c>
      <c r="H217" s="13">
        <v>75.900000000000006</v>
      </c>
      <c r="I217" s="1" t="s">
        <v>1015</v>
      </c>
      <c r="J217" s="17" t="str" cm="1">
        <f t="array" ref="J217">SeCcolor($A$634:$A$644,I217)</f>
        <v/>
      </c>
      <c r="M217" s="2"/>
      <c r="N217" s="2"/>
    </row>
    <row r="218" spans="1:21">
      <c r="A218" s="22" t="s">
        <v>829</v>
      </c>
      <c r="B218" s="1" t="s">
        <v>1016</v>
      </c>
      <c r="C218" s="1" t="s">
        <v>453</v>
      </c>
      <c r="D218" s="12">
        <v>290</v>
      </c>
      <c r="E218" s="1" t="s">
        <v>127</v>
      </c>
      <c r="F218" s="1" t="s">
        <v>1017</v>
      </c>
      <c r="G218" s="12">
        <v>10</v>
      </c>
      <c r="H218" s="13">
        <v>50</v>
      </c>
      <c r="I218" s="1" t="s">
        <v>1018</v>
      </c>
      <c r="J218" s="17" t="str" cm="1">
        <f t="array" ref="J218">SeCcolor($A$634:$A$644,I218)</f>
        <v/>
      </c>
    </row>
    <row r="219" spans="1:21">
      <c r="A219" s="22" t="s">
        <v>392</v>
      </c>
      <c r="B219" s="1" t="s">
        <v>1019</v>
      </c>
      <c r="C219" s="1" t="s">
        <v>341</v>
      </c>
      <c r="D219" s="12">
        <v>255</v>
      </c>
      <c r="E219" s="1" t="s">
        <v>1020</v>
      </c>
      <c r="F219" s="1" t="s">
        <v>1021</v>
      </c>
      <c r="G219" s="12">
        <v>15</v>
      </c>
      <c r="H219" s="13">
        <v>50</v>
      </c>
      <c r="I219" s="1" t="s">
        <v>1022</v>
      </c>
      <c r="J219" s="17" t="str" cm="1">
        <f t="array" ref="J219">SeCcolor($A$634:$A$644,I219)</f>
        <v/>
      </c>
      <c r="K219" s="22" t="s">
        <v>278</v>
      </c>
      <c r="M219" s="22" t="s">
        <v>108</v>
      </c>
      <c r="N219" s="22"/>
      <c r="O219" s="2"/>
      <c r="P219" s="2"/>
      <c r="Q219" s="2"/>
      <c r="R219" s="2"/>
      <c r="S219" s="2"/>
      <c r="T219" s="2"/>
      <c r="U219" s="2"/>
    </row>
    <row r="220" spans="1:21">
      <c r="A220" s="22" t="s">
        <v>1023</v>
      </c>
      <c r="B220" s="1" t="s">
        <v>1024</v>
      </c>
      <c r="C220" s="1" t="s">
        <v>1025</v>
      </c>
      <c r="D220" s="12">
        <v>93</v>
      </c>
      <c r="E220" s="1" t="s">
        <v>32</v>
      </c>
      <c r="F220" s="1" t="s">
        <v>1026</v>
      </c>
      <c r="G220" s="12">
        <v>5</v>
      </c>
      <c r="H220" s="13">
        <v>50</v>
      </c>
      <c r="I220" s="1" t="s">
        <v>1027</v>
      </c>
      <c r="J220" s="17" t="str" cm="1">
        <f t="array" ref="J220">SeCcolor($A$634:$A$644,I220)</f>
        <v/>
      </c>
    </row>
    <row r="221" spans="1:21">
      <c r="A221" s="22" t="s">
        <v>1028</v>
      </c>
      <c r="B221" s="1" t="s">
        <v>1029</v>
      </c>
      <c r="C221" s="1" t="s">
        <v>259</v>
      </c>
      <c r="D221" s="12">
        <v>867</v>
      </c>
      <c r="E221" s="1" t="s">
        <v>19</v>
      </c>
      <c r="F221" s="1" t="s">
        <v>1030</v>
      </c>
      <c r="G221" s="12">
        <v>15</v>
      </c>
      <c r="H221" s="13">
        <v>50</v>
      </c>
      <c r="I221" s="1" t="s">
        <v>1031</v>
      </c>
      <c r="J221" s="17" t="str" cm="1">
        <f t="array" ref="J221">SeCcolor($A$634:$A$644,I221)</f>
        <v/>
      </c>
      <c r="M221" t="s">
        <v>1032</v>
      </c>
    </row>
    <row r="222" spans="1:21">
      <c r="A222" s="22" t="s">
        <v>134</v>
      </c>
      <c r="B222" s="1" t="s">
        <v>1033</v>
      </c>
      <c r="C222" s="1" t="s">
        <v>1034</v>
      </c>
      <c r="D222" s="12">
        <v>855</v>
      </c>
      <c r="E222" s="1" t="s">
        <v>70</v>
      </c>
      <c r="F222" s="1" t="s">
        <v>1035</v>
      </c>
      <c r="G222" s="12">
        <v>20</v>
      </c>
      <c r="H222" s="13">
        <v>60</v>
      </c>
      <c r="I222" s="1" t="s">
        <v>1036</v>
      </c>
      <c r="J222" s="17" t="str" cm="1">
        <f t="array" ref="J222">SeCcolor($A$634:$A$644,I222)</f>
        <v/>
      </c>
    </row>
    <row r="223" spans="1:21">
      <c r="A223" s="22" t="s">
        <v>1037</v>
      </c>
      <c r="B223" s="1" t="s">
        <v>1038</v>
      </c>
      <c r="C223" s="1" t="s">
        <v>1039</v>
      </c>
      <c r="D223" s="12">
        <v>1040</v>
      </c>
      <c r="E223" s="1" t="s">
        <v>127</v>
      </c>
      <c r="F223" s="1" t="s">
        <v>1040</v>
      </c>
      <c r="G223" s="12">
        <v>20</v>
      </c>
      <c r="H223" s="13">
        <v>40</v>
      </c>
      <c r="I223" s="1" t="s">
        <v>1041</v>
      </c>
      <c r="J223" s="17" t="str" cm="1">
        <f t="array" ref="J223">SeCcolor($A$634:$A$644,I223)</f>
        <v/>
      </c>
    </row>
    <row r="224" spans="1:21">
      <c r="A224" s="22" t="s">
        <v>134</v>
      </c>
      <c r="B224" s="1" t="s">
        <v>1042</v>
      </c>
      <c r="C224" s="1" t="s">
        <v>1043</v>
      </c>
      <c r="D224" s="12">
        <v>39</v>
      </c>
      <c r="E224" s="1" t="s">
        <v>837</v>
      </c>
      <c r="F224" s="1" t="s">
        <v>1044</v>
      </c>
      <c r="G224" s="12">
        <v>25</v>
      </c>
      <c r="H224" s="13">
        <v>70</v>
      </c>
      <c r="I224" s="1" t="s">
        <v>1045</v>
      </c>
      <c r="J224" s="17" t="str" cm="1">
        <f t="array" ref="J224">SeCcolor($A$634:$A$644,I224)</f>
        <v/>
      </c>
      <c r="M224" s="1"/>
      <c r="N224" s="1"/>
    </row>
    <row r="225" spans="1:21">
      <c r="A225" s="22" t="s">
        <v>1046</v>
      </c>
      <c r="B225" s="14" t="s">
        <v>1047</v>
      </c>
      <c r="C225" s="1" t="s">
        <v>1048</v>
      </c>
      <c r="D225" s="12">
        <v>95</v>
      </c>
      <c r="E225" s="1" t="s">
        <v>64</v>
      </c>
      <c r="F225" s="1" t="s">
        <v>1049</v>
      </c>
      <c r="G225" s="12">
        <v>10</v>
      </c>
      <c r="H225" s="13">
        <v>50</v>
      </c>
      <c r="I225" s="1" t="s">
        <v>1050</v>
      </c>
      <c r="J225" s="17" t="str" cm="1">
        <f t="array" ref="J225">SeCcolor($A$634:$A$644,I225)</f>
        <v/>
      </c>
      <c r="K225" s="22" t="s">
        <v>278</v>
      </c>
    </row>
    <row r="226" spans="1:21">
      <c r="A226" s="207" t="s">
        <v>1051</v>
      </c>
      <c r="B226" s="14" t="s">
        <v>1052</v>
      </c>
      <c r="C226" s="1" t="s">
        <v>1053</v>
      </c>
      <c r="D226" s="12">
        <v>59</v>
      </c>
      <c r="E226" s="1" t="s">
        <v>64</v>
      </c>
      <c r="F226" s="14">
        <v>997206561</v>
      </c>
      <c r="G226" s="12">
        <v>10</v>
      </c>
      <c r="H226" s="13">
        <v>70</v>
      </c>
      <c r="I226" s="1" t="s">
        <v>1054</v>
      </c>
      <c r="J226" s="17" t="str" cm="1">
        <f t="array" ref="J226">SeCcolor($A$634:$A$644,I226)</f>
        <v/>
      </c>
      <c r="M226" t="s">
        <v>1055</v>
      </c>
    </row>
    <row r="227" spans="1:21">
      <c r="A227" s="22" t="s">
        <v>1056</v>
      </c>
      <c r="B227" s="1" t="s">
        <v>1057</v>
      </c>
      <c r="C227" s="1" t="s">
        <v>624</v>
      </c>
      <c r="D227" s="12">
        <v>556</v>
      </c>
      <c r="E227" s="1" t="s">
        <v>19</v>
      </c>
      <c r="F227" s="1" t="s">
        <v>1058</v>
      </c>
      <c r="G227" s="12">
        <v>20</v>
      </c>
      <c r="H227" s="13">
        <v>40</v>
      </c>
      <c r="I227" s="1" t="s">
        <v>1059</v>
      </c>
      <c r="J227" s="17" t="str" cm="1">
        <f t="array" ref="J227">SeCcolor($A$634:$A$644,I227)</f>
        <v/>
      </c>
    </row>
    <row r="228" spans="1:21">
      <c r="A228" s="234">
        <v>42614</v>
      </c>
      <c r="B228" s="1" t="s">
        <v>1060</v>
      </c>
      <c r="C228" s="1" t="s">
        <v>1061</v>
      </c>
      <c r="D228" s="12">
        <v>80</v>
      </c>
      <c r="E228" s="1" t="s">
        <v>32</v>
      </c>
      <c r="F228" s="30" t="s">
        <v>1062</v>
      </c>
      <c r="G228" s="12">
        <v>20</v>
      </c>
      <c r="H228" s="13">
        <v>60</v>
      </c>
      <c r="I228" s="30" t="s">
        <v>1063</v>
      </c>
      <c r="J228" s="17" t="str" cm="1">
        <f t="array" ref="J228">SeCcolor($A$634:$A$644,I228)</f>
        <v/>
      </c>
      <c r="K228" s="17"/>
    </row>
    <row r="229" spans="1:21">
      <c r="A229" s="22" t="s">
        <v>1064</v>
      </c>
      <c r="B229" s="1" t="s">
        <v>1065</v>
      </c>
      <c r="C229" s="1" t="s">
        <v>167</v>
      </c>
      <c r="D229" s="12">
        <v>225</v>
      </c>
      <c r="E229" s="1" t="s">
        <v>64</v>
      </c>
      <c r="F229" s="1" t="s">
        <v>1066</v>
      </c>
      <c r="G229" s="12">
        <v>10</v>
      </c>
      <c r="H229" s="13">
        <v>40</v>
      </c>
      <c r="I229" s="1" t="s">
        <v>1067</v>
      </c>
      <c r="J229" s="17" t="str" cm="1">
        <f t="array" ref="J229">SeCcolor($A$634:$A$644,I229)</f>
        <v/>
      </c>
    </row>
    <row r="230" spans="1:21">
      <c r="A230" s="22" t="s">
        <v>1068</v>
      </c>
      <c r="B230" s="1" t="s">
        <v>1069</v>
      </c>
      <c r="C230" s="1" t="s">
        <v>1070</v>
      </c>
      <c r="D230" s="12">
        <v>18</v>
      </c>
      <c r="E230" s="1" t="s">
        <v>19</v>
      </c>
      <c r="F230" s="1" t="s">
        <v>1071</v>
      </c>
      <c r="G230" s="12">
        <v>10</v>
      </c>
      <c r="H230" s="13">
        <v>70</v>
      </c>
      <c r="I230" s="1" t="s">
        <v>1072</v>
      </c>
      <c r="J230" s="17" t="str" cm="1">
        <f t="array" ref="J230">SeCcolor($A$634:$A$644,I230)</f>
        <v/>
      </c>
      <c r="O230" s="2"/>
      <c r="P230" s="2"/>
      <c r="Q230" s="2"/>
      <c r="R230" s="2"/>
      <c r="S230" s="2"/>
      <c r="T230" s="2"/>
      <c r="U230" s="2"/>
    </row>
    <row r="231" spans="1:21">
      <c r="A231" s="22" t="s">
        <v>1073</v>
      </c>
      <c r="B231" s="1" t="s">
        <v>1074</v>
      </c>
      <c r="C231" s="1" t="s">
        <v>1075</v>
      </c>
      <c r="D231" s="12">
        <v>106</v>
      </c>
      <c r="E231" s="1" t="s">
        <v>70</v>
      </c>
      <c r="F231" s="1">
        <v>998747149</v>
      </c>
      <c r="G231" s="12">
        <v>5</v>
      </c>
      <c r="H231" s="13">
        <v>60</v>
      </c>
      <c r="I231" s="1" t="s">
        <v>1076</v>
      </c>
      <c r="J231" s="17" t="str" cm="1">
        <f t="array" ref="J231">SeCcolor($A$634:$A$644,I231)</f>
        <v/>
      </c>
      <c r="O231" s="1"/>
      <c r="P231" s="1"/>
      <c r="Q231" s="1"/>
      <c r="R231" s="1"/>
      <c r="S231" s="1"/>
      <c r="T231" s="1"/>
      <c r="U231" s="1"/>
    </row>
    <row r="232" spans="1:21">
      <c r="A232" s="22" t="s">
        <v>1077</v>
      </c>
      <c r="B232" s="1" t="s">
        <v>1078</v>
      </c>
      <c r="C232" s="1" t="s">
        <v>1079</v>
      </c>
      <c r="D232" s="12">
        <v>120</v>
      </c>
      <c r="E232" s="1" t="s">
        <v>188</v>
      </c>
      <c r="F232" s="1" t="s">
        <v>1080</v>
      </c>
      <c r="G232" s="12">
        <v>5</v>
      </c>
      <c r="H232" s="13">
        <v>50</v>
      </c>
      <c r="I232" s="1" t="s">
        <v>1081</v>
      </c>
      <c r="J232" s="17" t="str" cm="1">
        <f t="array" ref="J232">SeCcolor($A$634:$A$644,I232)</f>
        <v/>
      </c>
      <c r="K232" s="264"/>
      <c r="L232" s="17"/>
      <c r="O232" s="3"/>
      <c r="P232" s="3"/>
      <c r="Q232" s="3"/>
      <c r="R232" s="3"/>
      <c r="S232" s="3"/>
      <c r="T232" s="3"/>
      <c r="U232" s="3"/>
    </row>
    <row r="233" spans="1:21">
      <c r="A233" s="1" t="s">
        <v>1082</v>
      </c>
      <c r="B233" s="1" t="s">
        <v>1083</v>
      </c>
      <c r="C233" s="1" t="s">
        <v>1084</v>
      </c>
      <c r="D233" s="12">
        <v>10</v>
      </c>
      <c r="E233" s="1" t="s">
        <v>70</v>
      </c>
      <c r="F233" s="12">
        <v>99370729</v>
      </c>
      <c r="G233" s="12">
        <v>20</v>
      </c>
      <c r="H233" s="13">
        <v>50</v>
      </c>
      <c r="I233" s="1" t="s">
        <v>1085</v>
      </c>
      <c r="J233" s="17" t="str" cm="1">
        <f t="array" ref="J233">SeCcolor($A$634:$A$644,I233)</f>
        <v/>
      </c>
      <c r="O233" s="22"/>
      <c r="P233" s="22"/>
      <c r="Q233" s="22"/>
      <c r="R233" s="22"/>
      <c r="S233" s="22"/>
      <c r="T233" s="22"/>
      <c r="U233" s="22"/>
    </row>
    <row r="234" spans="1:21" s="1" customFormat="1">
      <c r="A234" s="22" t="s">
        <v>1086</v>
      </c>
      <c r="B234" s="1" t="s">
        <v>1087</v>
      </c>
      <c r="C234" s="1" t="s">
        <v>341</v>
      </c>
      <c r="D234" s="12">
        <v>861</v>
      </c>
      <c r="E234" s="1" t="s">
        <v>1088</v>
      </c>
      <c r="F234" s="1" t="s">
        <v>1089</v>
      </c>
      <c r="G234" s="12">
        <v>10</v>
      </c>
      <c r="H234" s="13">
        <v>69.900000000000006</v>
      </c>
      <c r="I234" s="1" t="s">
        <v>1090</v>
      </c>
      <c r="J234" s="17" t="str" cm="1">
        <f t="array" ref="J234">SeCcolor($A$634:$A$644,I234)</f>
        <v/>
      </c>
      <c r="K234" s="22"/>
      <c r="L234" s="22"/>
      <c r="M234"/>
      <c r="N234"/>
      <c r="O234"/>
      <c r="P234"/>
      <c r="Q234"/>
      <c r="R234"/>
      <c r="S234"/>
      <c r="T234"/>
      <c r="U234"/>
    </row>
    <row r="235" spans="1:21">
      <c r="A235" s="22" t="s">
        <v>1091</v>
      </c>
      <c r="B235" s="1" t="s">
        <v>1092</v>
      </c>
      <c r="C235" s="1" t="s">
        <v>1093</v>
      </c>
      <c r="D235" s="12">
        <v>50</v>
      </c>
      <c r="E235" s="1" t="s">
        <v>70</v>
      </c>
      <c r="F235" s="1" t="s">
        <v>1094</v>
      </c>
      <c r="G235" s="12">
        <v>15</v>
      </c>
      <c r="H235" s="13">
        <v>60</v>
      </c>
      <c r="I235" s="1" t="s">
        <v>1095</v>
      </c>
      <c r="J235" s="17" t="str" cm="1">
        <f t="array" ref="J235">SeCcolor($A$634:$A$644,I235)</f>
        <v/>
      </c>
      <c r="O235" s="2"/>
      <c r="P235" s="2"/>
      <c r="Q235" s="2"/>
      <c r="R235" s="2"/>
      <c r="S235" s="2"/>
      <c r="T235" s="2"/>
      <c r="U235" s="2"/>
    </row>
    <row r="236" spans="1:21">
      <c r="A236" s="22" t="s">
        <v>134</v>
      </c>
      <c r="B236" s="1" t="s">
        <v>1096</v>
      </c>
      <c r="C236" s="1" t="s">
        <v>743</v>
      </c>
      <c r="D236" s="12">
        <v>111</v>
      </c>
      <c r="E236" s="1" t="s">
        <v>70</v>
      </c>
      <c r="F236" s="1"/>
      <c r="G236" s="12">
        <v>10</v>
      </c>
      <c r="H236" s="13">
        <v>70</v>
      </c>
      <c r="I236" s="1" t="s">
        <v>1097</v>
      </c>
      <c r="J236" s="17" t="str" cm="1">
        <f t="array" ref="J236">SeCcolor($A$634:$A$644,I236)</f>
        <v/>
      </c>
      <c r="O236" s="22"/>
      <c r="P236" s="22"/>
      <c r="Q236" s="22"/>
      <c r="R236" s="22"/>
      <c r="S236" s="22"/>
      <c r="T236" s="22"/>
      <c r="U236" s="22"/>
    </row>
    <row r="237" spans="1:21">
      <c r="A237" s="22" t="s">
        <v>1098</v>
      </c>
      <c r="B237" s="1" t="s">
        <v>1099</v>
      </c>
      <c r="C237" s="1" t="s">
        <v>1100</v>
      </c>
      <c r="D237" s="12">
        <v>300</v>
      </c>
      <c r="E237" s="1" t="s">
        <v>127</v>
      </c>
      <c r="F237" s="1" t="s">
        <v>1101</v>
      </c>
      <c r="G237" s="12">
        <v>15</v>
      </c>
      <c r="H237" s="13">
        <v>50</v>
      </c>
      <c r="I237" s="1" t="s">
        <v>1102</v>
      </c>
      <c r="J237" s="17" t="str" cm="1">
        <f t="array" ref="J237">SeCcolor($A$634:$A$644,I237)</f>
        <v/>
      </c>
      <c r="M237" s="22" t="s">
        <v>108</v>
      </c>
      <c r="N237" s="22"/>
    </row>
    <row r="238" spans="1:21">
      <c r="A238" s="22" t="s">
        <v>1103</v>
      </c>
      <c r="B238" s="1" t="s">
        <v>1104</v>
      </c>
      <c r="C238" s="1" t="s">
        <v>1093</v>
      </c>
      <c r="D238" s="12">
        <v>190</v>
      </c>
      <c r="E238" s="1" t="s">
        <v>70</v>
      </c>
      <c r="F238" s="1" t="s">
        <v>1105</v>
      </c>
      <c r="G238" s="12">
        <v>10</v>
      </c>
      <c r="H238" s="13">
        <v>60</v>
      </c>
      <c r="I238" s="1" t="s">
        <v>1106</v>
      </c>
      <c r="J238" s="17" t="str" cm="1">
        <f t="array" ref="J238">SeCcolor($A$634:$A$644,I238)</f>
        <v/>
      </c>
      <c r="K238" s="264"/>
      <c r="L238" s="17"/>
    </row>
    <row r="239" spans="1:21">
      <c r="A239" s="22" t="s">
        <v>1107</v>
      </c>
      <c r="B239" s="1" t="s">
        <v>1108</v>
      </c>
      <c r="C239" s="1" t="s">
        <v>1109</v>
      </c>
      <c r="D239" s="12">
        <v>300</v>
      </c>
      <c r="E239" s="1" t="s">
        <v>19</v>
      </c>
      <c r="F239" s="1" t="s">
        <v>1110</v>
      </c>
      <c r="G239" s="12">
        <v>15</v>
      </c>
      <c r="H239" s="13">
        <v>50</v>
      </c>
      <c r="I239" s="1" t="s">
        <v>1111</v>
      </c>
      <c r="J239" s="17" t="str" cm="1">
        <f t="array" ref="J239">SeCcolor($A$634:$A$644,I239)</f>
        <v/>
      </c>
      <c r="O239" s="1"/>
      <c r="P239" s="1"/>
      <c r="Q239" s="1"/>
      <c r="R239" s="1"/>
      <c r="S239" s="1"/>
      <c r="T239" s="1"/>
      <c r="U239" s="1"/>
    </row>
    <row r="240" spans="1:21" s="2" customFormat="1">
      <c r="A240" s="22" t="s">
        <v>1112</v>
      </c>
      <c r="B240" s="1" t="s">
        <v>1113</v>
      </c>
      <c r="C240" s="1" t="s">
        <v>1114</v>
      </c>
      <c r="D240" s="12">
        <v>20</v>
      </c>
      <c r="E240" s="1" t="s">
        <v>19</v>
      </c>
      <c r="F240" s="1" t="s">
        <v>1115</v>
      </c>
      <c r="G240" s="12">
        <v>5</v>
      </c>
      <c r="H240" s="13">
        <v>70</v>
      </c>
      <c r="I240" s="1" t="s">
        <v>1116</v>
      </c>
      <c r="J240" s="17" t="str" cm="1">
        <f t="array" ref="J240">SeCcolor($A$634:$A$644,I240)</f>
        <v/>
      </c>
      <c r="K240" s="264"/>
      <c r="L240" s="17"/>
      <c r="M240"/>
      <c r="N240"/>
      <c r="O240"/>
      <c r="P240"/>
      <c r="Q240"/>
      <c r="R240"/>
      <c r="S240"/>
      <c r="T240"/>
      <c r="U240"/>
    </row>
    <row r="241" spans="1:21">
      <c r="A241" s="22" t="s">
        <v>1117</v>
      </c>
      <c r="B241" s="1" t="s">
        <v>1118</v>
      </c>
      <c r="C241" s="1" t="s">
        <v>1119</v>
      </c>
      <c r="D241" s="12">
        <v>31</v>
      </c>
      <c r="E241" s="1" t="s">
        <v>19</v>
      </c>
      <c r="F241" s="1" t="s">
        <v>1120</v>
      </c>
      <c r="G241" s="12">
        <v>15</v>
      </c>
      <c r="H241" s="13">
        <v>100</v>
      </c>
      <c r="I241" s="1" t="s">
        <v>1121</v>
      </c>
      <c r="J241" s="17" t="str" cm="1">
        <f t="array" ref="J241">SeCcolor($A$634:$A$644,I241)</f>
        <v/>
      </c>
    </row>
    <row r="242" spans="1:21">
      <c r="A242" s="22" t="s">
        <v>1122</v>
      </c>
      <c r="B242" s="1" t="s">
        <v>1123</v>
      </c>
      <c r="C242" s="1" t="s">
        <v>1124</v>
      </c>
      <c r="D242" s="12">
        <v>32</v>
      </c>
      <c r="E242" s="1" t="s">
        <v>270</v>
      </c>
      <c r="F242" s="1" t="s">
        <v>1120</v>
      </c>
      <c r="G242" s="12">
        <v>15</v>
      </c>
      <c r="H242" s="13">
        <v>0</v>
      </c>
      <c r="I242" s="1" t="s">
        <v>1121</v>
      </c>
      <c r="J242" s="17" t="str" cm="1">
        <f t="array" ref="J242">SeCcolor($A$634:$A$644,I242)</f>
        <v/>
      </c>
      <c r="O242" s="3"/>
      <c r="P242" s="3"/>
      <c r="Q242" s="3"/>
      <c r="R242" s="3"/>
      <c r="S242" s="3"/>
      <c r="T242" s="3"/>
      <c r="U242" s="3"/>
    </row>
    <row r="243" spans="1:21">
      <c r="A243" s="22" t="s">
        <v>1125</v>
      </c>
      <c r="B243" s="1" t="s">
        <v>1126</v>
      </c>
      <c r="C243" s="1" t="s">
        <v>1127</v>
      </c>
      <c r="D243" s="12">
        <v>45</v>
      </c>
      <c r="E243" s="1" t="s">
        <v>127</v>
      </c>
      <c r="F243" s="1" t="s">
        <v>1128</v>
      </c>
      <c r="G243" s="12">
        <v>20</v>
      </c>
      <c r="H243" s="13">
        <v>60</v>
      </c>
      <c r="I243" s="1" t="s">
        <v>1129</v>
      </c>
      <c r="J243" s="17" t="str" cm="1">
        <f t="array" ref="J243">SeCcolor($A$634:$A$644,I243)</f>
        <v/>
      </c>
    </row>
    <row r="244" spans="1:21">
      <c r="A244" s="22" t="s">
        <v>1130</v>
      </c>
      <c r="B244" s="1" t="s">
        <v>1131</v>
      </c>
      <c r="C244" s="1" t="s">
        <v>1132</v>
      </c>
      <c r="D244" s="12">
        <v>70</v>
      </c>
      <c r="E244" s="1" t="s">
        <v>105</v>
      </c>
      <c r="F244" s="1" t="s">
        <v>1133</v>
      </c>
      <c r="G244" s="12">
        <v>5</v>
      </c>
      <c r="H244" s="13">
        <v>50</v>
      </c>
      <c r="I244" s="1" t="s">
        <v>1134</v>
      </c>
      <c r="J244" s="17" t="str" cm="1">
        <f t="array" ref="J244">SeCcolor($A$634:$A$644,I244)</f>
        <v/>
      </c>
    </row>
    <row r="245" spans="1:21">
      <c r="A245" s="22" t="s">
        <v>1135</v>
      </c>
      <c r="B245" s="1" t="s">
        <v>1136</v>
      </c>
      <c r="C245" s="1" t="s">
        <v>1137</v>
      </c>
      <c r="D245" s="12">
        <v>3</v>
      </c>
      <c r="E245" s="1" t="s">
        <v>19</v>
      </c>
      <c r="F245" s="1" t="s">
        <v>1138</v>
      </c>
      <c r="G245" s="12">
        <v>20</v>
      </c>
      <c r="H245" s="13">
        <v>59.9</v>
      </c>
      <c r="I245" s="1" t="s">
        <v>1139</v>
      </c>
      <c r="J245" s="17" t="str" cm="1">
        <f t="array" ref="J245">SeCcolor($A$634:$A$644,I245)</f>
        <v/>
      </c>
    </row>
    <row r="246" spans="1:21">
      <c r="A246" s="1" t="s">
        <v>1140</v>
      </c>
      <c r="B246" s="1" t="s">
        <v>1141</v>
      </c>
      <c r="C246" s="1" t="s">
        <v>1142</v>
      </c>
      <c r="D246" s="12">
        <v>130</v>
      </c>
      <c r="E246" s="1" t="s">
        <v>32</v>
      </c>
      <c r="F246" s="1" t="s">
        <v>1143</v>
      </c>
      <c r="G246" s="12">
        <v>20</v>
      </c>
      <c r="H246" s="13">
        <v>50</v>
      </c>
      <c r="I246" s="1" t="s">
        <v>1144</v>
      </c>
      <c r="J246" s="17" t="str" cm="1">
        <f t="array" ref="J246">SeCcolor($A$634:$A$644,I246)</f>
        <v/>
      </c>
    </row>
    <row r="247" spans="1:21">
      <c r="A247" s="22" t="s">
        <v>1145</v>
      </c>
      <c r="B247" s="1" t="s">
        <v>1146</v>
      </c>
      <c r="C247" s="1" t="s">
        <v>1147</v>
      </c>
      <c r="D247" s="12">
        <v>31</v>
      </c>
      <c r="E247" s="1" t="s">
        <v>64</v>
      </c>
      <c r="F247" s="1" t="s">
        <v>1148</v>
      </c>
      <c r="G247" s="12">
        <v>20</v>
      </c>
      <c r="H247" s="13">
        <v>50</v>
      </c>
      <c r="I247" s="1" t="s">
        <v>1149</v>
      </c>
      <c r="J247" s="17" t="str" cm="1">
        <f t="array" ref="J247">SeCcolor($A$634:$A$644,I247)</f>
        <v/>
      </c>
    </row>
    <row r="248" spans="1:21">
      <c r="A248" s="22" t="s">
        <v>35</v>
      </c>
      <c r="B248" s="1" t="s">
        <v>1150</v>
      </c>
      <c r="C248" s="1" t="s">
        <v>1151</v>
      </c>
      <c r="D248" s="12">
        <v>272</v>
      </c>
      <c r="E248" s="1" t="s">
        <v>25</v>
      </c>
      <c r="F248" s="1" t="s">
        <v>1152</v>
      </c>
      <c r="G248" s="12">
        <v>10</v>
      </c>
      <c r="H248" s="13">
        <v>50</v>
      </c>
      <c r="I248" s="1" t="s">
        <v>1153</v>
      </c>
      <c r="J248" s="17" t="str" cm="1">
        <f t="array" ref="J248">SeCcolor($A$634:$A$644,I248)</f>
        <v/>
      </c>
      <c r="O248" s="10"/>
      <c r="P248" s="10"/>
      <c r="Q248" s="10"/>
      <c r="R248" s="10"/>
      <c r="S248" s="10"/>
      <c r="T248" s="10"/>
      <c r="U248" s="10"/>
    </row>
    <row r="249" spans="1:21" s="2" customFormat="1">
      <c r="A249" s="1" t="s">
        <v>1154</v>
      </c>
      <c r="B249" s="1" t="s">
        <v>1155</v>
      </c>
      <c r="C249" s="1" t="s">
        <v>1156</v>
      </c>
      <c r="D249" s="12">
        <v>179</v>
      </c>
      <c r="E249" s="1" t="s">
        <v>70</v>
      </c>
      <c r="F249" s="1" t="s">
        <v>1157</v>
      </c>
      <c r="G249" s="12">
        <v>10</v>
      </c>
      <c r="H249" s="13">
        <v>59.9</v>
      </c>
      <c r="I249" s="1" t="s">
        <v>1158</v>
      </c>
      <c r="J249" s="17" t="str" cm="1">
        <f t="array" ref="J249">SeCcolor($A$634:$A$644,I249)</f>
        <v/>
      </c>
      <c r="K249" s="22"/>
      <c r="L249" s="22"/>
      <c r="M249"/>
      <c r="N249"/>
      <c r="O249" s="22"/>
      <c r="P249" s="22"/>
      <c r="Q249" s="22"/>
      <c r="R249" s="22"/>
      <c r="S249" s="22"/>
      <c r="T249" s="22"/>
      <c r="U249" s="22"/>
    </row>
    <row r="250" spans="1:21">
      <c r="A250" s="22" t="s">
        <v>1159</v>
      </c>
      <c r="B250" s="1" t="s">
        <v>1160</v>
      </c>
      <c r="C250" s="1" t="s">
        <v>172</v>
      </c>
      <c r="D250" s="1" t="s">
        <v>42</v>
      </c>
      <c r="E250" s="1" t="s">
        <v>70</v>
      </c>
      <c r="F250" s="1" t="s">
        <v>1161</v>
      </c>
      <c r="G250" s="12">
        <v>10</v>
      </c>
      <c r="H250" s="13">
        <v>50</v>
      </c>
      <c r="I250" s="1" t="s">
        <v>1162</v>
      </c>
      <c r="J250" s="17" t="str" cm="1">
        <f t="array" ref="J250">SeCcolor($A$634:$A$644,I250)</f>
        <v/>
      </c>
      <c r="K250" s="22" t="s">
        <v>278</v>
      </c>
      <c r="M250" s="22" t="s">
        <v>1163</v>
      </c>
      <c r="N250" s="22"/>
    </row>
    <row r="251" spans="1:21">
      <c r="A251" s="22" t="s">
        <v>257</v>
      </c>
      <c r="B251" s="1" t="s">
        <v>1164</v>
      </c>
      <c r="C251" s="1" t="s">
        <v>1165</v>
      </c>
      <c r="D251" s="12">
        <v>700</v>
      </c>
      <c r="E251" s="1" t="s">
        <v>19</v>
      </c>
      <c r="F251" s="1" t="s">
        <v>1166</v>
      </c>
      <c r="G251" s="12">
        <v>10</v>
      </c>
      <c r="H251" s="13">
        <v>70</v>
      </c>
      <c r="I251" s="1" t="s">
        <v>1167</v>
      </c>
      <c r="J251" s="17" t="str" cm="1">
        <f t="array" ref="J251">SeCcolor($A$634:$A$644,I251)</f>
        <v/>
      </c>
      <c r="M251" s="26" t="s">
        <v>1168</v>
      </c>
      <c r="O251" s="7"/>
      <c r="P251" s="7"/>
      <c r="Q251" s="7"/>
      <c r="R251" s="7"/>
      <c r="S251" s="7"/>
      <c r="T251" s="7"/>
      <c r="U251" s="7"/>
    </row>
    <row r="252" spans="1:21">
      <c r="A252" s="22" t="s">
        <v>1064</v>
      </c>
      <c r="B252" s="1" t="s">
        <v>1169</v>
      </c>
      <c r="C252" s="1" t="s">
        <v>1170</v>
      </c>
      <c r="D252" s="12">
        <v>101</v>
      </c>
      <c r="E252" s="1" t="s">
        <v>105</v>
      </c>
      <c r="F252" s="1" t="s">
        <v>1171</v>
      </c>
      <c r="G252" s="12">
        <v>10</v>
      </c>
      <c r="H252" s="13">
        <v>60</v>
      </c>
      <c r="I252" s="1" t="s">
        <v>1172</v>
      </c>
      <c r="J252" s="17" t="str" cm="1">
        <f t="array" ref="J252">SeCcolor($A$634:$A$644,I252)</f>
        <v/>
      </c>
      <c r="O252" s="6"/>
      <c r="P252" s="6"/>
      <c r="Q252" s="6"/>
      <c r="R252" s="6"/>
      <c r="S252" s="6"/>
      <c r="T252" s="6"/>
      <c r="U252" s="6"/>
    </row>
    <row r="253" spans="1:21">
      <c r="A253" s="22" t="s">
        <v>1173</v>
      </c>
      <c r="B253" s="1" t="s">
        <v>1174</v>
      </c>
      <c r="C253" s="1" t="s">
        <v>1175</v>
      </c>
      <c r="D253" s="12">
        <v>98</v>
      </c>
      <c r="E253" s="1" t="s">
        <v>270</v>
      </c>
      <c r="F253" s="1" t="s">
        <v>1176</v>
      </c>
      <c r="G253" s="12">
        <v>30</v>
      </c>
      <c r="H253" s="13">
        <v>50</v>
      </c>
      <c r="I253" s="1" t="s">
        <v>1177</v>
      </c>
      <c r="J253" s="17" t="str" cm="1">
        <f t="array" ref="J253">SeCcolor($A$634:$A$644,I253)</f>
        <v/>
      </c>
      <c r="K253" s="264"/>
      <c r="L253" s="17"/>
    </row>
    <row r="254" spans="1:21">
      <c r="A254" s="22" t="s">
        <v>1178</v>
      </c>
      <c r="B254" s="1" t="s">
        <v>1179</v>
      </c>
      <c r="C254" s="1" t="s">
        <v>1180</v>
      </c>
      <c r="D254" s="12">
        <v>528</v>
      </c>
      <c r="E254" s="1" t="s">
        <v>70</v>
      </c>
      <c r="F254" s="1" t="s">
        <v>1181</v>
      </c>
      <c r="G254" s="12">
        <v>20</v>
      </c>
      <c r="H254" s="13">
        <v>60</v>
      </c>
      <c r="I254" s="1" t="s">
        <v>1182</v>
      </c>
      <c r="J254" s="17" t="str" cm="1">
        <f t="array" ref="J254">SeCcolor($A$634:$A$644,I254)</f>
        <v/>
      </c>
      <c r="O254" s="4"/>
      <c r="P254" s="4"/>
      <c r="Q254" s="4"/>
      <c r="R254" s="4"/>
      <c r="S254" s="4"/>
      <c r="T254" s="4"/>
      <c r="U254" s="4"/>
    </row>
    <row r="255" spans="1:21" s="9" customFormat="1">
      <c r="A255" s="22" t="s">
        <v>1183</v>
      </c>
      <c r="B255" s="1" t="s">
        <v>1184</v>
      </c>
      <c r="C255" s="1" t="s">
        <v>1185</v>
      </c>
      <c r="D255" s="12">
        <v>130</v>
      </c>
      <c r="E255" s="1" t="s">
        <v>19</v>
      </c>
      <c r="F255" s="1" t="s">
        <v>1186</v>
      </c>
      <c r="G255" s="12">
        <v>10</v>
      </c>
      <c r="H255" s="13">
        <v>40</v>
      </c>
      <c r="I255" s="1" t="s">
        <v>1187</v>
      </c>
      <c r="J255" s="17" t="str" cm="1">
        <f t="array" ref="J255">SeCcolor($A$634:$A$644,I255)</f>
        <v/>
      </c>
      <c r="K255" s="264"/>
      <c r="L255" s="17"/>
      <c r="M255"/>
      <c r="N255"/>
      <c r="O255"/>
      <c r="P255"/>
      <c r="Q255"/>
      <c r="R255"/>
      <c r="S255"/>
      <c r="T255"/>
      <c r="U255"/>
    </row>
    <row r="256" spans="1:21" s="2" customFormat="1">
      <c r="A256" s="22" t="s">
        <v>1188</v>
      </c>
      <c r="B256" s="1" t="s">
        <v>1189</v>
      </c>
      <c r="C256" s="1" t="s">
        <v>1190</v>
      </c>
      <c r="D256" s="12">
        <v>271</v>
      </c>
      <c r="E256" s="1" t="s">
        <v>70</v>
      </c>
      <c r="F256" s="1" t="s">
        <v>1191</v>
      </c>
      <c r="G256" s="12">
        <v>10</v>
      </c>
      <c r="H256" s="13">
        <v>40</v>
      </c>
      <c r="I256" s="1" t="s">
        <v>1192</v>
      </c>
      <c r="J256" s="17" t="str" cm="1">
        <f t="array" ref="J256">SeCcolor($A$634:$A$644,I256)</f>
        <v/>
      </c>
      <c r="K256" s="22"/>
      <c r="L256" s="22"/>
      <c r="M256"/>
      <c r="N256"/>
      <c r="O256"/>
      <c r="P256"/>
      <c r="Q256"/>
      <c r="R256"/>
      <c r="S256"/>
      <c r="T256"/>
      <c r="U256"/>
    </row>
    <row r="257" spans="1:21" s="2" customFormat="1">
      <c r="A257" s="22" t="s">
        <v>1193</v>
      </c>
      <c r="B257" s="1" t="s">
        <v>1194</v>
      </c>
      <c r="C257" s="1" t="s">
        <v>806</v>
      </c>
      <c r="D257" s="12">
        <v>91</v>
      </c>
      <c r="E257" s="1" t="s">
        <v>1020</v>
      </c>
      <c r="F257" s="1">
        <v>9997103435</v>
      </c>
      <c r="G257" s="12">
        <v>25</v>
      </c>
      <c r="H257" s="13">
        <v>0</v>
      </c>
      <c r="I257" s="1" t="s">
        <v>1195</v>
      </c>
      <c r="J257" s="17" t="str" cm="1">
        <f t="array" ref="J257">SeCcolor($A$634:$A$644,I257)</f>
        <v/>
      </c>
      <c r="K257" s="22"/>
      <c r="L257" s="22"/>
      <c r="M257"/>
      <c r="N257"/>
      <c r="O257"/>
      <c r="P257"/>
      <c r="Q257"/>
      <c r="R257"/>
      <c r="S257"/>
      <c r="T257"/>
      <c r="U257"/>
    </row>
    <row r="258" spans="1:21">
      <c r="A258" s="22" t="s">
        <v>1196</v>
      </c>
      <c r="B258" s="1" t="s">
        <v>1197</v>
      </c>
      <c r="C258" s="1" t="s">
        <v>1198</v>
      </c>
      <c r="D258" s="12">
        <v>92</v>
      </c>
      <c r="E258" s="1" t="s">
        <v>70</v>
      </c>
      <c r="F258" s="1" t="s">
        <v>1199</v>
      </c>
      <c r="G258" s="12">
        <v>15</v>
      </c>
      <c r="H258" s="13">
        <v>50</v>
      </c>
      <c r="I258" s="1" t="s">
        <v>1200</v>
      </c>
      <c r="J258" s="17" t="str" cm="1">
        <f t="array" ref="J258">SeCcolor($A$634:$A$644,I258)</f>
        <v/>
      </c>
      <c r="K258" s="264"/>
      <c r="L258" s="17"/>
    </row>
    <row r="259" spans="1:21">
      <c r="A259" s="22" t="s">
        <v>1201</v>
      </c>
      <c r="B259" s="1" t="s">
        <v>1202</v>
      </c>
      <c r="C259" s="1" t="s">
        <v>1203</v>
      </c>
      <c r="D259" s="12">
        <v>354</v>
      </c>
      <c r="E259" s="1" t="s">
        <v>19</v>
      </c>
      <c r="F259" s="1" t="s">
        <v>1204</v>
      </c>
      <c r="G259" s="12">
        <v>20</v>
      </c>
      <c r="H259" s="13">
        <v>50</v>
      </c>
      <c r="I259" s="1" t="s">
        <v>1205</v>
      </c>
      <c r="J259" s="17" t="str" cm="1">
        <f t="array" ref="J259">SeCcolor($A$634:$A$644,I259)</f>
        <v/>
      </c>
      <c r="M259" s="22"/>
      <c r="N259" s="22"/>
    </row>
    <row r="260" spans="1:21">
      <c r="A260" s="22" t="s">
        <v>1206</v>
      </c>
      <c r="B260" s="1" t="s">
        <v>1207</v>
      </c>
      <c r="C260" s="1" t="s">
        <v>1208</v>
      </c>
      <c r="D260" s="12">
        <v>184</v>
      </c>
      <c r="E260" s="1" t="s">
        <v>32</v>
      </c>
      <c r="F260" s="1" t="s">
        <v>1209</v>
      </c>
      <c r="G260" s="12">
        <v>10</v>
      </c>
      <c r="H260" s="13">
        <v>70</v>
      </c>
      <c r="I260" s="1" t="s">
        <v>1210</v>
      </c>
      <c r="J260" s="17" t="str" cm="1">
        <f t="array" ref="J260">SeCcolor($A$634:$A$644,I260)</f>
        <v/>
      </c>
      <c r="M260" s="2"/>
      <c r="N260" s="2"/>
    </row>
    <row r="261" spans="1:21">
      <c r="A261" s="22" t="s">
        <v>82</v>
      </c>
      <c r="B261" s="1" t="s">
        <v>1211</v>
      </c>
      <c r="C261" s="1" t="s">
        <v>624</v>
      </c>
      <c r="D261" s="12">
        <v>364</v>
      </c>
      <c r="E261" s="1" t="s">
        <v>19</v>
      </c>
      <c r="F261" s="1" t="s">
        <v>1212</v>
      </c>
      <c r="G261" s="12">
        <v>15</v>
      </c>
      <c r="H261" s="13">
        <v>60</v>
      </c>
      <c r="I261" s="1" t="s">
        <v>1213</v>
      </c>
      <c r="J261" s="17" t="str" cm="1">
        <f t="array" ref="J261">SeCcolor($A$634:$A$644,I261)</f>
        <v/>
      </c>
    </row>
    <row r="262" spans="1:21">
      <c r="A262" s="22" t="s">
        <v>134</v>
      </c>
      <c r="B262" s="1" t="s">
        <v>1214</v>
      </c>
      <c r="C262" s="1" t="s">
        <v>1215</v>
      </c>
      <c r="D262" s="12">
        <v>830</v>
      </c>
      <c r="E262" s="1" t="s">
        <v>19</v>
      </c>
      <c r="F262" s="1" t="s">
        <v>1216</v>
      </c>
      <c r="G262" s="12">
        <v>10</v>
      </c>
      <c r="H262" s="13">
        <v>50</v>
      </c>
      <c r="I262" s="1" t="s">
        <v>1217</v>
      </c>
      <c r="J262" s="17" t="str" cm="1">
        <f t="array" ref="J262">SeCcolor($A$634:$A$644,I262)</f>
        <v/>
      </c>
      <c r="K262" s="22" t="s">
        <v>278</v>
      </c>
      <c r="M262" t="s">
        <v>1055</v>
      </c>
    </row>
    <row r="263" spans="1:21">
      <c r="A263" s="22" t="s">
        <v>1218</v>
      </c>
      <c r="B263" s="1" t="s">
        <v>1219</v>
      </c>
      <c r="C263" s="1" t="s">
        <v>1220</v>
      </c>
      <c r="D263" s="12">
        <v>350</v>
      </c>
      <c r="E263" s="1" t="s">
        <v>70</v>
      </c>
      <c r="F263" s="1" t="s">
        <v>1221</v>
      </c>
      <c r="G263" s="12">
        <v>20</v>
      </c>
      <c r="H263" s="13">
        <v>40</v>
      </c>
      <c r="I263" s="1" t="s">
        <v>1222</v>
      </c>
      <c r="J263" s="17" t="str" cm="1">
        <f t="array" ref="J263">SeCcolor($A$634:$A$644,I263)</f>
        <v/>
      </c>
      <c r="O263" s="22"/>
      <c r="P263" s="22"/>
      <c r="Q263" s="22"/>
      <c r="R263" s="22"/>
      <c r="S263" s="22"/>
      <c r="T263" s="22"/>
      <c r="U263" s="22"/>
    </row>
    <row r="264" spans="1:21">
      <c r="A264" s="22"/>
      <c r="B264" s="1" t="s">
        <v>1223</v>
      </c>
      <c r="C264" s="14" t="s">
        <v>1224</v>
      </c>
      <c r="D264" s="12">
        <v>1069</v>
      </c>
      <c r="E264" s="1" t="s">
        <v>1225</v>
      </c>
      <c r="F264" s="1" t="s">
        <v>1226</v>
      </c>
      <c r="G264" s="12">
        <v>20</v>
      </c>
      <c r="H264" s="13">
        <v>50</v>
      </c>
      <c r="I264" s="1" t="s">
        <v>1227</v>
      </c>
      <c r="J264" s="17" t="str" cm="1">
        <f t="array" ref="J264">SeCcolor($A$634:$A$644,I264)</f>
        <v/>
      </c>
    </row>
    <row r="265" spans="1:21">
      <c r="A265" s="22" t="s">
        <v>1228</v>
      </c>
      <c r="B265" s="1" t="s">
        <v>1229</v>
      </c>
      <c r="C265" s="1" t="s">
        <v>784</v>
      </c>
      <c r="D265" s="12">
        <v>135</v>
      </c>
      <c r="E265" s="1" t="s">
        <v>64</v>
      </c>
      <c r="F265" s="1">
        <v>3599110486</v>
      </c>
      <c r="G265" s="12">
        <v>5</v>
      </c>
      <c r="H265" s="13">
        <v>70</v>
      </c>
      <c r="I265" s="1" t="s">
        <v>1230</v>
      </c>
      <c r="J265" s="17" t="str" cm="1">
        <f t="array" ref="J265">SeCcolor($A$634:$A$644,I265)</f>
        <v/>
      </c>
      <c r="L265" s="17"/>
    </row>
    <row r="266" spans="1:21">
      <c r="A266" s="22" t="s">
        <v>1231</v>
      </c>
      <c r="B266" s="1" t="s">
        <v>1232</v>
      </c>
      <c r="C266" s="1" t="s">
        <v>1233</v>
      </c>
      <c r="D266" s="12">
        <v>43</v>
      </c>
      <c r="E266" s="1" t="s">
        <v>320</v>
      </c>
      <c r="F266" s="1" t="s">
        <v>685</v>
      </c>
      <c r="G266" s="12">
        <v>10</v>
      </c>
      <c r="H266" s="13">
        <v>60</v>
      </c>
      <c r="I266" s="1" t="s">
        <v>1234</v>
      </c>
      <c r="J266" s="17" t="str" cm="1">
        <f t="array" ref="J266">SeCcolor($A$634:$A$644,I266)</f>
        <v/>
      </c>
    </row>
    <row r="267" spans="1:21">
      <c r="A267" s="22" t="s">
        <v>134</v>
      </c>
      <c r="B267" s="1" t="s">
        <v>1235</v>
      </c>
      <c r="C267" s="1" t="s">
        <v>356</v>
      </c>
      <c r="D267" s="12">
        <v>40</v>
      </c>
      <c r="E267" s="1" t="s">
        <v>325</v>
      </c>
      <c r="F267" s="1" t="s">
        <v>1236</v>
      </c>
      <c r="G267" s="12">
        <v>20</v>
      </c>
      <c r="H267" s="13">
        <v>50</v>
      </c>
      <c r="I267" s="1" t="s">
        <v>1237</v>
      </c>
      <c r="J267" s="17" t="str" cm="1">
        <f t="array" ref="J267">SeCcolor($A$634:$A$644,I267)</f>
        <v/>
      </c>
      <c r="O267" s="1"/>
      <c r="P267" s="1"/>
      <c r="Q267" s="1"/>
      <c r="R267" s="1"/>
      <c r="S267" s="1"/>
      <c r="T267" s="1"/>
      <c r="U267" s="1"/>
    </row>
    <row r="268" spans="1:21">
      <c r="A268" s="22" t="s">
        <v>1238</v>
      </c>
      <c r="B268" s="1" t="s">
        <v>1239</v>
      </c>
      <c r="C268" s="1" t="s">
        <v>1240</v>
      </c>
      <c r="D268" s="12">
        <v>89</v>
      </c>
      <c r="E268" s="1" t="s">
        <v>19</v>
      </c>
      <c r="F268" s="1" t="s">
        <v>1241</v>
      </c>
      <c r="G268" s="12">
        <v>15</v>
      </c>
      <c r="H268" s="13">
        <v>70</v>
      </c>
      <c r="I268" s="1" t="s">
        <v>1242</v>
      </c>
      <c r="J268" s="17" t="str" cm="1">
        <f t="array" ref="J268">SeCcolor($A$634:$A$644,I268)</f>
        <v/>
      </c>
      <c r="K268" s="264"/>
      <c r="L268" s="17"/>
      <c r="O268" s="1"/>
      <c r="P268" s="1"/>
      <c r="Q268" s="1"/>
      <c r="R268" s="1"/>
      <c r="S268" s="1"/>
      <c r="T268" s="1"/>
      <c r="U268" s="1"/>
    </row>
    <row r="269" spans="1:21">
      <c r="A269" s="22" t="s">
        <v>719</v>
      </c>
      <c r="B269" s="1" t="s">
        <v>1243</v>
      </c>
      <c r="C269" s="1" t="s">
        <v>1244</v>
      </c>
      <c r="D269" s="12">
        <v>690</v>
      </c>
      <c r="E269" s="1" t="s">
        <v>127</v>
      </c>
      <c r="F269" s="1" t="s">
        <v>1245</v>
      </c>
      <c r="G269" s="12">
        <v>20</v>
      </c>
      <c r="H269" s="13">
        <v>70</v>
      </c>
      <c r="I269" s="1" t="s">
        <v>1246</v>
      </c>
      <c r="J269" s="17" t="str" cm="1">
        <f t="array" ref="J269">SeCcolor($A$634:$A$644,I269)</f>
        <v/>
      </c>
    </row>
    <row r="270" spans="1:21">
      <c r="A270" s="22" t="s">
        <v>1247</v>
      </c>
      <c r="B270" s="1" t="s">
        <v>1248</v>
      </c>
      <c r="C270" s="1" t="s">
        <v>167</v>
      </c>
      <c r="D270" s="12">
        <v>139</v>
      </c>
      <c r="E270" s="1" t="s">
        <v>64</v>
      </c>
      <c r="F270" s="1" t="s">
        <v>1249</v>
      </c>
      <c r="G270" s="12">
        <v>25</v>
      </c>
      <c r="H270" s="13">
        <v>70</v>
      </c>
      <c r="I270" s="1" t="s">
        <v>1250</v>
      </c>
      <c r="J270" s="17" t="str" cm="1">
        <f t="array" ref="J270">SeCcolor($A$634:$A$644,I270)</f>
        <v/>
      </c>
    </row>
    <row r="271" spans="1:21">
      <c r="A271" s="22" t="s">
        <v>1251</v>
      </c>
      <c r="B271" s="1" t="s">
        <v>1252</v>
      </c>
      <c r="C271" s="1" t="s">
        <v>1203</v>
      </c>
      <c r="D271" s="12">
        <v>390</v>
      </c>
      <c r="E271" s="1" t="s">
        <v>19</v>
      </c>
      <c r="F271" s="1" t="s">
        <v>1253</v>
      </c>
      <c r="G271" s="12">
        <v>10</v>
      </c>
      <c r="H271" s="13">
        <v>70</v>
      </c>
      <c r="I271" s="1" t="s">
        <v>1254</v>
      </c>
      <c r="J271" s="17" t="str" cm="1">
        <f t="array" ref="J271">SeCcolor($A$634:$A$644,I271)</f>
        <v/>
      </c>
      <c r="K271" s="17"/>
    </row>
    <row r="272" spans="1:21">
      <c r="A272" s="22" t="s">
        <v>1255</v>
      </c>
      <c r="B272" s="1" t="s">
        <v>1256</v>
      </c>
      <c r="C272" s="1" t="s">
        <v>1224</v>
      </c>
      <c r="D272" s="12">
        <v>1025</v>
      </c>
      <c r="E272" s="1" t="s">
        <v>1257</v>
      </c>
      <c r="F272" s="12">
        <v>38998392480</v>
      </c>
      <c r="G272" s="12">
        <v>20</v>
      </c>
      <c r="H272" s="13">
        <v>40</v>
      </c>
      <c r="I272" s="1" t="s">
        <v>1258</v>
      </c>
      <c r="J272" s="17" t="str" cm="1">
        <f t="array" ref="J272">SeCcolor($A$634:$A$644,I272)</f>
        <v/>
      </c>
      <c r="M272" s="22"/>
      <c r="N272" s="22"/>
    </row>
    <row r="273" spans="1:21">
      <c r="A273" s="1" t="s">
        <v>35</v>
      </c>
      <c r="B273" s="1" t="s">
        <v>1259</v>
      </c>
      <c r="C273" s="1" t="s">
        <v>1260</v>
      </c>
      <c r="D273" s="12">
        <v>301</v>
      </c>
      <c r="E273" s="1" t="s">
        <v>127</v>
      </c>
      <c r="F273" s="1" t="s">
        <v>1261</v>
      </c>
      <c r="G273" s="12">
        <v>20</v>
      </c>
      <c r="H273" s="13">
        <v>50</v>
      </c>
      <c r="I273" s="1" t="s">
        <v>1262</v>
      </c>
      <c r="J273" s="17" t="str" cm="1">
        <f t="array" ref="J273">SeCcolor($A$634:$A$644,I273)</f>
        <v/>
      </c>
    </row>
    <row r="274" spans="1:21">
      <c r="A274" s="22" t="s">
        <v>1263</v>
      </c>
      <c r="B274" s="1" t="s">
        <v>1264</v>
      </c>
      <c r="C274" s="1" t="s">
        <v>1265</v>
      </c>
      <c r="D274" s="12">
        <v>60</v>
      </c>
      <c r="E274" s="1" t="s">
        <v>1020</v>
      </c>
      <c r="F274" s="1" t="s">
        <v>1266</v>
      </c>
      <c r="G274" s="12">
        <v>25</v>
      </c>
      <c r="H274" s="13">
        <v>70</v>
      </c>
      <c r="I274" s="1" t="s">
        <v>1267</v>
      </c>
      <c r="J274" s="17" t="str" cm="1">
        <f t="array" ref="J274">SeCcolor($A$634:$A$644,I274)</f>
        <v/>
      </c>
      <c r="O274" s="3"/>
      <c r="P274" s="3"/>
      <c r="Q274" s="3"/>
      <c r="R274" s="3"/>
      <c r="S274" s="3"/>
      <c r="T274" s="3"/>
      <c r="U274" s="3"/>
    </row>
    <row r="275" spans="1:21">
      <c r="A275" s="22" t="s">
        <v>1268</v>
      </c>
      <c r="B275" s="1" t="s">
        <v>1269</v>
      </c>
      <c r="C275" s="1" t="s">
        <v>1270</v>
      </c>
      <c r="D275" s="12">
        <v>96</v>
      </c>
      <c r="E275" s="1" t="s">
        <v>74</v>
      </c>
      <c r="F275" s="1"/>
      <c r="G275" s="12">
        <v>20</v>
      </c>
      <c r="H275" s="13">
        <v>60</v>
      </c>
      <c r="I275" s="1" t="s">
        <v>1271</v>
      </c>
      <c r="J275" s="17" t="str" cm="1">
        <f t="array" ref="J275">SeCcolor($A$634:$A$644,I275)</f>
        <v/>
      </c>
    </row>
    <row r="276" spans="1:21">
      <c r="A276" s="22" t="s">
        <v>1272</v>
      </c>
      <c r="B276" s="1" t="s">
        <v>1273</v>
      </c>
      <c r="C276" s="1" t="s">
        <v>1274</v>
      </c>
      <c r="D276" s="12">
        <v>30</v>
      </c>
      <c r="E276" s="1" t="s">
        <v>90</v>
      </c>
      <c r="F276" s="1" t="s">
        <v>1275</v>
      </c>
      <c r="G276" s="12">
        <v>20</v>
      </c>
      <c r="H276" s="13">
        <v>50</v>
      </c>
      <c r="I276" s="1" t="s">
        <v>1276</v>
      </c>
      <c r="J276" s="17" t="str" cm="1">
        <f t="array" ref="J276">SeCcolor($A$634:$A$644,I276)</f>
        <v/>
      </c>
    </row>
    <row r="277" spans="1:21">
      <c r="A277" s="22" t="s">
        <v>1277</v>
      </c>
      <c r="B277" s="1" t="s">
        <v>1278</v>
      </c>
      <c r="C277" s="1" t="s">
        <v>901</v>
      </c>
      <c r="D277" s="12">
        <v>149</v>
      </c>
      <c r="E277" s="1" t="s">
        <v>270</v>
      </c>
      <c r="F277" s="1" t="s">
        <v>1279</v>
      </c>
      <c r="G277" s="12">
        <v>15</v>
      </c>
      <c r="H277" s="13">
        <v>59.9</v>
      </c>
      <c r="I277" s="1" t="s">
        <v>1280</v>
      </c>
      <c r="J277" s="17" t="str" cm="1">
        <f t="array" ref="J277">SeCcolor($A$634:$A$644,I277)</f>
        <v/>
      </c>
      <c r="K277" s="264"/>
      <c r="L277" s="17"/>
      <c r="O277" s="1"/>
      <c r="P277" s="1"/>
      <c r="Q277" s="1"/>
      <c r="R277" s="1"/>
      <c r="S277" s="1"/>
      <c r="T277" s="1"/>
      <c r="U277" s="1"/>
    </row>
    <row r="278" spans="1:21">
      <c r="A278" s="22" t="s">
        <v>1281</v>
      </c>
      <c r="B278" s="1" t="s">
        <v>1282</v>
      </c>
      <c r="C278" s="1" t="s">
        <v>789</v>
      </c>
      <c r="D278" s="12">
        <v>643</v>
      </c>
      <c r="E278" s="1" t="s">
        <v>90</v>
      </c>
      <c r="F278" s="1" t="s">
        <v>1283</v>
      </c>
      <c r="G278" s="12">
        <v>15</v>
      </c>
      <c r="H278" s="13">
        <v>60</v>
      </c>
      <c r="I278" s="1" t="s">
        <v>1284</v>
      </c>
      <c r="J278" s="17" t="str" cm="1">
        <f t="array" ref="J278">SeCcolor($A$634:$A$644,I278)</f>
        <v/>
      </c>
      <c r="K278" s="264"/>
      <c r="L278" s="17"/>
      <c r="O278" s="22"/>
      <c r="P278" s="22"/>
      <c r="Q278" s="22"/>
      <c r="R278" s="22"/>
      <c r="S278" s="22"/>
      <c r="T278" s="22"/>
      <c r="U278" s="22"/>
    </row>
    <row r="279" spans="1:21">
      <c r="A279" s="1" t="s">
        <v>257</v>
      </c>
      <c r="B279" s="1" t="s">
        <v>1285</v>
      </c>
      <c r="C279" s="1" t="s">
        <v>1286</v>
      </c>
      <c r="D279" s="12">
        <v>140</v>
      </c>
      <c r="E279" s="1" t="s">
        <v>70</v>
      </c>
      <c r="F279" s="1" t="s">
        <v>1287</v>
      </c>
      <c r="G279" s="12">
        <v>20</v>
      </c>
      <c r="H279" s="13">
        <v>50</v>
      </c>
      <c r="I279" s="1" t="s">
        <v>1288</v>
      </c>
      <c r="J279" s="17" t="str" cm="1">
        <f t="array" ref="J279">SeCcolor($A$634:$A$644,I279)</f>
        <v/>
      </c>
      <c r="K279" s="17"/>
      <c r="M279" s="5"/>
      <c r="N279" s="5"/>
    </row>
    <row r="280" spans="1:21">
      <c r="A280" s="22" t="s">
        <v>1289</v>
      </c>
      <c r="B280" s="1" t="s">
        <v>1290</v>
      </c>
      <c r="C280" s="1" t="s">
        <v>341</v>
      </c>
      <c r="D280" s="12">
        <v>693</v>
      </c>
      <c r="E280" s="1" t="s">
        <v>220</v>
      </c>
      <c r="F280" s="1" t="s">
        <v>1291</v>
      </c>
      <c r="G280" s="12">
        <v>20</v>
      </c>
      <c r="H280" s="13">
        <v>59.9</v>
      </c>
      <c r="I280" s="1" t="s">
        <v>1292</v>
      </c>
      <c r="J280" s="17" t="str" cm="1">
        <f t="array" ref="J280">SeCcolor($A$634:$A$644,I280)</f>
        <v/>
      </c>
      <c r="O280" s="8"/>
      <c r="P280" s="8"/>
      <c r="Q280" s="8"/>
      <c r="R280" s="8"/>
      <c r="S280" s="8"/>
      <c r="T280" s="8"/>
      <c r="U280" s="8"/>
    </row>
    <row r="281" spans="1:21">
      <c r="A281" s="22" t="s">
        <v>1293</v>
      </c>
      <c r="B281" s="1" t="s">
        <v>1294</v>
      </c>
      <c r="C281" s="1" t="s">
        <v>1295</v>
      </c>
      <c r="D281" s="12">
        <v>60</v>
      </c>
      <c r="E281" s="1" t="s">
        <v>70</v>
      </c>
      <c r="F281" s="1" t="s">
        <v>1296</v>
      </c>
      <c r="G281" s="12">
        <v>10</v>
      </c>
      <c r="H281" s="13">
        <v>50</v>
      </c>
      <c r="I281" s="1" t="s">
        <v>1297</v>
      </c>
      <c r="J281" s="17" t="str" cm="1">
        <f t="array" ref="J281">SeCcolor($A$634:$A$644,I281)</f>
        <v/>
      </c>
      <c r="O281" s="2"/>
      <c r="P281" s="2"/>
      <c r="Q281" s="2"/>
      <c r="R281" s="2"/>
      <c r="S281" s="2"/>
      <c r="T281" s="2"/>
      <c r="U281" s="2"/>
    </row>
    <row r="282" spans="1:21">
      <c r="A282" s="22" t="s">
        <v>1298</v>
      </c>
      <c r="B282" s="1" t="s">
        <v>1299</v>
      </c>
      <c r="C282" s="1" t="s">
        <v>1300</v>
      </c>
      <c r="D282" s="12">
        <v>16</v>
      </c>
      <c r="E282" s="1" t="s">
        <v>70</v>
      </c>
      <c r="F282" s="1" t="s">
        <v>1301</v>
      </c>
      <c r="G282" s="12">
        <v>15</v>
      </c>
      <c r="H282" s="13">
        <v>40</v>
      </c>
      <c r="I282" s="1" t="s">
        <v>1302</v>
      </c>
      <c r="J282" s="17" t="str" cm="1">
        <f t="array" ref="J282">SeCcolor($A$634:$A$644,I282)</f>
        <v/>
      </c>
      <c r="O282" s="2"/>
      <c r="P282" s="2"/>
      <c r="Q282" s="2"/>
      <c r="R282" s="2"/>
      <c r="S282" s="2"/>
      <c r="T282" s="2"/>
      <c r="U282" s="2"/>
    </row>
    <row r="283" spans="1:21">
      <c r="A283" s="22" t="s">
        <v>1303</v>
      </c>
      <c r="B283" s="1" t="s">
        <v>1304</v>
      </c>
      <c r="C283" s="1" t="s">
        <v>1305</v>
      </c>
      <c r="D283" s="12">
        <v>31</v>
      </c>
      <c r="E283" s="1" t="s">
        <v>90</v>
      </c>
      <c r="F283" s="1" t="s">
        <v>1306</v>
      </c>
      <c r="G283" s="12">
        <v>25</v>
      </c>
      <c r="H283" s="13">
        <v>50</v>
      </c>
      <c r="I283" s="1" t="s">
        <v>1307</v>
      </c>
      <c r="J283" s="17" t="str" cm="1">
        <f t="array" ref="J283">SeCcolor($A$634:$A$644,I283)</f>
        <v/>
      </c>
      <c r="K283" s="22" t="s">
        <v>278</v>
      </c>
    </row>
    <row r="284" spans="1:21" s="2" customFormat="1">
      <c r="A284" s="22" t="s">
        <v>82</v>
      </c>
      <c r="B284" s="1" t="s">
        <v>1308</v>
      </c>
      <c r="C284" s="1" t="s">
        <v>806</v>
      </c>
      <c r="D284" s="12">
        <v>81</v>
      </c>
      <c r="E284" s="1" t="s">
        <v>64</v>
      </c>
      <c r="F284" s="1" t="s">
        <v>1309</v>
      </c>
      <c r="G284" s="12">
        <v>20</v>
      </c>
      <c r="H284" s="13">
        <v>50</v>
      </c>
      <c r="I284" s="1" t="s">
        <v>1310</v>
      </c>
      <c r="J284" s="17" t="str" cm="1">
        <f t="array" ref="J284">SeCcolor($A$634:$A$644,I284)</f>
        <v/>
      </c>
      <c r="K284" s="22" t="s">
        <v>278</v>
      </c>
      <c r="L284" s="22"/>
      <c r="M284" s="3"/>
      <c r="N284" s="3"/>
      <c r="O284"/>
      <c r="P284"/>
      <c r="Q284"/>
      <c r="R284"/>
      <c r="S284"/>
      <c r="T284"/>
      <c r="U284"/>
    </row>
    <row r="285" spans="1:21" s="1" customFormat="1">
      <c r="A285" s="22" t="s">
        <v>1311</v>
      </c>
      <c r="B285" s="1" t="s">
        <v>1312</v>
      </c>
      <c r="C285" s="1" t="s">
        <v>1313</v>
      </c>
      <c r="D285" s="12">
        <v>120</v>
      </c>
      <c r="E285" s="1" t="s">
        <v>70</v>
      </c>
      <c r="F285" s="1" t="s">
        <v>1314</v>
      </c>
      <c r="G285" s="12">
        <v>30</v>
      </c>
      <c r="H285" s="13">
        <v>70</v>
      </c>
      <c r="I285" s="1" t="s">
        <v>1315</v>
      </c>
      <c r="J285" s="17" t="str" cm="1">
        <f t="array" ref="J285">SeCcolor($A$634:$A$644,I285)</f>
        <v/>
      </c>
      <c r="K285" s="22"/>
      <c r="L285" s="22"/>
      <c r="M285"/>
      <c r="N285"/>
      <c r="O285"/>
      <c r="P285"/>
      <c r="Q285"/>
      <c r="R285"/>
      <c r="S285"/>
      <c r="T285"/>
      <c r="U285"/>
    </row>
    <row r="286" spans="1:21" s="3" customFormat="1">
      <c r="A286" s="22" t="s">
        <v>1316</v>
      </c>
      <c r="B286" s="1" t="s">
        <v>1317</v>
      </c>
      <c r="C286" s="1" t="s">
        <v>1175</v>
      </c>
      <c r="D286" s="12">
        <v>17</v>
      </c>
      <c r="E286" s="1" t="s">
        <v>270</v>
      </c>
      <c r="F286" s="1" t="s">
        <v>1318</v>
      </c>
      <c r="G286" s="12">
        <v>10</v>
      </c>
      <c r="H286" s="13">
        <v>60</v>
      </c>
      <c r="I286" s="1" t="s">
        <v>1319</v>
      </c>
      <c r="J286" s="17" t="str" cm="1">
        <f t="array" ref="J286">SeCcolor($A$634:$A$644,I286)</f>
        <v/>
      </c>
      <c r="K286" s="22"/>
      <c r="L286" s="22"/>
      <c r="M286"/>
      <c r="N286"/>
      <c r="O286"/>
      <c r="P286"/>
      <c r="Q286"/>
      <c r="R286"/>
      <c r="S286"/>
      <c r="T286"/>
      <c r="U286"/>
    </row>
    <row r="287" spans="1:21" s="1" customFormat="1">
      <c r="A287" s="22" t="s">
        <v>1320</v>
      </c>
      <c r="B287" s="1" t="s">
        <v>1321</v>
      </c>
      <c r="C287" s="1" t="s">
        <v>286</v>
      </c>
      <c r="D287" s="12">
        <v>220</v>
      </c>
      <c r="E287" s="1" t="s">
        <v>64</v>
      </c>
      <c r="F287" s="1" t="s">
        <v>1322</v>
      </c>
      <c r="G287" s="12">
        <v>20</v>
      </c>
      <c r="H287" s="13">
        <v>50</v>
      </c>
      <c r="I287" s="1" t="s">
        <v>1323</v>
      </c>
      <c r="J287" s="17" t="str" cm="1">
        <f t="array" ref="J287">SeCcolor($A$634:$A$644,I287)</f>
        <v/>
      </c>
      <c r="K287" s="22"/>
      <c r="L287" s="22"/>
      <c r="M287"/>
      <c r="N287"/>
      <c r="O287"/>
      <c r="P287"/>
      <c r="Q287"/>
      <c r="R287"/>
      <c r="S287"/>
      <c r="T287"/>
      <c r="U287"/>
    </row>
    <row r="288" spans="1:21">
      <c r="A288" s="22" t="s">
        <v>1324</v>
      </c>
      <c r="B288" s="1" t="s">
        <v>1325</v>
      </c>
      <c r="C288" s="1" t="s">
        <v>1326</v>
      </c>
      <c r="D288" s="12">
        <v>809</v>
      </c>
      <c r="E288" s="1" t="s">
        <v>19</v>
      </c>
      <c r="F288" s="1" t="s">
        <v>1327</v>
      </c>
      <c r="G288" s="12">
        <v>20</v>
      </c>
      <c r="H288" s="13">
        <v>70</v>
      </c>
      <c r="I288" s="1" t="s">
        <v>1328</v>
      </c>
      <c r="J288" s="17" t="str" cm="1">
        <f t="array" ref="J288">SeCcolor($A$634:$A$644,I288)</f>
        <v/>
      </c>
    </row>
    <row r="289" spans="1:21" s="2" customFormat="1">
      <c r="A289" s="22" t="s">
        <v>1329</v>
      </c>
      <c r="B289" s="1" t="s">
        <v>1330</v>
      </c>
      <c r="C289" s="1" t="s">
        <v>1331</v>
      </c>
      <c r="D289" s="12">
        <v>64</v>
      </c>
      <c r="E289" s="1" t="s">
        <v>19</v>
      </c>
      <c r="F289" s="1" t="s">
        <v>1332</v>
      </c>
      <c r="G289" s="12">
        <v>20</v>
      </c>
      <c r="H289" s="13">
        <v>145.80000000000001</v>
      </c>
      <c r="I289" s="1" t="s">
        <v>1333</v>
      </c>
      <c r="J289" s="17" t="str" cm="1">
        <f t="array" ref="J289">SeCcolor($A$634:$A$644,I289)</f>
        <v/>
      </c>
      <c r="K289" s="22"/>
      <c r="L289" s="22"/>
      <c r="M289" s="1"/>
      <c r="N289" s="1"/>
      <c r="O289"/>
      <c r="P289"/>
      <c r="Q289"/>
      <c r="R289"/>
      <c r="S289"/>
      <c r="T289"/>
      <c r="U289"/>
    </row>
    <row r="290" spans="1:21" s="3" customFormat="1">
      <c r="A290" s="22" t="s">
        <v>1334</v>
      </c>
      <c r="B290" s="1" t="s">
        <v>1335</v>
      </c>
      <c r="C290" s="1" t="s">
        <v>380</v>
      </c>
      <c r="D290" s="12">
        <v>30</v>
      </c>
      <c r="E290" s="1" t="s">
        <v>19</v>
      </c>
      <c r="F290" s="1" t="s">
        <v>1332</v>
      </c>
      <c r="G290" s="12">
        <v>20</v>
      </c>
      <c r="H290" s="13">
        <v>0</v>
      </c>
      <c r="I290" s="1" t="s">
        <v>1333</v>
      </c>
      <c r="J290" s="17" t="str" cm="1">
        <f t="array" ref="J290">SeCcolor($A$634:$A$644,I290)</f>
        <v/>
      </c>
      <c r="K290" s="22"/>
      <c r="L290" s="22"/>
      <c r="M290"/>
      <c r="N290"/>
      <c r="O290"/>
      <c r="P290"/>
      <c r="Q290"/>
      <c r="R290"/>
      <c r="S290"/>
      <c r="T290"/>
      <c r="U290"/>
    </row>
    <row r="291" spans="1:21">
      <c r="A291" s="22" t="s">
        <v>1336</v>
      </c>
      <c r="B291" s="1" t="s">
        <v>1337</v>
      </c>
      <c r="C291" s="1" t="s">
        <v>1338</v>
      </c>
      <c r="D291" s="12">
        <v>249</v>
      </c>
      <c r="E291" s="1" t="s">
        <v>540</v>
      </c>
      <c r="F291" s="1" t="s">
        <v>1339</v>
      </c>
      <c r="G291" s="12">
        <v>25</v>
      </c>
      <c r="H291" s="13">
        <v>50</v>
      </c>
      <c r="I291" s="1" t="s">
        <v>1340</v>
      </c>
      <c r="J291" s="17" t="str" cm="1">
        <f t="array" ref="J291">SeCcolor($A$634:$A$644,I291)</f>
        <v/>
      </c>
      <c r="K291" s="22" t="s">
        <v>278</v>
      </c>
      <c r="M291" t="s">
        <v>1341</v>
      </c>
      <c r="O291" s="1"/>
      <c r="P291" s="1"/>
      <c r="Q291" s="1"/>
      <c r="R291" s="1"/>
      <c r="S291" s="1"/>
      <c r="T291" s="1"/>
      <c r="U291" s="1"/>
    </row>
    <row r="292" spans="1:21">
      <c r="A292" s="22" t="s">
        <v>1342</v>
      </c>
      <c r="B292" s="1" t="s">
        <v>1343</v>
      </c>
      <c r="C292" s="1" t="s">
        <v>624</v>
      </c>
      <c r="D292" s="12">
        <v>734</v>
      </c>
      <c r="E292" s="1" t="s">
        <v>19</v>
      </c>
      <c r="F292" s="1" t="s">
        <v>1344</v>
      </c>
      <c r="G292" s="12">
        <v>10</v>
      </c>
      <c r="H292" s="13">
        <v>50</v>
      </c>
      <c r="I292" s="1" t="s">
        <v>1345</v>
      </c>
      <c r="J292" s="17" t="str" cm="1">
        <f t="array" ref="J292">SeCcolor($A$634:$A$644,I292)</f>
        <v/>
      </c>
    </row>
    <row r="293" spans="1:21">
      <c r="A293" s="22"/>
      <c r="B293" s="1" t="s">
        <v>1346</v>
      </c>
      <c r="C293" s="1" t="s">
        <v>167</v>
      </c>
      <c r="D293" s="12">
        <v>77</v>
      </c>
      <c r="E293" s="1" t="s">
        <v>1347</v>
      </c>
      <c r="F293" s="1" t="s">
        <v>1348</v>
      </c>
      <c r="G293" s="12">
        <v>25</v>
      </c>
      <c r="H293" s="13">
        <v>50</v>
      </c>
      <c r="I293" s="1" t="s">
        <v>1349</v>
      </c>
      <c r="J293" s="17" t="str" cm="1">
        <f t="array" ref="J293">SeCcolor($A$634:$A$644,I293)</f>
        <v/>
      </c>
      <c r="K293" s="22" t="s">
        <v>278</v>
      </c>
      <c r="M293" s="2"/>
      <c r="N293" s="2"/>
    </row>
    <row r="294" spans="1:21" s="1" customFormat="1">
      <c r="A294" s="22" t="s">
        <v>451</v>
      </c>
      <c r="B294" s="1" t="s">
        <v>1350</v>
      </c>
      <c r="C294" s="1" t="s">
        <v>1351</v>
      </c>
      <c r="D294" s="12">
        <v>30</v>
      </c>
      <c r="E294" s="1" t="s">
        <v>70</v>
      </c>
      <c r="F294" s="1" t="s">
        <v>1352</v>
      </c>
      <c r="G294" s="12">
        <v>10</v>
      </c>
      <c r="H294" s="13">
        <v>59.9</v>
      </c>
      <c r="I294" s="1" t="s">
        <v>1353</v>
      </c>
      <c r="J294" s="17" t="str" cm="1">
        <f t="array" ref="J294">SeCcolor($A$634:$A$644,I294)</f>
        <v/>
      </c>
      <c r="K294" s="22"/>
      <c r="L294" s="22"/>
      <c r="M294"/>
      <c r="N294"/>
      <c r="O294"/>
      <c r="P294"/>
      <c r="Q294"/>
      <c r="R294"/>
      <c r="S294"/>
      <c r="T294"/>
      <c r="U294"/>
    </row>
    <row r="295" spans="1:21">
      <c r="A295" s="22" t="s">
        <v>406</v>
      </c>
      <c r="B295" s="1" t="s">
        <v>1354</v>
      </c>
      <c r="C295" s="1" t="s">
        <v>589</v>
      </c>
      <c r="D295" s="12">
        <v>93</v>
      </c>
      <c r="E295" s="1" t="s">
        <v>19</v>
      </c>
      <c r="F295" s="1" t="s">
        <v>1355</v>
      </c>
      <c r="G295" s="12">
        <v>20</v>
      </c>
      <c r="H295" s="13">
        <v>70</v>
      </c>
      <c r="I295" s="1" t="s">
        <v>1356</v>
      </c>
      <c r="J295" s="17" t="str" cm="1">
        <f t="array" ref="J295">SeCcolor($A$634:$A$644,I295)</f>
        <v/>
      </c>
    </row>
    <row r="296" spans="1:21">
      <c r="A296" s="22" t="s">
        <v>1357</v>
      </c>
      <c r="B296" s="1" t="s">
        <v>1358</v>
      </c>
      <c r="C296" s="1" t="s">
        <v>1359</v>
      </c>
      <c r="D296" s="12">
        <v>120</v>
      </c>
      <c r="E296" s="1" t="s">
        <v>127</v>
      </c>
      <c r="F296" s="12">
        <v>3534451354</v>
      </c>
      <c r="G296" s="12">
        <v>15</v>
      </c>
      <c r="H296" s="13">
        <v>60</v>
      </c>
      <c r="I296" s="1" t="s">
        <v>1360</v>
      </c>
      <c r="J296" s="17" t="str" cm="1">
        <f t="array" ref="J296">SeCcolor($A$634:$A$644,I296)</f>
        <v/>
      </c>
      <c r="M296" s="5"/>
      <c r="N296" s="5"/>
      <c r="O296" s="5"/>
      <c r="P296" s="5"/>
      <c r="Q296" s="5"/>
      <c r="R296" s="5"/>
      <c r="S296" s="5"/>
      <c r="T296" s="5"/>
      <c r="U296" s="5"/>
    </row>
    <row r="297" spans="1:21" s="3" customFormat="1">
      <c r="A297" s="234">
        <v>42563</v>
      </c>
      <c r="B297" s="1" t="s">
        <v>1358</v>
      </c>
      <c r="C297" s="1" t="s">
        <v>346</v>
      </c>
      <c r="D297" s="12">
        <v>35</v>
      </c>
      <c r="E297" s="1" t="s">
        <v>19</v>
      </c>
      <c r="F297" s="12">
        <v>3534451354</v>
      </c>
      <c r="G297" s="12">
        <v>10</v>
      </c>
      <c r="H297" s="13">
        <v>75</v>
      </c>
      <c r="I297" s="1" t="s">
        <v>1360</v>
      </c>
      <c r="J297" s="17" t="str" cm="1">
        <f t="array" ref="J297">SeCcolor($A$634:$A$644,I297)</f>
        <v/>
      </c>
      <c r="K297" s="22"/>
      <c r="L297" s="22"/>
      <c r="M297" s="1"/>
      <c r="N297" s="1"/>
      <c r="O297"/>
      <c r="P297"/>
      <c r="Q297"/>
      <c r="R297"/>
      <c r="S297"/>
      <c r="T297"/>
      <c r="U297"/>
    </row>
    <row r="298" spans="1:21">
      <c r="A298" s="22" t="s">
        <v>1361</v>
      </c>
      <c r="B298" s="1" t="s">
        <v>1362</v>
      </c>
      <c r="C298" s="1" t="s">
        <v>1363</v>
      </c>
      <c r="D298" s="12">
        <v>245</v>
      </c>
      <c r="E298" s="1" t="s">
        <v>70</v>
      </c>
      <c r="F298" s="1" t="s">
        <v>1364</v>
      </c>
      <c r="G298" s="12">
        <v>20</v>
      </c>
      <c r="H298" s="13">
        <v>40</v>
      </c>
      <c r="I298" s="1" t="s">
        <v>1365</v>
      </c>
      <c r="J298" s="17" t="str" cm="1">
        <f t="array" ref="J298">SeCcolor($A$634:$A$644,I298)</f>
        <v/>
      </c>
    </row>
    <row r="299" spans="1:21">
      <c r="A299" s="22" t="s">
        <v>1366</v>
      </c>
      <c r="B299" s="1" t="s">
        <v>1367</v>
      </c>
      <c r="C299" s="1" t="s">
        <v>1368</v>
      </c>
      <c r="D299" s="12">
        <v>107</v>
      </c>
      <c r="E299" s="1" t="s">
        <v>270</v>
      </c>
      <c r="F299" s="1"/>
      <c r="G299" s="12">
        <v>25</v>
      </c>
      <c r="H299" s="13">
        <v>60</v>
      </c>
      <c r="I299" s="1" t="s">
        <v>1369</v>
      </c>
      <c r="J299" s="17" t="str" cm="1">
        <f t="array" ref="J299">SeCcolor($A$634:$A$644,I299)</f>
        <v/>
      </c>
    </row>
    <row r="300" spans="1:21">
      <c r="A300" s="22" t="s">
        <v>1370</v>
      </c>
      <c r="B300" s="1" t="s">
        <v>1371</v>
      </c>
      <c r="C300" s="1" t="s">
        <v>1372</v>
      </c>
      <c r="D300" s="12">
        <v>100</v>
      </c>
      <c r="E300" s="1" t="s">
        <v>1373</v>
      </c>
      <c r="F300" s="1" t="s">
        <v>1374</v>
      </c>
      <c r="G300" s="12">
        <v>20</v>
      </c>
      <c r="H300" s="13">
        <v>70</v>
      </c>
      <c r="I300" s="1" t="s">
        <v>1375</v>
      </c>
      <c r="J300" s="17" t="str" cm="1">
        <f t="array" ref="J300">SeCcolor($A$634:$A$644,I300)</f>
        <v/>
      </c>
    </row>
    <row r="301" spans="1:21" s="1" customFormat="1">
      <c r="A301" s="22" t="s">
        <v>1376</v>
      </c>
      <c r="B301" s="1" t="s">
        <v>1377</v>
      </c>
      <c r="C301" s="1" t="s">
        <v>1378</v>
      </c>
      <c r="D301" s="12">
        <v>115</v>
      </c>
      <c r="E301" s="1" t="s">
        <v>105</v>
      </c>
      <c r="F301" s="1">
        <v>998405497</v>
      </c>
      <c r="G301" s="12">
        <v>5</v>
      </c>
      <c r="H301" s="13">
        <v>60</v>
      </c>
      <c r="I301" s="1" t="s">
        <v>1379</v>
      </c>
      <c r="J301" s="17" t="str" cm="1">
        <f t="array" ref="J301">SeCcolor($A$634:$A$644,I301)</f>
        <v/>
      </c>
      <c r="K301" s="22"/>
      <c r="L301" s="22"/>
      <c r="M301"/>
      <c r="N301"/>
      <c r="O301"/>
      <c r="P301"/>
      <c r="Q301"/>
      <c r="R301"/>
      <c r="S301"/>
      <c r="T301"/>
      <c r="U301"/>
    </row>
    <row r="302" spans="1:21" s="3" customFormat="1">
      <c r="A302" s="22" t="s">
        <v>1380</v>
      </c>
      <c r="B302" s="1" t="s">
        <v>1381</v>
      </c>
      <c r="C302" s="1" t="s">
        <v>136</v>
      </c>
      <c r="D302" s="12">
        <v>80</v>
      </c>
      <c r="E302" s="1" t="s">
        <v>32</v>
      </c>
      <c r="F302" s="1" t="s">
        <v>1382</v>
      </c>
      <c r="G302" s="12">
        <v>10</v>
      </c>
      <c r="H302" s="13">
        <v>70</v>
      </c>
      <c r="I302" s="1" t="s">
        <v>1383</v>
      </c>
      <c r="J302" s="17" t="str" cm="1">
        <f t="array" ref="J302">SeCcolor($A$634:$A$644,I302)</f>
        <v/>
      </c>
      <c r="K302" s="22"/>
      <c r="L302" s="22"/>
      <c r="M302" s="1"/>
      <c r="N302" s="1"/>
      <c r="O302"/>
      <c r="P302"/>
      <c r="Q302"/>
      <c r="R302"/>
      <c r="S302"/>
      <c r="T302"/>
      <c r="U302"/>
    </row>
    <row r="303" spans="1:21" s="10" customFormat="1">
      <c r="A303" s="22" t="s">
        <v>1384</v>
      </c>
      <c r="B303" s="1" t="s">
        <v>1385</v>
      </c>
      <c r="C303" s="1" t="s">
        <v>1386</v>
      </c>
      <c r="D303" s="12">
        <v>23</v>
      </c>
      <c r="E303" s="1" t="s">
        <v>670</v>
      </c>
      <c r="F303" s="1" t="s">
        <v>1387</v>
      </c>
      <c r="G303" s="12">
        <v>15</v>
      </c>
      <c r="H303" s="13">
        <v>70</v>
      </c>
      <c r="I303" s="1" t="s">
        <v>1388</v>
      </c>
      <c r="J303" s="17" t="str" cm="1">
        <f t="array" ref="J303">SeCcolor($A$634:$A$644,I303)</f>
        <v/>
      </c>
      <c r="K303" s="22"/>
      <c r="L303" s="22"/>
      <c r="M303"/>
      <c r="N303"/>
      <c r="O303"/>
      <c r="P303"/>
      <c r="Q303"/>
      <c r="R303"/>
      <c r="S303"/>
      <c r="T303"/>
      <c r="U303"/>
    </row>
    <row r="304" spans="1:21" s="1" customFormat="1">
      <c r="A304" s="22" t="s">
        <v>1389</v>
      </c>
      <c r="B304" s="1" t="s">
        <v>1390</v>
      </c>
      <c r="C304" s="1" t="s">
        <v>1391</v>
      </c>
      <c r="D304" s="12">
        <v>38</v>
      </c>
      <c r="E304" s="1" t="s">
        <v>90</v>
      </c>
      <c r="F304" s="1" t="s">
        <v>1392</v>
      </c>
      <c r="G304" s="12">
        <v>10</v>
      </c>
      <c r="H304" s="13">
        <v>50</v>
      </c>
      <c r="I304" s="1" t="s">
        <v>1393</v>
      </c>
      <c r="J304" s="17" t="str" cm="1">
        <f t="array" ref="J304">SeCcolor($A$634:$A$644,I304)</f>
        <v/>
      </c>
      <c r="K304" s="264" t="s">
        <v>278</v>
      </c>
      <c r="L304" s="17"/>
      <c r="M304"/>
      <c r="N304"/>
      <c r="O304"/>
      <c r="P304"/>
      <c r="Q304"/>
      <c r="R304"/>
      <c r="S304"/>
      <c r="T304"/>
      <c r="U304"/>
    </row>
    <row r="305" spans="1:21" s="3" customFormat="1">
      <c r="A305" s="22" t="s">
        <v>1394</v>
      </c>
      <c r="B305" s="1" t="s">
        <v>1395</v>
      </c>
      <c r="C305" s="1" t="s">
        <v>961</v>
      </c>
      <c r="D305" s="12">
        <v>939</v>
      </c>
      <c r="E305" s="1" t="s">
        <v>19</v>
      </c>
      <c r="F305" s="1" t="s">
        <v>1396</v>
      </c>
      <c r="G305" s="12">
        <v>15</v>
      </c>
      <c r="H305" s="13">
        <v>60</v>
      </c>
      <c r="I305" s="1" t="s">
        <v>1397</v>
      </c>
      <c r="J305" s="17" t="str" cm="1">
        <f t="array" ref="J305">SeCcolor($A$634:$A$644,I305)</f>
        <v/>
      </c>
      <c r="K305" s="17"/>
      <c r="L305" s="22"/>
      <c r="M305"/>
      <c r="N305"/>
      <c r="O305"/>
      <c r="P305"/>
      <c r="Q305"/>
      <c r="R305"/>
      <c r="S305"/>
      <c r="T305"/>
      <c r="U305"/>
    </row>
    <row r="306" spans="1:21" s="1" customFormat="1">
      <c r="A306" s="22" t="s">
        <v>1398</v>
      </c>
      <c r="B306" s="1" t="s">
        <v>1399</v>
      </c>
      <c r="C306" s="1" t="s">
        <v>1400</v>
      </c>
      <c r="D306" s="12">
        <v>273</v>
      </c>
      <c r="E306" s="1" t="s">
        <v>19</v>
      </c>
      <c r="F306" s="1" t="s">
        <v>1396</v>
      </c>
      <c r="G306" s="12">
        <v>15</v>
      </c>
      <c r="H306" s="13">
        <v>60</v>
      </c>
      <c r="I306" s="1" t="s">
        <v>1397</v>
      </c>
      <c r="J306" s="17" t="str" cm="1">
        <f t="array" ref="J306">SeCcolor($A$634:$A$644,I306)</f>
        <v/>
      </c>
      <c r="K306" s="264"/>
      <c r="L306" s="17"/>
      <c r="M306" s="185"/>
      <c r="N306"/>
      <c r="O306"/>
      <c r="P306"/>
      <c r="Q306"/>
      <c r="R306"/>
      <c r="S306"/>
      <c r="T306"/>
      <c r="U306"/>
    </row>
    <row r="307" spans="1:21" s="7" customFormat="1">
      <c r="A307" s="22" t="s">
        <v>1401</v>
      </c>
      <c r="B307" s="1" t="s">
        <v>1402</v>
      </c>
      <c r="C307" s="1" t="s">
        <v>1403</v>
      </c>
      <c r="D307" s="12">
        <v>41</v>
      </c>
      <c r="E307" s="1" t="s">
        <v>70</v>
      </c>
      <c r="F307" s="1" t="s">
        <v>1404</v>
      </c>
      <c r="G307" s="12">
        <v>5</v>
      </c>
      <c r="H307" s="13">
        <v>60</v>
      </c>
      <c r="I307" s="1" t="s">
        <v>1405</v>
      </c>
      <c r="J307" s="17" t="str" cm="1">
        <f t="array" ref="J307">SeCcolor($A$634:$A$644,I307)</f>
        <v/>
      </c>
      <c r="K307" s="22"/>
      <c r="L307" s="22"/>
      <c r="M307"/>
      <c r="N307"/>
      <c r="O307"/>
      <c r="P307"/>
      <c r="Q307"/>
      <c r="R307"/>
      <c r="S307"/>
      <c r="T307"/>
      <c r="U307"/>
    </row>
    <row r="308" spans="1:21" s="6" customFormat="1">
      <c r="A308" s="22" t="s">
        <v>1406</v>
      </c>
      <c r="B308" s="1" t="s">
        <v>1407</v>
      </c>
      <c r="C308" s="1" t="s">
        <v>1408</v>
      </c>
      <c r="D308" s="12">
        <v>40</v>
      </c>
      <c r="E308" s="1" t="s">
        <v>19</v>
      </c>
      <c r="F308" s="1" t="s">
        <v>1409</v>
      </c>
      <c r="G308" s="12">
        <v>10</v>
      </c>
      <c r="H308" s="13">
        <v>50</v>
      </c>
      <c r="I308" s="1" t="s">
        <v>1410</v>
      </c>
      <c r="J308" s="17" t="str" cm="1">
        <f t="array" ref="J308">SeCcolor($A$634:$A$644,I308)</f>
        <v/>
      </c>
      <c r="K308" s="22"/>
      <c r="L308" s="22"/>
      <c r="M308"/>
      <c r="N308"/>
      <c r="O308"/>
      <c r="P308"/>
      <c r="Q308"/>
      <c r="R308"/>
      <c r="S308"/>
      <c r="T308"/>
      <c r="U308"/>
    </row>
    <row r="309" spans="1:21">
      <c r="A309" s="22" t="s">
        <v>1411</v>
      </c>
      <c r="B309" s="1" t="s">
        <v>1412</v>
      </c>
      <c r="C309" s="1" t="s">
        <v>604</v>
      </c>
      <c r="D309" s="12">
        <v>230</v>
      </c>
      <c r="E309" s="1" t="s">
        <v>70</v>
      </c>
      <c r="F309" s="1" t="s">
        <v>1413</v>
      </c>
      <c r="G309" s="12">
        <v>30</v>
      </c>
      <c r="H309" s="13">
        <v>50</v>
      </c>
      <c r="I309" s="1" t="s">
        <v>1414</v>
      </c>
      <c r="J309" s="17" t="str" cm="1">
        <f t="array" ref="J309">SeCcolor($A$634:$A$644,I309)</f>
        <v/>
      </c>
      <c r="K309" s="22" t="s">
        <v>278</v>
      </c>
      <c r="M309" s="22" t="s">
        <v>1415</v>
      </c>
      <c r="N309" s="22"/>
    </row>
    <row r="310" spans="1:21" s="4" customFormat="1">
      <c r="A310" s="22" t="s">
        <v>1416</v>
      </c>
      <c r="B310" s="1" t="s">
        <v>1417</v>
      </c>
      <c r="C310" s="1" t="s">
        <v>1418</v>
      </c>
      <c r="D310" s="12">
        <v>119</v>
      </c>
      <c r="E310" s="1" t="s">
        <v>74</v>
      </c>
      <c r="F310" s="1">
        <v>997530970</v>
      </c>
      <c r="G310" s="12">
        <v>15</v>
      </c>
      <c r="H310" s="13">
        <v>60</v>
      </c>
      <c r="I310" s="1" t="s">
        <v>1419</v>
      </c>
      <c r="J310" s="17" t="str" cm="1">
        <f t="array" ref="J310">SeCcolor($A$634:$A$644,I310)</f>
        <v/>
      </c>
      <c r="K310" s="22"/>
      <c r="L310" s="22"/>
      <c r="M310" s="2"/>
      <c r="N310" s="2"/>
      <c r="O310"/>
      <c r="P310"/>
      <c r="Q310"/>
      <c r="R310"/>
      <c r="S310"/>
      <c r="T310"/>
      <c r="U310"/>
    </row>
    <row r="311" spans="1:21">
      <c r="A311" s="22" t="s">
        <v>1420</v>
      </c>
      <c r="B311" s="1" t="s">
        <v>1421</v>
      </c>
      <c r="C311" s="1" t="s">
        <v>1422</v>
      </c>
      <c r="D311" s="12">
        <v>244</v>
      </c>
      <c r="E311" s="1" t="s">
        <v>25</v>
      </c>
      <c r="F311" s="1" t="s">
        <v>1152</v>
      </c>
      <c r="G311" s="12">
        <v>10</v>
      </c>
      <c r="H311" s="13">
        <v>70</v>
      </c>
      <c r="I311" s="1" t="s">
        <v>1423</v>
      </c>
      <c r="J311" s="17" t="str" cm="1">
        <f t="array" ref="J311">SeCcolor($A$634:$A$644,I311)</f>
        <v/>
      </c>
      <c r="M311" s="1"/>
      <c r="N311" s="1"/>
    </row>
    <row r="312" spans="1:21">
      <c r="A312" s="22" t="s">
        <v>1424</v>
      </c>
      <c r="B312" s="1" t="s">
        <v>1425</v>
      </c>
      <c r="C312" s="1" t="s">
        <v>1426</v>
      </c>
      <c r="D312" s="12">
        <v>39</v>
      </c>
      <c r="E312" s="1" t="s">
        <v>19</v>
      </c>
      <c r="F312" s="1" t="s">
        <v>1427</v>
      </c>
      <c r="G312" s="12">
        <v>20</v>
      </c>
      <c r="H312" s="13">
        <v>59.9</v>
      </c>
      <c r="I312" s="1" t="s">
        <v>1428</v>
      </c>
      <c r="J312" s="17" t="str" cm="1">
        <f t="array" ref="J312">SeCcolor($A$634:$A$644,I312)</f>
        <v/>
      </c>
    </row>
    <row r="313" spans="1:21">
      <c r="A313" s="22" t="s">
        <v>1429</v>
      </c>
      <c r="B313" s="1" t="s">
        <v>1430</v>
      </c>
      <c r="C313" s="1" t="s">
        <v>1431</v>
      </c>
      <c r="D313" s="1" t="s">
        <v>1432</v>
      </c>
      <c r="E313" s="1" t="s">
        <v>188</v>
      </c>
      <c r="F313" s="1" t="s">
        <v>1433</v>
      </c>
      <c r="G313" s="12">
        <v>10</v>
      </c>
      <c r="H313" s="13">
        <v>50</v>
      </c>
      <c r="I313" s="1" t="s">
        <v>1434</v>
      </c>
      <c r="J313" s="17" t="str" cm="1">
        <f t="array" ref="J313">SeCcolor($A$634:$A$644,I313)</f>
        <v/>
      </c>
    </row>
    <row r="314" spans="1:21">
      <c r="A314" s="22" t="s">
        <v>1435</v>
      </c>
      <c r="B314" s="1" t="s">
        <v>1436</v>
      </c>
      <c r="C314" s="1" t="s">
        <v>1437</v>
      </c>
      <c r="D314" s="12">
        <v>330</v>
      </c>
      <c r="E314" s="1" t="s">
        <v>64</v>
      </c>
      <c r="F314" s="1" t="s">
        <v>1438</v>
      </c>
      <c r="G314" s="12">
        <v>20</v>
      </c>
      <c r="H314" s="13">
        <v>60</v>
      </c>
      <c r="I314" s="1" t="s">
        <v>1439</v>
      </c>
      <c r="J314" s="17" t="str" cm="1">
        <f t="array" ref="J314">SeCcolor($A$634:$A$644,I314)</f>
        <v/>
      </c>
    </row>
    <row r="315" spans="1:21">
      <c r="A315" s="22" t="s">
        <v>1440</v>
      </c>
      <c r="B315" s="1" t="s">
        <v>1441</v>
      </c>
      <c r="C315" s="1" t="s">
        <v>172</v>
      </c>
      <c r="D315" s="12">
        <v>763</v>
      </c>
      <c r="E315" s="1" t="s">
        <v>70</v>
      </c>
      <c r="F315" s="1" t="s">
        <v>1442</v>
      </c>
      <c r="G315" s="12">
        <v>15</v>
      </c>
      <c r="H315" s="13">
        <v>50</v>
      </c>
      <c r="I315" s="1" t="s">
        <v>1443</v>
      </c>
      <c r="J315" s="17" t="str" cm="1">
        <f t="array" ref="J315">SeCcolor($A$634:$A$644,I315)</f>
        <v/>
      </c>
    </row>
    <row r="316" spans="1:21">
      <c r="A316" s="22" t="s">
        <v>82</v>
      </c>
      <c r="B316" s="1" t="s">
        <v>1444</v>
      </c>
      <c r="C316" s="1" t="s">
        <v>624</v>
      </c>
      <c r="D316" s="12">
        <v>299</v>
      </c>
      <c r="E316" s="1" t="s">
        <v>19</v>
      </c>
      <c r="F316" s="1">
        <v>999932895</v>
      </c>
      <c r="G316" s="12">
        <v>10</v>
      </c>
      <c r="H316" s="13">
        <v>50</v>
      </c>
      <c r="I316" s="1" t="s">
        <v>1445</v>
      </c>
      <c r="J316" s="17" t="str" cm="1">
        <f t="array" ref="J316">SeCcolor($A$634:$A$644,I316)</f>
        <v/>
      </c>
      <c r="M316" s="2"/>
      <c r="N316" s="2"/>
    </row>
    <row r="317" spans="1:21">
      <c r="A317" s="22" t="s">
        <v>1446</v>
      </c>
      <c r="B317" s="1" t="s">
        <v>1447</v>
      </c>
      <c r="C317" s="1" t="s">
        <v>1448</v>
      </c>
      <c r="D317" s="12">
        <v>88</v>
      </c>
      <c r="E317" s="1" t="s">
        <v>19</v>
      </c>
      <c r="F317" s="1" t="s">
        <v>1449</v>
      </c>
      <c r="G317" s="12">
        <v>20</v>
      </c>
      <c r="H317" s="13">
        <v>59.9</v>
      </c>
      <c r="I317" s="1" t="s">
        <v>1450</v>
      </c>
      <c r="J317" s="17" t="str" cm="1">
        <f t="array" ref="J317">SeCcolor($A$634:$A$644,I317)</f>
        <v/>
      </c>
      <c r="O317" s="2"/>
      <c r="P317" s="2"/>
      <c r="Q317" s="2"/>
      <c r="R317" s="2"/>
      <c r="S317" s="2"/>
      <c r="T317" s="2"/>
      <c r="U317" s="2"/>
    </row>
    <row r="318" spans="1:21">
      <c r="A318" s="22" t="s">
        <v>1451</v>
      </c>
      <c r="B318" s="1" t="s">
        <v>1452</v>
      </c>
      <c r="C318" s="1" t="s">
        <v>1453</v>
      </c>
      <c r="D318" s="12">
        <v>147</v>
      </c>
      <c r="E318" s="1" t="s">
        <v>70</v>
      </c>
      <c r="F318" s="1" t="s">
        <v>1454</v>
      </c>
      <c r="G318" s="12">
        <v>30</v>
      </c>
      <c r="H318" s="13">
        <v>69.900000000000006</v>
      </c>
      <c r="I318" s="1" t="s">
        <v>1455</v>
      </c>
      <c r="J318" s="17" t="str" cm="1">
        <f t="array" ref="J318">SeCcolor($A$634:$A$644,I318)</f>
        <v/>
      </c>
    </row>
    <row r="319" spans="1:21">
      <c r="A319" s="22" t="s">
        <v>82</v>
      </c>
      <c r="B319" s="1" t="s">
        <v>1456</v>
      </c>
      <c r="C319" s="1" t="s">
        <v>1457</v>
      </c>
      <c r="D319" s="12">
        <v>417</v>
      </c>
      <c r="E319" s="1" t="s">
        <v>32</v>
      </c>
      <c r="F319" s="1" t="s">
        <v>1458</v>
      </c>
      <c r="G319" s="12">
        <v>20</v>
      </c>
      <c r="H319" s="13">
        <v>59.9</v>
      </c>
      <c r="I319" s="1" t="s">
        <v>1459</v>
      </c>
      <c r="J319" s="17" t="str" cm="1">
        <f t="array" ref="J319">SeCcolor($A$634:$A$644,I319)</f>
        <v/>
      </c>
      <c r="M319" s="1"/>
      <c r="N319" s="1"/>
    </row>
    <row r="320" spans="1:21">
      <c r="A320" s="22" t="s">
        <v>1460</v>
      </c>
      <c r="B320" s="1" t="s">
        <v>1461</v>
      </c>
      <c r="C320" s="1" t="s">
        <v>1462</v>
      </c>
      <c r="D320" s="12">
        <v>162</v>
      </c>
      <c r="E320" s="1" t="s">
        <v>25</v>
      </c>
      <c r="F320" s="1" t="s">
        <v>1463</v>
      </c>
      <c r="G320" s="12">
        <v>20</v>
      </c>
      <c r="H320" s="13">
        <v>50</v>
      </c>
      <c r="I320" s="1" t="s">
        <v>1464</v>
      </c>
      <c r="J320" s="17" t="str" cm="1">
        <f t="array" ref="J320">SeCcolor($A$634:$A$644,I320)</f>
        <v/>
      </c>
      <c r="K320" s="264"/>
      <c r="L320" s="17"/>
    </row>
    <row r="321" spans="1:21">
      <c r="A321" s="22" t="s">
        <v>1465</v>
      </c>
      <c r="B321" s="1" t="s">
        <v>1466</v>
      </c>
      <c r="C321" s="1" t="s">
        <v>1467</v>
      </c>
      <c r="D321" s="12">
        <v>150</v>
      </c>
      <c r="E321" s="1" t="s">
        <v>90</v>
      </c>
      <c r="F321" s="1" t="s">
        <v>1468</v>
      </c>
      <c r="G321" s="12">
        <v>10</v>
      </c>
      <c r="H321" s="13">
        <v>50</v>
      </c>
      <c r="I321" s="1" t="s">
        <v>1469</v>
      </c>
      <c r="J321" s="17" t="str" cm="1">
        <f t="array" ref="J321">SeCcolor($A$634:$A$644,I321)</f>
        <v/>
      </c>
    </row>
    <row r="322" spans="1:21">
      <c r="A322" s="22"/>
      <c r="B322" s="1" t="s">
        <v>1470</v>
      </c>
      <c r="C322" s="1" t="s">
        <v>1471</v>
      </c>
      <c r="D322" s="12">
        <v>430</v>
      </c>
      <c r="E322" s="1" t="s">
        <v>19</v>
      </c>
      <c r="F322" s="1" t="s">
        <v>1472</v>
      </c>
      <c r="G322" s="12">
        <v>30</v>
      </c>
      <c r="H322" s="13">
        <v>50</v>
      </c>
      <c r="I322" s="1" t="s">
        <v>1473</v>
      </c>
      <c r="J322" s="17" t="str" cm="1">
        <f t="array" ref="J322">SeCcolor($A$634:$A$644,I322)</f>
        <v/>
      </c>
    </row>
    <row r="323" spans="1:21">
      <c r="A323" s="22" t="s">
        <v>1474</v>
      </c>
      <c r="B323" s="1" t="s">
        <v>1475</v>
      </c>
      <c r="C323" s="1" t="s">
        <v>789</v>
      </c>
      <c r="D323" s="12">
        <v>529</v>
      </c>
      <c r="E323" s="1" t="s">
        <v>90</v>
      </c>
      <c r="F323" s="1" t="s">
        <v>1476</v>
      </c>
      <c r="G323" s="12">
        <v>30</v>
      </c>
      <c r="H323" s="13">
        <v>40</v>
      </c>
      <c r="I323" s="1" t="s">
        <v>1477</v>
      </c>
      <c r="J323" s="17" t="str" cm="1">
        <f t="array" ref="J323">SeCcolor($A$634:$A$644,I323)</f>
        <v/>
      </c>
      <c r="K323" s="22" t="s">
        <v>278</v>
      </c>
      <c r="M323" s="22" t="s">
        <v>1478</v>
      </c>
      <c r="N323" s="22"/>
    </row>
    <row r="324" spans="1:21">
      <c r="A324" s="22" t="s">
        <v>1479</v>
      </c>
      <c r="B324" s="1" t="s">
        <v>1480</v>
      </c>
      <c r="C324" s="1" t="s">
        <v>1481</v>
      </c>
      <c r="D324" s="12">
        <v>227</v>
      </c>
      <c r="E324" s="1" t="s">
        <v>70</v>
      </c>
      <c r="F324" s="1" t="s">
        <v>1482</v>
      </c>
      <c r="G324" s="12">
        <v>10</v>
      </c>
      <c r="H324" s="13">
        <v>70</v>
      </c>
      <c r="I324" s="1" t="s">
        <v>1483</v>
      </c>
      <c r="J324" s="17" t="str" cm="1">
        <f t="array" ref="J324">SeCcolor($A$634:$A$644,I324)</f>
        <v/>
      </c>
      <c r="M324" s="1"/>
      <c r="N324" s="1"/>
    </row>
    <row r="325" spans="1:21" s="1" customFormat="1">
      <c r="A325" s="22" t="s">
        <v>334</v>
      </c>
      <c r="B325" s="1" t="s">
        <v>1484</v>
      </c>
      <c r="C325" s="1" t="s">
        <v>1485</v>
      </c>
      <c r="D325" s="12">
        <v>28</v>
      </c>
      <c r="E325" s="1" t="s">
        <v>105</v>
      </c>
      <c r="F325" s="1" t="s">
        <v>1486</v>
      </c>
      <c r="G325" s="12">
        <v>10</v>
      </c>
      <c r="H325" s="13">
        <v>50</v>
      </c>
      <c r="I325" s="1" t="s">
        <v>1487</v>
      </c>
      <c r="J325" s="17" t="str" cm="1">
        <f t="array" ref="J325">SeCcolor($A$634:$A$644,I325)</f>
        <v/>
      </c>
      <c r="K325" s="22"/>
      <c r="L325" s="22"/>
      <c r="M325"/>
      <c r="N325"/>
      <c r="O325"/>
      <c r="P325"/>
      <c r="Q325"/>
      <c r="R325"/>
      <c r="S325"/>
      <c r="T325"/>
      <c r="U325"/>
    </row>
    <row r="326" spans="1:21" s="1" customFormat="1">
      <c r="A326" s="22" t="s">
        <v>451</v>
      </c>
      <c r="B326" s="1" t="s">
        <v>1488</v>
      </c>
      <c r="C326" s="1" t="s">
        <v>259</v>
      </c>
      <c r="D326" s="1" t="s">
        <v>31</v>
      </c>
      <c r="E326" s="1" t="s">
        <v>19</v>
      </c>
      <c r="F326" s="1" t="s">
        <v>1489</v>
      </c>
      <c r="G326" s="12">
        <v>10</v>
      </c>
      <c r="H326" s="13">
        <v>59.9</v>
      </c>
      <c r="I326" s="1" t="s">
        <v>1490</v>
      </c>
      <c r="J326" s="17" t="str" cm="1">
        <f t="array" ref="J326">SeCcolor($A$634:$A$644,I326)</f>
        <v/>
      </c>
      <c r="K326" s="22"/>
      <c r="L326" s="22"/>
      <c r="M326"/>
      <c r="N326"/>
      <c r="O326"/>
      <c r="P326"/>
      <c r="Q326"/>
      <c r="R326"/>
      <c r="S326"/>
      <c r="T326"/>
      <c r="U326"/>
    </row>
    <row r="327" spans="1:21">
      <c r="A327" s="22" t="s">
        <v>1311</v>
      </c>
      <c r="B327" s="1" t="s">
        <v>1491</v>
      </c>
      <c r="C327" s="1" t="s">
        <v>1492</v>
      </c>
      <c r="D327" s="12">
        <v>22</v>
      </c>
      <c r="E327" s="1" t="s">
        <v>188</v>
      </c>
      <c r="F327" s="1" t="s">
        <v>1493</v>
      </c>
      <c r="G327" s="12">
        <v>10</v>
      </c>
      <c r="H327" s="13">
        <v>50</v>
      </c>
      <c r="I327" s="1" t="s">
        <v>1494</v>
      </c>
      <c r="J327" s="17" t="str" cm="1">
        <f t="array" ref="J327">SeCcolor($A$634:$A$644,I327)</f>
        <v/>
      </c>
      <c r="M327" s="207" t="s">
        <v>1495</v>
      </c>
      <c r="N327" s="22"/>
    </row>
    <row r="328" spans="1:21">
      <c r="A328" s="22" t="s">
        <v>1496</v>
      </c>
      <c r="B328" s="1" t="s">
        <v>1497</v>
      </c>
      <c r="C328" s="1" t="s">
        <v>525</v>
      </c>
      <c r="D328" s="12">
        <v>375</v>
      </c>
      <c r="E328" s="1" t="s">
        <v>70</v>
      </c>
      <c r="F328" s="1" t="s">
        <v>1498</v>
      </c>
      <c r="G328" s="12">
        <v>15</v>
      </c>
      <c r="H328" s="13">
        <v>50</v>
      </c>
      <c r="I328" s="1" t="s">
        <v>1499</v>
      </c>
      <c r="J328" s="17" t="str" cm="1">
        <f t="array" ref="J328">SeCcolor($A$634:$A$644,I328)</f>
        <v/>
      </c>
    </row>
    <row r="329" spans="1:21">
      <c r="A329" s="22" t="s">
        <v>180</v>
      </c>
      <c r="B329" s="1" t="s">
        <v>1500</v>
      </c>
      <c r="C329" s="1" t="s">
        <v>1501</v>
      </c>
      <c r="D329" s="12">
        <v>60</v>
      </c>
      <c r="E329" s="1" t="s">
        <v>90</v>
      </c>
      <c r="F329" s="1" t="s">
        <v>1502</v>
      </c>
      <c r="G329" s="12">
        <v>20</v>
      </c>
      <c r="H329" s="13">
        <v>50</v>
      </c>
      <c r="I329" s="1" t="s">
        <v>1503</v>
      </c>
      <c r="J329" s="17" t="str" cm="1">
        <f t="array" ref="J329">SeCcolor($A$634:$A$644,I329)</f>
        <v/>
      </c>
    </row>
    <row r="330" spans="1:21">
      <c r="A330" s="22" t="s">
        <v>1504</v>
      </c>
      <c r="B330" s="1" t="s">
        <v>1500</v>
      </c>
      <c r="C330" s="1" t="s">
        <v>1505</v>
      </c>
      <c r="D330" s="12">
        <v>150</v>
      </c>
      <c r="E330" s="1" t="s">
        <v>540</v>
      </c>
      <c r="F330" s="1" t="s">
        <v>1502</v>
      </c>
      <c r="G330" s="12">
        <v>20</v>
      </c>
      <c r="H330" s="13">
        <v>60</v>
      </c>
      <c r="I330" s="1" t="s">
        <v>1503</v>
      </c>
      <c r="J330" s="17" t="str" cm="1">
        <f t="array" ref="J330">SeCcolor($A$634:$A$644,I330)</f>
        <v/>
      </c>
    </row>
    <row r="331" spans="1:21">
      <c r="A331" s="22" t="s">
        <v>1506</v>
      </c>
      <c r="B331" s="1" t="s">
        <v>1507</v>
      </c>
      <c r="C331" s="1" t="s">
        <v>1508</v>
      </c>
      <c r="D331" s="12">
        <v>1040</v>
      </c>
      <c r="E331" s="1" t="s">
        <v>142</v>
      </c>
      <c r="F331" s="1" t="s">
        <v>1509</v>
      </c>
      <c r="G331" s="12">
        <v>30</v>
      </c>
      <c r="H331" s="13">
        <v>50</v>
      </c>
      <c r="I331" s="1" t="s">
        <v>1510</v>
      </c>
      <c r="J331" s="17" t="str" cm="1">
        <f t="array" ref="J331">SeCcolor($A$634:$A$644,I331)</f>
        <v/>
      </c>
      <c r="M331" t="s">
        <v>1511</v>
      </c>
    </row>
    <row r="332" spans="1:21" s="3" customFormat="1">
      <c r="A332" s="234">
        <v>44005</v>
      </c>
      <c r="B332" s="1" t="s">
        <v>1512</v>
      </c>
      <c r="C332" s="1" t="s">
        <v>1513</v>
      </c>
      <c r="D332" s="1" t="s">
        <v>31</v>
      </c>
      <c r="E332" s="1" t="s">
        <v>25</v>
      </c>
      <c r="F332" s="1" t="s">
        <v>1514</v>
      </c>
      <c r="G332" s="12">
        <v>5</v>
      </c>
      <c r="H332" s="13">
        <v>50</v>
      </c>
      <c r="I332" s="1" t="s">
        <v>1515</v>
      </c>
      <c r="J332" s="17" t="str" cm="1">
        <f t="array" ref="J332">SeCcolor($A$634:$A$644,I332)</f>
        <v/>
      </c>
      <c r="K332" s="22"/>
      <c r="L332" s="22"/>
      <c r="M332"/>
      <c r="N332"/>
      <c r="O332"/>
      <c r="P332"/>
      <c r="Q332"/>
      <c r="R332"/>
      <c r="S332"/>
      <c r="T332"/>
      <c r="U332"/>
    </row>
    <row r="333" spans="1:21">
      <c r="A333" s="22" t="s">
        <v>1516</v>
      </c>
      <c r="B333" s="1" t="s">
        <v>1517</v>
      </c>
      <c r="C333" s="1" t="s">
        <v>1518</v>
      </c>
      <c r="D333" s="12">
        <v>251</v>
      </c>
      <c r="E333" s="1" t="s">
        <v>1519</v>
      </c>
      <c r="F333" s="1" t="s">
        <v>1520</v>
      </c>
      <c r="G333" s="12">
        <v>5</v>
      </c>
      <c r="H333" s="13">
        <v>60</v>
      </c>
      <c r="I333" s="1" t="s">
        <v>1521</v>
      </c>
      <c r="J333" s="17" t="str" cm="1">
        <f t="array" ref="J333">SeCcolor($A$634:$A$644,I333)</f>
        <v/>
      </c>
    </row>
    <row r="334" spans="1:21">
      <c r="A334" s="22" t="s">
        <v>1522</v>
      </c>
      <c r="B334" s="1" t="s">
        <v>1523</v>
      </c>
      <c r="C334" s="1" t="s">
        <v>234</v>
      </c>
      <c r="D334" s="12">
        <v>705</v>
      </c>
      <c r="E334" s="1">
        <v>0</v>
      </c>
      <c r="F334" s="1" t="s">
        <v>1524</v>
      </c>
      <c r="G334" s="12">
        <v>5</v>
      </c>
      <c r="H334" s="13">
        <v>60</v>
      </c>
      <c r="I334" s="1" t="s">
        <v>1525</v>
      </c>
      <c r="J334" s="17" t="str" cm="1">
        <f t="array" ref="J334">SeCcolor($A$634:$A$644,I334)</f>
        <v/>
      </c>
    </row>
    <row r="335" spans="1:21" s="1" customFormat="1">
      <c r="A335" s="22" t="s">
        <v>82</v>
      </c>
      <c r="B335" s="1" t="s">
        <v>1526</v>
      </c>
      <c r="C335" s="1" t="s">
        <v>1527</v>
      </c>
      <c r="D335" s="12">
        <v>349</v>
      </c>
      <c r="E335" s="1" t="s">
        <v>19</v>
      </c>
      <c r="F335" s="1" t="s">
        <v>1528</v>
      </c>
      <c r="G335" s="12">
        <v>20</v>
      </c>
      <c r="H335" s="13">
        <v>75</v>
      </c>
      <c r="I335" s="1" t="s">
        <v>1529</v>
      </c>
      <c r="J335" s="17" t="str" cm="1">
        <f t="array" ref="J335">SeCcolor($A$634:$A$644,I335)</f>
        <v/>
      </c>
      <c r="K335" s="22"/>
      <c r="L335" s="22"/>
      <c r="O335"/>
      <c r="P335"/>
      <c r="Q335"/>
      <c r="R335"/>
      <c r="S335"/>
      <c r="T335"/>
      <c r="U335"/>
    </row>
    <row r="336" spans="1:21">
      <c r="A336" s="22" t="s">
        <v>451</v>
      </c>
      <c r="B336" s="1" t="s">
        <v>1530</v>
      </c>
      <c r="C336" s="1" t="s">
        <v>1531</v>
      </c>
      <c r="D336" s="12">
        <v>185</v>
      </c>
      <c r="E336" s="1" t="s">
        <v>325</v>
      </c>
      <c r="F336" s="1" t="s">
        <v>1532</v>
      </c>
      <c r="G336" s="12">
        <v>30</v>
      </c>
      <c r="H336" s="13">
        <v>60</v>
      </c>
      <c r="I336" s="1" t="s">
        <v>1533</v>
      </c>
      <c r="J336" s="17" t="str" cm="1">
        <f t="array" ref="J336">SeCcolor($A$634:$A$644,I336)</f>
        <v/>
      </c>
    </row>
    <row r="337" spans="1:21">
      <c r="A337" s="22" t="s">
        <v>1534</v>
      </c>
      <c r="B337" s="1" t="s">
        <v>1535</v>
      </c>
      <c r="C337" s="1" t="s">
        <v>380</v>
      </c>
      <c r="D337" s="12">
        <v>139</v>
      </c>
      <c r="E337" s="1" t="s">
        <v>19</v>
      </c>
      <c r="F337" s="1" t="s">
        <v>1536</v>
      </c>
      <c r="G337" s="12">
        <v>20</v>
      </c>
      <c r="H337" s="13">
        <v>70</v>
      </c>
      <c r="I337" s="1" t="s">
        <v>1537</v>
      </c>
      <c r="J337" s="17" t="str" cm="1">
        <f t="array" ref="J337">SeCcolor($A$634:$A$644,I337)</f>
        <v/>
      </c>
    </row>
    <row r="338" spans="1:21">
      <c r="A338" s="22" t="s">
        <v>1538</v>
      </c>
      <c r="B338" s="14" t="s">
        <v>1539</v>
      </c>
      <c r="C338" s="1" t="s">
        <v>1540</v>
      </c>
      <c r="D338" s="12">
        <v>19</v>
      </c>
      <c r="E338" s="1" t="s">
        <v>1541</v>
      </c>
      <c r="F338" s="1" t="s">
        <v>1542</v>
      </c>
      <c r="G338" s="12">
        <v>10</v>
      </c>
      <c r="H338" s="13">
        <v>50</v>
      </c>
      <c r="I338" s="1" t="s">
        <v>1543</v>
      </c>
      <c r="J338" s="17" t="str" cm="1">
        <f t="array" ref="J338">SeCcolor($A$634:$A$644,I338)</f>
        <v/>
      </c>
      <c r="O338" s="1"/>
      <c r="P338" s="1"/>
      <c r="Q338" s="1"/>
      <c r="R338" s="1"/>
      <c r="S338" s="1"/>
      <c r="T338" s="1"/>
      <c r="U338" s="1"/>
    </row>
    <row r="339" spans="1:21" s="8" customFormat="1">
      <c r="A339" s="22"/>
      <c r="B339" s="155" t="s">
        <v>1544</v>
      </c>
      <c r="C339" s="1"/>
      <c r="D339" s="12"/>
      <c r="E339" s="1"/>
      <c r="F339" s="1"/>
      <c r="G339" s="12"/>
      <c r="H339" s="13"/>
      <c r="I339" s="1"/>
      <c r="J339" s="17" t="str" cm="1">
        <f t="array" ref="J339">SeCcolor($A$634:$A$644,I339)</f>
        <v/>
      </c>
      <c r="K339" s="22"/>
      <c r="L339" s="22"/>
      <c r="M339" s="1"/>
      <c r="N339" s="1"/>
      <c r="O339"/>
      <c r="P339"/>
      <c r="Q339"/>
      <c r="R339"/>
      <c r="S339"/>
      <c r="T339"/>
      <c r="U339"/>
    </row>
    <row r="340" spans="1:21">
      <c r="A340" s="22" t="s">
        <v>1460</v>
      </c>
      <c r="B340" s="1" t="s">
        <v>1545</v>
      </c>
      <c r="C340" s="1" t="s">
        <v>1546</v>
      </c>
      <c r="D340" s="12">
        <v>220</v>
      </c>
      <c r="E340" s="1" t="s">
        <v>90</v>
      </c>
      <c r="F340" s="1" t="s">
        <v>1547</v>
      </c>
      <c r="G340" s="12">
        <v>20</v>
      </c>
      <c r="H340" s="13">
        <v>69.900000000000006</v>
      </c>
      <c r="I340" s="1" t="s">
        <v>1548</v>
      </c>
      <c r="J340" s="17" t="str" cm="1">
        <f t="array" ref="J340">SeCcolor($A$634:$A$644,I340)</f>
        <v/>
      </c>
    </row>
    <row r="341" spans="1:21" s="2" customFormat="1">
      <c r="A341" s="22" t="s">
        <v>1549</v>
      </c>
      <c r="B341" s="1" t="s">
        <v>1550</v>
      </c>
      <c r="C341" s="1" t="s">
        <v>254</v>
      </c>
      <c r="D341" s="12">
        <v>240</v>
      </c>
      <c r="E341" s="1" t="s">
        <v>90</v>
      </c>
      <c r="F341" s="1" t="s">
        <v>1551</v>
      </c>
      <c r="G341" s="12">
        <v>10</v>
      </c>
      <c r="H341" s="13">
        <v>40</v>
      </c>
      <c r="I341" s="1" t="s">
        <v>1552</v>
      </c>
      <c r="J341" s="17" t="str" cm="1">
        <f t="array" ref="J341">SeCcolor($A$634:$A$644,I341)</f>
        <v/>
      </c>
      <c r="K341" s="22"/>
      <c r="L341" s="22"/>
      <c r="M341"/>
      <c r="N341"/>
      <c r="O341"/>
      <c r="P341"/>
      <c r="Q341"/>
      <c r="R341"/>
      <c r="S341"/>
      <c r="T341"/>
      <c r="U341"/>
    </row>
    <row r="342" spans="1:21">
      <c r="A342" s="22" t="s">
        <v>1553</v>
      </c>
      <c r="B342" s="1" t="s">
        <v>1554</v>
      </c>
      <c r="C342" s="1" t="s">
        <v>167</v>
      </c>
      <c r="D342" s="12">
        <v>200</v>
      </c>
      <c r="E342" s="1" t="s">
        <v>64</v>
      </c>
      <c r="F342" s="1" t="s">
        <v>1555</v>
      </c>
      <c r="G342" s="12">
        <v>15</v>
      </c>
      <c r="H342" s="13">
        <v>50</v>
      </c>
      <c r="I342" s="1" t="s">
        <v>1556</v>
      </c>
      <c r="J342" s="17" t="str" cm="1">
        <f t="array" ref="J342">SeCcolor($A$634:$A$644,I342)</f>
        <v/>
      </c>
      <c r="K342" s="17"/>
    </row>
    <row r="343" spans="1:21" s="2" customFormat="1">
      <c r="A343" s="22" t="s">
        <v>1557</v>
      </c>
      <c r="B343" s="1" t="s">
        <v>1558</v>
      </c>
      <c r="C343" s="1" t="s">
        <v>1559</v>
      </c>
      <c r="D343" s="12">
        <v>163</v>
      </c>
      <c r="E343" s="1" t="s">
        <v>127</v>
      </c>
      <c r="F343" s="1" t="s">
        <v>1560</v>
      </c>
      <c r="G343" s="12">
        <v>15</v>
      </c>
      <c r="H343" s="13">
        <v>60</v>
      </c>
      <c r="I343" s="1" t="s">
        <v>1561</v>
      </c>
      <c r="J343" s="17" t="str" cm="1">
        <f t="array" ref="J343">SeCcolor($A$634:$A$644,I343)</f>
        <v/>
      </c>
      <c r="K343" s="22"/>
      <c r="L343" s="22"/>
      <c r="M343"/>
      <c r="N343"/>
      <c r="O343" s="22"/>
      <c r="P343" s="22"/>
      <c r="Q343" s="22"/>
      <c r="R343" s="22"/>
      <c r="S343" s="22"/>
      <c r="T343" s="22"/>
      <c r="U343" s="22"/>
    </row>
    <row r="344" spans="1:21" s="2" customFormat="1">
      <c r="A344" s="22" t="s">
        <v>1562</v>
      </c>
      <c r="B344" s="1" t="s">
        <v>1563</v>
      </c>
      <c r="C344" s="1" t="s">
        <v>553</v>
      </c>
      <c r="D344" s="12">
        <v>255</v>
      </c>
      <c r="E344" s="1" t="s">
        <v>127</v>
      </c>
      <c r="F344" s="1" t="s">
        <v>1564</v>
      </c>
      <c r="G344" s="12">
        <v>20</v>
      </c>
      <c r="H344" s="13">
        <v>50</v>
      </c>
      <c r="I344" s="1" t="s">
        <v>1565</v>
      </c>
      <c r="J344" s="17" t="str" cm="1">
        <f t="array" ref="J344">SeCcolor($A$634:$A$644,I344)</f>
        <v/>
      </c>
      <c r="K344" s="264"/>
      <c r="L344" s="17"/>
      <c r="M344"/>
      <c r="N344"/>
      <c r="O344"/>
      <c r="P344"/>
      <c r="Q344"/>
      <c r="R344"/>
      <c r="S344"/>
      <c r="T344"/>
      <c r="U344"/>
    </row>
    <row r="345" spans="1:21">
      <c r="A345" s="22" t="s">
        <v>1566</v>
      </c>
      <c r="B345" s="1" t="s">
        <v>1567</v>
      </c>
      <c r="C345" s="1" t="s">
        <v>1359</v>
      </c>
      <c r="D345" s="12">
        <v>101</v>
      </c>
      <c r="E345" s="1" t="s">
        <v>127</v>
      </c>
      <c r="F345" s="1" t="s">
        <v>1568</v>
      </c>
      <c r="G345" s="12">
        <v>25</v>
      </c>
      <c r="H345" s="13">
        <v>60</v>
      </c>
      <c r="I345" s="1" t="s">
        <v>1569</v>
      </c>
      <c r="J345" s="17" t="str" cm="1">
        <f t="array" ref="J345">SeCcolor($A$634:$A$644,I345)</f>
        <v/>
      </c>
    </row>
    <row r="346" spans="1:21">
      <c r="A346" s="22" t="s">
        <v>1570</v>
      </c>
      <c r="B346" s="1" t="s">
        <v>1571</v>
      </c>
      <c r="C346" s="1" t="s">
        <v>1572</v>
      </c>
      <c r="D346" s="12">
        <v>21</v>
      </c>
      <c r="E346" s="1" t="s">
        <v>19</v>
      </c>
      <c r="F346" s="1" t="s">
        <v>1573</v>
      </c>
      <c r="G346" s="12">
        <v>10</v>
      </c>
      <c r="H346" s="13">
        <v>59.9</v>
      </c>
      <c r="I346" s="1" t="s">
        <v>1574</v>
      </c>
      <c r="J346" s="17" t="str" cm="1">
        <f t="array" ref="J346">SeCcolor($A$634:$A$644,I346)</f>
        <v/>
      </c>
      <c r="K346" s="264"/>
      <c r="L346" s="17"/>
    </row>
    <row r="347" spans="1:21">
      <c r="A347" s="22" t="s">
        <v>1575</v>
      </c>
      <c r="B347" s="1" t="s">
        <v>1576</v>
      </c>
      <c r="C347" s="1" t="s">
        <v>397</v>
      </c>
      <c r="D347" s="12">
        <v>145</v>
      </c>
      <c r="E347" s="1" t="s">
        <v>19</v>
      </c>
      <c r="F347" s="1" t="s">
        <v>1577</v>
      </c>
      <c r="G347" s="12">
        <v>10</v>
      </c>
      <c r="H347" s="13">
        <v>60</v>
      </c>
      <c r="I347" s="1" t="s">
        <v>1578</v>
      </c>
      <c r="J347" s="17" t="str" cm="1">
        <f t="array" ref="J347">SeCcolor($A$634:$A$644,I347)</f>
        <v/>
      </c>
    </row>
    <row r="348" spans="1:21">
      <c r="A348" s="22" t="s">
        <v>1579</v>
      </c>
      <c r="B348" s="1" t="s">
        <v>1580</v>
      </c>
      <c r="C348" s="1" t="s">
        <v>1581</v>
      </c>
      <c r="D348" s="12">
        <v>109</v>
      </c>
      <c r="E348" s="1" t="s">
        <v>74</v>
      </c>
      <c r="F348" s="1">
        <v>998760383</v>
      </c>
      <c r="G348" s="12">
        <v>10</v>
      </c>
      <c r="H348" s="13">
        <v>59.9</v>
      </c>
      <c r="I348" s="1" t="s">
        <v>1582</v>
      </c>
      <c r="J348" s="17" t="str" cm="1">
        <f t="array" ref="J348">SeCcolor($A$634:$A$644,I348)</f>
        <v/>
      </c>
      <c r="L348" s="17"/>
      <c r="M348" s="9"/>
      <c r="N348" s="9"/>
    </row>
    <row r="349" spans="1:21">
      <c r="A349" s="234">
        <v>44049</v>
      </c>
      <c r="B349" s="1" t="s">
        <v>1583</v>
      </c>
      <c r="C349" s="1" t="s">
        <v>254</v>
      </c>
      <c r="D349" s="12">
        <v>220</v>
      </c>
      <c r="E349" s="1" t="s">
        <v>90</v>
      </c>
      <c r="F349" s="1" t="s">
        <v>1584</v>
      </c>
      <c r="G349" s="12">
        <v>5</v>
      </c>
      <c r="H349" s="13">
        <v>50</v>
      </c>
      <c r="I349" s="1" t="s">
        <v>1585</v>
      </c>
      <c r="J349" s="17" t="str" cm="1">
        <f t="array" ref="J349">SeCcolor($A$634:$A$644,I349)</f>
        <v/>
      </c>
    </row>
    <row r="350" spans="1:21">
      <c r="A350" s="22" t="s">
        <v>1586</v>
      </c>
      <c r="B350" s="1" t="s">
        <v>1587</v>
      </c>
      <c r="C350" s="1" t="s">
        <v>1588</v>
      </c>
      <c r="D350" s="12">
        <v>188</v>
      </c>
      <c r="E350" s="1" t="s">
        <v>127</v>
      </c>
      <c r="F350" s="1" t="s">
        <v>1589</v>
      </c>
      <c r="G350" s="12">
        <v>15</v>
      </c>
      <c r="H350" s="13">
        <v>70</v>
      </c>
      <c r="I350" s="1" t="s">
        <v>1590</v>
      </c>
      <c r="J350" s="17" t="str" cm="1">
        <f t="array" ref="J350">SeCcolor($A$634:$A$644,I350)</f>
        <v/>
      </c>
    </row>
    <row r="351" spans="1:21">
      <c r="A351" s="22" t="s">
        <v>1591</v>
      </c>
      <c r="B351" s="1" t="s">
        <v>1592</v>
      </c>
      <c r="C351" s="1" t="s">
        <v>1593</v>
      </c>
      <c r="D351" s="12">
        <v>10</v>
      </c>
      <c r="E351" s="1" t="s">
        <v>70</v>
      </c>
      <c r="F351" s="1" t="s">
        <v>1594</v>
      </c>
      <c r="G351" s="12">
        <v>10</v>
      </c>
      <c r="H351" s="13">
        <v>75.900000000000006</v>
      </c>
      <c r="I351" s="1" t="s">
        <v>1595</v>
      </c>
      <c r="J351" s="17" t="str" cm="1">
        <f t="array" ref="J351">SeCcolor($A$634:$A$644,I351)</f>
        <v/>
      </c>
      <c r="K351" s="264"/>
      <c r="L351" s="17"/>
      <c r="M351" s="22" t="s">
        <v>1055</v>
      </c>
      <c r="N351" s="22"/>
    </row>
    <row r="352" spans="1:21">
      <c r="A352" s="22" t="s">
        <v>652</v>
      </c>
      <c r="B352" s="1" t="s">
        <v>1596</v>
      </c>
      <c r="C352" s="1" t="s">
        <v>1597</v>
      </c>
      <c r="D352" s="12">
        <v>86</v>
      </c>
      <c r="E352" s="1" t="s">
        <v>127</v>
      </c>
      <c r="F352" s="1" t="s">
        <v>1598</v>
      </c>
      <c r="G352" s="12">
        <v>20</v>
      </c>
      <c r="H352" s="13">
        <v>50</v>
      </c>
      <c r="I352" s="1" t="s">
        <v>1599</v>
      </c>
      <c r="J352" s="17" t="str" cm="1">
        <f t="array" ref="J352">SeCcolor($A$634:$A$644,I352)</f>
        <v/>
      </c>
      <c r="M352" s="8"/>
      <c r="N352" s="8"/>
    </row>
    <row r="353" spans="1:21">
      <c r="A353" s="22" t="s">
        <v>1600</v>
      </c>
      <c r="B353" s="1" t="s">
        <v>1601</v>
      </c>
      <c r="C353" s="1" t="s">
        <v>1602</v>
      </c>
      <c r="D353" s="12">
        <v>164</v>
      </c>
      <c r="E353" s="1" t="s">
        <v>1020</v>
      </c>
      <c r="F353" s="1" t="s">
        <v>1603</v>
      </c>
      <c r="G353" s="12">
        <v>20</v>
      </c>
      <c r="H353" s="13">
        <v>50</v>
      </c>
      <c r="I353" s="1" t="s">
        <v>1604</v>
      </c>
      <c r="J353" s="17" t="str" cm="1">
        <f t="array" ref="J353">SeCcolor($A$634:$A$644,I353)</f>
        <v/>
      </c>
      <c r="K353" s="22" t="s">
        <v>278</v>
      </c>
    </row>
    <row r="354" spans="1:21">
      <c r="A354" s="22" t="s">
        <v>622</v>
      </c>
      <c r="B354" s="1" t="s">
        <v>1605</v>
      </c>
      <c r="C354" s="1" t="s">
        <v>1597</v>
      </c>
      <c r="D354" s="12">
        <v>96</v>
      </c>
      <c r="E354" s="1" t="s">
        <v>127</v>
      </c>
      <c r="F354" s="1" t="s">
        <v>625</v>
      </c>
      <c r="G354" s="12">
        <v>20</v>
      </c>
      <c r="H354" s="13">
        <v>59.9</v>
      </c>
      <c r="I354" s="1" t="s">
        <v>1606</v>
      </c>
      <c r="J354" s="17" t="str" cm="1">
        <f t="array" ref="J354">SeCcolor($A$634:$A$644,I354)</f>
        <v/>
      </c>
      <c r="K354" s="17"/>
    </row>
    <row r="355" spans="1:21">
      <c r="A355" s="1" t="s">
        <v>1607</v>
      </c>
      <c r="B355" s="1" t="s">
        <v>1608</v>
      </c>
      <c r="C355" s="1" t="s">
        <v>841</v>
      </c>
      <c r="D355" s="12"/>
      <c r="E355" s="1" t="s">
        <v>105</v>
      </c>
      <c r="F355" s="1" t="s">
        <v>1609</v>
      </c>
      <c r="G355" s="12">
        <v>20</v>
      </c>
      <c r="H355" s="13">
        <v>59.9</v>
      </c>
      <c r="I355" s="1" t="s">
        <v>1610</v>
      </c>
      <c r="J355" s="17" t="str" cm="1">
        <f t="array" ref="J355">SeCcolor($A$634:$A$644,I355)</f>
        <v/>
      </c>
    </row>
    <row r="356" spans="1:21">
      <c r="A356" s="22" t="s">
        <v>1611</v>
      </c>
      <c r="B356" s="1" t="s">
        <v>1612</v>
      </c>
      <c r="C356" s="1" t="s">
        <v>1613</v>
      </c>
      <c r="D356" s="1" t="s">
        <v>1614</v>
      </c>
      <c r="E356" s="1" t="s">
        <v>270</v>
      </c>
      <c r="F356" s="1" t="s">
        <v>1615</v>
      </c>
      <c r="G356" s="12">
        <v>10</v>
      </c>
      <c r="H356" s="13">
        <v>40</v>
      </c>
      <c r="I356" s="1" t="s">
        <v>1616</v>
      </c>
      <c r="J356" s="17" t="str" cm="1">
        <f t="array" ref="J356">SeCcolor($A$634:$A$644,I356)</f>
        <v/>
      </c>
      <c r="K356" s="17"/>
    </row>
    <row r="357" spans="1:21">
      <c r="A357" s="22" t="s">
        <v>1617</v>
      </c>
      <c r="B357" s="1" t="s">
        <v>1618</v>
      </c>
      <c r="C357" s="1" t="s">
        <v>1619</v>
      </c>
      <c r="D357" s="12">
        <v>159</v>
      </c>
      <c r="E357" s="1" t="s">
        <v>70</v>
      </c>
      <c r="F357" s="1" t="s">
        <v>1620</v>
      </c>
      <c r="G357" s="12">
        <v>20</v>
      </c>
      <c r="H357" s="13">
        <v>70</v>
      </c>
      <c r="I357" s="1" t="s">
        <v>1621</v>
      </c>
      <c r="J357" s="17" t="str" cm="1">
        <f t="array" ref="J357">SeCcolor($A$634:$A$644,I357)</f>
        <v/>
      </c>
      <c r="M357" t="s">
        <v>1622</v>
      </c>
      <c r="O357" s="1"/>
      <c r="P357" s="1"/>
      <c r="Q357" s="1"/>
      <c r="R357" s="1"/>
      <c r="S357" s="1"/>
      <c r="T357" s="1"/>
      <c r="U357" s="1"/>
    </row>
    <row r="358" spans="1:21">
      <c r="A358" s="22" t="s">
        <v>1001</v>
      </c>
      <c r="B358" s="1" t="s">
        <v>1623</v>
      </c>
      <c r="C358" s="1" t="s">
        <v>1624</v>
      </c>
      <c r="D358" s="12">
        <v>32</v>
      </c>
      <c r="E358" s="1" t="s">
        <v>19</v>
      </c>
      <c r="F358" s="1" t="s">
        <v>1625</v>
      </c>
      <c r="G358" s="12">
        <v>10</v>
      </c>
      <c r="H358" s="13">
        <v>70</v>
      </c>
      <c r="I358" s="1" t="s">
        <v>1626</v>
      </c>
      <c r="J358" s="17" t="str" cm="1">
        <f t="array" ref="J358">SeCcolor($A$634:$A$644,I358)</f>
        <v/>
      </c>
      <c r="K358" s="264"/>
      <c r="L358" s="17"/>
    </row>
    <row r="359" spans="1:21">
      <c r="A359" s="22" t="s">
        <v>1627</v>
      </c>
      <c r="B359" s="1" t="s">
        <v>960</v>
      </c>
      <c r="C359" s="1" t="s">
        <v>1628</v>
      </c>
      <c r="D359" s="1" t="s">
        <v>31</v>
      </c>
      <c r="E359" s="1" t="s">
        <v>19</v>
      </c>
      <c r="F359" s="1" t="s">
        <v>962</v>
      </c>
      <c r="G359" s="12">
        <v>20</v>
      </c>
      <c r="H359" s="13">
        <v>59.9</v>
      </c>
      <c r="I359" s="1" t="s">
        <v>963</v>
      </c>
      <c r="J359" s="17" t="str" cm="1">
        <f t="array" ref="J359">SeCcolor($A$634:$A$644,I359)</f>
        <v/>
      </c>
      <c r="K359" s="264"/>
      <c r="L359" s="17"/>
      <c r="N359" s="2"/>
    </row>
    <row r="360" spans="1:21">
      <c r="A360" s="22" t="s">
        <v>1629</v>
      </c>
      <c r="B360" s="1" t="s">
        <v>1630</v>
      </c>
      <c r="C360" s="1" t="s">
        <v>1631</v>
      </c>
      <c r="D360" s="12">
        <v>101</v>
      </c>
      <c r="E360" s="1" t="s">
        <v>90</v>
      </c>
      <c r="F360" s="1" t="s">
        <v>1632</v>
      </c>
      <c r="G360" s="12">
        <v>20</v>
      </c>
      <c r="H360" s="13">
        <v>59.9</v>
      </c>
      <c r="I360" s="1" t="s">
        <v>1633</v>
      </c>
      <c r="J360" s="17" t="str" cm="1">
        <f t="array" ref="J360">SeCcolor($A$634:$A$644,I360)</f>
        <v/>
      </c>
    </row>
    <row r="361" spans="1:21">
      <c r="A361" s="22" t="s">
        <v>1634</v>
      </c>
      <c r="B361" s="1" t="s">
        <v>1635</v>
      </c>
      <c r="C361" s="1" t="s">
        <v>1636</v>
      </c>
      <c r="D361" s="12">
        <v>50</v>
      </c>
      <c r="E361" s="1" t="s">
        <v>25</v>
      </c>
      <c r="F361" s="1" t="s">
        <v>1637</v>
      </c>
      <c r="G361" s="12">
        <v>15</v>
      </c>
      <c r="H361" s="13">
        <v>50</v>
      </c>
      <c r="I361" s="1" t="s">
        <v>1638</v>
      </c>
      <c r="J361" s="17" t="str" cm="1">
        <f t="array" ref="J361">SeCcolor($A$634:$A$644,I361)</f>
        <v/>
      </c>
    </row>
    <row r="362" spans="1:21">
      <c r="A362" s="22" t="s">
        <v>1639</v>
      </c>
      <c r="B362" s="1" t="s">
        <v>1640</v>
      </c>
      <c r="C362" s="1" t="s">
        <v>414</v>
      </c>
      <c r="D362" s="12">
        <v>197</v>
      </c>
      <c r="E362" s="1" t="s">
        <v>19</v>
      </c>
      <c r="F362" s="1" t="s">
        <v>1641</v>
      </c>
      <c r="G362" s="12">
        <v>10</v>
      </c>
      <c r="H362" s="13">
        <v>60</v>
      </c>
      <c r="I362" s="1" t="s">
        <v>1642</v>
      </c>
      <c r="J362" s="17" t="str" cm="1">
        <f t="array" ref="J362">SeCcolor($A$634:$A$644,I362)</f>
        <v/>
      </c>
    </row>
    <row r="363" spans="1:21" s="5" customFormat="1">
      <c r="A363" s="22" t="s">
        <v>1643</v>
      </c>
      <c r="B363" s="1" t="s">
        <v>1644</v>
      </c>
      <c r="C363" s="1" t="s">
        <v>1645</v>
      </c>
      <c r="D363" s="12">
        <v>292</v>
      </c>
      <c r="E363" s="1" t="s">
        <v>540</v>
      </c>
      <c r="F363" s="1" t="s">
        <v>1646</v>
      </c>
      <c r="G363" s="12">
        <v>20</v>
      </c>
      <c r="H363" s="13">
        <v>39.9</v>
      </c>
      <c r="I363" s="1" t="s">
        <v>1647</v>
      </c>
      <c r="J363" s="17" t="str" cm="1">
        <f t="array" ref="J363">SeCcolor($A$634:$A$644,I363)</f>
        <v/>
      </c>
      <c r="K363" s="22"/>
      <c r="L363" s="22"/>
      <c r="M363" s="22" t="s">
        <v>1478</v>
      </c>
      <c r="N363" s="22"/>
      <c r="O363"/>
      <c r="P363"/>
      <c r="Q363"/>
      <c r="R363"/>
      <c r="S363"/>
      <c r="T363"/>
      <c r="U363"/>
    </row>
    <row r="364" spans="1:21">
      <c r="A364" s="22" t="s">
        <v>1648</v>
      </c>
      <c r="B364" s="1" t="s">
        <v>1649</v>
      </c>
      <c r="C364" s="1" t="s">
        <v>1650</v>
      </c>
      <c r="D364" s="12">
        <v>48</v>
      </c>
      <c r="E364" s="1" t="s">
        <v>19</v>
      </c>
      <c r="F364" s="1" t="s">
        <v>1651</v>
      </c>
      <c r="G364" s="12">
        <v>15</v>
      </c>
      <c r="H364" s="13">
        <v>60</v>
      </c>
      <c r="I364" s="1" t="s">
        <v>1652</v>
      </c>
      <c r="J364" s="17" t="str" cm="1">
        <f t="array" ref="J364">SeCcolor($A$634:$A$644,I364)</f>
        <v/>
      </c>
    </row>
    <row r="365" spans="1:21">
      <c r="A365" s="22" t="s">
        <v>1653</v>
      </c>
      <c r="B365" s="1" t="s">
        <v>1654</v>
      </c>
      <c r="C365" s="1" t="s">
        <v>1655</v>
      </c>
      <c r="D365" s="12">
        <v>185</v>
      </c>
      <c r="E365" s="1" t="s">
        <v>325</v>
      </c>
      <c r="F365" s="1" t="s">
        <v>1656</v>
      </c>
      <c r="G365" s="12">
        <v>20</v>
      </c>
      <c r="H365" s="13">
        <v>75</v>
      </c>
      <c r="I365" s="1" t="s">
        <v>1657</v>
      </c>
      <c r="J365" s="17" t="str" cm="1">
        <f t="array" ref="J365">SeCcolor($A$634:$A$644,I365)</f>
        <v/>
      </c>
      <c r="M365" s="1"/>
      <c r="N365" s="1"/>
    </row>
    <row r="366" spans="1:21">
      <c r="A366" s="22" t="s">
        <v>1658</v>
      </c>
      <c r="B366" s="1" t="s">
        <v>1659</v>
      </c>
      <c r="C366" s="1" t="s">
        <v>1198</v>
      </c>
      <c r="D366" s="12">
        <v>394</v>
      </c>
      <c r="E366" s="1" t="s">
        <v>70</v>
      </c>
      <c r="F366" s="1" t="s">
        <v>1660</v>
      </c>
      <c r="G366" s="12">
        <v>25</v>
      </c>
      <c r="H366" s="13">
        <v>70</v>
      </c>
      <c r="I366" s="1" t="s">
        <v>1661</v>
      </c>
      <c r="J366" s="17" t="str" cm="1">
        <f t="array" ref="J366">SeCcolor($A$634:$A$644,I366)</f>
        <v/>
      </c>
      <c r="M366" s="1"/>
      <c r="N366" s="1"/>
    </row>
    <row r="367" spans="1:21">
      <c r="A367" s="22" t="s">
        <v>1662</v>
      </c>
      <c r="B367" s="1" t="s">
        <v>1663</v>
      </c>
      <c r="C367" s="1" t="s">
        <v>1664</v>
      </c>
      <c r="D367" s="12">
        <v>45</v>
      </c>
      <c r="E367" s="1" t="s">
        <v>90</v>
      </c>
      <c r="F367" s="1" t="s">
        <v>1665</v>
      </c>
      <c r="G367" s="12">
        <v>20</v>
      </c>
      <c r="H367" s="13">
        <v>59.9</v>
      </c>
      <c r="I367" s="1" t="s">
        <v>1666</v>
      </c>
      <c r="J367" s="17" t="str" cm="1">
        <f t="array" ref="J367">SeCcolor($A$634:$A$644,I367)</f>
        <v/>
      </c>
      <c r="O367" s="9"/>
      <c r="P367" s="9"/>
      <c r="Q367" s="9"/>
      <c r="R367" s="9"/>
      <c r="S367" s="9"/>
      <c r="T367" s="9"/>
      <c r="U367" s="9"/>
    </row>
    <row r="368" spans="1:21">
      <c r="A368" s="22" t="s">
        <v>622</v>
      </c>
      <c r="B368" s="1" t="s">
        <v>1667</v>
      </c>
      <c r="C368" s="1" t="s">
        <v>1668</v>
      </c>
      <c r="D368" s="1" t="s">
        <v>31</v>
      </c>
      <c r="E368" s="1" t="s">
        <v>19</v>
      </c>
      <c r="F368" s="1">
        <v>99909595</v>
      </c>
      <c r="G368" s="12">
        <v>20</v>
      </c>
      <c r="H368" s="13">
        <v>50</v>
      </c>
      <c r="I368" s="1" t="s">
        <v>1669</v>
      </c>
      <c r="J368" s="17" t="str" cm="1">
        <f t="array" ref="J368">SeCcolor($A$634:$A$644,I368)</f>
        <v/>
      </c>
      <c r="M368" s="2"/>
      <c r="N368" s="2"/>
    </row>
    <row r="369" spans="1:21">
      <c r="A369" s="22" t="s">
        <v>1670</v>
      </c>
      <c r="B369" s="1" t="s">
        <v>1671</v>
      </c>
      <c r="C369" s="1" t="s">
        <v>572</v>
      </c>
      <c r="D369" s="12">
        <v>643</v>
      </c>
      <c r="E369" s="1" t="s">
        <v>19</v>
      </c>
      <c r="F369" s="1" t="s">
        <v>1672</v>
      </c>
      <c r="G369" s="12">
        <v>20</v>
      </c>
      <c r="H369" s="13">
        <v>40</v>
      </c>
      <c r="I369" s="1" t="s">
        <v>1673</v>
      </c>
      <c r="J369" s="17" t="str" cm="1">
        <f t="array" ref="J369">SeCcolor($A$634:$A$644,I369)</f>
        <v/>
      </c>
      <c r="K369" s="22" t="s">
        <v>278</v>
      </c>
      <c r="M369" s="22"/>
      <c r="N369" s="22"/>
    </row>
    <row r="370" spans="1:21">
      <c r="A370" s="22" t="s">
        <v>1674</v>
      </c>
      <c r="B370" s="1" t="s">
        <v>1675</v>
      </c>
      <c r="C370" s="1" t="s">
        <v>172</v>
      </c>
      <c r="D370" s="12">
        <v>950</v>
      </c>
      <c r="E370" s="1" t="s">
        <v>70</v>
      </c>
      <c r="F370" s="1" t="s">
        <v>1676</v>
      </c>
      <c r="G370" s="12">
        <v>20</v>
      </c>
      <c r="H370" s="13">
        <v>59.9</v>
      </c>
      <c r="I370" s="1" t="s">
        <v>1677</v>
      </c>
      <c r="J370" s="17" t="str" cm="1">
        <f t="array" ref="J370">SeCcolor($A$634:$A$644,I370)</f>
        <v/>
      </c>
      <c r="O370" s="5"/>
      <c r="P370" s="5"/>
      <c r="Q370" s="5"/>
      <c r="R370" s="5"/>
      <c r="S370" s="5"/>
      <c r="T370" s="5"/>
      <c r="U370" s="5"/>
    </row>
    <row r="371" spans="1:21">
      <c r="A371" s="22" t="s">
        <v>1678</v>
      </c>
      <c r="B371" s="1" t="s">
        <v>1679</v>
      </c>
      <c r="C371" s="1" t="s">
        <v>1680</v>
      </c>
      <c r="D371" s="12">
        <v>44</v>
      </c>
      <c r="E371" s="1" t="s">
        <v>320</v>
      </c>
      <c r="F371" s="1" t="s">
        <v>1681</v>
      </c>
      <c r="G371" s="12">
        <v>10</v>
      </c>
      <c r="H371" s="13">
        <v>50</v>
      </c>
      <c r="I371" s="1" t="s">
        <v>1682</v>
      </c>
      <c r="J371" s="17" t="str" cm="1">
        <f t="array" ref="J371">SeCcolor($A$634:$A$644,I371)</f>
        <v/>
      </c>
    </row>
    <row r="372" spans="1:21">
      <c r="A372" s="22" t="s">
        <v>1683</v>
      </c>
      <c r="B372" s="1" t="s">
        <v>1684</v>
      </c>
      <c r="C372" s="1" t="s">
        <v>1685</v>
      </c>
      <c r="D372" s="12">
        <v>161</v>
      </c>
      <c r="E372" s="1" t="s">
        <v>105</v>
      </c>
      <c r="F372" s="1" t="s">
        <v>1686</v>
      </c>
      <c r="G372" s="12">
        <v>25</v>
      </c>
      <c r="H372" s="13">
        <v>50</v>
      </c>
      <c r="I372" s="1" t="s">
        <v>1687</v>
      </c>
      <c r="J372" s="17" t="str" cm="1">
        <f t="array" ref="J372">SeCcolor($A$634:$A$644,I372)</f>
        <v/>
      </c>
      <c r="L372" s="17"/>
      <c r="O372" s="3"/>
      <c r="P372" s="3"/>
      <c r="Q372" s="3"/>
      <c r="R372" s="3"/>
      <c r="S372" s="3"/>
      <c r="T372" s="3"/>
      <c r="U372" s="3"/>
    </row>
    <row r="373" spans="1:21">
      <c r="A373" s="22" t="s">
        <v>1688</v>
      </c>
      <c r="B373" s="14" t="s">
        <v>1689</v>
      </c>
      <c r="C373" s="1" t="s">
        <v>1690</v>
      </c>
      <c r="D373" s="12">
        <v>55</v>
      </c>
      <c r="E373" s="1" t="s">
        <v>70</v>
      </c>
      <c r="F373" s="1">
        <v>9984452414</v>
      </c>
      <c r="G373" s="12">
        <v>25</v>
      </c>
      <c r="H373" s="13">
        <v>50</v>
      </c>
      <c r="I373" s="1" t="s">
        <v>1691</v>
      </c>
      <c r="J373" s="17" t="str" cm="1">
        <f t="array" ref="J373">SeCcolor($A$634:$A$644,I373)</f>
        <v/>
      </c>
      <c r="O373" s="1"/>
      <c r="P373" s="1"/>
      <c r="Q373" s="1"/>
      <c r="R373" s="1"/>
      <c r="S373" s="1"/>
      <c r="T373" s="1"/>
      <c r="U373" s="1"/>
    </row>
    <row r="374" spans="1:21">
      <c r="A374" s="22" t="s">
        <v>1692</v>
      </c>
      <c r="B374" s="1" t="s">
        <v>1693</v>
      </c>
      <c r="C374" s="1" t="s">
        <v>1694</v>
      </c>
      <c r="D374" s="12">
        <v>116</v>
      </c>
      <c r="E374" s="1" t="s">
        <v>19</v>
      </c>
      <c r="F374" s="1" t="s">
        <v>1695</v>
      </c>
      <c r="G374" s="12">
        <v>20</v>
      </c>
      <c r="H374" s="13">
        <v>60</v>
      </c>
      <c r="I374" s="1" t="s">
        <v>1696</v>
      </c>
      <c r="J374" s="17" t="str" cm="1">
        <f t="array" ref="J374">SeCcolor($A$634:$A$644,I374)</f>
        <v/>
      </c>
    </row>
    <row r="375" spans="1:21">
      <c r="A375" s="22" t="s">
        <v>1697</v>
      </c>
      <c r="B375" s="1" t="s">
        <v>1698</v>
      </c>
      <c r="C375" s="1" t="s">
        <v>1699</v>
      </c>
      <c r="D375" s="12">
        <v>60</v>
      </c>
      <c r="E375" s="1" t="s">
        <v>1700</v>
      </c>
      <c r="F375" s="1" t="s">
        <v>1701</v>
      </c>
      <c r="G375" s="12">
        <v>10</v>
      </c>
      <c r="H375" s="13">
        <v>50</v>
      </c>
      <c r="I375" s="1" t="s">
        <v>1702</v>
      </c>
      <c r="J375" s="17" t="str" cm="1">
        <f t="array" ref="J375">SeCcolor($A$634:$A$644,I375)</f>
        <v/>
      </c>
      <c r="K375" s="22" t="s">
        <v>278</v>
      </c>
      <c r="M375" s="3"/>
      <c r="N375" s="3"/>
    </row>
    <row r="376" spans="1:21">
      <c r="A376" s="22" t="s">
        <v>745</v>
      </c>
      <c r="B376" s="1" t="s">
        <v>1703</v>
      </c>
      <c r="C376" s="1" t="s">
        <v>1704</v>
      </c>
      <c r="D376" s="12">
        <v>103</v>
      </c>
      <c r="E376" s="1" t="s">
        <v>19</v>
      </c>
      <c r="F376" s="1" t="s">
        <v>1705</v>
      </c>
      <c r="G376" s="12">
        <v>10</v>
      </c>
      <c r="H376" s="13">
        <v>59.9</v>
      </c>
      <c r="I376" s="1" t="s">
        <v>1706</v>
      </c>
      <c r="J376" s="17" t="str" cm="1">
        <f t="array" ref="J376">SeCcolor($A$634:$A$644,I376)</f>
        <v/>
      </c>
    </row>
    <row r="377" spans="1:21">
      <c r="A377" s="22" t="s">
        <v>1707</v>
      </c>
      <c r="B377" s="1" t="s">
        <v>1708</v>
      </c>
      <c r="C377" s="1" t="s">
        <v>1709</v>
      </c>
      <c r="D377" s="12">
        <v>125</v>
      </c>
      <c r="E377" s="1" t="s">
        <v>1710</v>
      </c>
      <c r="F377" s="1" t="s">
        <v>1711</v>
      </c>
      <c r="G377" s="12">
        <v>20</v>
      </c>
      <c r="H377" s="13">
        <v>75.900000000000006</v>
      </c>
      <c r="I377" s="1" t="s">
        <v>1712</v>
      </c>
      <c r="J377" s="17" t="str" cm="1">
        <f t="array" ref="J377">SeCcolor($A$634:$A$644,I377)</f>
        <v/>
      </c>
      <c r="M377" s="1"/>
      <c r="N377" s="1"/>
    </row>
    <row r="378" spans="1:21">
      <c r="A378" s="22" t="s">
        <v>1001</v>
      </c>
      <c r="B378" s="1" t="s">
        <v>1713</v>
      </c>
      <c r="C378" s="1" t="s">
        <v>1714</v>
      </c>
      <c r="D378" s="12">
        <v>160</v>
      </c>
      <c r="E378" s="1" t="s">
        <v>320</v>
      </c>
      <c r="F378" s="1" t="s">
        <v>1715</v>
      </c>
      <c r="G378" s="12">
        <v>10</v>
      </c>
      <c r="H378" s="13">
        <v>59.9</v>
      </c>
      <c r="I378" s="1" t="s">
        <v>1716</v>
      </c>
      <c r="J378" s="17" t="str" cm="1">
        <f t="array" ref="J378">SeCcolor($A$634:$A$644,I378)</f>
        <v/>
      </c>
      <c r="K378" s="17"/>
    </row>
    <row r="379" spans="1:21">
      <c r="A379" s="22" t="s">
        <v>1717</v>
      </c>
      <c r="B379" s="1" t="s">
        <v>1718</v>
      </c>
      <c r="C379" s="1" t="s">
        <v>1351</v>
      </c>
      <c r="D379" s="12">
        <v>131</v>
      </c>
      <c r="E379" s="1" t="s">
        <v>220</v>
      </c>
      <c r="F379" s="1" t="s">
        <v>1719</v>
      </c>
      <c r="G379" s="12">
        <v>20</v>
      </c>
      <c r="H379" s="13">
        <v>79.900000000000006</v>
      </c>
      <c r="I379" s="1" t="s">
        <v>1720</v>
      </c>
      <c r="J379" s="17" t="str" cm="1">
        <f t="array" ref="J379">SeCcolor($A$634:$A$644,I379)</f>
        <v/>
      </c>
      <c r="M379" s="1"/>
      <c r="N379" s="1"/>
    </row>
    <row r="380" spans="1:21">
      <c r="A380" s="22" t="s">
        <v>1001</v>
      </c>
      <c r="B380" s="1" t="s">
        <v>1721</v>
      </c>
      <c r="C380" s="1" t="s">
        <v>1645</v>
      </c>
      <c r="D380" s="1" t="s">
        <v>31</v>
      </c>
      <c r="E380" s="1" t="s">
        <v>540</v>
      </c>
      <c r="F380" s="1" t="s">
        <v>1722</v>
      </c>
      <c r="G380" s="12">
        <v>20</v>
      </c>
      <c r="H380" s="13">
        <v>50</v>
      </c>
      <c r="I380" s="1" t="s">
        <v>1723</v>
      </c>
      <c r="J380" s="17" t="str" cm="1">
        <f t="array" ref="J380">SeCcolor($A$634:$A$644,I380)</f>
        <v/>
      </c>
    </row>
    <row r="381" spans="1:21">
      <c r="A381" s="22" t="s">
        <v>1724</v>
      </c>
      <c r="B381" s="1" t="s">
        <v>1725</v>
      </c>
      <c r="C381" s="1" t="s">
        <v>1726</v>
      </c>
      <c r="D381" s="12">
        <v>292</v>
      </c>
      <c r="E381" s="1" t="s">
        <v>540</v>
      </c>
      <c r="F381" s="1" t="s">
        <v>1727</v>
      </c>
      <c r="G381" s="12">
        <v>30</v>
      </c>
      <c r="H381" s="13">
        <v>50</v>
      </c>
      <c r="I381" s="1" t="s">
        <v>1728</v>
      </c>
      <c r="J381" s="17" t="str" cm="1">
        <f t="array" ref="J381">SeCcolor($A$634:$A$644,I381)</f>
        <v/>
      </c>
    </row>
    <row r="382" spans="1:21">
      <c r="A382" s="22" t="s">
        <v>1729</v>
      </c>
      <c r="B382" s="214" t="s">
        <v>1730</v>
      </c>
      <c r="C382" s="1" t="s">
        <v>1731</v>
      </c>
      <c r="D382" s="12">
        <v>69</v>
      </c>
      <c r="E382" s="1" t="s">
        <v>70</v>
      </c>
      <c r="F382" s="1">
        <v>3599029811</v>
      </c>
      <c r="G382" s="12">
        <v>10</v>
      </c>
      <c r="H382" s="13">
        <v>50</v>
      </c>
      <c r="I382" s="1" t="s">
        <v>1732</v>
      </c>
      <c r="J382" s="17" t="str" cm="1">
        <f t="array" ref="J382">SeCcolor($A$634:$A$644,I382)</f>
        <v/>
      </c>
    </row>
    <row r="383" spans="1:21">
      <c r="A383" s="22" t="s">
        <v>1733</v>
      </c>
      <c r="B383" s="1" t="s">
        <v>1734</v>
      </c>
      <c r="C383" s="1" t="s">
        <v>1735</v>
      </c>
      <c r="D383" s="12">
        <v>50</v>
      </c>
      <c r="E383" s="1" t="s">
        <v>64</v>
      </c>
      <c r="F383" s="1" t="s">
        <v>1736</v>
      </c>
      <c r="G383" s="12">
        <v>20</v>
      </c>
      <c r="H383" s="13">
        <v>59.9</v>
      </c>
      <c r="I383" s="1" t="s">
        <v>1737</v>
      </c>
      <c r="J383" s="17" t="str" cm="1">
        <f t="array" ref="J383">SeCcolor($A$634:$A$644,I383)</f>
        <v/>
      </c>
    </row>
    <row r="384" spans="1:21">
      <c r="A384" s="1" t="s">
        <v>1549</v>
      </c>
      <c r="B384" s="1" t="s">
        <v>1738</v>
      </c>
      <c r="C384" s="1" t="s">
        <v>341</v>
      </c>
      <c r="D384" s="12">
        <v>68</v>
      </c>
      <c r="E384" s="1" t="s">
        <v>64</v>
      </c>
      <c r="F384" s="1" t="s">
        <v>1739</v>
      </c>
      <c r="G384" s="12">
        <v>10</v>
      </c>
      <c r="H384" s="13">
        <v>60</v>
      </c>
      <c r="I384" s="1" t="s">
        <v>1740</v>
      </c>
      <c r="J384" s="17" t="str" cm="1">
        <f t="array" ref="J384">SeCcolor($A$634:$A$644,I384)</f>
        <v/>
      </c>
      <c r="O384" s="2"/>
      <c r="P384" s="2"/>
      <c r="Q384" s="2"/>
      <c r="R384" s="2"/>
      <c r="S384" s="2"/>
      <c r="T384" s="2"/>
      <c r="U384" s="2"/>
    </row>
    <row r="385" spans="1:21">
      <c r="A385" s="22" t="s">
        <v>652</v>
      </c>
      <c r="B385" s="1" t="s">
        <v>1741</v>
      </c>
      <c r="C385" s="1" t="s">
        <v>1742</v>
      </c>
      <c r="D385" s="1"/>
      <c r="E385" s="1" t="s">
        <v>1743</v>
      </c>
      <c r="F385" s="1" t="s">
        <v>1744</v>
      </c>
      <c r="G385" s="12">
        <v>10</v>
      </c>
      <c r="H385" s="13">
        <v>50</v>
      </c>
      <c r="I385" s="1" t="s">
        <v>1745</v>
      </c>
      <c r="J385" s="17" t="str" cm="1">
        <f t="array" ref="J385">SeCcolor($A$634:$A$644,I385)</f>
        <v/>
      </c>
      <c r="M385" s="1"/>
      <c r="N385" s="1"/>
    </row>
    <row r="386" spans="1:21">
      <c r="A386" s="22" t="s">
        <v>1746</v>
      </c>
      <c r="B386" s="1" t="s">
        <v>1747</v>
      </c>
      <c r="C386" s="1" t="s">
        <v>341</v>
      </c>
      <c r="D386" s="12">
        <v>709</v>
      </c>
      <c r="E386" s="1" t="s">
        <v>1748</v>
      </c>
      <c r="F386" s="1" t="s">
        <v>1749</v>
      </c>
      <c r="G386" s="12">
        <v>20</v>
      </c>
      <c r="H386" s="13">
        <v>70</v>
      </c>
      <c r="I386" s="1" t="s">
        <v>1750</v>
      </c>
      <c r="J386" s="17" t="str" cm="1">
        <f t="array" ref="J386">SeCcolor($A$634:$A$644,I386)</f>
        <v/>
      </c>
      <c r="L386" s="17"/>
    </row>
    <row r="387" spans="1:21">
      <c r="A387" s="22" t="s">
        <v>1751</v>
      </c>
      <c r="B387" s="1" t="s">
        <v>1752</v>
      </c>
      <c r="C387" s="1" t="s">
        <v>1753</v>
      </c>
      <c r="D387" s="12">
        <v>195</v>
      </c>
      <c r="E387" s="1" t="s">
        <v>32</v>
      </c>
      <c r="F387" s="1" t="s">
        <v>1754</v>
      </c>
      <c r="G387" s="12">
        <v>20</v>
      </c>
      <c r="H387" s="13">
        <v>40</v>
      </c>
      <c r="I387" s="1" t="s">
        <v>1755</v>
      </c>
      <c r="J387" s="17" t="str" cm="1">
        <f t="array" ref="J387">SeCcolor($A$634:$A$644,I387)</f>
        <v/>
      </c>
    </row>
    <row r="388" spans="1:21">
      <c r="A388" s="22" t="s">
        <v>1756</v>
      </c>
      <c r="B388" s="1" t="s">
        <v>1757</v>
      </c>
      <c r="C388" s="1" t="s">
        <v>1758</v>
      </c>
      <c r="D388" s="12">
        <v>72</v>
      </c>
      <c r="E388" s="1" t="s">
        <v>188</v>
      </c>
      <c r="F388" s="1" t="s">
        <v>1759</v>
      </c>
      <c r="G388" s="12">
        <v>30</v>
      </c>
      <c r="H388" s="13">
        <v>60</v>
      </c>
      <c r="I388" s="1" t="s">
        <v>1760</v>
      </c>
      <c r="J388" s="17" t="str" cm="1">
        <f t="array" ref="J388">SeCcolor($A$634:$A$644,I388)</f>
        <v/>
      </c>
    </row>
    <row r="389" spans="1:21">
      <c r="A389" s="22" t="s">
        <v>1761</v>
      </c>
      <c r="B389" s="1" t="s">
        <v>1762</v>
      </c>
      <c r="C389" s="1" t="s">
        <v>303</v>
      </c>
      <c r="D389" s="12">
        <v>126</v>
      </c>
      <c r="E389" s="1" t="s">
        <v>19</v>
      </c>
      <c r="F389" s="1" t="s">
        <v>1763</v>
      </c>
      <c r="G389" s="12">
        <v>20</v>
      </c>
      <c r="H389" s="13">
        <v>60</v>
      </c>
      <c r="I389" s="1" t="s">
        <v>1764</v>
      </c>
      <c r="J389" s="17" t="str" cm="1">
        <f t="array" ref="J389">SeCcolor($A$634:$A$644,I389)</f>
        <v/>
      </c>
      <c r="M389" s="1"/>
      <c r="N389" s="1"/>
    </row>
    <row r="390" spans="1:21">
      <c r="A390" s="22" t="s">
        <v>1765</v>
      </c>
      <c r="B390" s="1" t="s">
        <v>1766</v>
      </c>
      <c r="C390" s="1" t="s">
        <v>1767</v>
      </c>
      <c r="D390" s="12">
        <v>21</v>
      </c>
      <c r="E390" s="1" t="s">
        <v>127</v>
      </c>
      <c r="F390" s="1" t="s">
        <v>1768</v>
      </c>
      <c r="G390" s="12">
        <v>10</v>
      </c>
      <c r="H390" s="13">
        <v>60</v>
      </c>
      <c r="I390" s="1" t="s">
        <v>1769</v>
      </c>
      <c r="J390" s="17" t="str" cm="1">
        <f t="array" ref="J390">SeCcolor($A$634:$A$644,I390)</f>
        <v/>
      </c>
      <c r="K390" s="17"/>
      <c r="O390" s="1"/>
      <c r="P390" s="1"/>
      <c r="Q390" s="1"/>
      <c r="R390" s="1"/>
      <c r="S390" s="1"/>
      <c r="T390" s="1"/>
      <c r="U390" s="1"/>
    </row>
    <row r="391" spans="1:21">
      <c r="A391" s="22" t="s">
        <v>1770</v>
      </c>
      <c r="B391" s="1" t="s">
        <v>1771</v>
      </c>
      <c r="C391" s="1" t="s">
        <v>1300</v>
      </c>
      <c r="D391" s="12">
        <v>329</v>
      </c>
      <c r="E391" s="1" t="s">
        <v>70</v>
      </c>
      <c r="F391" s="1" t="s">
        <v>1772</v>
      </c>
      <c r="G391" s="12">
        <v>20</v>
      </c>
      <c r="H391" s="13">
        <v>50</v>
      </c>
      <c r="I391" s="1" t="s">
        <v>1773</v>
      </c>
      <c r="J391" s="17" t="str" cm="1">
        <f t="array" ref="J391">SeCcolor($A$634:$A$644,I391)</f>
        <v/>
      </c>
    </row>
    <row r="392" spans="1:21">
      <c r="A392" s="22" t="s">
        <v>1774</v>
      </c>
      <c r="B392" s="1" t="s">
        <v>1775</v>
      </c>
      <c r="C392" s="1" t="s">
        <v>1776</v>
      </c>
      <c r="D392" s="12">
        <v>70</v>
      </c>
      <c r="E392" s="1" t="s">
        <v>64</v>
      </c>
      <c r="F392" s="1" t="s">
        <v>1777</v>
      </c>
      <c r="G392" s="12">
        <v>20</v>
      </c>
      <c r="H392" s="13">
        <v>50</v>
      </c>
      <c r="I392" s="1" t="s">
        <v>1778</v>
      </c>
      <c r="J392" s="17" t="str" cm="1">
        <f t="array" ref="J392">SeCcolor($A$634:$A$644,I392)</f>
        <v/>
      </c>
      <c r="O392" s="2"/>
      <c r="P392" s="2"/>
      <c r="Q392" s="2"/>
      <c r="R392" s="2"/>
      <c r="S392" s="2"/>
      <c r="T392" s="2"/>
      <c r="U392" s="2"/>
    </row>
    <row r="393" spans="1:21">
      <c r="A393" s="22" t="s">
        <v>412</v>
      </c>
      <c r="B393" s="1" t="s">
        <v>1779</v>
      </c>
      <c r="C393" s="1" t="s">
        <v>1780</v>
      </c>
      <c r="D393" s="12">
        <v>505</v>
      </c>
      <c r="E393" s="1" t="s">
        <v>19</v>
      </c>
      <c r="F393" s="1" t="s">
        <v>1781</v>
      </c>
      <c r="G393" s="12">
        <v>10</v>
      </c>
      <c r="H393" s="13">
        <v>75.900000000000006</v>
      </c>
      <c r="I393" s="1" t="s">
        <v>1782</v>
      </c>
      <c r="J393" s="17" t="str" cm="1">
        <f t="array" ref="J393">SeCcolor($A$634:$A$644,I393)</f>
        <v/>
      </c>
      <c r="M393" s="2"/>
      <c r="N393" s="2"/>
      <c r="O393" s="1"/>
      <c r="P393" s="1"/>
      <c r="Q393" s="1"/>
      <c r="R393" s="1"/>
      <c r="S393" s="1"/>
      <c r="T393" s="1"/>
      <c r="U393" s="1"/>
    </row>
    <row r="394" spans="1:21">
      <c r="A394" s="22" t="s">
        <v>528</v>
      </c>
      <c r="B394" s="1" t="s">
        <v>1783</v>
      </c>
      <c r="C394" s="1" t="s">
        <v>1784</v>
      </c>
      <c r="D394" s="12">
        <v>39</v>
      </c>
      <c r="E394" s="1" t="s">
        <v>105</v>
      </c>
      <c r="F394" s="1" t="s">
        <v>1785</v>
      </c>
      <c r="G394" s="12">
        <v>10</v>
      </c>
      <c r="H394" s="13">
        <v>50</v>
      </c>
      <c r="I394" s="1" t="s">
        <v>1786</v>
      </c>
      <c r="J394" s="17" t="str" cm="1">
        <f t="array" ref="J394">SeCcolor($A$634:$A$644,I394)</f>
        <v/>
      </c>
      <c r="K394" s="264"/>
      <c r="L394" s="17"/>
    </row>
    <row r="395" spans="1:21">
      <c r="A395" s="22" t="s">
        <v>1787</v>
      </c>
      <c r="B395" s="1" t="s">
        <v>1788</v>
      </c>
      <c r="C395" s="1" t="s">
        <v>1789</v>
      </c>
      <c r="D395" s="12">
        <v>105</v>
      </c>
      <c r="E395" s="1" t="s">
        <v>90</v>
      </c>
      <c r="F395" s="1" t="s">
        <v>1790</v>
      </c>
      <c r="G395" s="12">
        <v>25</v>
      </c>
      <c r="H395" s="13">
        <v>70</v>
      </c>
      <c r="I395" s="1" t="s">
        <v>1791</v>
      </c>
      <c r="J395" s="17" t="str" cm="1">
        <f t="array" ref="J395">SeCcolor($A$634:$A$644,I395)</f>
        <v/>
      </c>
    </row>
    <row r="396" spans="1:21">
      <c r="A396" s="22" t="s">
        <v>82</v>
      </c>
      <c r="B396" s="1" t="s">
        <v>1792</v>
      </c>
      <c r="C396" s="1" t="s">
        <v>1793</v>
      </c>
      <c r="D396" s="12">
        <v>100</v>
      </c>
      <c r="E396" s="1" t="s">
        <v>32</v>
      </c>
      <c r="F396" s="1" t="s">
        <v>1794</v>
      </c>
      <c r="G396" s="12">
        <v>20</v>
      </c>
      <c r="H396" s="13">
        <v>60</v>
      </c>
      <c r="I396" s="1" t="s">
        <v>1795</v>
      </c>
      <c r="J396" s="17" t="str" cm="1">
        <f t="array" ref="J396">SeCcolor($A$634:$A$644,I396)</f>
        <v/>
      </c>
      <c r="M396" s="3"/>
      <c r="N396" s="3"/>
    </row>
    <row r="397" spans="1:21">
      <c r="A397" s="235">
        <v>42933</v>
      </c>
      <c r="B397" s="1" t="s">
        <v>1796</v>
      </c>
      <c r="C397" s="1" t="s">
        <v>356</v>
      </c>
      <c r="D397" s="12">
        <v>219</v>
      </c>
      <c r="E397" s="1" t="s">
        <v>1020</v>
      </c>
      <c r="F397" s="1" t="s">
        <v>1797</v>
      </c>
      <c r="G397" s="12">
        <v>20</v>
      </c>
      <c r="H397" s="13">
        <v>60</v>
      </c>
      <c r="I397" s="1" t="s">
        <v>1798</v>
      </c>
      <c r="J397" s="17" t="str" cm="1">
        <f t="array" ref="J397">SeCcolor($A$634:$A$644,I397)</f>
        <v/>
      </c>
      <c r="M397" s="22"/>
      <c r="N397" s="22"/>
    </row>
    <row r="398" spans="1:21">
      <c r="A398" s="22" t="s">
        <v>155</v>
      </c>
      <c r="B398" s="1" t="s">
        <v>1796</v>
      </c>
      <c r="C398" s="1" t="s">
        <v>577</v>
      </c>
      <c r="D398" s="12">
        <v>143</v>
      </c>
      <c r="E398" s="1" t="s">
        <v>70</v>
      </c>
      <c r="F398" s="1" t="s">
        <v>1797</v>
      </c>
      <c r="G398" s="12">
        <v>25</v>
      </c>
      <c r="H398" s="13">
        <v>60</v>
      </c>
      <c r="I398" s="1" t="s">
        <v>1798</v>
      </c>
      <c r="J398" s="17" t="str" cm="1">
        <f t="array" ref="J398">SeCcolor($A$634:$A$644,I398)</f>
        <v/>
      </c>
      <c r="O398" s="22"/>
      <c r="P398" s="22"/>
      <c r="Q398" s="22"/>
      <c r="R398" s="22"/>
      <c r="S398" s="22"/>
      <c r="T398" s="22"/>
      <c r="U398" s="22"/>
    </row>
    <row r="399" spans="1:21">
      <c r="A399" s="22" t="s">
        <v>1799</v>
      </c>
      <c r="B399" s="1" t="s">
        <v>1800</v>
      </c>
      <c r="C399" s="1" t="s">
        <v>1426</v>
      </c>
      <c r="D399" s="12">
        <v>52</v>
      </c>
      <c r="E399" s="1" t="s">
        <v>19</v>
      </c>
      <c r="F399" s="1" t="s">
        <v>1801</v>
      </c>
      <c r="G399" s="12">
        <v>20</v>
      </c>
      <c r="H399" s="13">
        <v>60</v>
      </c>
      <c r="I399" s="1" t="s">
        <v>1802</v>
      </c>
      <c r="J399" s="17" t="str" cm="1">
        <f t="array" ref="J399">SeCcolor($A$634:$A$644,I399)</f>
        <v/>
      </c>
    </row>
    <row r="400" spans="1:21">
      <c r="A400" s="22"/>
      <c r="B400" s="294" t="s">
        <v>1803</v>
      </c>
      <c r="C400" s="1"/>
      <c r="D400" s="12"/>
      <c r="E400" s="1"/>
      <c r="F400" s="1"/>
      <c r="G400" s="12"/>
      <c r="H400" s="13"/>
      <c r="I400" s="1"/>
      <c r="J400" s="17" t="str" cm="1">
        <f t="array" ref="J400">SeCcolor($A$634:$A$644,I400)</f>
        <v/>
      </c>
      <c r="M400" s="2"/>
      <c r="N400" s="2"/>
    </row>
    <row r="401" spans="1:21">
      <c r="A401" s="22"/>
      <c r="B401" s="294" t="s">
        <v>1804</v>
      </c>
      <c r="C401" s="1"/>
      <c r="D401" s="12"/>
      <c r="E401" s="1"/>
      <c r="F401" s="1"/>
      <c r="G401" s="12"/>
      <c r="H401" s="13"/>
      <c r="I401" s="1"/>
      <c r="J401" s="17" t="str" cm="1">
        <f t="array" ref="J401">SeCcolor($A$634:$A$644,I401)</f>
        <v/>
      </c>
      <c r="M401" s="2"/>
      <c r="N401" s="2"/>
      <c r="O401" s="156"/>
      <c r="P401" s="156"/>
      <c r="Q401" s="156"/>
    </row>
    <row r="402" spans="1:21">
      <c r="A402" s="22" t="s">
        <v>767</v>
      </c>
      <c r="B402" s="1" t="s">
        <v>1805</v>
      </c>
      <c r="C402" s="1" t="s">
        <v>1806</v>
      </c>
      <c r="D402" s="12">
        <v>28</v>
      </c>
      <c r="E402" s="1" t="s">
        <v>19</v>
      </c>
      <c r="F402" s="1">
        <v>999757980</v>
      </c>
      <c r="G402" s="12">
        <v>10</v>
      </c>
      <c r="H402" s="13">
        <v>85</v>
      </c>
      <c r="I402" s="1" t="s">
        <v>1807</v>
      </c>
      <c r="J402" s="17" t="str" cm="1">
        <f t="array" ref="J402">SeCcolor($A$634:$A$644,I402)</f>
        <v/>
      </c>
      <c r="M402" s="2"/>
      <c r="N402" s="2"/>
    </row>
    <row r="403" spans="1:21">
      <c r="A403" s="22" t="s">
        <v>1808</v>
      </c>
      <c r="B403" s="1" t="s">
        <v>1809</v>
      </c>
      <c r="C403" s="1" t="s">
        <v>1810</v>
      </c>
      <c r="D403" s="12">
        <v>60</v>
      </c>
      <c r="E403" s="1" t="s">
        <v>320</v>
      </c>
      <c r="F403" s="1" t="s">
        <v>1811</v>
      </c>
      <c r="G403" s="12">
        <v>20</v>
      </c>
      <c r="H403" s="13">
        <v>59.9</v>
      </c>
      <c r="I403" s="1" t="s">
        <v>1812</v>
      </c>
      <c r="J403" s="17" t="str" cm="1">
        <f t="array" ref="J403">SeCcolor($A$634:$A$644,I403)</f>
        <v/>
      </c>
    </row>
    <row r="404" spans="1:21">
      <c r="A404" s="22" t="s">
        <v>1813</v>
      </c>
      <c r="B404" s="1" t="s">
        <v>1814</v>
      </c>
      <c r="C404" s="1" t="s">
        <v>1815</v>
      </c>
      <c r="D404" s="12">
        <v>303</v>
      </c>
      <c r="E404" s="1" t="s">
        <v>19</v>
      </c>
      <c r="F404" s="1" t="s">
        <v>1816</v>
      </c>
      <c r="G404" s="12">
        <v>20</v>
      </c>
      <c r="H404" s="13">
        <v>50</v>
      </c>
      <c r="I404" s="1" t="s">
        <v>1817</v>
      </c>
      <c r="J404" s="17" t="str" cm="1">
        <f t="array" ref="J404">SeCcolor($A$634:$A$644,I404)</f>
        <v/>
      </c>
      <c r="M404" s="2"/>
      <c r="N404" s="2"/>
    </row>
    <row r="405" spans="1:21">
      <c r="A405" s="22" t="s">
        <v>1818</v>
      </c>
      <c r="B405" s="1" t="s">
        <v>1819</v>
      </c>
      <c r="C405" s="1" t="s">
        <v>639</v>
      </c>
      <c r="D405" s="12">
        <v>91</v>
      </c>
      <c r="E405" s="1" t="s">
        <v>1820</v>
      </c>
      <c r="F405" s="1" t="s">
        <v>1821</v>
      </c>
      <c r="G405" s="12">
        <v>20</v>
      </c>
      <c r="H405" s="13">
        <v>59.9</v>
      </c>
      <c r="I405" s="1" t="s">
        <v>1822</v>
      </c>
      <c r="J405" s="17" t="str" cm="1">
        <f t="array" ref="J405">SeCcolor($A$634:$A$644,I405)</f>
        <v/>
      </c>
      <c r="L405" s="17"/>
      <c r="M405" s="2"/>
      <c r="N405" s="2"/>
    </row>
    <row r="406" spans="1:21">
      <c r="A406" s="22" t="s">
        <v>1823</v>
      </c>
      <c r="B406" s="1" t="s">
        <v>1824</v>
      </c>
      <c r="C406" s="1" t="s">
        <v>1825</v>
      </c>
      <c r="D406" s="12">
        <v>51</v>
      </c>
      <c r="E406" s="1" t="s">
        <v>70</v>
      </c>
      <c r="F406" s="1" t="s">
        <v>1826</v>
      </c>
      <c r="G406" s="12">
        <v>10</v>
      </c>
      <c r="H406" s="13">
        <v>60</v>
      </c>
      <c r="I406" s="1" t="s">
        <v>1827</v>
      </c>
      <c r="J406" s="17" t="str" cm="1">
        <f t="array" ref="J406">SeCcolor($A$634:$A$644,I406)</f>
        <v/>
      </c>
      <c r="K406" s="1"/>
      <c r="L406" s="1"/>
    </row>
    <row r="407" spans="1:21">
      <c r="A407" s="22" t="s">
        <v>1506</v>
      </c>
      <c r="B407" s="108" t="s">
        <v>1828</v>
      </c>
      <c r="C407" s="1" t="s">
        <v>1829</v>
      </c>
      <c r="D407" s="12">
        <v>80</v>
      </c>
      <c r="E407" s="1" t="s">
        <v>127</v>
      </c>
      <c r="F407" s="1" t="s">
        <v>1830</v>
      </c>
      <c r="G407" s="12">
        <v>20</v>
      </c>
      <c r="H407" s="13">
        <v>50</v>
      </c>
      <c r="I407" s="1" t="s">
        <v>1831</v>
      </c>
      <c r="J407" s="17" t="str" cm="1">
        <f t="array" ref="J407">SeCcolor($A$634:$A$644,I407)</f>
        <v/>
      </c>
    </row>
    <row r="408" spans="1:21">
      <c r="A408" s="22" t="s">
        <v>1832</v>
      </c>
      <c r="B408" s="1" t="s">
        <v>1833</v>
      </c>
      <c r="C408" s="1" t="s">
        <v>1780</v>
      </c>
      <c r="D408" s="12">
        <v>380</v>
      </c>
      <c r="E408" s="1" t="s">
        <v>19</v>
      </c>
      <c r="F408" s="1" t="s">
        <v>1834</v>
      </c>
      <c r="G408" s="12">
        <v>10</v>
      </c>
      <c r="H408" s="13">
        <v>59.9</v>
      </c>
      <c r="I408" s="1" t="s">
        <v>1835</v>
      </c>
      <c r="J408" s="17" t="str" cm="1">
        <f t="array" ref="J408">SeCcolor($A$634:$A$644,I408)</f>
        <v/>
      </c>
    </row>
    <row r="409" spans="1:21">
      <c r="A409" s="22" t="s">
        <v>1836</v>
      </c>
      <c r="B409" s="1" t="s">
        <v>1837</v>
      </c>
      <c r="C409" s="1" t="s">
        <v>167</v>
      </c>
      <c r="D409" s="12">
        <v>844</v>
      </c>
      <c r="E409" s="1" t="s">
        <v>64</v>
      </c>
      <c r="F409" s="1" t="s">
        <v>1838</v>
      </c>
      <c r="G409" s="12">
        <v>5</v>
      </c>
      <c r="H409" s="13">
        <v>60</v>
      </c>
      <c r="I409" s="1" t="s">
        <v>1839</v>
      </c>
      <c r="J409" s="17" t="str" cm="1">
        <f t="array" ref="J409">SeCcolor($A$634:$A$644,I409)</f>
        <v/>
      </c>
      <c r="R409" cm="1">
        <f t="array" aca="1" ref="R409" ca="1">+R409:Y409</f>
        <v>0</v>
      </c>
    </row>
    <row r="410" spans="1:21" s="1" customFormat="1">
      <c r="A410" s="22" t="s">
        <v>1840</v>
      </c>
      <c r="B410" s="1" t="s">
        <v>1841</v>
      </c>
      <c r="C410" s="1" t="s">
        <v>1842</v>
      </c>
      <c r="D410" s="12">
        <v>80</v>
      </c>
      <c r="E410" s="1" t="s">
        <v>70</v>
      </c>
      <c r="F410" s="1" t="s">
        <v>1843</v>
      </c>
      <c r="G410" s="12">
        <v>10</v>
      </c>
      <c r="H410" s="13">
        <v>70</v>
      </c>
      <c r="I410" s="1" t="s">
        <v>1844</v>
      </c>
      <c r="J410" s="17" t="str" cm="1">
        <f t="array" ref="J410">SeCcolor($A$634:$A$644,I410)</f>
        <v/>
      </c>
      <c r="K410" s="22"/>
      <c r="L410" s="22"/>
      <c r="M410"/>
      <c r="N410"/>
      <c r="O410"/>
      <c r="P410"/>
      <c r="Q410"/>
      <c r="R410"/>
      <c r="S410"/>
      <c r="T410"/>
      <c r="U410"/>
    </row>
    <row r="411" spans="1:21">
      <c r="A411" s="22" t="s">
        <v>1272</v>
      </c>
      <c r="B411" s="1" t="s">
        <v>1845</v>
      </c>
      <c r="C411" s="1" t="s">
        <v>1274</v>
      </c>
      <c r="D411" s="12">
        <v>39</v>
      </c>
      <c r="E411" s="1" t="s">
        <v>90</v>
      </c>
      <c r="F411" s="1" t="s">
        <v>1846</v>
      </c>
      <c r="G411" s="12">
        <v>10</v>
      </c>
      <c r="H411" s="13">
        <v>40</v>
      </c>
      <c r="I411" s="1" t="s">
        <v>1847</v>
      </c>
      <c r="J411" s="17" t="str" cm="1">
        <f t="array" ref="J411">SeCcolor($A$634:$A$644,I411)</f>
        <v/>
      </c>
    </row>
    <row r="412" spans="1:21">
      <c r="A412" s="22" t="s">
        <v>1848</v>
      </c>
      <c r="B412" s="14" t="s">
        <v>1849</v>
      </c>
      <c r="C412" s="14" t="s">
        <v>1850</v>
      </c>
      <c r="D412" s="200">
        <v>170</v>
      </c>
      <c r="E412" s="14" t="s">
        <v>270</v>
      </c>
      <c r="F412" s="14" t="s">
        <v>1851</v>
      </c>
      <c r="G412" s="200">
        <v>15</v>
      </c>
      <c r="H412" s="201">
        <v>40</v>
      </c>
      <c r="I412" s="14" t="s">
        <v>1852</v>
      </c>
      <c r="J412" s="17" t="str" cm="1">
        <f t="array" ref="J412">SeCcolor($A$634:$A$644,I412)</f>
        <v/>
      </c>
    </row>
    <row r="413" spans="1:21">
      <c r="A413" s="22" t="s">
        <v>1853</v>
      </c>
      <c r="B413" s="1" t="s">
        <v>1854</v>
      </c>
      <c r="C413" s="1" t="s">
        <v>1326</v>
      </c>
      <c r="D413" s="12">
        <v>397</v>
      </c>
      <c r="E413" s="1" t="s">
        <v>19</v>
      </c>
      <c r="F413" s="1" t="s">
        <v>1855</v>
      </c>
      <c r="G413" s="12">
        <v>10</v>
      </c>
      <c r="H413" s="13">
        <v>39.9</v>
      </c>
      <c r="I413" s="1" t="s">
        <v>1856</v>
      </c>
      <c r="J413" s="17" t="str" cm="1">
        <f t="array" ref="J413">SeCcolor($A$634:$A$644,I413)</f>
        <v/>
      </c>
      <c r="M413" s="22" t="s">
        <v>1857</v>
      </c>
      <c r="N413" s="22"/>
    </row>
    <row r="414" spans="1:21">
      <c r="A414" s="22" t="s">
        <v>1001</v>
      </c>
      <c r="B414" s="14" t="s">
        <v>1858</v>
      </c>
      <c r="C414" s="1" t="s">
        <v>1859</v>
      </c>
      <c r="D414" s="1" t="s">
        <v>1860</v>
      </c>
      <c r="E414" s="1" t="s">
        <v>19</v>
      </c>
      <c r="F414" s="1">
        <v>999069539</v>
      </c>
      <c r="G414" s="12">
        <v>10</v>
      </c>
      <c r="H414" s="13">
        <v>50</v>
      </c>
      <c r="I414" s="1" t="s">
        <v>1861</v>
      </c>
      <c r="J414" s="17" t="str" cm="1">
        <f t="array" ref="J414">SeCcolor($A$634:$A$644,I414)</f>
        <v/>
      </c>
    </row>
    <row r="415" spans="1:21">
      <c r="A415" s="22" t="s">
        <v>82</v>
      </c>
      <c r="B415" s="1" t="s">
        <v>1862</v>
      </c>
      <c r="C415" s="1" t="s">
        <v>1093</v>
      </c>
      <c r="D415" s="12">
        <v>62</v>
      </c>
      <c r="E415" s="1" t="s">
        <v>19</v>
      </c>
      <c r="F415" s="1" t="s">
        <v>1863</v>
      </c>
      <c r="G415" s="12">
        <v>20</v>
      </c>
      <c r="H415" s="13">
        <v>70</v>
      </c>
      <c r="I415" s="1" t="s">
        <v>1864</v>
      </c>
      <c r="J415" s="17" t="str" cm="1">
        <f t="array" ref="J415">SeCcolor($A$634:$A$644,I415)</f>
        <v/>
      </c>
      <c r="L415" s="17"/>
    </row>
    <row r="416" spans="1:21">
      <c r="A416" s="22" t="s">
        <v>180</v>
      </c>
      <c r="B416" s="1" t="s">
        <v>1865</v>
      </c>
      <c r="C416" s="1" t="s">
        <v>624</v>
      </c>
      <c r="D416" s="12">
        <v>735</v>
      </c>
      <c r="E416" s="1" t="s">
        <v>19</v>
      </c>
      <c r="F416" s="1" t="s">
        <v>1866</v>
      </c>
      <c r="G416" s="12">
        <v>15</v>
      </c>
      <c r="H416" s="13">
        <v>60</v>
      </c>
      <c r="I416" s="1" t="s">
        <v>1867</v>
      </c>
      <c r="J416" s="17" t="str" cm="1">
        <f t="array" ref="J416">SeCcolor($A$634:$A$644,I416)</f>
        <v/>
      </c>
    </row>
    <row r="417" spans="1:21">
      <c r="A417" s="22" t="s">
        <v>1868</v>
      </c>
      <c r="B417" s="1" t="s">
        <v>1869</v>
      </c>
      <c r="C417" s="1" t="s">
        <v>1731</v>
      </c>
      <c r="D417" s="1" t="s">
        <v>1870</v>
      </c>
      <c r="E417" s="1" t="s">
        <v>70</v>
      </c>
      <c r="F417" s="1" t="s">
        <v>1871</v>
      </c>
      <c r="G417" s="12">
        <v>10</v>
      </c>
      <c r="H417" s="13">
        <v>70</v>
      </c>
      <c r="I417" s="1" t="s">
        <v>1872</v>
      </c>
      <c r="J417" s="17" t="str" cm="1">
        <f t="array" ref="J417">SeCcolor($A$634:$A$644,I417)</f>
        <v/>
      </c>
    </row>
    <row r="418" spans="1:21">
      <c r="A418" s="22" t="s">
        <v>1873</v>
      </c>
      <c r="B418" s="1" t="s">
        <v>1874</v>
      </c>
      <c r="C418" s="1" t="s">
        <v>475</v>
      </c>
      <c r="D418" s="12">
        <v>21</v>
      </c>
      <c r="E418" s="1" t="s">
        <v>70</v>
      </c>
      <c r="F418" s="1" t="s">
        <v>1875</v>
      </c>
      <c r="G418" s="12">
        <v>30</v>
      </c>
      <c r="H418" s="13">
        <v>50</v>
      </c>
      <c r="I418" s="1" t="s">
        <v>1876</v>
      </c>
      <c r="J418" s="17" t="str" cm="1">
        <f t="array" ref="J418">SeCcolor($A$634:$A$644,I418)</f>
        <v/>
      </c>
      <c r="M418" s="22"/>
      <c r="N418" s="22"/>
    </row>
    <row r="419" spans="1:21">
      <c r="A419" s="22" t="s">
        <v>1877</v>
      </c>
      <c r="B419" s="1" t="s">
        <v>1874</v>
      </c>
      <c r="C419" s="1" t="s">
        <v>1093</v>
      </c>
      <c r="D419" s="12">
        <v>86</v>
      </c>
      <c r="E419" s="1" t="s">
        <v>70</v>
      </c>
      <c r="F419" s="1" t="s">
        <v>1875</v>
      </c>
      <c r="G419" s="12">
        <v>30</v>
      </c>
      <c r="H419" s="13">
        <v>50</v>
      </c>
      <c r="I419" s="1" t="s">
        <v>1876</v>
      </c>
      <c r="J419" s="17" t="str" cm="1">
        <f t="array" ref="J419">SeCcolor($A$634:$A$644,I419)</f>
        <v/>
      </c>
    </row>
    <row r="420" spans="1:21">
      <c r="A420" s="22" t="s">
        <v>1878</v>
      </c>
      <c r="B420" s="1" t="s">
        <v>1879</v>
      </c>
      <c r="C420" s="1" t="s">
        <v>1351</v>
      </c>
      <c r="D420" s="12">
        <v>96</v>
      </c>
      <c r="E420" s="1" t="s">
        <v>70</v>
      </c>
      <c r="F420" s="1" t="s">
        <v>1880</v>
      </c>
      <c r="G420" s="12">
        <v>15</v>
      </c>
      <c r="H420" s="13">
        <v>50</v>
      </c>
      <c r="I420" s="1" t="s">
        <v>1881</v>
      </c>
      <c r="J420" s="17" t="str" cm="1">
        <f t="array" ref="J420">SeCcolor($A$634:$A$644,I420)</f>
        <v/>
      </c>
    </row>
    <row r="421" spans="1:21">
      <c r="A421" s="22" t="s">
        <v>150</v>
      </c>
      <c r="B421" s="1" t="s">
        <v>1882</v>
      </c>
      <c r="C421" s="1" t="s">
        <v>1883</v>
      </c>
      <c r="D421" s="12">
        <v>515</v>
      </c>
      <c r="E421" s="1" t="s">
        <v>64</v>
      </c>
      <c r="F421" s="1" t="s">
        <v>1884</v>
      </c>
      <c r="G421" s="12">
        <v>30</v>
      </c>
      <c r="H421" s="13">
        <v>90</v>
      </c>
      <c r="I421" s="1" t="s">
        <v>1885</v>
      </c>
      <c r="J421" s="17" t="str" cm="1">
        <f t="array" ref="J421">SeCcolor($A$634:$A$644,I421)</f>
        <v/>
      </c>
    </row>
    <row r="422" spans="1:21">
      <c r="A422" s="22" t="s">
        <v>1001</v>
      </c>
      <c r="B422" s="1" t="s">
        <v>1886</v>
      </c>
      <c r="C422" s="1" t="s">
        <v>1887</v>
      </c>
      <c r="D422" s="12">
        <v>230</v>
      </c>
      <c r="E422" s="1" t="s">
        <v>19</v>
      </c>
      <c r="F422" s="1" t="s">
        <v>1888</v>
      </c>
      <c r="G422" s="12">
        <v>20</v>
      </c>
      <c r="H422" s="13">
        <v>70</v>
      </c>
      <c r="I422" s="1" t="s">
        <v>1889</v>
      </c>
      <c r="J422" s="17" t="str" cm="1">
        <f t="array" ref="J422">SeCcolor($A$634:$A$644,I422)</f>
        <v/>
      </c>
      <c r="O422" s="22"/>
      <c r="P422" s="22"/>
      <c r="Q422" s="22"/>
      <c r="R422" s="22"/>
      <c r="S422" s="22"/>
      <c r="T422" s="22"/>
      <c r="U422" s="22"/>
    </row>
    <row r="423" spans="1:21">
      <c r="A423" s="22" t="s">
        <v>82</v>
      </c>
      <c r="B423" s="1" t="s">
        <v>1890</v>
      </c>
      <c r="C423" s="1" t="s">
        <v>1481</v>
      </c>
      <c r="D423" s="12">
        <v>130</v>
      </c>
      <c r="E423" s="1" t="s">
        <v>70</v>
      </c>
      <c r="F423" s="1" t="s">
        <v>1891</v>
      </c>
      <c r="G423" s="12">
        <v>20</v>
      </c>
      <c r="H423" s="13">
        <v>70</v>
      </c>
      <c r="I423" s="1" t="s">
        <v>1892</v>
      </c>
      <c r="J423" s="17" t="str" cm="1">
        <f t="array" ref="J423">SeCcolor($A$634:$A$644,I423)</f>
        <v/>
      </c>
    </row>
    <row r="424" spans="1:21">
      <c r="A424" s="22"/>
      <c r="B424" s="294" t="s">
        <v>1893</v>
      </c>
      <c r="C424" s="1"/>
      <c r="D424" s="12"/>
      <c r="E424" s="1"/>
      <c r="F424" s="1"/>
      <c r="G424" s="12"/>
      <c r="H424" s="13"/>
      <c r="I424" s="1"/>
      <c r="J424" s="17" t="str" cm="1">
        <f t="array" ref="J424">SeCcolor($A$634:$A$644,I424)</f>
        <v/>
      </c>
    </row>
    <row r="425" spans="1:21">
      <c r="A425" s="22" t="s">
        <v>1298</v>
      </c>
      <c r="B425" s="1" t="s">
        <v>1894</v>
      </c>
      <c r="C425" s="1" t="s">
        <v>286</v>
      </c>
      <c r="D425" s="12">
        <v>190</v>
      </c>
      <c r="E425" s="1" t="s">
        <v>64</v>
      </c>
      <c r="F425" s="1" t="s">
        <v>1895</v>
      </c>
      <c r="G425" s="12">
        <v>25</v>
      </c>
      <c r="H425" s="13">
        <v>40</v>
      </c>
      <c r="I425" s="1" t="s">
        <v>1896</v>
      </c>
      <c r="J425" s="17" t="str" cm="1">
        <f t="array" ref="J425">SeCcolor($A$634:$A$644,I425)</f>
        <v/>
      </c>
    </row>
    <row r="426" spans="1:21">
      <c r="A426" s="22" t="s">
        <v>1897</v>
      </c>
      <c r="B426" s="1" t="s">
        <v>1898</v>
      </c>
      <c r="C426" s="1" t="s">
        <v>1899</v>
      </c>
      <c r="D426" s="12">
        <v>22</v>
      </c>
      <c r="E426" s="1" t="s">
        <v>320</v>
      </c>
      <c r="F426" s="1" t="s">
        <v>1900</v>
      </c>
      <c r="G426" s="12">
        <v>10</v>
      </c>
      <c r="H426" s="13">
        <v>60</v>
      </c>
      <c r="I426" s="1" t="s">
        <v>1901</v>
      </c>
      <c r="J426" s="17" t="str" cm="1">
        <f t="array" ref="J426">SeCcolor($A$634:$A$644,I426)</f>
        <v/>
      </c>
    </row>
    <row r="427" spans="1:21">
      <c r="A427" s="22" t="s">
        <v>1902</v>
      </c>
      <c r="B427" s="1" t="s">
        <v>1903</v>
      </c>
      <c r="C427" s="1" t="s">
        <v>433</v>
      </c>
      <c r="D427" s="12">
        <v>281</v>
      </c>
      <c r="E427" s="1" t="s">
        <v>90</v>
      </c>
      <c r="F427" s="1" t="s">
        <v>1904</v>
      </c>
      <c r="G427" s="12">
        <v>10</v>
      </c>
      <c r="H427" s="13">
        <v>60</v>
      </c>
      <c r="I427" s="1" t="s">
        <v>1905</v>
      </c>
      <c r="J427" s="17" t="str" cm="1">
        <f t="array" ref="J427">SeCcolor($A$634:$A$644,I427)</f>
        <v/>
      </c>
    </row>
    <row r="428" spans="1:21">
      <c r="A428" s="234">
        <v>43997</v>
      </c>
      <c r="B428" s="1" t="s">
        <v>1906</v>
      </c>
      <c r="C428" s="1" t="s">
        <v>1907</v>
      </c>
      <c r="D428" s="12">
        <v>540</v>
      </c>
      <c r="E428" s="1" t="s">
        <v>127</v>
      </c>
      <c r="F428" s="1" t="s">
        <v>1908</v>
      </c>
      <c r="G428" s="12">
        <v>15</v>
      </c>
      <c r="H428" s="13">
        <v>70</v>
      </c>
      <c r="I428" s="1" t="s">
        <v>1909</v>
      </c>
      <c r="J428" s="17" t="str" cm="1">
        <f t="array" ref="J428">SeCcolor($A$634:$A$644,I428)</f>
        <v/>
      </c>
      <c r="L428" s="17"/>
    </row>
    <row r="429" spans="1:21">
      <c r="A429" s="22" t="s">
        <v>1910</v>
      </c>
      <c r="B429" s="1" t="s">
        <v>1911</v>
      </c>
      <c r="C429" s="1" t="s">
        <v>157</v>
      </c>
      <c r="D429" s="12">
        <v>887</v>
      </c>
      <c r="E429" s="1" t="s">
        <v>19</v>
      </c>
      <c r="F429" s="1" t="s">
        <v>1912</v>
      </c>
      <c r="G429" s="12">
        <v>20</v>
      </c>
      <c r="H429" s="13">
        <v>59.9</v>
      </c>
      <c r="I429" s="1" t="s">
        <v>1913</v>
      </c>
      <c r="J429" s="17" t="str" cm="1">
        <f t="array" ref="J429">SeCcolor($A$634:$A$644,I429)</f>
        <v/>
      </c>
      <c r="O429" s="1"/>
      <c r="P429" s="1"/>
      <c r="Q429" s="1"/>
      <c r="R429" s="1"/>
      <c r="S429" s="1"/>
      <c r="T429" s="1"/>
      <c r="U429" s="1"/>
    </row>
    <row r="430" spans="1:21">
      <c r="A430" s="22" t="s">
        <v>1914</v>
      </c>
      <c r="B430" s="1" t="s">
        <v>1915</v>
      </c>
      <c r="C430" s="1" t="s">
        <v>1156</v>
      </c>
      <c r="D430" s="12">
        <v>208</v>
      </c>
      <c r="E430" s="1" t="s">
        <v>220</v>
      </c>
      <c r="F430" s="1" t="s">
        <v>1916</v>
      </c>
      <c r="G430" s="12">
        <v>20</v>
      </c>
      <c r="H430" s="13">
        <v>60</v>
      </c>
      <c r="I430" s="1" t="s">
        <v>1917</v>
      </c>
      <c r="J430" s="17" t="str" cm="1">
        <f t="array" ref="J430">SeCcolor($A$634:$A$644,I430)</f>
        <v/>
      </c>
      <c r="L430" s="17"/>
    </row>
    <row r="431" spans="1:21">
      <c r="A431" s="22" t="s">
        <v>1918</v>
      </c>
      <c r="B431" s="1" t="s">
        <v>1919</v>
      </c>
      <c r="C431" s="1" t="s">
        <v>172</v>
      </c>
      <c r="D431" s="12">
        <v>140</v>
      </c>
      <c r="E431" s="1" t="s">
        <v>64</v>
      </c>
      <c r="F431" s="1" t="s">
        <v>1920</v>
      </c>
      <c r="G431" s="12">
        <v>10</v>
      </c>
      <c r="H431" s="13">
        <v>80</v>
      </c>
      <c r="I431" s="1" t="s">
        <v>1921</v>
      </c>
      <c r="J431" s="17" t="str" cm="1">
        <f t="array" ref="J431">SeCcolor($A$634:$A$644,I431)</f>
        <v/>
      </c>
      <c r="M431" s="2"/>
      <c r="N431" s="2"/>
    </row>
    <row r="432" spans="1:21">
      <c r="A432" s="22" t="s">
        <v>1918</v>
      </c>
      <c r="B432" s="1" t="s">
        <v>1922</v>
      </c>
      <c r="C432" s="1" t="s">
        <v>1923</v>
      </c>
      <c r="D432" s="12">
        <v>10</v>
      </c>
      <c r="E432" s="1" t="s">
        <v>32</v>
      </c>
      <c r="F432" s="1" t="s">
        <v>1920</v>
      </c>
      <c r="G432" s="12">
        <v>10</v>
      </c>
      <c r="H432" s="13">
        <v>0</v>
      </c>
      <c r="I432" s="1" t="s">
        <v>1921</v>
      </c>
      <c r="J432" s="17" t="str" cm="1">
        <f t="array" ref="J432">SeCcolor($A$634:$A$644,I432)</f>
        <v/>
      </c>
    </row>
    <row r="433" spans="1:21">
      <c r="A433" s="22" t="s">
        <v>1924</v>
      </c>
      <c r="B433" s="1" t="s">
        <v>1925</v>
      </c>
      <c r="C433" s="1" t="s">
        <v>1926</v>
      </c>
      <c r="D433" s="12">
        <v>43</v>
      </c>
      <c r="E433" s="1" t="s">
        <v>19</v>
      </c>
      <c r="F433" s="1" t="s">
        <v>1927</v>
      </c>
      <c r="G433" s="12">
        <v>10</v>
      </c>
      <c r="H433" s="13">
        <v>50</v>
      </c>
      <c r="I433" s="1" t="s">
        <v>1928</v>
      </c>
      <c r="J433" s="17" t="str" cm="1">
        <f t="array" ref="J433">SeCcolor($A$634:$A$644,I433)</f>
        <v/>
      </c>
      <c r="K433" s="22" t="s">
        <v>278</v>
      </c>
    </row>
    <row r="434" spans="1:21" s="1" customFormat="1">
      <c r="A434" s="22" t="s">
        <v>1334</v>
      </c>
      <c r="B434" s="1" t="s">
        <v>1929</v>
      </c>
      <c r="C434" s="1" t="s">
        <v>1930</v>
      </c>
      <c r="D434" s="12">
        <v>49</v>
      </c>
      <c r="E434" s="1" t="s">
        <v>32</v>
      </c>
      <c r="F434" s="1" t="s">
        <v>1931</v>
      </c>
      <c r="G434" s="12">
        <v>15</v>
      </c>
      <c r="H434" s="13">
        <v>60</v>
      </c>
      <c r="I434" s="1" t="s">
        <v>1932</v>
      </c>
      <c r="J434" s="17" t="str" cm="1">
        <f t="array" ref="J434">SeCcolor($A$634:$A$644,I434)</f>
        <v/>
      </c>
      <c r="K434" s="22"/>
      <c r="L434" s="17"/>
      <c r="M434" s="3" t="s">
        <v>1933</v>
      </c>
      <c r="N434" s="3"/>
      <c r="O434" s="2"/>
      <c r="P434" s="2"/>
      <c r="Q434" s="2"/>
      <c r="R434" s="2"/>
      <c r="S434" s="2"/>
      <c r="T434" s="2"/>
      <c r="U434" s="2"/>
    </row>
    <row r="435" spans="1:21">
      <c r="A435" s="22" t="s">
        <v>451</v>
      </c>
      <c r="B435" s="1" t="s">
        <v>1934</v>
      </c>
      <c r="C435" s="1" t="s">
        <v>1935</v>
      </c>
      <c r="D435" s="12">
        <v>1240</v>
      </c>
      <c r="E435" s="1" t="s">
        <v>1936</v>
      </c>
      <c r="F435" s="1">
        <v>35999343789</v>
      </c>
      <c r="G435" s="12">
        <v>30</v>
      </c>
      <c r="H435" s="13">
        <v>50</v>
      </c>
      <c r="I435" s="1" t="s">
        <v>1937</v>
      </c>
      <c r="J435" s="17" t="str" cm="1">
        <f t="array" ref="J435">SeCcolor($A$634:$A$644,I435)</f>
        <v/>
      </c>
      <c r="M435" s="3"/>
      <c r="N435" s="3"/>
    </row>
    <row r="436" spans="1:21">
      <c r="A436" s="22" t="s">
        <v>1938</v>
      </c>
      <c r="B436" s="1" t="s">
        <v>1939</v>
      </c>
      <c r="C436" s="1" t="s">
        <v>1940</v>
      </c>
      <c r="D436" s="12">
        <v>19</v>
      </c>
      <c r="E436" s="1" t="s">
        <v>70</v>
      </c>
      <c r="F436" s="1" t="s">
        <v>1941</v>
      </c>
      <c r="G436" s="12">
        <v>10</v>
      </c>
      <c r="H436" s="13">
        <v>40</v>
      </c>
      <c r="I436" s="1" t="s">
        <v>1942</v>
      </c>
      <c r="J436" s="17" t="str" cm="1">
        <f t="array" ref="J436">SeCcolor($A$634:$A$644,I436)</f>
        <v/>
      </c>
    </row>
    <row r="437" spans="1:21" s="1" customFormat="1">
      <c r="A437" s="22" t="s">
        <v>1001</v>
      </c>
      <c r="B437" s="1" t="s">
        <v>1943</v>
      </c>
      <c r="C437" s="1" t="s">
        <v>1935</v>
      </c>
      <c r="D437" s="12">
        <v>663</v>
      </c>
      <c r="E437" s="1" t="s">
        <v>90</v>
      </c>
      <c r="F437" s="1" t="s">
        <v>1944</v>
      </c>
      <c r="G437" s="12">
        <v>20</v>
      </c>
      <c r="H437" s="13">
        <v>59.9</v>
      </c>
      <c r="I437" s="1" t="s">
        <v>1945</v>
      </c>
      <c r="J437" s="17" t="str" cm="1">
        <f t="array" ref="J437">SeCcolor($A$634:$A$644,I437)</f>
        <v/>
      </c>
      <c r="K437" s="22"/>
      <c r="L437" s="17"/>
      <c r="M437"/>
      <c r="N437"/>
      <c r="O437" s="156"/>
      <c r="P437" s="156"/>
      <c r="Q437" s="156"/>
      <c r="R437" s="156"/>
      <c r="S437" s="156"/>
    </row>
    <row r="438" spans="1:21">
      <c r="A438" s="22" t="s">
        <v>1946</v>
      </c>
      <c r="B438" s="1" t="s">
        <v>1947</v>
      </c>
      <c r="C438" s="1" t="s">
        <v>930</v>
      </c>
      <c r="D438" s="12">
        <v>26</v>
      </c>
      <c r="E438" s="1" t="s">
        <v>25</v>
      </c>
      <c r="F438" s="1" t="s">
        <v>1948</v>
      </c>
      <c r="G438" s="12">
        <v>15</v>
      </c>
      <c r="H438" s="13">
        <v>60</v>
      </c>
      <c r="I438" s="1" t="s">
        <v>1949</v>
      </c>
      <c r="J438" s="17" t="str" cm="1">
        <f t="array" ref="J438">SeCcolor($A$634:$A$644,I438)</f>
        <v/>
      </c>
      <c r="M438" s="1"/>
      <c r="N438" s="1"/>
    </row>
    <row r="439" spans="1:21">
      <c r="A439" s="22" t="s">
        <v>1950</v>
      </c>
      <c r="B439" s="1" t="s">
        <v>1951</v>
      </c>
      <c r="C439" s="1" t="s">
        <v>1952</v>
      </c>
      <c r="D439" s="12">
        <v>30</v>
      </c>
      <c r="E439" s="1" t="s">
        <v>320</v>
      </c>
      <c r="F439" s="1" t="s">
        <v>1953</v>
      </c>
      <c r="G439" s="12">
        <v>30</v>
      </c>
      <c r="H439" s="13">
        <v>75.900000000000006</v>
      </c>
      <c r="I439" s="1" t="s">
        <v>1954</v>
      </c>
      <c r="J439" s="17" t="str" cm="1">
        <f t="array" ref="J439">SeCcolor($A$634:$A$644,I439)</f>
        <v/>
      </c>
      <c r="M439" s="3"/>
      <c r="N439" s="3"/>
    </row>
    <row r="440" spans="1:21">
      <c r="A440" s="22" t="s">
        <v>1955</v>
      </c>
      <c r="B440" s="1" t="s">
        <v>1956</v>
      </c>
      <c r="C440" s="1" t="s">
        <v>1957</v>
      </c>
      <c r="D440" s="12">
        <v>14</v>
      </c>
      <c r="E440" s="1" t="s">
        <v>19</v>
      </c>
      <c r="F440" s="1" t="s">
        <v>1958</v>
      </c>
      <c r="G440" s="12">
        <v>30</v>
      </c>
      <c r="H440" s="13">
        <v>60</v>
      </c>
      <c r="I440" s="1" t="s">
        <v>1959</v>
      </c>
      <c r="J440" s="17" t="str" cm="1">
        <f t="array" ref="J440">SeCcolor($A$634:$A$644,I440)</f>
        <v/>
      </c>
      <c r="M440" t="s">
        <v>1960</v>
      </c>
    </row>
    <row r="441" spans="1:21">
      <c r="A441" s="22" t="s">
        <v>1961</v>
      </c>
      <c r="B441" s="1" t="s">
        <v>1962</v>
      </c>
      <c r="C441" s="1" t="s">
        <v>1963</v>
      </c>
      <c r="D441" s="12">
        <v>1089</v>
      </c>
      <c r="E441" s="1" t="s">
        <v>314</v>
      </c>
      <c r="F441" s="1" t="s">
        <v>1964</v>
      </c>
      <c r="G441" s="12">
        <v>20</v>
      </c>
      <c r="H441" s="13">
        <v>76</v>
      </c>
      <c r="I441" s="1" t="s">
        <v>1965</v>
      </c>
      <c r="J441" s="17" t="str" cm="1">
        <f t="array" ref="J441">SeCcolor($A$634:$A$644,I441)</f>
        <v/>
      </c>
      <c r="M441" s="1"/>
      <c r="N441" s="1"/>
    </row>
    <row r="442" spans="1:21">
      <c r="A442" s="22" t="s">
        <v>1966</v>
      </c>
      <c r="B442" s="1" t="s">
        <v>1967</v>
      </c>
      <c r="C442" s="1" t="s">
        <v>789</v>
      </c>
      <c r="D442" s="12">
        <v>360</v>
      </c>
      <c r="E442" s="1" t="s">
        <v>70</v>
      </c>
      <c r="F442" s="1" t="s">
        <v>1968</v>
      </c>
      <c r="G442" s="12">
        <v>15</v>
      </c>
      <c r="H442" s="13">
        <v>60</v>
      </c>
      <c r="I442" s="1" t="s">
        <v>1969</v>
      </c>
      <c r="J442" s="17" t="str" cm="1">
        <f t="array" ref="J442">SeCcolor($A$634:$A$644,I442)</f>
        <v/>
      </c>
    </row>
    <row r="443" spans="1:21">
      <c r="A443" s="22" t="s">
        <v>1970</v>
      </c>
      <c r="B443" s="1" t="s">
        <v>1971</v>
      </c>
      <c r="C443" s="1" t="s">
        <v>1972</v>
      </c>
      <c r="D443" s="12">
        <v>291</v>
      </c>
      <c r="E443" s="1" t="s">
        <v>220</v>
      </c>
      <c r="F443" s="1" t="s">
        <v>1973</v>
      </c>
      <c r="G443" s="12">
        <v>10</v>
      </c>
      <c r="H443" s="13">
        <v>110</v>
      </c>
      <c r="I443" s="1" t="s">
        <v>1974</v>
      </c>
      <c r="J443" s="17" t="str" cm="1">
        <f t="array" ref="J443">SeCcolor($A$634:$A$644,I443)</f>
        <v/>
      </c>
      <c r="M443" s="1"/>
      <c r="N443" s="1"/>
    </row>
    <row r="444" spans="1:21">
      <c r="A444" s="22"/>
      <c r="B444" s="294" t="s">
        <v>1975</v>
      </c>
      <c r="C444" s="1"/>
      <c r="D444" s="12"/>
      <c r="E444" s="1"/>
      <c r="F444" s="1"/>
      <c r="G444" s="12"/>
      <c r="H444" s="13"/>
      <c r="I444" s="1"/>
      <c r="J444" s="17" t="str" cm="1">
        <f t="array" ref="J444">SeCcolor($A$634:$A$644,I444)</f>
        <v/>
      </c>
    </row>
    <row r="445" spans="1:21">
      <c r="A445" s="22" t="s">
        <v>1976</v>
      </c>
      <c r="B445" s="1" t="s">
        <v>1977</v>
      </c>
      <c r="C445" s="1" t="s">
        <v>1978</v>
      </c>
      <c r="D445" s="12">
        <v>55</v>
      </c>
      <c r="E445" s="1" t="s">
        <v>25</v>
      </c>
      <c r="F445" s="1" t="s">
        <v>1979</v>
      </c>
      <c r="G445" s="12">
        <v>10</v>
      </c>
      <c r="H445" s="13">
        <v>50</v>
      </c>
      <c r="I445" s="1" t="s">
        <v>1980</v>
      </c>
      <c r="J445" s="17" t="str" cm="1">
        <f t="array" ref="J445">SeCcolor($A$634:$A$644,I445)</f>
        <v/>
      </c>
      <c r="M445" s="7"/>
      <c r="N445" s="7"/>
    </row>
    <row r="446" spans="1:21">
      <c r="A446" s="22" t="s">
        <v>1981</v>
      </c>
      <c r="B446" s="1" t="s">
        <v>41</v>
      </c>
      <c r="C446" s="1" t="s">
        <v>1957</v>
      </c>
      <c r="D446" s="12">
        <v>10</v>
      </c>
      <c r="E446" s="1" t="s">
        <v>19</v>
      </c>
      <c r="F446" s="1" t="s">
        <v>43</v>
      </c>
      <c r="G446" s="12">
        <v>30</v>
      </c>
      <c r="H446" s="13">
        <v>70</v>
      </c>
      <c r="I446" s="1" t="s">
        <v>44</v>
      </c>
      <c r="J446" s="17" t="str" cm="1">
        <f t="array" ref="J446">SeCcolor($A$634:$A$644,I446)</f>
        <v/>
      </c>
    </row>
    <row r="447" spans="1:21">
      <c r="A447" s="22" t="s">
        <v>1982</v>
      </c>
      <c r="B447" s="1" t="s">
        <v>1983</v>
      </c>
      <c r="C447" s="1" t="s">
        <v>1984</v>
      </c>
      <c r="D447" s="12">
        <v>270</v>
      </c>
      <c r="E447" s="1" t="s">
        <v>127</v>
      </c>
      <c r="F447" s="1" t="s">
        <v>1985</v>
      </c>
      <c r="G447" s="12">
        <v>15</v>
      </c>
      <c r="H447" s="13">
        <v>50</v>
      </c>
      <c r="I447" s="1" t="s">
        <v>1986</v>
      </c>
      <c r="J447" s="17" t="str" cm="1">
        <f t="array" ref="J447">SeCcolor($A$634:$A$644,I447)</f>
        <v/>
      </c>
      <c r="K447" s="22" t="s">
        <v>278</v>
      </c>
      <c r="L447" s="17"/>
      <c r="M447" s="22" t="s">
        <v>1987</v>
      </c>
      <c r="N447" s="22"/>
    </row>
    <row r="448" spans="1:21" s="5" customFormat="1">
      <c r="A448" s="22" t="s">
        <v>1988</v>
      </c>
      <c r="B448" s="1" t="s">
        <v>1989</v>
      </c>
      <c r="C448" s="1" t="s">
        <v>453</v>
      </c>
      <c r="D448" s="12">
        <v>285</v>
      </c>
      <c r="E448" s="1" t="s">
        <v>127</v>
      </c>
      <c r="F448" s="1" t="s">
        <v>1990</v>
      </c>
      <c r="G448" s="12">
        <v>10</v>
      </c>
      <c r="H448" s="13">
        <v>70</v>
      </c>
      <c r="I448" s="1" t="s">
        <v>1991</v>
      </c>
      <c r="J448" s="17" t="str" cm="1">
        <f t="array" ref="J448">SeCcolor($A$634:$A$644,I448)</f>
        <v/>
      </c>
      <c r="K448" s="22"/>
      <c r="L448" s="22"/>
      <c r="M448" t="s">
        <v>1163</v>
      </c>
      <c r="N448"/>
      <c r="O448" s="2"/>
      <c r="P448" s="2"/>
      <c r="Q448" s="2"/>
      <c r="R448" s="2"/>
      <c r="S448" s="2"/>
      <c r="T448" s="2"/>
      <c r="U448" s="2"/>
    </row>
    <row r="449" spans="1:21">
      <c r="A449" s="22" t="s">
        <v>447</v>
      </c>
      <c r="B449" s="1" t="s">
        <v>1992</v>
      </c>
      <c r="C449" s="1" t="s">
        <v>1993</v>
      </c>
      <c r="D449" s="12">
        <v>130</v>
      </c>
      <c r="E449" s="1" t="s">
        <v>105</v>
      </c>
      <c r="F449" s="1" t="s">
        <v>709</v>
      </c>
      <c r="G449" s="12">
        <v>20</v>
      </c>
      <c r="H449" s="13">
        <v>50</v>
      </c>
      <c r="I449" s="1" t="s">
        <v>1994</v>
      </c>
      <c r="J449" s="17" t="str" cm="1">
        <f t="array" ref="J449">SeCcolor($A$634:$A$644,I449)</f>
        <v/>
      </c>
    </row>
    <row r="450" spans="1:21">
      <c r="A450" s="22" t="s">
        <v>1995</v>
      </c>
      <c r="B450" s="1" t="s">
        <v>1992</v>
      </c>
      <c r="C450" s="1" t="s">
        <v>1996</v>
      </c>
      <c r="D450" s="12">
        <v>21</v>
      </c>
      <c r="E450" s="1" t="s">
        <v>64</v>
      </c>
      <c r="F450" s="1" t="s">
        <v>709</v>
      </c>
      <c r="G450" s="12">
        <v>20</v>
      </c>
      <c r="H450" s="13">
        <v>50</v>
      </c>
      <c r="I450" s="1" t="s">
        <v>1994</v>
      </c>
      <c r="J450" s="17" t="str" cm="1">
        <f t="array" ref="J450">SeCcolor($A$634:$A$644,I450)</f>
        <v/>
      </c>
    </row>
    <row r="451" spans="1:21">
      <c r="A451" s="22" t="s">
        <v>1997</v>
      </c>
      <c r="B451" s="1" t="s">
        <v>1998</v>
      </c>
      <c r="C451" s="1" t="s">
        <v>1999</v>
      </c>
      <c r="D451" s="12">
        <v>30</v>
      </c>
      <c r="E451" s="1" t="s">
        <v>90</v>
      </c>
      <c r="F451" s="1" t="s">
        <v>2000</v>
      </c>
      <c r="G451" s="12">
        <v>5</v>
      </c>
      <c r="H451" s="13">
        <v>40</v>
      </c>
      <c r="I451" s="1" t="s">
        <v>2001</v>
      </c>
      <c r="J451" s="17" t="str" cm="1">
        <f t="array" ref="J451">SeCcolor($A$634:$A$644,I451)</f>
        <v/>
      </c>
    </row>
    <row r="452" spans="1:21" s="3" customFormat="1">
      <c r="A452" s="22" t="s">
        <v>2002</v>
      </c>
      <c r="B452" s="1" t="s">
        <v>2003</v>
      </c>
      <c r="C452" s="1" t="s">
        <v>2004</v>
      </c>
      <c r="D452" s="12">
        <v>390</v>
      </c>
      <c r="E452" s="1" t="s">
        <v>32</v>
      </c>
      <c r="F452" s="1" t="s">
        <v>2005</v>
      </c>
      <c r="G452" s="12">
        <v>25</v>
      </c>
      <c r="H452" s="13">
        <v>70</v>
      </c>
      <c r="I452" s="1" t="s">
        <v>2006</v>
      </c>
      <c r="J452" s="17" t="str" cm="1">
        <f t="array" ref="J452">SeCcolor($A$634:$A$644,I452)</f>
        <v/>
      </c>
      <c r="K452" s="22"/>
      <c r="L452" s="22"/>
      <c r="M452" s="2"/>
      <c r="N452" s="2"/>
      <c r="O452"/>
      <c r="P452"/>
      <c r="Q452"/>
      <c r="R452"/>
      <c r="S452"/>
      <c r="T452"/>
      <c r="U452"/>
    </row>
    <row r="453" spans="1:21">
      <c r="A453" s="22" t="s">
        <v>2007</v>
      </c>
      <c r="B453" s="155" t="s">
        <v>2008</v>
      </c>
      <c r="C453" s="1" t="s">
        <v>2009</v>
      </c>
      <c r="D453" s="12">
        <v>98</v>
      </c>
      <c r="E453" s="1" t="s">
        <v>127</v>
      </c>
      <c r="F453" s="1" t="s">
        <v>2010</v>
      </c>
      <c r="G453" s="12">
        <v>10</v>
      </c>
      <c r="H453" s="13">
        <v>60</v>
      </c>
      <c r="I453" s="1" t="s">
        <v>2011</v>
      </c>
      <c r="J453" s="17" t="str" cm="1">
        <f t="array" ref="J453">SeCcolor($A$634:$A$644,I453)</f>
        <v/>
      </c>
      <c r="L453" s="17"/>
    </row>
    <row r="454" spans="1:21">
      <c r="A454" s="22" t="s">
        <v>2012</v>
      </c>
      <c r="B454" s="1" t="s">
        <v>2013</v>
      </c>
      <c r="C454" s="1" t="s">
        <v>2014</v>
      </c>
      <c r="D454" s="12">
        <v>88</v>
      </c>
      <c r="E454" s="1" t="s">
        <v>64</v>
      </c>
      <c r="F454" s="1" t="s">
        <v>2015</v>
      </c>
      <c r="G454" s="12">
        <v>20</v>
      </c>
      <c r="H454" s="13">
        <v>60</v>
      </c>
      <c r="I454" s="1" t="s">
        <v>2016</v>
      </c>
      <c r="J454" s="17" t="str" cm="1">
        <f t="array" ref="J454">SeCcolor($A$634:$A$644,I454)</f>
        <v/>
      </c>
    </row>
    <row r="455" spans="1:21">
      <c r="A455" s="22"/>
      <c r="B455" s="155" t="s">
        <v>2017</v>
      </c>
      <c r="C455" s="1"/>
      <c r="D455" s="12"/>
      <c r="E455" s="1"/>
      <c r="F455" s="1"/>
      <c r="G455" s="12"/>
      <c r="H455" s="13"/>
      <c r="I455" s="1"/>
      <c r="J455" s="17" t="str" cm="1">
        <f t="array" ref="J455">SeCcolor($A$634:$A$644,I455)</f>
        <v/>
      </c>
      <c r="L455" s="17"/>
      <c r="M455" s="2"/>
      <c r="N455" s="2"/>
    </row>
    <row r="456" spans="1:21">
      <c r="A456" s="22" t="s">
        <v>1840</v>
      </c>
      <c r="B456" s="1" t="s">
        <v>2018</v>
      </c>
      <c r="C456" s="1" t="s">
        <v>2019</v>
      </c>
      <c r="D456" s="12">
        <v>52</v>
      </c>
      <c r="E456" s="1" t="s">
        <v>19</v>
      </c>
      <c r="F456" s="1">
        <v>998679828</v>
      </c>
      <c r="G456" s="12">
        <v>20</v>
      </c>
      <c r="H456" s="13">
        <v>75.900000000000006</v>
      </c>
      <c r="I456" s="1" t="s">
        <v>2020</v>
      </c>
      <c r="J456" s="17" t="str" cm="1">
        <f t="array" ref="J456">SeCcolor($A$634:$A$644,I456)</f>
        <v/>
      </c>
      <c r="M456" s="2"/>
      <c r="N456" s="2"/>
    </row>
    <row r="457" spans="1:21">
      <c r="A457" s="22" t="s">
        <v>2021</v>
      </c>
      <c r="B457" s="1" t="s">
        <v>2022</v>
      </c>
      <c r="C457" s="1" t="s">
        <v>286</v>
      </c>
      <c r="D457" s="12">
        <v>88</v>
      </c>
      <c r="E457" s="1" t="s">
        <v>64</v>
      </c>
      <c r="F457" s="1" t="s">
        <v>2023</v>
      </c>
      <c r="G457" s="12">
        <v>10</v>
      </c>
      <c r="H457" s="13">
        <v>70</v>
      </c>
      <c r="I457" s="1" t="s">
        <v>2024</v>
      </c>
      <c r="J457" s="17" t="str" cm="1">
        <f t="array" ref="J457">SeCcolor($A$634:$A$644,I457)</f>
        <v/>
      </c>
    </row>
    <row r="458" spans="1:21">
      <c r="A458" s="22" t="s">
        <v>2025</v>
      </c>
      <c r="B458" s="1" t="s">
        <v>2026</v>
      </c>
      <c r="C458" s="1" t="s">
        <v>961</v>
      </c>
      <c r="D458" s="12">
        <v>943</v>
      </c>
      <c r="E458" s="1" t="s">
        <v>270</v>
      </c>
      <c r="F458" s="1" t="s">
        <v>2027</v>
      </c>
      <c r="G458" s="12">
        <v>10</v>
      </c>
      <c r="H458" s="13">
        <v>75.900000000000006</v>
      </c>
      <c r="I458" s="1" t="s">
        <v>2028</v>
      </c>
      <c r="J458" s="17" t="str" cm="1">
        <f t="array" ref="J458">SeCcolor($A$634:$A$644,I458)</f>
        <v/>
      </c>
      <c r="M458" s="1"/>
      <c r="N458" s="1"/>
    </row>
    <row r="459" spans="1:21">
      <c r="A459" s="22" t="s">
        <v>68</v>
      </c>
      <c r="B459" s="1" t="s">
        <v>2029</v>
      </c>
      <c r="C459" s="1" t="s">
        <v>299</v>
      </c>
      <c r="D459" s="12">
        <v>740</v>
      </c>
      <c r="E459" s="1" t="s">
        <v>19</v>
      </c>
      <c r="F459" s="1" t="s">
        <v>2030</v>
      </c>
      <c r="G459" s="12">
        <v>20</v>
      </c>
      <c r="H459" s="13">
        <v>50</v>
      </c>
      <c r="I459" s="1" t="s">
        <v>2031</v>
      </c>
      <c r="J459" s="17" t="str" cm="1">
        <f t="array" ref="J459">SeCcolor($A$634:$A$644,I459)</f>
        <v/>
      </c>
      <c r="K459" s="22" t="s">
        <v>278</v>
      </c>
      <c r="M459" s="22" t="s">
        <v>2032</v>
      </c>
      <c r="N459" s="22"/>
    </row>
    <row r="460" spans="1:21">
      <c r="A460" s="22" t="s">
        <v>1086</v>
      </c>
      <c r="B460" s="1" t="s">
        <v>2033</v>
      </c>
      <c r="C460" s="1" t="s">
        <v>2034</v>
      </c>
      <c r="D460" s="12">
        <v>49</v>
      </c>
      <c r="E460" s="1" t="s">
        <v>320</v>
      </c>
      <c r="F460" s="1" t="s">
        <v>2035</v>
      </c>
      <c r="G460" s="12">
        <v>10</v>
      </c>
      <c r="H460" s="13">
        <v>70</v>
      </c>
      <c r="I460" s="1" t="s">
        <v>2036</v>
      </c>
      <c r="J460" s="17" t="str" cm="1">
        <f t="array" ref="J460">SeCcolor($A$634:$A$644,I460)</f>
        <v/>
      </c>
      <c r="M460" s="1"/>
      <c r="N460" s="1"/>
    </row>
    <row r="461" spans="1:21">
      <c r="A461" s="22"/>
      <c r="B461" s="155" t="s">
        <v>2037</v>
      </c>
      <c r="C461" s="1"/>
      <c r="D461" s="12"/>
      <c r="E461" s="1"/>
      <c r="F461" s="1"/>
      <c r="G461" s="12"/>
      <c r="H461" s="13"/>
      <c r="I461" s="1"/>
      <c r="J461" s="17" t="str" cm="1">
        <f t="array" ref="J461">SeCcolor($A$634:$A$644,I461)</f>
        <v/>
      </c>
      <c r="M461" s="1"/>
      <c r="N461" s="1"/>
    </row>
    <row r="462" spans="1:21">
      <c r="A462" s="22" t="s">
        <v>2038</v>
      </c>
      <c r="B462" s="1" t="s">
        <v>2039</v>
      </c>
      <c r="C462" s="1" t="s">
        <v>2040</v>
      </c>
      <c r="D462" s="12">
        <v>349</v>
      </c>
      <c r="E462" s="1" t="s">
        <v>127</v>
      </c>
      <c r="F462" s="1" t="s">
        <v>2041</v>
      </c>
      <c r="G462" s="12">
        <v>20</v>
      </c>
      <c r="H462" s="13">
        <v>70</v>
      </c>
      <c r="I462" s="1" t="s">
        <v>2042</v>
      </c>
      <c r="J462" s="17" t="str" cm="1">
        <f t="array" ref="J462">SeCcolor($A$634:$A$644,I462)</f>
        <v/>
      </c>
    </row>
    <row r="463" spans="1:21">
      <c r="A463" s="22" t="s">
        <v>2043</v>
      </c>
      <c r="B463" s="1" t="s">
        <v>2044</v>
      </c>
      <c r="C463" s="1" t="s">
        <v>58</v>
      </c>
      <c r="D463" s="12">
        <v>130</v>
      </c>
      <c r="E463" s="1" t="s">
        <v>105</v>
      </c>
      <c r="F463" s="1" t="s">
        <v>2045</v>
      </c>
      <c r="G463" s="12">
        <v>15</v>
      </c>
      <c r="H463" s="13">
        <v>60</v>
      </c>
      <c r="I463" s="1" t="s">
        <v>2046</v>
      </c>
      <c r="J463" s="17" t="str" cm="1">
        <f t="array" ref="J463">SeCcolor($A$634:$A$644,I463)</f>
        <v/>
      </c>
    </row>
    <row r="464" spans="1:21">
      <c r="A464" s="22" t="s">
        <v>2047</v>
      </c>
      <c r="B464" s="1" t="s">
        <v>2048</v>
      </c>
      <c r="C464" s="1" t="s">
        <v>2049</v>
      </c>
      <c r="D464" s="12">
        <v>65</v>
      </c>
      <c r="E464" s="1" t="s">
        <v>90</v>
      </c>
      <c r="F464" s="1" t="s">
        <v>2050</v>
      </c>
      <c r="G464" s="12">
        <v>30</v>
      </c>
      <c r="H464" s="13">
        <v>70</v>
      </c>
      <c r="I464" s="1" t="s">
        <v>2051</v>
      </c>
      <c r="J464" s="17" t="str" cm="1">
        <f t="array" ref="J464">SeCcolor($A$634:$A$644,I464)</f>
        <v/>
      </c>
    </row>
    <row r="465" spans="1:21">
      <c r="A465" s="22" t="s">
        <v>1173</v>
      </c>
      <c r="B465" s="1" t="s">
        <v>2052</v>
      </c>
      <c r="C465" s="1" t="s">
        <v>172</v>
      </c>
      <c r="D465" s="12">
        <v>95</v>
      </c>
      <c r="E465" s="1" t="s">
        <v>19</v>
      </c>
      <c r="F465" s="1" t="s">
        <v>2053</v>
      </c>
      <c r="G465" s="12">
        <v>10</v>
      </c>
      <c r="H465" s="13">
        <v>50</v>
      </c>
      <c r="I465" s="1" t="s">
        <v>2054</v>
      </c>
      <c r="J465" s="17" t="str" cm="1">
        <f t="array" ref="J465">SeCcolor($A$634:$A$644,I465)</f>
        <v/>
      </c>
    </row>
    <row r="466" spans="1:21">
      <c r="A466" s="1" t="s">
        <v>1902</v>
      </c>
      <c r="B466" s="1" t="s">
        <v>2055</v>
      </c>
      <c r="C466" s="1" t="s">
        <v>1426</v>
      </c>
      <c r="D466" s="12">
        <v>97</v>
      </c>
      <c r="E466" s="1" t="s">
        <v>19</v>
      </c>
      <c r="F466" s="1" t="s">
        <v>2056</v>
      </c>
      <c r="G466" s="12">
        <v>20</v>
      </c>
      <c r="H466" s="13">
        <v>60</v>
      </c>
      <c r="I466" s="1" t="s">
        <v>2057</v>
      </c>
      <c r="J466" s="17" t="str" cm="1">
        <f t="array" ref="J466">SeCcolor($A$634:$A$644,I466)</f>
        <v/>
      </c>
      <c r="M466" s="156"/>
      <c r="N466" s="156"/>
    </row>
    <row r="467" spans="1:21">
      <c r="A467" s="22" t="s">
        <v>217</v>
      </c>
      <c r="B467" s="1" t="s">
        <v>2058</v>
      </c>
      <c r="C467" s="1" t="s">
        <v>1156</v>
      </c>
      <c r="D467" s="12">
        <v>365</v>
      </c>
      <c r="E467" s="1" t="s">
        <v>220</v>
      </c>
      <c r="F467" s="12">
        <v>35991385527</v>
      </c>
      <c r="G467" s="12">
        <v>15</v>
      </c>
      <c r="H467" s="13">
        <v>75.900000000000006</v>
      </c>
      <c r="I467" s="1" t="s">
        <v>2059</v>
      </c>
      <c r="J467" s="17" t="str" cm="1">
        <f t="array" ref="J467">SeCcolor($A$634:$A$644,I467)</f>
        <v/>
      </c>
      <c r="M467" s="2"/>
      <c r="N467" s="2"/>
    </row>
    <row r="468" spans="1:21">
      <c r="A468" s="22" t="s">
        <v>2060</v>
      </c>
      <c r="B468" s="1" t="s">
        <v>2061</v>
      </c>
      <c r="C468" s="1" t="s">
        <v>2062</v>
      </c>
      <c r="D468" s="1" t="s">
        <v>2063</v>
      </c>
      <c r="E468" s="1" t="s">
        <v>48</v>
      </c>
      <c r="F468" s="1" t="s">
        <v>2064</v>
      </c>
      <c r="G468" s="12">
        <v>10</v>
      </c>
      <c r="H468" s="13">
        <v>70</v>
      </c>
      <c r="I468" s="1" t="s">
        <v>2065</v>
      </c>
      <c r="J468" s="17" t="str" cm="1">
        <f t="array" ref="J468">SeCcolor($A$634:$A$644,I468)</f>
        <v/>
      </c>
    </row>
    <row r="469" spans="1:21">
      <c r="A469" s="22" t="s">
        <v>505</v>
      </c>
      <c r="B469" s="1" t="s">
        <v>2066</v>
      </c>
      <c r="C469" s="1" t="s">
        <v>2067</v>
      </c>
      <c r="D469" s="12">
        <v>160</v>
      </c>
      <c r="E469" s="1" t="s">
        <v>1820</v>
      </c>
      <c r="F469" s="1" t="s">
        <v>2068</v>
      </c>
      <c r="G469" s="12">
        <v>20</v>
      </c>
      <c r="H469" s="13">
        <v>40</v>
      </c>
      <c r="I469" s="1" t="s">
        <v>2069</v>
      </c>
      <c r="J469" s="17" t="str" cm="1">
        <f t="array" ref="J469">SeCcolor($A$634:$A$644,I469)</f>
        <v/>
      </c>
    </row>
    <row r="470" spans="1:21">
      <c r="A470" s="22" t="s">
        <v>2070</v>
      </c>
      <c r="B470" s="1" t="s">
        <v>2071</v>
      </c>
      <c r="C470" s="1" t="s">
        <v>1753</v>
      </c>
      <c r="D470" s="12">
        <v>211</v>
      </c>
      <c r="E470" s="1" t="s">
        <v>2072</v>
      </c>
      <c r="F470" s="1" t="s">
        <v>2073</v>
      </c>
      <c r="G470" s="12">
        <v>20</v>
      </c>
      <c r="H470" s="13">
        <v>60</v>
      </c>
      <c r="I470" s="1" t="s">
        <v>2074</v>
      </c>
      <c r="J470" s="17" t="str" cm="1">
        <f t="array" ref="J470">SeCcolor($A$634:$A$644,I470)</f>
        <v/>
      </c>
      <c r="M470" s="4"/>
      <c r="N470" s="4"/>
    </row>
    <row r="471" spans="1:21">
      <c r="A471" s="22" t="s">
        <v>561</v>
      </c>
      <c r="B471" s="1" t="s">
        <v>2075</v>
      </c>
      <c r="C471" s="1" t="s">
        <v>2076</v>
      </c>
      <c r="D471" s="12">
        <v>121</v>
      </c>
      <c r="E471" s="1" t="s">
        <v>19</v>
      </c>
      <c r="F471" s="1" t="s">
        <v>2077</v>
      </c>
      <c r="G471" s="12">
        <v>15</v>
      </c>
      <c r="H471" s="13">
        <v>70</v>
      </c>
      <c r="I471" s="1" t="s">
        <v>2078</v>
      </c>
      <c r="J471" s="17" t="str" cm="1">
        <f t="array" ref="J471">SeCcolor($A$634:$A$644,I471)</f>
        <v/>
      </c>
    </row>
    <row r="472" spans="1:21">
      <c r="A472" s="22" t="s">
        <v>2079</v>
      </c>
      <c r="B472" s="1" t="s">
        <v>1983</v>
      </c>
      <c r="C472" s="1" t="s">
        <v>2080</v>
      </c>
      <c r="D472" s="12">
        <v>931</v>
      </c>
      <c r="E472" s="1" t="s">
        <v>127</v>
      </c>
      <c r="F472" s="1" t="s">
        <v>1985</v>
      </c>
      <c r="G472" s="12">
        <v>20</v>
      </c>
      <c r="H472" s="13">
        <v>50</v>
      </c>
      <c r="I472" s="1" t="s">
        <v>1986</v>
      </c>
      <c r="J472" s="17" t="str" cm="1">
        <f t="array" ref="J472">SeCcolor($A$634:$A$644,I472)</f>
        <v/>
      </c>
    </row>
    <row r="473" spans="1:21">
      <c r="A473" s="234">
        <v>42495</v>
      </c>
      <c r="B473" s="1" t="s">
        <v>2081</v>
      </c>
      <c r="C473" s="1" t="s">
        <v>2082</v>
      </c>
      <c r="D473" s="12">
        <v>57</v>
      </c>
      <c r="E473" s="1" t="s">
        <v>64</v>
      </c>
      <c r="F473" s="1" t="s">
        <v>2083</v>
      </c>
      <c r="G473" s="12">
        <v>15</v>
      </c>
      <c r="H473" s="13">
        <v>59.9</v>
      </c>
      <c r="I473" s="1" t="s">
        <v>2084</v>
      </c>
      <c r="J473" s="17" t="str" cm="1">
        <f t="array" ref="J473">SeCcolor($A$634:$A$644,I473)</f>
        <v/>
      </c>
    </row>
    <row r="474" spans="1:21">
      <c r="A474" s="22" t="s">
        <v>1981</v>
      </c>
      <c r="B474" s="1" t="s">
        <v>2085</v>
      </c>
      <c r="C474" s="1" t="s">
        <v>157</v>
      </c>
      <c r="D474" s="12">
        <v>439</v>
      </c>
      <c r="E474" s="1" t="s">
        <v>19</v>
      </c>
      <c r="F474" s="1" t="s">
        <v>2086</v>
      </c>
      <c r="G474" s="12">
        <v>30</v>
      </c>
      <c r="H474" s="13">
        <v>80</v>
      </c>
      <c r="I474" s="1" t="s">
        <v>2087</v>
      </c>
      <c r="J474" s="17" t="str" cm="1">
        <f t="array" ref="J474">SeCcolor($A$634:$A$644,I474)</f>
        <v/>
      </c>
      <c r="M474" s="1"/>
      <c r="N474" s="1"/>
    </row>
    <row r="475" spans="1:21">
      <c r="A475" s="22" t="s">
        <v>1840</v>
      </c>
      <c r="B475" s="1" t="s">
        <v>2088</v>
      </c>
      <c r="C475" s="1" t="s">
        <v>2089</v>
      </c>
      <c r="D475" s="12">
        <v>243</v>
      </c>
      <c r="E475" s="1" t="s">
        <v>19</v>
      </c>
      <c r="F475" s="1"/>
      <c r="G475" s="12">
        <v>20</v>
      </c>
      <c r="H475" s="13">
        <v>50</v>
      </c>
      <c r="I475" s="1" t="s">
        <v>2090</v>
      </c>
      <c r="J475" s="17" t="str" cm="1">
        <f t="array" ref="J475">SeCcolor($A$634:$A$644,I475)</f>
        <v/>
      </c>
    </row>
    <row r="476" spans="1:21">
      <c r="A476" s="22" t="s">
        <v>2091</v>
      </c>
      <c r="B476" s="1" t="s">
        <v>2092</v>
      </c>
      <c r="C476" s="1" t="s">
        <v>2093</v>
      </c>
      <c r="D476" s="12">
        <v>140</v>
      </c>
      <c r="E476" s="1" t="s">
        <v>1020</v>
      </c>
      <c r="F476" s="1" t="s">
        <v>2094</v>
      </c>
      <c r="G476" s="12">
        <v>10</v>
      </c>
      <c r="H476" s="13">
        <v>59.9</v>
      </c>
      <c r="I476" s="1" t="s">
        <v>2095</v>
      </c>
      <c r="J476" s="17" t="str" cm="1">
        <f t="array" ref="J476">SeCcolor($A$634:$A$644,I476)</f>
        <v/>
      </c>
      <c r="O476" s="1"/>
      <c r="P476" s="1"/>
      <c r="Q476" s="1"/>
      <c r="R476" s="1"/>
      <c r="S476" s="1"/>
      <c r="T476" s="1"/>
      <c r="U476" s="1"/>
    </row>
    <row r="477" spans="1:21" s="1" customFormat="1">
      <c r="A477" s="22" t="s">
        <v>155</v>
      </c>
      <c r="B477" s="1" t="s">
        <v>2096</v>
      </c>
      <c r="C477" s="1" t="s">
        <v>1170</v>
      </c>
      <c r="D477" s="12">
        <v>52</v>
      </c>
      <c r="E477" s="1" t="s">
        <v>105</v>
      </c>
      <c r="F477" s="1" t="s">
        <v>2097</v>
      </c>
      <c r="G477" s="12">
        <v>30</v>
      </c>
      <c r="H477" s="13">
        <v>50</v>
      </c>
      <c r="I477" s="1" t="s">
        <v>2098</v>
      </c>
      <c r="J477" s="17" t="str" cm="1">
        <f t="array" ref="J477">SeCcolor($A$634:$A$644,I477)</f>
        <v/>
      </c>
      <c r="K477" s="22"/>
      <c r="L477" s="22"/>
      <c r="M477"/>
      <c r="N477"/>
      <c r="O477"/>
      <c r="P477"/>
      <c r="Q477"/>
      <c r="R477"/>
      <c r="S477"/>
      <c r="T477"/>
      <c r="U477"/>
    </row>
    <row r="478" spans="1:21">
      <c r="A478" s="22" t="s">
        <v>2099</v>
      </c>
      <c r="B478" s="1" t="s">
        <v>2100</v>
      </c>
      <c r="C478" s="1" t="s">
        <v>2101</v>
      </c>
      <c r="D478" s="12">
        <v>1114</v>
      </c>
      <c r="E478" s="1" t="s">
        <v>540</v>
      </c>
      <c r="F478" s="1" t="s">
        <v>2102</v>
      </c>
      <c r="G478" s="12">
        <v>25</v>
      </c>
      <c r="H478" s="13">
        <v>60</v>
      </c>
      <c r="I478" s="1" t="s">
        <v>2103</v>
      </c>
      <c r="J478" s="17" t="str" cm="1">
        <f t="array" ref="J478">SeCcolor($A$634:$A$644,I478)</f>
        <v/>
      </c>
      <c r="M478" t="s">
        <v>2104</v>
      </c>
    </row>
    <row r="479" spans="1:21" s="2" customFormat="1">
      <c r="A479" s="22" t="s">
        <v>2105</v>
      </c>
      <c r="B479" s="1" t="s">
        <v>2106</v>
      </c>
      <c r="C479" s="1" t="s">
        <v>789</v>
      </c>
      <c r="D479" s="12">
        <v>249</v>
      </c>
      <c r="E479" s="1" t="s">
        <v>70</v>
      </c>
      <c r="F479" s="1" t="s">
        <v>2107</v>
      </c>
      <c r="G479" s="12">
        <v>15</v>
      </c>
      <c r="H479" s="13">
        <v>60</v>
      </c>
      <c r="I479" s="1" t="s">
        <v>2108</v>
      </c>
      <c r="J479" s="17" t="str" cm="1">
        <f t="array" ref="J479">SeCcolor($A$634:$A$644,I479)</f>
        <v/>
      </c>
      <c r="K479" s="22"/>
      <c r="L479" s="22"/>
      <c r="M479" s="1"/>
      <c r="N479" s="1"/>
      <c r="O479"/>
      <c r="P479"/>
      <c r="Q479"/>
      <c r="R479"/>
      <c r="S479"/>
      <c r="T479"/>
      <c r="U479"/>
    </row>
    <row r="480" spans="1:21" s="1" customFormat="1">
      <c r="A480" s="22" t="s">
        <v>2109</v>
      </c>
      <c r="B480" s="1" t="s">
        <v>2110</v>
      </c>
      <c r="C480" s="1" t="s">
        <v>12</v>
      </c>
      <c r="D480" s="12">
        <v>300</v>
      </c>
      <c r="E480" s="1" t="s">
        <v>2111</v>
      </c>
      <c r="F480" s="1" t="s">
        <v>2112</v>
      </c>
      <c r="G480" s="12">
        <v>10</v>
      </c>
      <c r="H480" s="13">
        <v>50</v>
      </c>
      <c r="I480" s="1" t="s">
        <v>2113</v>
      </c>
      <c r="J480" s="17" t="str" cm="1">
        <f t="array" ref="J480">SeCcolor($A$634:$A$644,I480)</f>
        <v/>
      </c>
      <c r="K480" s="22"/>
      <c r="L480" s="22"/>
      <c r="M480"/>
      <c r="N480"/>
      <c r="O480"/>
      <c r="P480"/>
      <c r="Q480"/>
      <c r="R480"/>
      <c r="S480"/>
      <c r="T480"/>
      <c r="U480"/>
    </row>
    <row r="481" spans="1:21">
      <c r="A481" s="22" t="s">
        <v>2114</v>
      </c>
      <c r="B481" s="1" t="s">
        <v>2115</v>
      </c>
      <c r="C481" s="1" t="s">
        <v>2116</v>
      </c>
      <c r="D481" s="12">
        <v>80</v>
      </c>
      <c r="E481" s="1" t="s">
        <v>70</v>
      </c>
      <c r="F481" s="1">
        <v>999731222</v>
      </c>
      <c r="G481" s="12">
        <v>10</v>
      </c>
      <c r="H481" s="13">
        <v>50</v>
      </c>
      <c r="I481" s="1" t="s">
        <v>2117</v>
      </c>
      <c r="J481" s="17" t="str" cm="1">
        <f t="array" ref="J481">SeCcolor($A$634:$A$644,I481)</f>
        <v/>
      </c>
    </row>
    <row r="482" spans="1:21">
      <c r="A482" s="22"/>
      <c r="B482" s="155" t="s">
        <v>2118</v>
      </c>
      <c r="C482" s="1"/>
      <c r="D482" s="12"/>
      <c r="E482" s="1"/>
      <c r="F482" s="1"/>
      <c r="G482" s="12"/>
      <c r="H482" s="13"/>
      <c r="I482" s="1"/>
      <c r="J482" s="17" t="str" cm="1">
        <f t="array" ref="J482">SeCcolor($A$634:$A$644,I482)</f>
        <v/>
      </c>
    </row>
    <row r="483" spans="1:21">
      <c r="A483" s="22" t="s">
        <v>2119</v>
      </c>
      <c r="B483" s="1" t="s">
        <v>2120</v>
      </c>
      <c r="C483" s="1" t="s">
        <v>2121</v>
      </c>
      <c r="D483" s="12">
        <v>100</v>
      </c>
      <c r="E483" s="1" t="s">
        <v>90</v>
      </c>
      <c r="F483" s="1" t="s">
        <v>2122</v>
      </c>
      <c r="G483" s="12">
        <v>5</v>
      </c>
      <c r="H483" s="13">
        <v>60</v>
      </c>
      <c r="I483" s="1" t="s">
        <v>2123</v>
      </c>
      <c r="J483" s="17" t="str" cm="1">
        <f t="array" ref="J483">SeCcolor($A$634:$A$644,I483)</f>
        <v/>
      </c>
    </row>
    <row r="484" spans="1:21">
      <c r="A484" s="22" t="s">
        <v>2124</v>
      </c>
      <c r="B484" s="1" t="s">
        <v>2125</v>
      </c>
      <c r="C484" s="1" t="s">
        <v>2126</v>
      </c>
      <c r="D484" s="12">
        <v>59</v>
      </c>
      <c r="E484" s="1" t="s">
        <v>32</v>
      </c>
      <c r="F484" s="1" t="s">
        <v>2127</v>
      </c>
      <c r="G484" s="12">
        <v>20</v>
      </c>
      <c r="H484" s="13">
        <v>60</v>
      </c>
      <c r="I484" s="1" t="s">
        <v>2128</v>
      </c>
      <c r="J484" s="17" t="str" cm="1">
        <f t="array" ref="J484">SeCcolor($A$634:$A$644,I484)</f>
        <v/>
      </c>
      <c r="M484" s="1"/>
      <c r="N484" s="1"/>
    </row>
    <row r="485" spans="1:21" s="22" customFormat="1">
      <c r="A485" s="22" t="s">
        <v>2129</v>
      </c>
      <c r="B485" s="1" t="s">
        <v>2130</v>
      </c>
      <c r="C485" s="1" t="s">
        <v>2131</v>
      </c>
      <c r="D485" s="12">
        <v>20</v>
      </c>
      <c r="E485" s="1" t="s">
        <v>2132</v>
      </c>
      <c r="F485" s="1" t="s">
        <v>2133</v>
      </c>
      <c r="G485" s="12">
        <v>20</v>
      </c>
      <c r="H485" s="13">
        <v>50</v>
      </c>
      <c r="I485" s="1" t="s">
        <v>2134</v>
      </c>
      <c r="J485" s="17" t="str" cm="1">
        <f t="array" ref="J485">SeCcolor($A$634:$A$644,I485)</f>
        <v/>
      </c>
      <c r="M485" s="1"/>
      <c r="N485" s="1"/>
      <c r="O485"/>
      <c r="P485"/>
      <c r="Q485"/>
      <c r="R485"/>
      <c r="S485"/>
      <c r="T485"/>
      <c r="U485"/>
    </row>
    <row r="486" spans="1:21">
      <c r="A486" s="22" t="s">
        <v>1201</v>
      </c>
      <c r="B486" s="1" t="s">
        <v>2135</v>
      </c>
      <c r="C486" s="1" t="s">
        <v>433</v>
      </c>
      <c r="D486" s="12">
        <v>20</v>
      </c>
      <c r="E486" s="1" t="s">
        <v>90</v>
      </c>
      <c r="F486" s="1" t="s">
        <v>2136</v>
      </c>
      <c r="G486" s="12">
        <v>20</v>
      </c>
      <c r="H486" s="13">
        <v>60</v>
      </c>
      <c r="I486" s="1" t="s">
        <v>2137</v>
      </c>
      <c r="J486" s="17" t="str" cm="1">
        <f t="array" ref="J486">SeCcolor($A$634:$A$644,I486)</f>
        <v/>
      </c>
      <c r="M486" s="1"/>
      <c r="N486" s="1"/>
    </row>
    <row r="487" spans="1:21">
      <c r="A487" s="22" t="s">
        <v>2138</v>
      </c>
      <c r="B487" s="1" t="s">
        <v>2139</v>
      </c>
      <c r="C487" s="1" t="s">
        <v>2140</v>
      </c>
      <c r="D487" s="12">
        <v>56</v>
      </c>
      <c r="E487" s="1" t="s">
        <v>105</v>
      </c>
      <c r="F487" s="1" t="s">
        <v>2141</v>
      </c>
      <c r="G487" s="12">
        <v>15</v>
      </c>
      <c r="H487" s="13">
        <v>50</v>
      </c>
      <c r="I487" s="1" t="s">
        <v>2142</v>
      </c>
      <c r="J487" s="17" t="str" cm="1">
        <f t="array" ref="J487">SeCcolor($A$634:$A$644,I487)</f>
        <v/>
      </c>
    </row>
    <row r="488" spans="1:21">
      <c r="A488" s="22" t="s">
        <v>180</v>
      </c>
      <c r="B488" s="1" t="s">
        <v>2143</v>
      </c>
      <c r="C488" s="1" t="s">
        <v>2144</v>
      </c>
      <c r="D488" s="12">
        <v>636</v>
      </c>
      <c r="E488" s="1" t="s">
        <v>127</v>
      </c>
      <c r="F488" s="1" t="s">
        <v>1392</v>
      </c>
      <c r="G488" s="12">
        <v>25</v>
      </c>
      <c r="H488" s="13">
        <v>60</v>
      </c>
      <c r="I488" s="1" t="s">
        <v>2145</v>
      </c>
      <c r="J488" s="17" t="str" cm="1">
        <f t="array" ref="J488">SeCcolor($A$634:$A$644,I488)</f>
        <v/>
      </c>
    </row>
    <row r="489" spans="1:21">
      <c r="A489" s="22" t="s">
        <v>2146</v>
      </c>
      <c r="B489" s="108" t="s">
        <v>2143</v>
      </c>
      <c r="C489" s="1" t="s">
        <v>2147</v>
      </c>
      <c r="D489" s="12">
        <v>25</v>
      </c>
      <c r="E489" s="1" t="s">
        <v>127</v>
      </c>
      <c r="F489" s="1" t="s">
        <v>1392</v>
      </c>
      <c r="G489" s="12">
        <v>10</v>
      </c>
      <c r="H489" s="13">
        <v>60</v>
      </c>
      <c r="I489" s="1" t="s">
        <v>2145</v>
      </c>
      <c r="J489" s="17" t="str" cm="1">
        <f t="array" ref="J489">SeCcolor($A$634:$A$644,I489)</f>
        <v/>
      </c>
      <c r="O489" s="156"/>
      <c r="P489" s="156"/>
      <c r="Q489" s="156"/>
    </row>
    <row r="490" spans="1:21">
      <c r="A490" s="22" t="s">
        <v>2148</v>
      </c>
      <c r="B490" s="1" t="s">
        <v>2149</v>
      </c>
      <c r="C490" s="1" t="s">
        <v>1735</v>
      </c>
      <c r="D490" s="12">
        <v>482</v>
      </c>
      <c r="E490" s="1" t="s">
        <v>70</v>
      </c>
      <c r="F490" s="1" t="s">
        <v>2150</v>
      </c>
      <c r="G490" s="12">
        <v>10</v>
      </c>
      <c r="H490" s="13">
        <v>60</v>
      </c>
      <c r="I490" s="1" t="s">
        <v>2151</v>
      </c>
      <c r="J490" s="17" t="str" cm="1">
        <f t="array" ref="J490">SeCcolor($A$634:$A$644,I490)</f>
        <v/>
      </c>
    </row>
    <row r="491" spans="1:21">
      <c r="A491" s="22" t="s">
        <v>2152</v>
      </c>
      <c r="B491" s="1" t="s">
        <v>2153</v>
      </c>
      <c r="C491" s="1" t="s">
        <v>2154</v>
      </c>
      <c r="D491" s="12">
        <v>95</v>
      </c>
      <c r="E491" s="1" t="s">
        <v>127</v>
      </c>
      <c r="F491" s="1" t="s">
        <v>2155</v>
      </c>
      <c r="G491" s="12">
        <v>10</v>
      </c>
      <c r="H491" s="13">
        <v>50</v>
      </c>
      <c r="I491" s="1" t="s">
        <v>2156</v>
      </c>
      <c r="J491" s="17" t="str" cm="1">
        <f t="array" ref="J491">SeCcolor($A$634:$A$644,I491)</f>
        <v/>
      </c>
      <c r="K491" s="22" t="s">
        <v>278</v>
      </c>
    </row>
    <row r="492" spans="1:21">
      <c r="A492" s="22" t="s">
        <v>2157</v>
      </c>
      <c r="B492" s="1" t="s">
        <v>2158</v>
      </c>
      <c r="C492" s="1" t="s">
        <v>2159</v>
      </c>
      <c r="D492" s="12">
        <v>190</v>
      </c>
      <c r="E492" s="1" t="s">
        <v>70</v>
      </c>
      <c r="F492" s="1" t="s">
        <v>2160</v>
      </c>
      <c r="G492" s="12">
        <v>15</v>
      </c>
      <c r="H492" s="13">
        <v>50</v>
      </c>
      <c r="I492" s="1" t="s">
        <v>2161</v>
      </c>
      <c r="J492" s="17" t="str" cm="1">
        <f t="array" ref="J492">SeCcolor($A$634:$A$644,I492)</f>
        <v/>
      </c>
    </row>
    <row r="493" spans="1:21">
      <c r="A493" s="22" t="s">
        <v>2162</v>
      </c>
      <c r="B493" s="108" t="s">
        <v>2163</v>
      </c>
      <c r="C493" s="1" t="s">
        <v>1203</v>
      </c>
      <c r="D493" s="12">
        <v>406</v>
      </c>
      <c r="E493" s="1" t="s">
        <v>19</v>
      </c>
      <c r="F493" s="1" t="s">
        <v>2164</v>
      </c>
      <c r="G493" s="12">
        <v>10</v>
      </c>
      <c r="H493" s="13">
        <v>70</v>
      </c>
      <c r="I493" s="1" t="s">
        <v>2165</v>
      </c>
      <c r="J493" s="17" t="str" cm="1">
        <f t="array" ref="J493">SeCcolor($A$634:$A$644,I493)</f>
        <v/>
      </c>
      <c r="O493" s="2"/>
      <c r="P493" s="2"/>
      <c r="Q493" s="2"/>
      <c r="R493" s="2"/>
      <c r="S493" s="2"/>
      <c r="T493" s="2"/>
      <c r="U493" s="2"/>
    </row>
    <row r="494" spans="1:21">
      <c r="A494" s="22" t="s">
        <v>2166</v>
      </c>
      <c r="B494" s="1" t="s">
        <v>2167</v>
      </c>
      <c r="C494" s="1" t="s">
        <v>2168</v>
      </c>
      <c r="D494" s="12">
        <v>130</v>
      </c>
      <c r="E494" s="1" t="s">
        <v>19</v>
      </c>
      <c r="F494" s="1">
        <v>999565666</v>
      </c>
      <c r="G494" s="12">
        <v>10</v>
      </c>
      <c r="H494" s="13">
        <v>60</v>
      </c>
      <c r="I494" s="1" t="s">
        <v>2169</v>
      </c>
      <c r="J494" s="17" t="str" cm="1">
        <f t="array" ref="J494">SeCcolor($A$634:$A$644,I494)</f>
        <v/>
      </c>
      <c r="M494" s="156" t="s">
        <v>2170</v>
      </c>
      <c r="N494" s="156"/>
      <c r="O494" s="29"/>
      <c r="P494" s="29"/>
      <c r="Q494" s="29"/>
      <c r="R494" s="29"/>
      <c r="S494" s="29"/>
      <c r="T494" s="29"/>
      <c r="U494" s="29"/>
    </row>
    <row r="495" spans="1:21">
      <c r="A495" s="22" t="s">
        <v>2171</v>
      </c>
      <c r="B495" s="1" t="s">
        <v>2172</v>
      </c>
      <c r="C495" s="1" t="s">
        <v>2173</v>
      </c>
      <c r="D495" s="12">
        <v>252</v>
      </c>
      <c r="E495" s="1" t="s">
        <v>19</v>
      </c>
      <c r="F495" s="1" t="s">
        <v>2174</v>
      </c>
      <c r="G495" s="12">
        <v>10</v>
      </c>
      <c r="H495" s="13">
        <v>59.9</v>
      </c>
      <c r="I495" s="1" t="s">
        <v>2175</v>
      </c>
      <c r="J495" s="17" t="str" cm="1">
        <f t="array" ref="J495">SeCcolor($A$634:$A$644,I495)</f>
        <v/>
      </c>
      <c r="M495" s="1"/>
      <c r="N495" s="1"/>
    </row>
    <row r="496" spans="1:21">
      <c r="A496" s="22" t="s">
        <v>528</v>
      </c>
      <c r="B496" s="1" t="s">
        <v>2176</v>
      </c>
      <c r="C496" s="1" t="s">
        <v>2177</v>
      </c>
      <c r="D496" s="12">
        <v>715</v>
      </c>
      <c r="E496" s="1" t="s">
        <v>2178</v>
      </c>
      <c r="F496" s="1" t="s">
        <v>2179</v>
      </c>
      <c r="G496" s="12">
        <v>20</v>
      </c>
      <c r="H496" s="13">
        <v>50</v>
      </c>
      <c r="I496" s="1" t="s">
        <v>2180</v>
      </c>
      <c r="J496" s="17" t="str" cm="1">
        <f t="array" ref="J496">SeCcolor($A$634:$A$644,I496)</f>
        <v/>
      </c>
      <c r="K496" s="22" t="s">
        <v>278</v>
      </c>
      <c r="M496" s="22"/>
      <c r="N496" s="22"/>
    </row>
    <row r="497" spans="1:21">
      <c r="A497" s="22" t="s">
        <v>139</v>
      </c>
      <c r="B497" s="14" t="s">
        <v>2181</v>
      </c>
      <c r="C497" s="1" t="s">
        <v>2168</v>
      </c>
      <c r="D497" s="12">
        <v>62</v>
      </c>
      <c r="E497" s="1" t="s">
        <v>19</v>
      </c>
      <c r="F497" s="1" t="s">
        <v>2182</v>
      </c>
      <c r="G497" s="12">
        <v>10</v>
      </c>
      <c r="H497" s="13">
        <v>39.9</v>
      </c>
      <c r="I497" s="1" t="s">
        <v>2183</v>
      </c>
      <c r="J497" s="17" t="str" cm="1">
        <f t="array" ref="J497">SeCcolor($A$634:$A$644,I497)</f>
        <v/>
      </c>
      <c r="K497" s="22" t="s">
        <v>2184</v>
      </c>
      <c r="M497" s="22"/>
      <c r="N497" s="22"/>
    </row>
    <row r="498" spans="1:21">
      <c r="A498" s="22" t="s">
        <v>2185</v>
      </c>
      <c r="B498" s="1" t="s">
        <v>2186</v>
      </c>
      <c r="C498" s="1" t="s">
        <v>1636</v>
      </c>
      <c r="D498" s="12">
        <v>70</v>
      </c>
      <c r="E498" s="1" t="s">
        <v>25</v>
      </c>
      <c r="F498" s="1" t="s">
        <v>1637</v>
      </c>
      <c r="G498" s="12">
        <v>10</v>
      </c>
      <c r="H498" s="13">
        <v>50</v>
      </c>
      <c r="I498" s="1" t="s">
        <v>2187</v>
      </c>
      <c r="J498" s="17" t="str" cm="1">
        <f t="array" ref="J498">SeCcolor($A$634:$A$644,I498)</f>
        <v/>
      </c>
      <c r="K498" s="22" t="s">
        <v>278</v>
      </c>
    </row>
    <row r="499" spans="1:21">
      <c r="A499" s="22" t="s">
        <v>2188</v>
      </c>
      <c r="B499" s="1" t="s">
        <v>2189</v>
      </c>
      <c r="C499" s="1" t="s">
        <v>2190</v>
      </c>
      <c r="D499" s="12">
        <v>69</v>
      </c>
      <c r="E499" s="1" t="s">
        <v>70</v>
      </c>
      <c r="F499" s="1" t="s">
        <v>2191</v>
      </c>
      <c r="G499" s="12">
        <v>30</v>
      </c>
      <c r="H499" s="13">
        <v>50</v>
      </c>
      <c r="I499" s="1" t="s">
        <v>2192</v>
      </c>
      <c r="J499" s="17" t="str" cm="1">
        <f t="array" ref="J499">SeCcolor($A$634:$A$644,I499)</f>
        <v/>
      </c>
    </row>
    <row r="500" spans="1:21">
      <c r="A500" s="22" t="s">
        <v>2193</v>
      </c>
      <c r="B500" s="1" t="s">
        <v>2194</v>
      </c>
      <c r="C500" s="1" t="s">
        <v>99</v>
      </c>
      <c r="D500" s="12">
        <v>939</v>
      </c>
      <c r="E500" s="1" t="s">
        <v>19</v>
      </c>
      <c r="F500" s="1" t="s">
        <v>2195</v>
      </c>
      <c r="G500" s="12">
        <v>25</v>
      </c>
      <c r="H500" s="13">
        <v>70</v>
      </c>
      <c r="I500" s="1" t="s">
        <v>2196</v>
      </c>
      <c r="J500" s="17" t="str" cm="1">
        <f t="array" ref="J500">SeCcolor($A$634:$A$644,I500)</f>
        <v/>
      </c>
      <c r="L500" s="17"/>
    </row>
    <row r="501" spans="1:21">
      <c r="A501" s="22" t="s">
        <v>451</v>
      </c>
      <c r="B501" s="1" t="s">
        <v>2197</v>
      </c>
      <c r="C501" s="1" t="s">
        <v>2198</v>
      </c>
      <c r="D501" s="12">
        <v>796</v>
      </c>
      <c r="E501" s="1" t="s">
        <v>19</v>
      </c>
      <c r="F501" s="1" t="s">
        <v>2199</v>
      </c>
      <c r="G501" s="12">
        <v>10</v>
      </c>
      <c r="H501" s="13">
        <v>70</v>
      </c>
      <c r="I501" s="1" t="s">
        <v>2200</v>
      </c>
      <c r="J501" s="17" t="str" cm="1">
        <f t="array" ref="J501">SeCcolor($A$634:$A$644,I501)</f>
        <v/>
      </c>
    </row>
    <row r="502" spans="1:21" s="3" customFormat="1">
      <c r="A502" s="22" t="s">
        <v>2201</v>
      </c>
      <c r="B502" s="1" t="s">
        <v>2202</v>
      </c>
      <c r="C502" s="1" t="s">
        <v>446</v>
      </c>
      <c r="D502" s="12">
        <v>620</v>
      </c>
      <c r="E502" s="1" t="s">
        <v>19</v>
      </c>
      <c r="F502" s="1" t="s">
        <v>2203</v>
      </c>
      <c r="G502" s="12">
        <v>10</v>
      </c>
      <c r="H502" s="13">
        <v>120</v>
      </c>
      <c r="I502" s="1" t="s">
        <v>2204</v>
      </c>
      <c r="J502" s="17" t="str" cm="1">
        <f t="array" ref="J502">SeCcolor($A$634:$A$644,I502)</f>
        <v/>
      </c>
      <c r="K502" s="22"/>
      <c r="L502" s="22"/>
      <c r="M502" s="1"/>
      <c r="N502" s="1"/>
      <c r="O502"/>
      <c r="P502"/>
      <c r="Q502"/>
      <c r="R502"/>
      <c r="S502"/>
      <c r="T502"/>
      <c r="U502"/>
    </row>
    <row r="503" spans="1:21">
      <c r="A503" s="22" t="s">
        <v>2205</v>
      </c>
      <c r="B503" s="1" t="s">
        <v>2206</v>
      </c>
      <c r="C503" s="1" t="s">
        <v>2207</v>
      </c>
      <c r="D503" s="12">
        <v>1061</v>
      </c>
      <c r="E503" s="1" t="s">
        <v>2208</v>
      </c>
      <c r="F503" s="1" t="s">
        <v>2209</v>
      </c>
      <c r="G503" s="12">
        <v>10</v>
      </c>
      <c r="H503" s="13">
        <v>75.900000000000006</v>
      </c>
      <c r="I503" s="1" t="s">
        <v>2210</v>
      </c>
      <c r="J503" s="17" t="str" cm="1">
        <f t="array" ref="J503">SeCcolor($A$634:$A$644,I503)</f>
        <v/>
      </c>
    </row>
    <row r="504" spans="1:21" s="1" customFormat="1">
      <c r="A504" s="22" t="s">
        <v>2211</v>
      </c>
      <c r="B504" s="1" t="s">
        <v>2212</v>
      </c>
      <c r="C504" s="1" t="s">
        <v>2213</v>
      </c>
      <c r="D504" s="12">
        <v>720</v>
      </c>
      <c r="E504" s="1" t="s">
        <v>19</v>
      </c>
      <c r="F504" s="1" t="s">
        <v>2214</v>
      </c>
      <c r="G504" s="12">
        <v>20</v>
      </c>
      <c r="H504" s="13">
        <v>70</v>
      </c>
      <c r="I504" s="1" t="s">
        <v>2215</v>
      </c>
      <c r="J504" s="17" t="str" cm="1">
        <f t="array" ref="J504">SeCcolor($A$634:$A$644,I504)</f>
        <v/>
      </c>
      <c r="K504" s="22"/>
      <c r="L504" s="22"/>
      <c r="M504" t="s">
        <v>2216</v>
      </c>
      <c r="N504"/>
      <c r="O504"/>
      <c r="P504"/>
      <c r="Q504"/>
      <c r="R504"/>
      <c r="S504"/>
      <c r="T504"/>
      <c r="U504"/>
    </row>
    <row r="505" spans="1:21">
      <c r="A505" s="22" t="s">
        <v>1159</v>
      </c>
      <c r="B505" s="1" t="s">
        <v>2217</v>
      </c>
      <c r="C505" s="1" t="s">
        <v>2218</v>
      </c>
      <c r="D505" s="12">
        <v>28</v>
      </c>
      <c r="E505" s="1" t="s">
        <v>90</v>
      </c>
      <c r="F505" s="1" t="s">
        <v>65</v>
      </c>
      <c r="G505" s="12">
        <v>20</v>
      </c>
      <c r="H505" s="13">
        <v>0</v>
      </c>
      <c r="I505" s="1" t="s">
        <v>66</v>
      </c>
      <c r="J505" s="17" t="str" cm="1">
        <f t="array" ref="J505">SeCcolor($A$634:$A$644,I505)</f>
        <v/>
      </c>
    </row>
    <row r="506" spans="1:21">
      <c r="A506" s="22" t="s">
        <v>2219</v>
      </c>
      <c r="B506" s="1" t="s">
        <v>2220</v>
      </c>
      <c r="C506" s="1" t="s">
        <v>2221</v>
      </c>
      <c r="D506" s="1" t="s">
        <v>2222</v>
      </c>
      <c r="E506" s="1" t="s">
        <v>270</v>
      </c>
      <c r="F506" s="1" t="s">
        <v>2223</v>
      </c>
      <c r="G506" s="12">
        <v>20</v>
      </c>
      <c r="H506" s="13">
        <v>59.9</v>
      </c>
      <c r="I506" s="1" t="s">
        <v>2224</v>
      </c>
      <c r="J506" s="17" t="str" cm="1">
        <f t="array" ref="J506">SeCcolor($A$634:$A$644,I506)</f>
        <v/>
      </c>
    </row>
    <row r="507" spans="1:21">
      <c r="A507" s="22" t="s">
        <v>451</v>
      </c>
      <c r="B507" s="1" t="s">
        <v>2225</v>
      </c>
      <c r="C507" s="1" t="s">
        <v>2226</v>
      </c>
      <c r="D507" s="1"/>
      <c r="E507" s="1" t="s">
        <v>64</v>
      </c>
      <c r="F507" s="1" t="s">
        <v>2227</v>
      </c>
      <c r="G507" s="12">
        <v>10</v>
      </c>
      <c r="H507" s="13">
        <v>0</v>
      </c>
      <c r="I507" s="1" t="s">
        <v>2228</v>
      </c>
      <c r="J507" s="17" t="str" cm="1">
        <f t="array" ref="J507">SeCcolor($A$634:$A$644,I507)</f>
        <v/>
      </c>
    </row>
    <row r="508" spans="1:21">
      <c r="A508" s="22" t="s">
        <v>1516</v>
      </c>
      <c r="B508" s="1" t="s">
        <v>93</v>
      </c>
      <c r="C508" s="1" t="s">
        <v>176</v>
      </c>
      <c r="D508" s="12">
        <v>590</v>
      </c>
      <c r="E508" s="1" t="s">
        <v>127</v>
      </c>
      <c r="F508" s="1" t="s">
        <v>95</v>
      </c>
      <c r="G508" s="12">
        <v>10</v>
      </c>
      <c r="H508" s="13">
        <v>76</v>
      </c>
      <c r="I508" s="1" t="s">
        <v>96</v>
      </c>
      <c r="J508" s="17" t="str" cm="1">
        <f t="array" ref="J508">SeCcolor($A$634:$A$644,I508)</f>
        <v/>
      </c>
      <c r="M508" s="3"/>
      <c r="N508" s="3"/>
      <c r="O508" s="1"/>
      <c r="P508" s="1"/>
      <c r="Q508" s="1"/>
      <c r="R508" s="1"/>
      <c r="S508" s="1"/>
      <c r="T508" s="1"/>
      <c r="U508" s="1"/>
    </row>
    <row r="509" spans="1:21">
      <c r="A509" s="22" t="s">
        <v>2229</v>
      </c>
      <c r="B509" s="1" t="s">
        <v>2230</v>
      </c>
      <c r="C509" s="1" t="s">
        <v>1572</v>
      </c>
      <c r="D509" s="12">
        <v>114</v>
      </c>
      <c r="E509" s="1" t="s">
        <v>19</v>
      </c>
      <c r="F509" s="1" t="s">
        <v>2231</v>
      </c>
      <c r="G509" s="12">
        <v>10</v>
      </c>
      <c r="H509" s="13">
        <v>70</v>
      </c>
      <c r="I509" s="1" t="s">
        <v>2232</v>
      </c>
      <c r="J509" s="17" t="str" cm="1">
        <f t="array" ref="J509">SeCcolor($A$634:$A$644,I509)</f>
        <v/>
      </c>
    </row>
    <row r="510" spans="1:21">
      <c r="A510" s="22" t="s">
        <v>2233</v>
      </c>
      <c r="B510" s="1" t="s">
        <v>2234</v>
      </c>
      <c r="C510" s="1" t="s">
        <v>2235</v>
      </c>
      <c r="D510" s="12">
        <v>150</v>
      </c>
      <c r="E510" s="1" t="s">
        <v>2236</v>
      </c>
      <c r="F510" s="1">
        <v>997380167</v>
      </c>
      <c r="G510" s="12">
        <v>10</v>
      </c>
      <c r="H510" s="13">
        <v>60</v>
      </c>
      <c r="I510" s="1" t="s">
        <v>2237</v>
      </c>
      <c r="J510" s="17" t="str" cm="1">
        <f t="array" ref="J510">SeCcolor($A$634:$A$644,I510)</f>
        <v/>
      </c>
      <c r="L510" s="17"/>
      <c r="M510" s="2"/>
      <c r="N510" s="2"/>
    </row>
    <row r="511" spans="1:21">
      <c r="A511" s="22" t="s">
        <v>284</v>
      </c>
      <c r="B511" s="1" t="s">
        <v>2238</v>
      </c>
      <c r="C511" s="1" t="s">
        <v>37</v>
      </c>
      <c r="D511" s="12">
        <v>32</v>
      </c>
      <c r="E511" s="1" t="s">
        <v>19</v>
      </c>
      <c r="F511" s="1" t="s">
        <v>2239</v>
      </c>
      <c r="G511" s="12">
        <v>20</v>
      </c>
      <c r="H511" s="13">
        <v>50</v>
      </c>
      <c r="I511" s="1" t="s">
        <v>2240</v>
      </c>
      <c r="J511" s="17" t="str" cm="1">
        <f t="array" ref="J511">SeCcolor($A$634:$A$644,I511)</f>
        <v/>
      </c>
      <c r="M511" s="22" t="s">
        <v>2241</v>
      </c>
      <c r="N511" s="22"/>
    </row>
    <row r="512" spans="1:21">
      <c r="A512" s="22" t="s">
        <v>1813</v>
      </c>
      <c r="B512" s="1" t="s">
        <v>2242</v>
      </c>
      <c r="C512" s="1" t="s">
        <v>2243</v>
      </c>
      <c r="D512" s="1" t="s">
        <v>31</v>
      </c>
      <c r="E512" s="1" t="s">
        <v>90</v>
      </c>
      <c r="F512" s="1" t="s">
        <v>2244</v>
      </c>
      <c r="G512" s="12">
        <v>20</v>
      </c>
      <c r="H512" s="13">
        <v>70</v>
      </c>
      <c r="I512" s="1" t="s">
        <v>2245</v>
      </c>
      <c r="J512" s="17" t="str" cm="1">
        <f t="array" ref="J512">SeCcolor($A$634:$A$644,I512)</f>
        <v/>
      </c>
      <c r="M512" s="1"/>
      <c r="N512" s="1"/>
    </row>
    <row r="513" spans="1:21">
      <c r="A513" s="22" t="s">
        <v>2246</v>
      </c>
      <c r="B513" s="1" t="s">
        <v>2247</v>
      </c>
      <c r="C513" s="1" t="s">
        <v>2248</v>
      </c>
      <c r="D513" s="12">
        <v>885</v>
      </c>
      <c r="E513" s="1" t="s">
        <v>19</v>
      </c>
      <c r="F513" s="1" t="s">
        <v>2249</v>
      </c>
      <c r="G513" s="12">
        <v>20</v>
      </c>
      <c r="H513" s="13">
        <v>40</v>
      </c>
      <c r="I513" s="1" t="s">
        <v>2250</v>
      </c>
      <c r="J513" s="17" t="str" cm="1">
        <f t="array" ref="J513">SeCcolor($A$634:$A$644,I513)</f>
        <v/>
      </c>
    </row>
    <row r="514" spans="1:21">
      <c r="A514" s="22" t="s">
        <v>2251</v>
      </c>
      <c r="B514" s="1" t="s">
        <v>2252</v>
      </c>
      <c r="C514" s="1" t="s">
        <v>2213</v>
      </c>
      <c r="D514" s="12">
        <v>76</v>
      </c>
      <c r="E514" s="1" t="s">
        <v>19</v>
      </c>
      <c r="F514" s="1" t="s">
        <v>2253</v>
      </c>
      <c r="G514" s="12">
        <v>15</v>
      </c>
      <c r="H514" s="13">
        <v>50</v>
      </c>
      <c r="I514" s="1" t="s">
        <v>2254</v>
      </c>
      <c r="J514" s="17" t="str" cm="1">
        <f t="array" ref="J514">SeCcolor($A$634:$A$644,I514)</f>
        <v/>
      </c>
    </row>
    <row r="515" spans="1:21">
      <c r="A515" s="22" t="s">
        <v>2255</v>
      </c>
      <c r="B515" s="1" t="s">
        <v>2256</v>
      </c>
      <c r="C515" s="1" t="s">
        <v>136</v>
      </c>
      <c r="D515" s="12">
        <v>239</v>
      </c>
      <c r="E515" s="1" t="s">
        <v>32</v>
      </c>
      <c r="F515" s="1" t="s">
        <v>2257</v>
      </c>
      <c r="G515" s="12">
        <v>10</v>
      </c>
      <c r="H515" s="13">
        <v>50</v>
      </c>
      <c r="I515" s="1" t="s">
        <v>2258</v>
      </c>
      <c r="J515" s="17" t="str" cm="1">
        <f t="array" ref="J515">SeCcolor($A$634:$A$644,I515)</f>
        <v/>
      </c>
    </row>
    <row r="516" spans="1:21" s="22" customFormat="1">
      <c r="A516" s="22" t="s">
        <v>2259</v>
      </c>
      <c r="B516" s="1" t="s">
        <v>2260</v>
      </c>
      <c r="C516" s="1" t="s">
        <v>789</v>
      </c>
      <c r="D516" s="12">
        <v>38</v>
      </c>
      <c r="E516" s="1" t="s">
        <v>220</v>
      </c>
      <c r="F516" s="1" t="s">
        <v>2261</v>
      </c>
      <c r="G516" s="12">
        <v>20</v>
      </c>
      <c r="H516" s="13">
        <v>59.9</v>
      </c>
      <c r="I516" s="1" t="s">
        <v>2262</v>
      </c>
      <c r="J516" s="17" t="str" cm="1">
        <f t="array" ref="J516">SeCcolor($A$634:$A$644,I516)</f>
        <v/>
      </c>
      <c r="M516"/>
      <c r="N516"/>
      <c r="O516"/>
      <c r="P516"/>
      <c r="Q516"/>
      <c r="R516"/>
      <c r="S516"/>
      <c r="T516"/>
      <c r="U516"/>
    </row>
    <row r="517" spans="1:21">
      <c r="A517" s="22" t="s">
        <v>2263</v>
      </c>
      <c r="B517" s="267" t="s">
        <v>2264</v>
      </c>
      <c r="C517" s="1" t="s">
        <v>2265</v>
      </c>
      <c r="D517" s="12">
        <v>270</v>
      </c>
      <c r="E517" s="1" t="s">
        <v>19</v>
      </c>
      <c r="F517" s="1">
        <v>997266371</v>
      </c>
      <c r="G517" s="12">
        <v>5</v>
      </c>
      <c r="H517" s="13">
        <v>59.9</v>
      </c>
      <c r="I517" s="1" t="s">
        <v>2266</v>
      </c>
      <c r="J517" s="17" t="str" cm="1">
        <f t="array" ref="J517">SeCcolor($A$634:$A$644,I517)</f>
        <v/>
      </c>
    </row>
    <row r="518" spans="1:21">
      <c r="A518" s="22"/>
      <c r="B518" s="244" t="s">
        <v>2267</v>
      </c>
      <c r="C518" s="1"/>
      <c r="D518" s="12"/>
      <c r="E518" s="1"/>
      <c r="F518" s="1"/>
      <c r="G518" s="12"/>
      <c r="H518" s="13"/>
      <c r="I518" s="1"/>
      <c r="J518" s="17" t="str" cm="1">
        <f t="array" ref="J518">SeCcolor($A$634:$A$644,I518)</f>
        <v/>
      </c>
      <c r="O518" s="1"/>
      <c r="P518" s="1"/>
      <c r="Q518" s="1"/>
      <c r="R518" s="1"/>
      <c r="S518" s="1"/>
      <c r="T518" s="1"/>
      <c r="U518" s="1"/>
    </row>
    <row r="519" spans="1:21">
      <c r="A519" s="1" t="s">
        <v>2268</v>
      </c>
      <c r="B519" s="267" t="s">
        <v>2269</v>
      </c>
      <c r="C519" s="1" t="s">
        <v>2270</v>
      </c>
      <c r="D519" s="1" t="s">
        <v>1860</v>
      </c>
      <c r="E519" s="1" t="s">
        <v>19</v>
      </c>
      <c r="F519" s="1" t="s">
        <v>2271</v>
      </c>
      <c r="G519" s="12">
        <v>20</v>
      </c>
      <c r="H519" s="13">
        <v>40</v>
      </c>
      <c r="I519" s="1" t="s">
        <v>2272</v>
      </c>
      <c r="J519" s="17" t="str" cm="1">
        <f t="array" ref="J519">SeCcolor($A$634:$A$644,I519)</f>
        <v/>
      </c>
    </row>
    <row r="520" spans="1:21">
      <c r="A520" s="22"/>
      <c r="B520" s="242" t="s">
        <v>2273</v>
      </c>
      <c r="C520" s="1"/>
      <c r="D520" s="12"/>
      <c r="E520" s="1"/>
      <c r="F520" s="1"/>
      <c r="G520" s="12"/>
      <c r="H520" s="13"/>
      <c r="I520" s="1"/>
      <c r="J520" s="17" t="str" cm="1">
        <f t="array" ref="J520">SeCcolor($A$634:$A$644,I520)</f>
        <v/>
      </c>
      <c r="M520" s="2"/>
      <c r="N520" s="2"/>
    </row>
    <row r="521" spans="1:21">
      <c r="A521" s="1" t="s">
        <v>2274</v>
      </c>
      <c r="B521" s="344" t="s">
        <v>2275</v>
      </c>
      <c r="C521" s="1" t="s">
        <v>2276</v>
      </c>
      <c r="D521" s="12">
        <v>60</v>
      </c>
      <c r="E521" s="1" t="s">
        <v>19</v>
      </c>
      <c r="F521" s="1" t="s">
        <v>2277</v>
      </c>
      <c r="G521" s="12">
        <v>10</v>
      </c>
      <c r="H521" s="13">
        <v>50</v>
      </c>
      <c r="I521" s="1" t="s">
        <v>2278</v>
      </c>
      <c r="J521" s="17" t="str" cm="1">
        <f t="array" ref="J521">SeCcolor($A$634:$A$644,I521)</f>
        <v/>
      </c>
    </row>
    <row r="522" spans="1:21">
      <c r="A522" s="1" t="s">
        <v>2279</v>
      </c>
      <c r="B522" s="267" t="s">
        <v>2280</v>
      </c>
      <c r="C522" s="156" t="s">
        <v>1887</v>
      </c>
      <c r="D522" s="12">
        <v>278</v>
      </c>
      <c r="E522" s="1" t="s">
        <v>105</v>
      </c>
      <c r="F522" s="1" t="s">
        <v>2281</v>
      </c>
      <c r="G522" s="12">
        <v>20</v>
      </c>
      <c r="H522" s="13">
        <v>59.9</v>
      </c>
      <c r="I522" s="1" t="s">
        <v>2282</v>
      </c>
      <c r="J522" s="17" t="str" cm="1">
        <f t="array" ref="J522">SeCcolor($A$634:$A$644,I522)</f>
        <v/>
      </c>
    </row>
    <row r="523" spans="1:21">
      <c r="A523" s="1" t="s">
        <v>2283</v>
      </c>
      <c r="B523" s="267" t="s">
        <v>2284</v>
      </c>
      <c r="C523" s="1" t="s">
        <v>572</v>
      </c>
      <c r="D523" s="12">
        <v>751</v>
      </c>
      <c r="E523" s="1" t="s">
        <v>19</v>
      </c>
      <c r="F523" s="1" t="s">
        <v>2285</v>
      </c>
      <c r="G523" s="12">
        <v>10</v>
      </c>
      <c r="H523" s="13">
        <v>50</v>
      </c>
      <c r="I523" s="1" t="s">
        <v>2286</v>
      </c>
      <c r="J523" s="17" t="str" cm="1">
        <f t="array" ref="J523">SeCcolor($A$634:$A$644,I523)</f>
        <v/>
      </c>
      <c r="O523" s="1"/>
      <c r="P523" s="1"/>
      <c r="Q523" s="1"/>
      <c r="R523" s="1"/>
      <c r="S523" s="1"/>
      <c r="T523" s="1"/>
      <c r="U523" s="1"/>
    </row>
    <row r="524" spans="1:21">
      <c r="A524" s="22"/>
      <c r="B524" s="241" t="s">
        <v>2287</v>
      </c>
      <c r="C524" s="1"/>
      <c r="D524" s="12"/>
      <c r="E524" s="1"/>
      <c r="F524" s="1"/>
      <c r="G524" s="12"/>
      <c r="H524" s="13"/>
      <c r="I524" s="1"/>
      <c r="J524" s="17" t="str" cm="1">
        <f t="array" ref="J524">SeCcolor($A$634:$A$644,I524)</f>
        <v/>
      </c>
    </row>
    <row r="525" spans="1:21" s="1" customFormat="1">
      <c r="A525" s="22" t="s">
        <v>2288</v>
      </c>
      <c r="B525" s="159" t="s">
        <v>2289</v>
      </c>
      <c r="C525" s="159" t="s">
        <v>2290</v>
      </c>
      <c r="D525" s="160">
        <v>109</v>
      </c>
      <c r="E525" s="159" t="s">
        <v>105</v>
      </c>
      <c r="F525" s="159" t="s">
        <v>2291</v>
      </c>
      <c r="G525" s="160">
        <v>5</v>
      </c>
      <c r="H525" s="161">
        <v>100</v>
      </c>
      <c r="I525" s="159" t="s">
        <v>2292</v>
      </c>
      <c r="J525" s="17" t="str" cm="1">
        <f t="array" ref="J525">SeCcolor($A$634:$A$644,I525)</f>
        <v/>
      </c>
      <c r="K525" s="22"/>
      <c r="L525" s="22"/>
      <c r="M525"/>
      <c r="N525"/>
    </row>
    <row r="526" spans="1:21">
      <c r="A526" s="22" t="s">
        <v>451</v>
      </c>
      <c r="B526" s="159" t="s">
        <v>2293</v>
      </c>
      <c r="C526" s="159" t="s">
        <v>1426</v>
      </c>
      <c r="D526" s="160">
        <v>58</v>
      </c>
      <c r="E526" s="159" t="s">
        <v>19</v>
      </c>
      <c r="F526" s="159" t="s">
        <v>2294</v>
      </c>
      <c r="G526" s="160">
        <v>20</v>
      </c>
      <c r="H526" s="161">
        <v>90</v>
      </c>
      <c r="I526" s="159" t="s">
        <v>2295</v>
      </c>
      <c r="J526" s="17" t="str" cm="1">
        <f t="array" ref="J526">SeCcolor($A$634:$A$644,I526)</f>
        <v/>
      </c>
      <c r="O526" s="1"/>
      <c r="P526" s="1"/>
      <c r="Q526" s="1"/>
      <c r="R526" s="1"/>
      <c r="S526" s="1"/>
      <c r="T526" s="1"/>
      <c r="U526" s="1"/>
    </row>
    <row r="527" spans="1:21">
      <c r="A527" s="22" t="s">
        <v>2296</v>
      </c>
      <c r="B527" s="159" t="s">
        <v>2297</v>
      </c>
      <c r="C527" s="159" t="s">
        <v>2298</v>
      </c>
      <c r="D527" s="160">
        <v>124</v>
      </c>
      <c r="E527" s="159" t="s">
        <v>1020</v>
      </c>
      <c r="F527" s="159" t="s">
        <v>2299</v>
      </c>
      <c r="G527" s="160">
        <v>20</v>
      </c>
      <c r="H527" s="161">
        <v>59.9</v>
      </c>
      <c r="I527" s="159" t="s">
        <v>2300</v>
      </c>
      <c r="J527" s="17" t="str" cm="1">
        <f t="array" ref="J527">SeCcolor($A$634:$A$644,I527)</f>
        <v/>
      </c>
    </row>
    <row r="528" spans="1:21">
      <c r="A528" s="22" t="s">
        <v>2301</v>
      </c>
      <c r="B528" s="1" t="s">
        <v>2302</v>
      </c>
      <c r="C528" s="1" t="s">
        <v>2303</v>
      </c>
      <c r="D528" s="1" t="s">
        <v>42</v>
      </c>
      <c r="E528" s="1" t="s">
        <v>188</v>
      </c>
      <c r="F528" s="1" t="s">
        <v>2304</v>
      </c>
      <c r="G528" s="12">
        <v>25</v>
      </c>
      <c r="H528" s="13">
        <v>50</v>
      </c>
      <c r="I528" s="1" t="s">
        <v>2305</v>
      </c>
      <c r="J528" s="17" t="str" cm="1">
        <f t="array" ref="J528">SeCcolor($A$634:$A$644,I528)</f>
        <v/>
      </c>
      <c r="L528" s="22" t="s">
        <v>2306</v>
      </c>
    </row>
    <row r="529" spans="1:21">
      <c r="A529" s="22" t="s">
        <v>2307</v>
      </c>
      <c r="B529" s="159" t="s">
        <v>2308</v>
      </c>
      <c r="C529" s="159" t="s">
        <v>244</v>
      </c>
      <c r="D529" s="160">
        <v>905</v>
      </c>
      <c r="E529" s="159" t="s">
        <v>70</v>
      </c>
      <c r="F529" s="159" t="s">
        <v>2309</v>
      </c>
      <c r="G529" s="160">
        <v>15</v>
      </c>
      <c r="H529" s="161">
        <v>70</v>
      </c>
      <c r="I529" s="159" t="s">
        <v>2310</v>
      </c>
      <c r="J529" s="17" t="str" cm="1">
        <f t="array" ref="J529">SeCcolor($A$634:$A$644,I529)</f>
        <v/>
      </c>
      <c r="L529" s="17"/>
    </row>
    <row r="530" spans="1:21">
      <c r="A530" t="s">
        <v>2007</v>
      </c>
      <c r="B530" s="1" t="s">
        <v>2311</v>
      </c>
      <c r="C530" s="1" t="s">
        <v>2049</v>
      </c>
      <c r="D530" s="12">
        <v>81</v>
      </c>
      <c r="E530" s="1" t="s">
        <v>90</v>
      </c>
      <c r="F530" s="1" t="s">
        <v>2312</v>
      </c>
      <c r="G530" s="12">
        <v>1</v>
      </c>
      <c r="H530" s="13">
        <v>39.9</v>
      </c>
      <c r="I530" s="1" t="s">
        <v>2313</v>
      </c>
      <c r="J530" s="84" t="str" cm="1">
        <f t="array" ref="J530">SeCcolor($A$634:$A$644,I530)</f>
        <v/>
      </c>
      <c r="K530" s="1"/>
      <c r="L530" s="1"/>
      <c r="M530" s="1"/>
      <c r="N530" s="1"/>
      <c r="O530" s="1"/>
      <c r="P530" s="1"/>
      <c r="Q530" s="1"/>
      <c r="R530" s="1"/>
    </row>
    <row r="531" spans="1:21">
      <c r="A531" s="22" t="s">
        <v>2314</v>
      </c>
      <c r="B531" s="227" t="s">
        <v>2315</v>
      </c>
      <c r="C531" s="227" t="s">
        <v>2009</v>
      </c>
      <c r="D531" s="228">
        <v>104</v>
      </c>
      <c r="E531" s="227" t="s">
        <v>127</v>
      </c>
      <c r="F531" s="227" t="s">
        <v>2316</v>
      </c>
      <c r="G531" s="228">
        <v>20</v>
      </c>
      <c r="H531" s="229">
        <v>70</v>
      </c>
      <c r="I531" s="227" t="s">
        <v>2317</v>
      </c>
      <c r="J531" s="17" t="str" cm="1">
        <f t="array" ref="J531">SeCcolor($A$634:$A$644,I531)</f>
        <v/>
      </c>
    </row>
    <row r="532" spans="1:21">
      <c r="A532" s="22" t="s">
        <v>2318</v>
      </c>
      <c r="B532" s="159" t="s">
        <v>2319</v>
      </c>
      <c r="C532" s="159" t="s">
        <v>2320</v>
      </c>
      <c r="D532" s="159"/>
      <c r="E532" s="159" t="s">
        <v>25</v>
      </c>
      <c r="F532" s="159" t="s">
        <v>2321</v>
      </c>
      <c r="G532" s="160">
        <v>10</v>
      </c>
      <c r="H532" s="161">
        <v>0</v>
      </c>
      <c r="I532" s="159" t="s">
        <v>2322</v>
      </c>
      <c r="J532" s="17" t="str" cm="1">
        <f t="array" ref="J532">SeCcolor($A$634:$A$644,I532)</f>
        <v/>
      </c>
      <c r="O532" s="3"/>
      <c r="P532" s="3"/>
      <c r="Q532" s="3"/>
      <c r="R532" s="3"/>
      <c r="S532" s="3"/>
      <c r="T532" s="3"/>
      <c r="U532" s="3"/>
    </row>
    <row r="533" spans="1:21">
      <c r="A533" s="22" t="s">
        <v>2323</v>
      </c>
      <c r="B533" s="159" t="s">
        <v>2324</v>
      </c>
      <c r="C533" s="159" t="s">
        <v>1403</v>
      </c>
      <c r="D533" s="160">
        <v>211</v>
      </c>
      <c r="E533" s="159" t="s">
        <v>70</v>
      </c>
      <c r="F533" s="159" t="s">
        <v>2325</v>
      </c>
      <c r="G533" s="160">
        <v>15</v>
      </c>
      <c r="H533" s="161">
        <v>60</v>
      </c>
      <c r="I533" s="159" t="s">
        <v>2326</v>
      </c>
      <c r="J533" s="17" t="str" cm="1">
        <f t="array" ref="J533">SeCcolor($A$634:$A$644,I533)</f>
        <v/>
      </c>
      <c r="O533" s="1"/>
      <c r="P533" s="1"/>
      <c r="Q533" s="1"/>
      <c r="R533" s="1"/>
      <c r="S533" s="1"/>
      <c r="T533" s="1"/>
      <c r="U533" s="1"/>
    </row>
    <row r="534" spans="1:21" s="1" customFormat="1">
      <c r="A534" s="1" t="s">
        <v>2327</v>
      </c>
      <c r="B534" s="259" t="s">
        <v>2328</v>
      </c>
      <c r="C534" s="259" t="s">
        <v>2329</v>
      </c>
      <c r="D534" s="275">
        <v>385</v>
      </c>
      <c r="E534" s="259" t="s">
        <v>70</v>
      </c>
      <c r="F534" s="259" t="s">
        <v>2330</v>
      </c>
      <c r="G534" s="275">
        <v>10</v>
      </c>
      <c r="H534" s="276">
        <v>40</v>
      </c>
      <c r="I534" s="259" t="s">
        <v>2331</v>
      </c>
      <c r="J534" s="17" t="str" cm="1">
        <f t="array" ref="J534">SeCcolor($A$634:$A$644,I534)</f>
        <v/>
      </c>
      <c r="K534" s="22"/>
      <c r="L534" s="22"/>
      <c r="M534"/>
      <c r="N534"/>
      <c r="O534"/>
      <c r="P534"/>
      <c r="Q534"/>
      <c r="R534"/>
      <c r="S534"/>
      <c r="T534"/>
      <c r="U534"/>
    </row>
    <row r="535" spans="1:21">
      <c r="A535" s="22" t="s">
        <v>2332</v>
      </c>
      <c r="B535" s="159" t="s">
        <v>2333</v>
      </c>
      <c r="C535" s="159" t="s">
        <v>2334</v>
      </c>
      <c r="D535" s="160">
        <v>104</v>
      </c>
      <c r="E535" s="159" t="s">
        <v>25</v>
      </c>
      <c r="F535" s="159" t="s">
        <v>2335</v>
      </c>
      <c r="G535" s="160">
        <v>25</v>
      </c>
      <c r="H535" s="161">
        <v>50</v>
      </c>
      <c r="I535" s="159" t="s">
        <v>2336</v>
      </c>
      <c r="J535" s="17" t="str" cm="1">
        <f t="array" ref="J535">SeCcolor($A$634:$A$644,I535)</f>
        <v/>
      </c>
      <c r="O535" s="2"/>
      <c r="P535" s="2"/>
      <c r="Q535" s="2"/>
      <c r="R535" s="2"/>
      <c r="S535" s="2"/>
      <c r="T535" s="2"/>
      <c r="U535" s="2"/>
    </row>
    <row r="536" spans="1:21">
      <c r="A536" s="22" t="s">
        <v>2337</v>
      </c>
      <c r="B536" s="159" t="s">
        <v>2338</v>
      </c>
      <c r="C536" s="159" t="s">
        <v>2339</v>
      </c>
      <c r="D536" s="160">
        <v>13</v>
      </c>
      <c r="E536" s="159" t="s">
        <v>19</v>
      </c>
      <c r="F536" s="159" t="s">
        <v>2340</v>
      </c>
      <c r="G536" s="160">
        <v>10</v>
      </c>
      <c r="H536" s="161">
        <v>59</v>
      </c>
      <c r="I536" s="159" t="s">
        <v>2341</v>
      </c>
      <c r="J536" s="17" t="str" cm="1">
        <f t="array" ref="J536">SeCcolor($A$634:$A$644,I536)</f>
        <v/>
      </c>
      <c r="M536" s="22"/>
      <c r="N536" s="22"/>
      <c r="O536" s="1"/>
      <c r="P536" s="1"/>
      <c r="Q536" s="1"/>
      <c r="R536" s="1"/>
      <c r="S536" s="1"/>
      <c r="T536" s="1"/>
      <c r="U536" s="1"/>
    </row>
    <row r="537" spans="1:21">
      <c r="A537" s="22" t="s">
        <v>2342</v>
      </c>
      <c r="B537" s="159" t="s">
        <v>2343</v>
      </c>
      <c r="C537" s="159" t="s">
        <v>172</v>
      </c>
      <c r="D537" s="160">
        <v>774</v>
      </c>
      <c r="E537" s="159" t="s">
        <v>70</v>
      </c>
      <c r="F537" s="159" t="s">
        <v>2344</v>
      </c>
      <c r="G537" s="160">
        <v>30</v>
      </c>
      <c r="H537" s="161">
        <v>50</v>
      </c>
      <c r="I537" s="159" t="s">
        <v>2345</v>
      </c>
      <c r="J537" s="17" t="str" cm="1">
        <f t="array" ref="J537">SeCcolor($A$634:$A$644,I537)</f>
        <v/>
      </c>
      <c r="O537" s="22"/>
      <c r="P537" s="22"/>
      <c r="Q537" s="22"/>
      <c r="R537" s="22"/>
      <c r="S537" s="22"/>
      <c r="T537" s="22"/>
      <c r="U537" s="22"/>
    </row>
    <row r="538" spans="1:21">
      <c r="A538" s="22" t="s">
        <v>1001</v>
      </c>
      <c r="B538" s="159" t="s">
        <v>2346</v>
      </c>
      <c r="C538" s="159" t="s">
        <v>961</v>
      </c>
      <c r="D538" s="160">
        <v>722</v>
      </c>
      <c r="E538" s="159" t="s">
        <v>19</v>
      </c>
      <c r="F538" s="159" t="s">
        <v>2347</v>
      </c>
      <c r="G538" s="160">
        <v>10</v>
      </c>
      <c r="H538" s="161">
        <v>60</v>
      </c>
      <c r="I538" s="159" t="s">
        <v>2348</v>
      </c>
      <c r="J538" s="17" t="str" cm="1">
        <f t="array" ref="J538">SeCcolor($A$634:$A$644,I538)</f>
        <v/>
      </c>
      <c r="M538" t="s">
        <v>2349</v>
      </c>
      <c r="O538" s="22"/>
      <c r="P538" s="22"/>
      <c r="Q538" s="22"/>
      <c r="R538" s="22"/>
      <c r="S538" s="22"/>
      <c r="T538" s="22"/>
      <c r="U538" s="22"/>
    </row>
    <row r="539" spans="1:21">
      <c r="A539" s="22" t="s">
        <v>2350</v>
      </c>
      <c r="B539" s="159" t="s">
        <v>2351</v>
      </c>
      <c r="C539" s="159" t="s">
        <v>2352</v>
      </c>
      <c r="D539" s="160">
        <v>150</v>
      </c>
      <c r="E539" s="159" t="s">
        <v>32</v>
      </c>
      <c r="F539" s="159" t="s">
        <v>2353</v>
      </c>
      <c r="G539" s="160">
        <v>20</v>
      </c>
      <c r="H539" s="161">
        <v>50</v>
      </c>
      <c r="I539" s="159" t="s">
        <v>2354</v>
      </c>
      <c r="J539" s="17" t="str" cm="1">
        <f t="array" ref="J539">SeCcolor($A$634:$A$644,I539)</f>
        <v/>
      </c>
      <c r="O539" s="2"/>
      <c r="P539" s="2"/>
      <c r="Q539" s="2"/>
      <c r="R539" s="2"/>
      <c r="S539" s="2"/>
      <c r="T539" s="2"/>
      <c r="U539" s="2"/>
    </row>
    <row r="540" spans="1:21">
      <c r="A540" s="22" t="s">
        <v>2355</v>
      </c>
      <c r="B540" s="227" t="s">
        <v>2356</v>
      </c>
      <c r="C540" s="227" t="s">
        <v>2357</v>
      </c>
      <c r="D540" s="228">
        <v>240</v>
      </c>
      <c r="E540" s="227" t="s">
        <v>90</v>
      </c>
      <c r="F540" s="227" t="s">
        <v>2358</v>
      </c>
      <c r="G540" s="228">
        <v>25</v>
      </c>
      <c r="H540" s="229">
        <v>60</v>
      </c>
      <c r="I540" s="227" t="s">
        <v>2359</v>
      </c>
      <c r="J540" s="17" t="str" cm="1">
        <f t="array" ref="J540">SeCcolor($A$634:$A$644,I540)</f>
        <v/>
      </c>
      <c r="L540" s="17"/>
      <c r="M540" s="3"/>
      <c r="N540" s="3"/>
      <c r="O540" s="22"/>
      <c r="P540" s="22"/>
      <c r="Q540" s="22"/>
      <c r="R540" s="22"/>
      <c r="S540" s="22"/>
      <c r="T540" s="22"/>
      <c r="U540" s="22"/>
    </row>
    <row r="541" spans="1:21">
      <c r="A541" s="22" t="s">
        <v>2360</v>
      </c>
      <c r="B541" s="227" t="s">
        <v>2361</v>
      </c>
      <c r="C541" s="227" t="s">
        <v>2362</v>
      </c>
      <c r="D541" s="228">
        <v>49</v>
      </c>
      <c r="E541" s="227" t="s">
        <v>32</v>
      </c>
      <c r="F541" s="227" t="s">
        <v>2363</v>
      </c>
      <c r="G541" s="228">
        <v>23</v>
      </c>
      <c r="H541" s="229">
        <v>60</v>
      </c>
      <c r="I541" s="227" t="s">
        <v>2364</v>
      </c>
      <c r="J541" s="17" t="str" cm="1">
        <f t="array" ref="J541">SeCcolor($A$634:$A$644,I541)</f>
        <v/>
      </c>
      <c r="M541" s="10"/>
      <c r="N541" s="10"/>
    </row>
    <row r="542" spans="1:21">
      <c r="A542" s="22" t="s">
        <v>528</v>
      </c>
      <c r="B542" s="243" t="s">
        <v>2365</v>
      </c>
      <c r="C542" s="159" t="s">
        <v>446</v>
      </c>
      <c r="D542" s="160">
        <v>789</v>
      </c>
      <c r="E542" s="159" t="s">
        <v>19</v>
      </c>
      <c r="F542" s="159" t="s">
        <v>2366</v>
      </c>
      <c r="G542" s="160">
        <v>15</v>
      </c>
      <c r="H542" s="161">
        <v>59.9</v>
      </c>
      <c r="I542" s="159" t="s">
        <v>2367</v>
      </c>
      <c r="J542" s="17" t="str" cm="1">
        <f t="array" ref="J542">SeCcolor($A$634:$A$644,I542)</f>
        <v/>
      </c>
      <c r="O542" s="1"/>
      <c r="P542" s="1"/>
      <c r="Q542" s="1"/>
      <c r="R542" s="1"/>
      <c r="S542" s="1"/>
      <c r="T542" s="1"/>
      <c r="U542" s="1"/>
    </row>
    <row r="543" spans="1:21">
      <c r="A543" s="22" t="s">
        <v>2368</v>
      </c>
      <c r="B543" s="159" t="s">
        <v>2369</v>
      </c>
      <c r="C543" s="159" t="s">
        <v>1690</v>
      </c>
      <c r="D543" s="160">
        <v>280</v>
      </c>
      <c r="E543" s="159" t="s">
        <v>70</v>
      </c>
      <c r="F543" s="159" t="s">
        <v>2370</v>
      </c>
      <c r="G543" s="160">
        <v>25</v>
      </c>
      <c r="H543" s="161">
        <v>40</v>
      </c>
      <c r="I543" s="159" t="s">
        <v>2371</v>
      </c>
      <c r="J543" s="17" t="str" cm="1">
        <f t="array" ref="J543">SeCcolor($A$634:$A$644,I543)</f>
        <v/>
      </c>
    </row>
    <row r="544" spans="1:21">
      <c r="A544" s="22" t="s">
        <v>2372</v>
      </c>
      <c r="B544" s="159" t="s">
        <v>2373</v>
      </c>
      <c r="C544" s="159" t="s">
        <v>2374</v>
      </c>
      <c r="D544" s="160">
        <v>120</v>
      </c>
      <c r="E544" s="159" t="s">
        <v>90</v>
      </c>
      <c r="F544" s="159" t="s">
        <v>2375</v>
      </c>
      <c r="G544" s="160">
        <v>10</v>
      </c>
      <c r="H544" s="161">
        <v>60</v>
      </c>
      <c r="I544" s="159" t="s">
        <v>2376</v>
      </c>
      <c r="J544" s="17" t="str" cm="1">
        <f t="array" ref="J544">SeCcolor($A$634:$A$644,I544)</f>
        <v/>
      </c>
    </row>
    <row r="545" spans="1:21">
      <c r="A545" s="22" t="s">
        <v>401</v>
      </c>
      <c r="B545" s="159" t="s">
        <v>2377</v>
      </c>
      <c r="C545" s="159" t="s">
        <v>2378</v>
      </c>
      <c r="D545" s="160">
        <v>193</v>
      </c>
      <c r="E545" s="159" t="s">
        <v>325</v>
      </c>
      <c r="F545" s="159">
        <v>998078116</v>
      </c>
      <c r="G545" s="160">
        <v>20</v>
      </c>
      <c r="H545" s="161">
        <v>50</v>
      </c>
      <c r="I545" s="159" t="s">
        <v>2379</v>
      </c>
      <c r="J545" s="17" t="str" cm="1">
        <f t="array" ref="J545">SeCcolor($A$634:$A$644,I545)</f>
        <v/>
      </c>
      <c r="M545" s="2"/>
      <c r="N545" s="2"/>
    </row>
    <row r="546" spans="1:21" s="28" customFormat="1">
      <c r="A546" s="22" t="s">
        <v>2380</v>
      </c>
      <c r="B546" s="259" t="s">
        <v>1470</v>
      </c>
      <c r="C546" s="159" t="s">
        <v>157</v>
      </c>
      <c r="D546" s="160">
        <v>430</v>
      </c>
      <c r="E546" s="159" t="s">
        <v>19</v>
      </c>
      <c r="F546" s="159" t="s">
        <v>1472</v>
      </c>
      <c r="G546" s="160">
        <v>30</v>
      </c>
      <c r="H546" s="161">
        <v>50</v>
      </c>
      <c r="I546" s="159" t="s">
        <v>1473</v>
      </c>
      <c r="J546" s="17" t="str" cm="1">
        <f t="array" ref="J546">SeCcolor($A$634:$A$644,I546)</f>
        <v/>
      </c>
      <c r="K546" s="22"/>
      <c r="L546" s="17"/>
      <c r="M546"/>
      <c r="N546"/>
      <c r="O546"/>
      <c r="P546"/>
      <c r="Q546"/>
      <c r="R546"/>
      <c r="S546"/>
      <c r="T546"/>
      <c r="U546"/>
    </row>
    <row r="547" spans="1:21">
      <c r="A547" s="22" t="s">
        <v>2381</v>
      </c>
      <c r="B547" s="159" t="s">
        <v>2382</v>
      </c>
      <c r="C547" s="159" t="s">
        <v>2383</v>
      </c>
      <c r="D547" s="160">
        <v>100</v>
      </c>
      <c r="E547" s="159" t="s">
        <v>25</v>
      </c>
      <c r="F547" s="159" t="s">
        <v>2384</v>
      </c>
      <c r="G547" s="160">
        <v>15</v>
      </c>
      <c r="H547" s="161">
        <v>60</v>
      </c>
      <c r="I547" s="159" t="s">
        <v>2385</v>
      </c>
      <c r="J547" s="17" t="str" cm="1">
        <f t="array" ref="J547">SeCcolor($A$634:$A$644,I547)</f>
        <v/>
      </c>
      <c r="L547" s="17"/>
      <c r="M547" s="8"/>
      <c r="N547" s="8"/>
    </row>
    <row r="548" spans="1:21">
      <c r="A548" s="22" t="s">
        <v>2386</v>
      </c>
      <c r="B548" s="158" t="s">
        <v>2387</v>
      </c>
      <c r="C548" s="159" t="s">
        <v>2388</v>
      </c>
      <c r="D548" s="159" t="s">
        <v>31</v>
      </c>
      <c r="E548" s="159" t="s">
        <v>25</v>
      </c>
      <c r="F548" s="159" t="s">
        <v>2389</v>
      </c>
      <c r="G548" s="160">
        <v>20</v>
      </c>
      <c r="H548" s="161">
        <v>76</v>
      </c>
      <c r="I548" s="158" t="s">
        <v>2390</v>
      </c>
      <c r="J548" s="17" t="str" cm="1">
        <f t="array" ref="J548">SeCcolor($A$634:$A$644,I548)</f>
        <v/>
      </c>
    </row>
    <row r="549" spans="1:21">
      <c r="A549" s="22" t="s">
        <v>2391</v>
      </c>
      <c r="B549" s="159" t="s">
        <v>2392</v>
      </c>
      <c r="C549" s="159" t="s">
        <v>487</v>
      </c>
      <c r="D549" s="160">
        <v>201</v>
      </c>
      <c r="E549" s="159" t="s">
        <v>90</v>
      </c>
      <c r="F549" s="159" t="s">
        <v>2393</v>
      </c>
      <c r="G549" s="160">
        <v>15</v>
      </c>
      <c r="H549" s="161">
        <v>50</v>
      </c>
      <c r="I549" s="159" t="s">
        <v>2394</v>
      </c>
      <c r="J549" s="17" t="str" cm="1">
        <f t="array" ref="J549">SeCcolor($A$634:$A$644,I549)</f>
        <v/>
      </c>
      <c r="K549" s="22" t="s">
        <v>278</v>
      </c>
      <c r="O549" s="1"/>
      <c r="P549" s="1"/>
      <c r="Q549" s="1"/>
      <c r="R549" s="1"/>
      <c r="S549" s="1"/>
      <c r="T549" s="1"/>
      <c r="U549" s="1"/>
    </row>
    <row r="550" spans="1:21">
      <c r="A550" s="22" t="s">
        <v>2395</v>
      </c>
      <c r="B550" s="159" t="s">
        <v>2396</v>
      </c>
      <c r="C550" s="159" t="s">
        <v>341</v>
      </c>
      <c r="D550" s="160">
        <v>141</v>
      </c>
      <c r="E550" s="159" t="s">
        <v>64</v>
      </c>
      <c r="F550" s="159" t="s">
        <v>2397</v>
      </c>
      <c r="G550" s="160">
        <v>25</v>
      </c>
      <c r="H550" s="161">
        <v>40</v>
      </c>
      <c r="I550" s="159" t="s">
        <v>2398</v>
      </c>
      <c r="J550" s="17" t="str" cm="1">
        <f t="array" ref="J550">SeCcolor($A$634:$A$644,I550)</f>
        <v/>
      </c>
    </row>
    <row r="551" spans="1:21">
      <c r="A551" s="22" t="s">
        <v>2399</v>
      </c>
      <c r="B551" s="159" t="s">
        <v>2400</v>
      </c>
      <c r="C551" s="159" t="s">
        <v>2401</v>
      </c>
      <c r="D551" s="160">
        <v>41</v>
      </c>
      <c r="E551" s="159" t="s">
        <v>19</v>
      </c>
      <c r="F551" s="159" t="s">
        <v>2402</v>
      </c>
      <c r="G551" s="160">
        <v>20</v>
      </c>
      <c r="H551" s="161">
        <v>99.9</v>
      </c>
      <c r="I551" s="159" t="s">
        <v>2403</v>
      </c>
      <c r="J551" s="17" t="str" cm="1">
        <f t="array" ref="J551">SeCcolor($A$634:$A$644,I551)</f>
        <v/>
      </c>
    </row>
    <row r="552" spans="1:21">
      <c r="A552" s="22" t="s">
        <v>2404</v>
      </c>
      <c r="B552" s="159" t="s">
        <v>2405</v>
      </c>
      <c r="C552" s="159" t="s">
        <v>2406</v>
      </c>
      <c r="D552" s="159">
        <v>99</v>
      </c>
      <c r="E552" s="159" t="s">
        <v>25</v>
      </c>
      <c r="F552" s="159" t="s">
        <v>2407</v>
      </c>
      <c r="G552" s="159">
        <v>10</v>
      </c>
      <c r="H552" s="159">
        <v>60</v>
      </c>
      <c r="I552" s="159" t="s">
        <v>2408</v>
      </c>
      <c r="J552" s="17" t="str" cm="1">
        <f t="array" ref="J552">SeCcolor($A$634:$A$644,I552)</f>
        <v/>
      </c>
      <c r="M552" s="2"/>
      <c r="N552" s="2"/>
    </row>
    <row r="553" spans="1:21">
      <c r="A553" s="22" t="s">
        <v>2409</v>
      </c>
      <c r="B553" s="159" t="s">
        <v>2410</v>
      </c>
      <c r="C553" s="159" t="s">
        <v>2411</v>
      </c>
      <c r="D553" s="160">
        <v>20</v>
      </c>
      <c r="E553" s="159" t="s">
        <v>70</v>
      </c>
      <c r="F553" s="159" t="s">
        <v>2412</v>
      </c>
      <c r="G553" s="160">
        <v>10</v>
      </c>
      <c r="H553" s="161">
        <v>60</v>
      </c>
      <c r="I553" s="159" t="s">
        <v>2413</v>
      </c>
      <c r="J553" s="17" t="str" cm="1">
        <f t="array" ref="J553">SeCcolor($A$634:$A$644,I553)</f>
        <v/>
      </c>
      <c r="O553" s="1"/>
      <c r="P553" s="1"/>
      <c r="Q553" s="1"/>
      <c r="R553" s="1"/>
      <c r="S553" s="1"/>
      <c r="T553" s="1"/>
      <c r="U553" s="1"/>
    </row>
    <row r="554" spans="1:21">
      <c r="A554" s="22" t="s">
        <v>2414</v>
      </c>
      <c r="B554" s="159" t="s">
        <v>2415</v>
      </c>
      <c r="C554" s="159" t="s">
        <v>2416</v>
      </c>
      <c r="D554" s="160">
        <v>581</v>
      </c>
      <c r="E554" s="159" t="s">
        <v>1373</v>
      </c>
      <c r="F554" s="159" t="s">
        <v>2417</v>
      </c>
      <c r="G554" s="160">
        <v>20</v>
      </c>
      <c r="H554" s="161">
        <v>60</v>
      </c>
      <c r="I554" s="159" t="s">
        <v>2418</v>
      </c>
      <c r="J554" s="17" t="str" cm="1">
        <f t="array" ref="J554">SeCcolor($A$634:$A$644,I554)</f>
        <v/>
      </c>
    </row>
    <row r="555" spans="1:21">
      <c r="A555" t="s">
        <v>2419</v>
      </c>
      <c r="B555" s="159" t="s">
        <v>2420</v>
      </c>
      <c r="C555" s="159" t="s">
        <v>1664</v>
      </c>
      <c r="D555" s="160">
        <v>195</v>
      </c>
      <c r="E555" s="159" t="s">
        <v>90</v>
      </c>
      <c r="F555" s="159" t="s">
        <v>2421</v>
      </c>
      <c r="G555" s="160">
        <v>10</v>
      </c>
      <c r="H555" s="161">
        <v>60</v>
      </c>
      <c r="I555" s="159" t="s">
        <v>2422</v>
      </c>
      <c r="J555" s="17" t="str" cm="1">
        <f t="array" ref="J555">SeCcolor($A$634:$A$644,I555)</f>
        <v/>
      </c>
    </row>
    <row r="556" spans="1:21">
      <c r="A556" s="22" t="s">
        <v>2423</v>
      </c>
      <c r="B556" s="159" t="s">
        <v>2424</v>
      </c>
      <c r="C556" s="159" t="s">
        <v>2425</v>
      </c>
      <c r="D556" s="160">
        <v>50</v>
      </c>
      <c r="E556" s="159" t="s">
        <v>70</v>
      </c>
      <c r="F556" s="159" t="s">
        <v>2426</v>
      </c>
      <c r="G556" s="160">
        <v>25</v>
      </c>
      <c r="H556" s="161">
        <v>50</v>
      </c>
      <c r="I556" s="159" t="s">
        <v>2427</v>
      </c>
      <c r="J556" s="17" t="str" cm="1">
        <f t="array" ref="J556">SeCcolor($A$634:$A$644,I556)</f>
        <v/>
      </c>
      <c r="O556" s="22"/>
      <c r="P556" s="22"/>
      <c r="Q556" s="22"/>
      <c r="R556" s="22"/>
      <c r="S556" s="22"/>
      <c r="T556" s="22"/>
      <c r="U556" s="22"/>
    </row>
    <row r="557" spans="1:21">
      <c r="A557" s="22" t="s">
        <v>2428</v>
      </c>
      <c r="B557" s="243" t="s">
        <v>2429</v>
      </c>
      <c r="C557" s="159" t="s">
        <v>2430</v>
      </c>
      <c r="D557" s="160">
        <v>67</v>
      </c>
      <c r="E557" s="159" t="s">
        <v>25</v>
      </c>
      <c r="F557" s="160">
        <v>35999514567</v>
      </c>
      <c r="G557" s="160">
        <v>20</v>
      </c>
      <c r="H557" s="161">
        <v>59.9</v>
      </c>
      <c r="I557" s="159" t="s">
        <v>2431</v>
      </c>
      <c r="J557" s="17" t="str" cm="1">
        <f t="array" ref="J557">SeCcolor($A$634:$A$644,I557)</f>
        <v/>
      </c>
      <c r="M557" s="2"/>
      <c r="N557" s="2"/>
    </row>
    <row r="558" spans="1:21">
      <c r="A558" s="22" t="s">
        <v>401</v>
      </c>
      <c r="B558" s="158" t="s">
        <v>2432</v>
      </c>
      <c r="C558" s="159" t="s">
        <v>2433</v>
      </c>
      <c r="D558" s="160">
        <v>60</v>
      </c>
      <c r="E558" s="159" t="s">
        <v>314</v>
      </c>
      <c r="F558" s="159" t="s">
        <v>2434</v>
      </c>
      <c r="G558" s="160">
        <v>10</v>
      </c>
      <c r="H558" s="161">
        <v>70</v>
      </c>
      <c r="I558" s="159" t="s">
        <v>2435</v>
      </c>
      <c r="J558" s="17" t="str" cm="1">
        <f t="array" ref="J558">SeCcolor($A$634:$A$644,I558)</f>
        <v/>
      </c>
    </row>
    <row r="559" spans="1:21">
      <c r="A559" s="22" t="s">
        <v>2436</v>
      </c>
      <c r="B559" s="159" t="s">
        <v>2432</v>
      </c>
      <c r="C559" s="159" t="s">
        <v>1025</v>
      </c>
      <c r="D559" s="160">
        <v>80</v>
      </c>
      <c r="E559" s="159" t="s">
        <v>32</v>
      </c>
      <c r="F559" s="159" t="s">
        <v>2434</v>
      </c>
      <c r="G559" s="160">
        <v>10</v>
      </c>
      <c r="H559" s="161">
        <v>60</v>
      </c>
      <c r="I559" s="159" t="s">
        <v>2435</v>
      </c>
      <c r="J559" s="17" t="str" cm="1">
        <f t="array" ref="J559">SeCcolor($A$634:$A$644,I559)</f>
        <v/>
      </c>
      <c r="M559" s="2"/>
      <c r="N559" s="2"/>
      <c r="O559" s="22"/>
      <c r="P559" s="22"/>
      <c r="Q559" s="22"/>
      <c r="R559" s="22"/>
      <c r="S559" s="22"/>
      <c r="T559" s="22"/>
      <c r="U559" s="22"/>
    </row>
    <row r="560" spans="1:21">
      <c r="A560" s="22" t="s">
        <v>2437</v>
      </c>
      <c r="B560" s="243" t="s">
        <v>2438</v>
      </c>
      <c r="C560" s="159" t="s">
        <v>259</v>
      </c>
      <c r="D560" s="160">
        <v>716</v>
      </c>
      <c r="E560" s="159" t="s">
        <v>19</v>
      </c>
      <c r="F560" s="160">
        <v>999564317</v>
      </c>
      <c r="G560" s="160">
        <v>20</v>
      </c>
      <c r="H560" s="161">
        <v>50</v>
      </c>
      <c r="I560" s="159" t="s">
        <v>2439</v>
      </c>
      <c r="J560" s="17" t="str" cm="1">
        <f t="array" ref="J560">SeCcolor($A$634:$A$644,I560)</f>
        <v/>
      </c>
      <c r="O560" s="1"/>
      <c r="P560" s="1"/>
      <c r="Q560" s="1"/>
      <c r="R560" s="1"/>
      <c r="S560" s="1"/>
      <c r="T560" s="1"/>
      <c r="U560" s="1"/>
    </row>
    <row r="561" spans="1:21">
      <c r="A561" s="22" t="s">
        <v>401</v>
      </c>
      <c r="B561" s="158" t="s">
        <v>2440</v>
      </c>
      <c r="C561" s="159" t="s">
        <v>453</v>
      </c>
      <c r="D561" s="160">
        <v>275</v>
      </c>
      <c r="E561" s="159" t="s">
        <v>127</v>
      </c>
      <c r="F561" s="159" t="s">
        <v>2441</v>
      </c>
      <c r="G561" s="160">
        <v>20</v>
      </c>
      <c r="H561" s="161">
        <v>70</v>
      </c>
      <c r="I561" s="159" t="s">
        <v>2442</v>
      </c>
      <c r="J561" s="17" t="str" cm="1">
        <f t="array" ref="J561">SeCcolor($A$634:$A$644,I561)</f>
        <v/>
      </c>
    </row>
    <row r="562" spans="1:21">
      <c r="A562" s="22" t="s">
        <v>2443</v>
      </c>
      <c r="B562" s="159" t="s">
        <v>669</v>
      </c>
      <c r="C562" s="159" t="s">
        <v>2444</v>
      </c>
      <c r="D562" s="160">
        <v>942</v>
      </c>
      <c r="E562" s="159" t="s">
        <v>19</v>
      </c>
      <c r="F562" s="159" t="s">
        <v>671</v>
      </c>
      <c r="G562" s="160">
        <v>15</v>
      </c>
      <c r="H562" s="161">
        <v>50</v>
      </c>
      <c r="I562" s="159" t="s">
        <v>672</v>
      </c>
      <c r="J562" s="17" t="str" cm="1">
        <f t="array" ref="J562">SeCcolor($A$634:$A$644,I562)</f>
        <v/>
      </c>
      <c r="L562" s="17"/>
      <c r="O562" s="22"/>
      <c r="P562" s="22"/>
      <c r="Q562" s="22"/>
      <c r="R562" s="22"/>
      <c r="S562" s="22"/>
      <c r="T562" s="22"/>
      <c r="U562" s="22"/>
    </row>
    <row r="563" spans="1:21">
      <c r="A563" s="22" t="s">
        <v>2445</v>
      </c>
      <c r="B563" s="159" t="s">
        <v>2446</v>
      </c>
      <c r="C563" s="159" t="s">
        <v>2447</v>
      </c>
      <c r="D563" s="160">
        <v>192</v>
      </c>
      <c r="E563" s="159" t="s">
        <v>220</v>
      </c>
      <c r="F563" s="159" t="s">
        <v>2448</v>
      </c>
      <c r="G563" s="160">
        <v>10</v>
      </c>
      <c r="H563" s="161">
        <v>40</v>
      </c>
      <c r="I563" s="159" t="s">
        <v>2449</v>
      </c>
      <c r="J563" s="17" t="str" cm="1">
        <f t="array" ref="J563">SeCcolor($A$634:$A$644,I563)</f>
        <v/>
      </c>
      <c r="M563" s="207" t="s">
        <v>1163</v>
      </c>
      <c r="N563" s="22"/>
    </row>
    <row r="564" spans="1:21">
      <c r="A564" s="22" t="s">
        <v>2450</v>
      </c>
      <c r="B564" s="227" t="s">
        <v>2451</v>
      </c>
      <c r="C564" s="227" t="s">
        <v>2452</v>
      </c>
      <c r="D564" s="228">
        <v>326</v>
      </c>
      <c r="E564" s="227" t="s">
        <v>1020</v>
      </c>
      <c r="F564" s="227" t="s">
        <v>2453</v>
      </c>
      <c r="G564" s="228">
        <v>20</v>
      </c>
      <c r="H564" s="229">
        <v>59.9</v>
      </c>
      <c r="I564" s="227" t="s">
        <v>2454</v>
      </c>
      <c r="J564" s="17" t="str" cm="1">
        <f t="array" ref="J564">SeCcolor($A$634:$A$644,I564)</f>
        <v/>
      </c>
    </row>
    <row r="565" spans="1:21">
      <c r="A565" s="22" t="s">
        <v>673</v>
      </c>
      <c r="B565" s="285" t="s">
        <v>2455</v>
      </c>
      <c r="C565" s="159" t="s">
        <v>2456</v>
      </c>
      <c r="D565" s="160">
        <v>117</v>
      </c>
      <c r="E565" s="159" t="s">
        <v>19</v>
      </c>
      <c r="F565" s="159" t="s">
        <v>2457</v>
      </c>
      <c r="G565" s="160">
        <v>10</v>
      </c>
      <c r="H565" s="161">
        <v>50</v>
      </c>
      <c r="I565" s="158" t="s">
        <v>2458</v>
      </c>
      <c r="J565" s="17" t="str" cm="1">
        <f t="array" ref="J565">SeCcolor($A$634:$A$644,I565)</f>
        <v/>
      </c>
    </row>
    <row r="566" spans="1:21">
      <c r="A566" s="22" t="s">
        <v>401</v>
      </c>
      <c r="B566" s="159" t="s">
        <v>2459</v>
      </c>
      <c r="C566" s="159" t="s">
        <v>2460</v>
      </c>
      <c r="D566" s="160">
        <v>40</v>
      </c>
      <c r="E566" s="159" t="s">
        <v>70</v>
      </c>
      <c r="F566" s="159" t="s">
        <v>2461</v>
      </c>
      <c r="G566" s="160">
        <v>10</v>
      </c>
      <c r="H566" s="161">
        <v>70</v>
      </c>
      <c r="I566" s="159" t="s">
        <v>2462</v>
      </c>
      <c r="J566" s="17" t="str" cm="1">
        <f t="array" ref="J566">SeCcolor($A$634:$A$644,I566)</f>
        <v/>
      </c>
      <c r="M566" s="3"/>
      <c r="N566" s="3"/>
      <c r="O566" s="1"/>
      <c r="P566" s="1"/>
      <c r="Q566" s="1"/>
      <c r="R566" s="1"/>
      <c r="S566" s="1"/>
      <c r="T566" s="1"/>
      <c r="U566" s="1"/>
    </row>
    <row r="567" spans="1:21">
      <c r="A567" s="22" t="s">
        <v>2463</v>
      </c>
      <c r="B567" s="159" t="s">
        <v>2464</v>
      </c>
      <c r="C567" s="159" t="s">
        <v>1165</v>
      </c>
      <c r="D567" s="160">
        <v>399</v>
      </c>
      <c r="E567" s="159" t="s">
        <v>19</v>
      </c>
      <c r="F567" s="159" t="s">
        <v>2465</v>
      </c>
      <c r="G567" s="160">
        <v>15</v>
      </c>
      <c r="H567" s="161">
        <v>50</v>
      </c>
      <c r="I567" s="159" t="s">
        <v>2466</v>
      </c>
      <c r="J567" s="17" t="str" cm="1">
        <f t="array" ref="J567">SeCcolor($A$634:$A$644,I567)</f>
        <v/>
      </c>
      <c r="O567" s="22"/>
      <c r="P567" s="22"/>
      <c r="Q567" s="22"/>
      <c r="R567" s="22"/>
      <c r="S567" s="22"/>
      <c r="T567" s="22"/>
      <c r="U567" s="22"/>
    </row>
    <row r="568" spans="1:21">
      <c r="A568" s="22" t="s">
        <v>834</v>
      </c>
      <c r="B568" s="159" t="s">
        <v>2467</v>
      </c>
      <c r="C568" s="159" t="s">
        <v>2468</v>
      </c>
      <c r="D568" s="160">
        <v>315</v>
      </c>
      <c r="E568" s="159" t="s">
        <v>19</v>
      </c>
      <c r="F568" s="159" t="s">
        <v>2469</v>
      </c>
      <c r="G568" s="160">
        <v>10</v>
      </c>
      <c r="H568" s="161">
        <v>75</v>
      </c>
      <c r="I568" s="159" t="s">
        <v>2470</v>
      </c>
      <c r="J568" s="17" t="str" cm="1">
        <f t="array" ref="J568">SeCcolor($A$634:$A$644,I568)</f>
        <v/>
      </c>
      <c r="M568" s="2"/>
      <c r="N568" s="2"/>
    </row>
    <row r="569" spans="1:21">
      <c r="A569" s="1" t="s">
        <v>528</v>
      </c>
      <c r="B569" s="159" t="s">
        <v>2471</v>
      </c>
      <c r="C569" s="159" t="s">
        <v>244</v>
      </c>
      <c r="D569" s="160">
        <v>276</v>
      </c>
      <c r="E569" s="159" t="s">
        <v>2472</v>
      </c>
      <c r="F569" s="159" t="s">
        <v>2473</v>
      </c>
      <c r="G569" s="160">
        <v>10</v>
      </c>
      <c r="H569" s="161">
        <v>50</v>
      </c>
      <c r="I569" s="159" t="s">
        <v>2474</v>
      </c>
      <c r="J569" s="17" t="str" cm="1">
        <f t="array" ref="J569">SeCcolor($A$634:$A$644,I569)</f>
        <v/>
      </c>
      <c r="K569" s="22" t="s">
        <v>278</v>
      </c>
    </row>
    <row r="570" spans="1:21">
      <c r="A570" s="22" t="s">
        <v>547</v>
      </c>
      <c r="B570" s="159" t="s">
        <v>2475</v>
      </c>
      <c r="C570" s="159" t="s">
        <v>2476</v>
      </c>
      <c r="D570" s="160">
        <v>100</v>
      </c>
      <c r="E570" s="159" t="s">
        <v>70</v>
      </c>
      <c r="F570" s="159" t="s">
        <v>2477</v>
      </c>
      <c r="G570" s="160">
        <v>10</v>
      </c>
      <c r="H570" s="161">
        <v>60</v>
      </c>
      <c r="I570" s="159" t="s">
        <v>2478</v>
      </c>
      <c r="J570" s="17" t="str" cm="1">
        <f t="array" ref="J570">SeCcolor($A$634:$A$644,I570)</f>
        <v/>
      </c>
    </row>
    <row r="571" spans="1:21">
      <c r="A571" s="1" t="s">
        <v>2479</v>
      </c>
      <c r="B571" s="159" t="s">
        <v>2480</v>
      </c>
      <c r="C571" s="159" t="s">
        <v>2481</v>
      </c>
      <c r="D571" s="160">
        <v>160</v>
      </c>
      <c r="E571" s="159" t="s">
        <v>70</v>
      </c>
      <c r="F571" s="159" t="s">
        <v>2482</v>
      </c>
      <c r="G571" s="160">
        <v>10</v>
      </c>
      <c r="H571" s="161">
        <v>50</v>
      </c>
      <c r="I571" s="159" t="s">
        <v>2483</v>
      </c>
      <c r="J571" s="17" t="str" cm="1">
        <f t="array" ref="J571">SeCcolor($A$634:$A$644,I571)</f>
        <v/>
      </c>
      <c r="K571" s="22" t="s">
        <v>278</v>
      </c>
    </row>
    <row r="572" spans="1:21">
      <c r="A572" s="22" t="s">
        <v>2484</v>
      </c>
      <c r="B572" s="159" t="s">
        <v>2485</v>
      </c>
      <c r="C572" s="159" t="s">
        <v>2213</v>
      </c>
      <c r="D572" s="160">
        <v>628</v>
      </c>
      <c r="E572" s="159" t="s">
        <v>19</v>
      </c>
      <c r="F572" s="284" t="s">
        <v>2486</v>
      </c>
      <c r="G572" s="160">
        <v>5</v>
      </c>
      <c r="H572" s="161">
        <v>60</v>
      </c>
      <c r="I572" s="159" t="s">
        <v>2487</v>
      </c>
      <c r="J572" s="17" t="str" cm="1">
        <f t="array" ref="J572">SeCcolor($A$634:$A$644,I572)</f>
        <v/>
      </c>
      <c r="N572" s="31"/>
    </row>
    <row r="573" spans="1:21">
      <c r="A573" s="22" t="s">
        <v>566</v>
      </c>
      <c r="B573" s="158" t="s">
        <v>2488</v>
      </c>
      <c r="C573" s="159" t="s">
        <v>1501</v>
      </c>
      <c r="D573" s="160">
        <v>54</v>
      </c>
      <c r="E573" s="159" t="s">
        <v>90</v>
      </c>
      <c r="F573" s="159">
        <v>998297902</v>
      </c>
      <c r="G573" s="160">
        <v>5</v>
      </c>
      <c r="H573" s="161">
        <v>69.900000000000006</v>
      </c>
      <c r="I573" s="159" t="s">
        <v>2489</v>
      </c>
      <c r="J573" s="17" t="str" cm="1">
        <f t="array" ref="J573">SeCcolor($A$634:$A$644,I573)</f>
        <v/>
      </c>
    </row>
    <row r="574" spans="1:21">
      <c r="A574" s="1" t="s">
        <v>2490</v>
      </c>
      <c r="B574" s="1" t="s">
        <v>2491</v>
      </c>
      <c r="C574" s="1" t="s">
        <v>269</v>
      </c>
      <c r="D574" s="12">
        <v>127</v>
      </c>
      <c r="E574" s="1" t="s">
        <v>270</v>
      </c>
      <c r="F574" s="1" t="s">
        <v>2492</v>
      </c>
      <c r="G574" s="12">
        <v>5</v>
      </c>
      <c r="H574" s="13">
        <v>50</v>
      </c>
      <c r="I574" s="1" t="s">
        <v>2493</v>
      </c>
      <c r="J574" s="17" t="str" cm="1">
        <f t="array" ref="J574">SeCcolor($A$634:$A$644,I574)</f>
        <v/>
      </c>
      <c r="K574" s="22" t="s">
        <v>278</v>
      </c>
      <c r="M574" t="s">
        <v>1055</v>
      </c>
      <c r="O574" s="2"/>
      <c r="P574" s="2"/>
      <c r="Q574" s="2"/>
      <c r="R574" s="2"/>
      <c r="S574" s="2"/>
      <c r="T574" s="2"/>
      <c r="U574" s="2"/>
    </row>
    <row r="575" spans="1:21">
      <c r="A575" s="22" t="s">
        <v>2494</v>
      </c>
      <c r="B575" s="159" t="s">
        <v>2495</v>
      </c>
      <c r="C575" s="159" t="s">
        <v>1208</v>
      </c>
      <c r="D575" s="160">
        <v>70</v>
      </c>
      <c r="E575" s="159" t="s">
        <v>32</v>
      </c>
      <c r="F575" s="159">
        <v>34999098884</v>
      </c>
      <c r="G575" s="160">
        <v>10</v>
      </c>
      <c r="H575" s="161">
        <v>60</v>
      </c>
      <c r="I575" s="159" t="s">
        <v>2496</v>
      </c>
      <c r="J575" s="17" t="str" cm="1">
        <f t="array" ref="J575">SeCcolor($A$634:$A$644,I575)</f>
        <v/>
      </c>
      <c r="M575" s="3"/>
      <c r="N575" s="3"/>
      <c r="O575" s="2"/>
      <c r="P575" s="2"/>
      <c r="Q575" s="2"/>
      <c r="R575" s="2"/>
      <c r="S575" s="2"/>
      <c r="T575" s="2"/>
      <c r="U575" s="2"/>
    </row>
    <row r="576" spans="1:21">
      <c r="A576" s="22" t="s">
        <v>2497</v>
      </c>
      <c r="B576" s="159" t="s">
        <v>2498</v>
      </c>
      <c r="C576" s="159" t="s">
        <v>254</v>
      </c>
      <c r="D576" s="160">
        <v>140</v>
      </c>
      <c r="E576" s="159" t="s">
        <v>90</v>
      </c>
      <c r="F576" s="159" t="s">
        <v>2499</v>
      </c>
      <c r="G576" s="160">
        <v>20</v>
      </c>
      <c r="H576" s="161">
        <v>50</v>
      </c>
      <c r="I576" s="159" t="s">
        <v>2500</v>
      </c>
      <c r="J576" s="17" t="str" cm="1">
        <f t="array" ref="J576">SeCcolor($A$634:$A$644,I576)</f>
        <v/>
      </c>
      <c r="K576" s="22" t="s">
        <v>278</v>
      </c>
      <c r="M576" t="s">
        <v>1495</v>
      </c>
      <c r="O576" s="3"/>
      <c r="P576" s="3"/>
      <c r="Q576" s="3"/>
      <c r="R576" s="3"/>
      <c r="S576" s="3"/>
      <c r="T576" s="3"/>
      <c r="U576" s="3"/>
    </row>
    <row r="577" spans="1:21">
      <c r="A577" s="22" t="s">
        <v>2501</v>
      </c>
      <c r="B577" s="159" t="s">
        <v>2502</v>
      </c>
      <c r="C577" s="159" t="s">
        <v>2503</v>
      </c>
      <c r="D577" s="160">
        <v>590</v>
      </c>
      <c r="E577" s="159" t="s">
        <v>19</v>
      </c>
      <c r="F577" s="159" t="s">
        <v>2504</v>
      </c>
      <c r="G577" s="160">
        <v>20</v>
      </c>
      <c r="H577" s="161">
        <v>0</v>
      </c>
      <c r="I577" s="159" t="s">
        <v>2505</v>
      </c>
      <c r="J577" s="17" t="str" cm="1">
        <f t="array" ref="J577">SeCcolor($A$634:$A$644,I577)</f>
        <v/>
      </c>
      <c r="L577" s="17"/>
    </row>
    <row r="578" spans="1:21">
      <c r="A578" s="22" t="s">
        <v>1201</v>
      </c>
      <c r="B578" s="159" t="s">
        <v>2506</v>
      </c>
      <c r="C578" s="159" t="s">
        <v>2507</v>
      </c>
      <c r="D578" s="159"/>
      <c r="E578" s="159" t="s">
        <v>19</v>
      </c>
      <c r="F578" s="159" t="s">
        <v>2508</v>
      </c>
      <c r="G578" s="160">
        <v>10</v>
      </c>
      <c r="H578" s="161">
        <v>0</v>
      </c>
      <c r="I578" s="159" t="s">
        <v>2509</v>
      </c>
      <c r="J578" s="17" t="str" cm="1">
        <f t="array" ref="J578">SeCcolor($A$634:$A$644,I578)</f>
        <v/>
      </c>
    </row>
    <row r="579" spans="1:21">
      <c r="A579" s="22" t="s">
        <v>134</v>
      </c>
      <c r="B579" s="259" t="s">
        <v>2510</v>
      </c>
      <c r="C579" s="159" t="s">
        <v>2511</v>
      </c>
      <c r="D579" s="160">
        <v>500</v>
      </c>
      <c r="E579" s="159" t="s">
        <v>270</v>
      </c>
      <c r="F579" s="159" t="s">
        <v>2512</v>
      </c>
      <c r="G579" s="160">
        <v>20</v>
      </c>
      <c r="H579" s="161">
        <v>50</v>
      </c>
      <c r="I579" s="159" t="s">
        <v>2513</v>
      </c>
      <c r="J579" s="17" t="str" cm="1">
        <f t="array" ref="J579">SeCcolor($A$634:$A$644,I579)</f>
        <v/>
      </c>
      <c r="K579" s="22" t="s">
        <v>278</v>
      </c>
    </row>
    <row r="580" spans="1:21" s="1" customFormat="1">
      <c r="A580" s="234">
        <v>44050</v>
      </c>
      <c r="B580" s="227" t="s">
        <v>2514</v>
      </c>
      <c r="C580" s="227" t="s">
        <v>2515</v>
      </c>
      <c r="D580" s="227" t="s">
        <v>31</v>
      </c>
      <c r="E580" s="227" t="s">
        <v>48</v>
      </c>
      <c r="F580" s="227" t="s">
        <v>2516</v>
      </c>
      <c r="G580" s="228">
        <v>10</v>
      </c>
      <c r="H580" s="229">
        <v>50</v>
      </c>
      <c r="I580" s="227" t="s">
        <v>2517</v>
      </c>
      <c r="J580" s="17" t="str" cm="1">
        <f t="array" ref="J580">SeCcolor($A$634:$A$644,I580)</f>
        <v/>
      </c>
      <c r="K580" s="22"/>
      <c r="L580" s="22"/>
      <c r="M580"/>
      <c r="N580"/>
      <c r="O580"/>
      <c r="P580"/>
      <c r="Q580"/>
      <c r="R580"/>
      <c r="S580"/>
      <c r="T580"/>
      <c r="U580"/>
    </row>
    <row r="581" spans="1:21">
      <c r="A581" s="22" t="s">
        <v>2518</v>
      </c>
      <c r="B581" s="159" t="s">
        <v>2519</v>
      </c>
      <c r="C581" s="159" t="s">
        <v>961</v>
      </c>
      <c r="D581" s="160">
        <v>737</v>
      </c>
      <c r="E581" s="159" t="s">
        <v>19</v>
      </c>
      <c r="F581" s="159" t="s">
        <v>2520</v>
      </c>
      <c r="G581" s="160">
        <v>10</v>
      </c>
      <c r="H581" s="161">
        <v>75.900000000000006</v>
      </c>
      <c r="I581" s="159" t="s">
        <v>2521</v>
      </c>
      <c r="J581" s="17" t="str" cm="1">
        <f t="array" ref="J581">SeCcolor($A$634:$A$644,I581)</f>
        <v/>
      </c>
      <c r="M581" s="29"/>
      <c r="N581" s="29"/>
    </row>
    <row r="582" spans="1:21">
      <c r="A582" s="22" t="s">
        <v>2522</v>
      </c>
      <c r="B582" s="159" t="s">
        <v>2523</v>
      </c>
      <c r="C582" s="159" t="s">
        <v>2524</v>
      </c>
      <c r="D582" s="160">
        <v>222</v>
      </c>
      <c r="E582" s="159" t="s">
        <v>19</v>
      </c>
      <c r="F582" s="159" t="s">
        <v>2525</v>
      </c>
      <c r="G582" s="160">
        <v>30</v>
      </c>
      <c r="H582" s="161">
        <v>50</v>
      </c>
      <c r="I582" s="159" t="s">
        <v>2526</v>
      </c>
      <c r="J582" s="17" t="str" cm="1">
        <f t="array" ref="J582">SeCcolor($A$634:$A$644,I582)</f>
        <v/>
      </c>
      <c r="M582" s="22" t="s">
        <v>2241</v>
      </c>
      <c r="N582" s="22"/>
    </row>
    <row r="583" spans="1:21">
      <c r="A583" s="22" t="s">
        <v>339</v>
      </c>
      <c r="B583" s="1" t="s">
        <v>2527</v>
      </c>
      <c r="C583" s="1" t="s">
        <v>1457</v>
      </c>
      <c r="D583" s="12">
        <v>347</v>
      </c>
      <c r="E583" s="1"/>
      <c r="F583" s="1" t="s">
        <v>2528</v>
      </c>
      <c r="G583" s="12">
        <v>20</v>
      </c>
      <c r="H583" s="13">
        <v>50</v>
      </c>
      <c r="I583" s="1" t="s">
        <v>2529</v>
      </c>
      <c r="J583" s="17" t="str" cm="1">
        <f t="array" ref="J583">SeCcolor($A$634:$A$644,I583)</f>
        <v/>
      </c>
    </row>
    <row r="584" spans="1:21">
      <c r="A584" s="22" t="s">
        <v>1840</v>
      </c>
      <c r="B584" s="159" t="s">
        <v>2530</v>
      </c>
      <c r="C584" s="159" t="s">
        <v>2456</v>
      </c>
      <c r="D584" s="159" t="s">
        <v>31</v>
      </c>
      <c r="E584" s="159" t="s">
        <v>105</v>
      </c>
      <c r="F584" s="159"/>
      <c r="G584" s="160">
        <v>20</v>
      </c>
      <c r="H584" s="161">
        <v>50</v>
      </c>
      <c r="I584" s="159" t="s">
        <v>2531</v>
      </c>
      <c r="J584" s="17" t="str" cm="1">
        <f t="array" ref="J584">SeCcolor($A$634:$A$644,I584)</f>
        <v/>
      </c>
      <c r="K584" s="22" t="s">
        <v>278</v>
      </c>
      <c r="M584" s="22"/>
      <c r="N584" s="22"/>
    </row>
    <row r="585" spans="1:21">
      <c r="A585" s="22" t="s">
        <v>612</v>
      </c>
      <c r="B585" s="159" t="s">
        <v>2532</v>
      </c>
      <c r="C585" s="159" t="s">
        <v>784</v>
      </c>
      <c r="D585" s="160">
        <v>167</v>
      </c>
      <c r="E585" s="159" t="s">
        <v>64</v>
      </c>
      <c r="F585" s="159" t="s">
        <v>2533</v>
      </c>
      <c r="G585" s="160">
        <v>20</v>
      </c>
      <c r="H585" s="161">
        <v>50</v>
      </c>
      <c r="I585" s="159" t="s">
        <v>2534</v>
      </c>
      <c r="J585" s="17" t="str" cm="1">
        <f t="array" ref="J585">SeCcolor($A$634:$A$644,I585)</f>
        <v/>
      </c>
    </row>
    <row r="586" spans="1:21">
      <c r="A586" s="22" t="s">
        <v>2171</v>
      </c>
      <c r="B586" s="159" t="s">
        <v>1308</v>
      </c>
      <c r="C586" s="159" t="s">
        <v>2535</v>
      </c>
      <c r="D586" s="159" t="s">
        <v>31</v>
      </c>
      <c r="E586" s="159" t="s">
        <v>2536</v>
      </c>
      <c r="F586" s="159" t="s">
        <v>1309</v>
      </c>
      <c r="G586" s="160">
        <v>20</v>
      </c>
      <c r="H586" s="161">
        <v>40</v>
      </c>
      <c r="I586" s="159" t="s">
        <v>1310</v>
      </c>
      <c r="J586" s="17" t="str" cm="1">
        <f t="array" ref="J586">SeCcolor($A$634:$A$644,I586)</f>
        <v/>
      </c>
    </row>
    <row r="587" spans="1:21">
      <c r="A587" s="22" t="s">
        <v>2445</v>
      </c>
      <c r="B587" s="259" t="s">
        <v>2537</v>
      </c>
      <c r="C587" s="159" t="s">
        <v>331</v>
      </c>
      <c r="D587" s="160">
        <v>380</v>
      </c>
      <c r="E587" s="159" t="s">
        <v>70</v>
      </c>
      <c r="F587" s="159" t="s">
        <v>2538</v>
      </c>
      <c r="G587" s="160">
        <v>10</v>
      </c>
      <c r="H587" s="161">
        <v>40</v>
      </c>
      <c r="I587" s="159" t="s">
        <v>2539</v>
      </c>
      <c r="J587" s="17" t="str" cm="1">
        <f t="array" ref="J587">SeCcolor($A$634:$A$644,I587)</f>
        <v/>
      </c>
      <c r="K587" s="22" t="s">
        <v>278</v>
      </c>
      <c r="M587" s="207" t="s">
        <v>2540</v>
      </c>
      <c r="N587" s="22"/>
      <c r="O587" s="28"/>
      <c r="P587" s="28"/>
      <c r="Q587" s="28"/>
      <c r="R587" s="28"/>
      <c r="S587" s="28"/>
      <c r="T587" s="28"/>
      <c r="U587" s="28"/>
    </row>
    <row r="588" spans="1:21">
      <c r="A588" s="22" t="s">
        <v>2541</v>
      </c>
      <c r="B588" s="159" t="s">
        <v>2542</v>
      </c>
      <c r="C588" s="159" t="s">
        <v>2543</v>
      </c>
      <c r="D588" s="160">
        <v>29</v>
      </c>
      <c r="E588" s="159" t="s">
        <v>70</v>
      </c>
      <c r="F588" s="159" t="s">
        <v>2544</v>
      </c>
      <c r="G588" s="160">
        <v>30</v>
      </c>
      <c r="H588" s="161">
        <v>60</v>
      </c>
      <c r="I588" s="159" t="s">
        <v>2545</v>
      </c>
      <c r="J588" s="17" t="str" cm="1">
        <f t="array" ref="J588">SeCcolor($A$634:$A$644,I588)</f>
        <v/>
      </c>
    </row>
    <row r="589" spans="1:21">
      <c r="A589" s="22" t="s">
        <v>647</v>
      </c>
      <c r="B589" s="159" t="s">
        <v>2542</v>
      </c>
      <c r="C589" s="159" t="s">
        <v>572</v>
      </c>
      <c r="D589" s="160">
        <v>55</v>
      </c>
      <c r="E589" s="159" t="s">
        <v>19</v>
      </c>
      <c r="F589" s="159" t="s">
        <v>2544</v>
      </c>
      <c r="G589" s="160">
        <v>30</v>
      </c>
      <c r="H589" s="161">
        <v>50</v>
      </c>
      <c r="I589" s="159" t="s">
        <v>2545</v>
      </c>
      <c r="J589" s="17" t="str" cm="1">
        <f t="array" ref="J589">SeCcolor($A$634:$A$644,I589)</f>
        <v/>
      </c>
    </row>
    <row r="590" spans="1:21">
      <c r="A590" s="22" t="s">
        <v>647</v>
      </c>
      <c r="B590" s="159" t="s">
        <v>1202</v>
      </c>
      <c r="C590" s="159" t="s">
        <v>2546</v>
      </c>
      <c r="D590" s="160">
        <v>16</v>
      </c>
      <c r="E590" s="159" t="s">
        <v>19</v>
      </c>
      <c r="F590" s="159"/>
      <c r="G590" s="160">
        <v>25</v>
      </c>
      <c r="H590" s="161">
        <v>50</v>
      </c>
      <c r="I590" s="159" t="s">
        <v>1205</v>
      </c>
      <c r="J590" s="17" t="str" cm="1">
        <f t="array" ref="J590">SeCcolor($A$634:$A$644,I590)</f>
        <v/>
      </c>
      <c r="M590" s="22" t="s">
        <v>2032</v>
      </c>
      <c r="N590" s="22"/>
    </row>
    <row r="591" spans="1:21">
      <c r="A591" s="22" t="s">
        <v>2547</v>
      </c>
      <c r="B591" s="159" t="s">
        <v>2548</v>
      </c>
      <c r="C591" s="159" t="s">
        <v>2549</v>
      </c>
      <c r="D591" s="159" t="s">
        <v>42</v>
      </c>
      <c r="E591" s="159" t="s">
        <v>25</v>
      </c>
      <c r="F591" s="159" t="s">
        <v>2550</v>
      </c>
      <c r="G591" s="160">
        <v>30</v>
      </c>
      <c r="H591" s="161">
        <v>50</v>
      </c>
      <c r="I591" s="159" t="s">
        <v>2551</v>
      </c>
      <c r="J591" s="17" t="str" cm="1">
        <f t="array" ref="J591">SeCcolor($A$634:$A$644,I591)</f>
        <v/>
      </c>
    </row>
    <row r="592" spans="1:21">
      <c r="A592" s="22" t="s">
        <v>2552</v>
      </c>
      <c r="B592" s="159" t="s">
        <v>2553</v>
      </c>
      <c r="C592" s="159" t="s">
        <v>2554</v>
      </c>
      <c r="D592" s="160">
        <v>81</v>
      </c>
      <c r="E592" s="159" t="s">
        <v>64</v>
      </c>
      <c r="F592" s="159" t="s">
        <v>2555</v>
      </c>
      <c r="G592" s="160">
        <v>30</v>
      </c>
      <c r="H592" s="161">
        <v>50</v>
      </c>
      <c r="I592" s="159" t="s">
        <v>2556</v>
      </c>
      <c r="J592" s="17" t="str" cm="1">
        <f t="array" ref="J592">SeCcolor($A$634:$A$644,I592)</f>
        <v/>
      </c>
      <c r="O592" s="1"/>
      <c r="P592" s="1"/>
      <c r="Q592" s="1"/>
      <c r="R592" s="1"/>
      <c r="S592" s="1"/>
      <c r="T592" s="1"/>
      <c r="U592" s="1"/>
    </row>
    <row r="593" spans="1:21">
      <c r="A593" s="22" t="s">
        <v>2557</v>
      </c>
      <c r="B593" s="159" t="s">
        <v>2558</v>
      </c>
      <c r="C593" s="159" t="s">
        <v>1132</v>
      </c>
      <c r="D593" s="160">
        <v>112</v>
      </c>
      <c r="E593" s="159" t="s">
        <v>105</v>
      </c>
      <c r="F593" s="159" t="s">
        <v>2559</v>
      </c>
      <c r="G593" s="160">
        <v>30</v>
      </c>
      <c r="H593" s="161">
        <v>50</v>
      </c>
      <c r="I593" s="159" t="s">
        <v>2560</v>
      </c>
      <c r="J593" s="17" t="str" cm="1">
        <f t="array" ref="J593">SeCcolor($A$634:$A$644,I593)</f>
        <v/>
      </c>
      <c r="K593" s="22" t="s">
        <v>278</v>
      </c>
      <c r="M593" t="s">
        <v>1987</v>
      </c>
    </row>
    <row r="594" spans="1:21">
      <c r="A594" s="22" t="s">
        <v>2561</v>
      </c>
      <c r="B594" s="159" t="s">
        <v>2562</v>
      </c>
      <c r="C594" s="159" t="s">
        <v>1887</v>
      </c>
      <c r="D594" s="160">
        <v>175</v>
      </c>
      <c r="E594" s="159" t="s">
        <v>19</v>
      </c>
      <c r="F594" s="159" t="s">
        <v>2563</v>
      </c>
      <c r="G594" s="160">
        <v>10</v>
      </c>
      <c r="H594" s="161">
        <v>59.9</v>
      </c>
      <c r="I594" s="159" t="s">
        <v>2564</v>
      </c>
      <c r="J594" s="17" t="str" cm="1">
        <f t="array" ref="J594">SeCcolor($A$634:$A$644,I594)</f>
        <v/>
      </c>
    </row>
    <row r="595" spans="1:21">
      <c r="A595" s="22" t="s">
        <v>2565</v>
      </c>
      <c r="B595" s="159" t="s">
        <v>2566</v>
      </c>
      <c r="C595" s="159" t="s">
        <v>2567</v>
      </c>
      <c r="D595" s="159" t="s">
        <v>31</v>
      </c>
      <c r="E595" s="159" t="s">
        <v>2568</v>
      </c>
      <c r="F595" s="159" t="s">
        <v>2569</v>
      </c>
      <c r="G595" s="160">
        <v>25</v>
      </c>
      <c r="H595" s="161">
        <v>50</v>
      </c>
      <c r="I595" s="159" t="s">
        <v>2570</v>
      </c>
      <c r="J595" s="17" t="str" cm="1">
        <f t="array" ref="J595">SeCcolor($A$634:$A$644,I595)</f>
        <v/>
      </c>
    </row>
    <row r="596" spans="1:21">
      <c r="A596" s="22" t="s">
        <v>2571</v>
      </c>
      <c r="B596" s="159" t="s">
        <v>2572</v>
      </c>
      <c r="C596" s="160" t="s">
        <v>2573</v>
      </c>
      <c r="D596" s="161">
        <v>131</v>
      </c>
      <c r="E596" s="159" t="s">
        <v>70</v>
      </c>
      <c r="F596" s="159" t="s">
        <v>2574</v>
      </c>
      <c r="G596" s="159">
        <v>10</v>
      </c>
      <c r="H596" s="159">
        <v>70</v>
      </c>
      <c r="I596" s="159" t="s">
        <v>2575</v>
      </c>
      <c r="J596" s="17" t="str" cm="1">
        <f t="array" ref="J596">SeCcolor($A$634:$A$644,I596)</f>
        <v/>
      </c>
      <c r="M596" s="29"/>
      <c r="N596" s="29"/>
    </row>
    <row r="597" spans="1:21">
      <c r="A597" s="22" t="s">
        <v>134</v>
      </c>
      <c r="B597" s="159" t="s">
        <v>2576</v>
      </c>
      <c r="C597" s="159" t="s">
        <v>2577</v>
      </c>
      <c r="D597" s="160">
        <v>39</v>
      </c>
      <c r="E597" s="159" t="s">
        <v>188</v>
      </c>
      <c r="F597" s="159" t="s">
        <v>2578</v>
      </c>
      <c r="G597" s="160">
        <v>10</v>
      </c>
      <c r="H597" s="161">
        <v>59.9</v>
      </c>
      <c r="I597" s="159" t="s">
        <v>2579</v>
      </c>
      <c r="J597" s="17" t="str" cm="1">
        <f t="array" ref="J597">SeCcolor($A$634:$A$644,I597)</f>
        <v/>
      </c>
    </row>
    <row r="598" spans="1:21">
      <c r="A598" s="22" t="s">
        <v>2580</v>
      </c>
      <c r="B598" s="227" t="s">
        <v>2581</v>
      </c>
      <c r="C598" s="227" t="s">
        <v>2582</v>
      </c>
      <c r="D598" s="227">
        <v>45</v>
      </c>
      <c r="E598" s="227" t="s">
        <v>127</v>
      </c>
      <c r="F598" s="227" t="s">
        <v>2583</v>
      </c>
      <c r="G598" s="227">
        <v>20</v>
      </c>
      <c r="H598" s="227">
        <v>50</v>
      </c>
      <c r="I598" s="227" t="s">
        <v>2584</v>
      </c>
      <c r="J598" s="17" t="str" cm="1">
        <f t="array" ref="J598">SeCcolor($A$634:$A$644,I598)</f>
        <v/>
      </c>
      <c r="L598" s="17"/>
    </row>
    <row r="599" spans="1:21">
      <c r="A599" s="1" t="s">
        <v>2585</v>
      </c>
      <c r="B599" s="259" t="s">
        <v>2586</v>
      </c>
      <c r="C599" s="259" t="s">
        <v>2587</v>
      </c>
      <c r="D599" s="259" t="s">
        <v>2588</v>
      </c>
      <c r="E599" s="259" t="s">
        <v>19</v>
      </c>
      <c r="F599" s="259" t="s">
        <v>2589</v>
      </c>
      <c r="G599" s="275">
        <v>15</v>
      </c>
      <c r="H599" s="276">
        <v>40</v>
      </c>
      <c r="I599" s="259" t="s">
        <v>2590</v>
      </c>
      <c r="J599" s="17" t="str" cm="1">
        <f t="array" ref="J599">SeCcolor($A$634:$A$644,I599)</f>
        <v/>
      </c>
    </row>
    <row r="600" spans="1:21">
      <c r="A600" s="22" t="s">
        <v>1001</v>
      </c>
      <c r="B600" s="250" t="s">
        <v>2591</v>
      </c>
      <c r="C600" s="159" t="s">
        <v>1735</v>
      </c>
      <c r="D600" s="160">
        <v>766</v>
      </c>
      <c r="E600" s="159" t="s">
        <v>70</v>
      </c>
      <c r="F600" s="159"/>
      <c r="G600" s="160">
        <v>20</v>
      </c>
      <c r="H600" s="161">
        <v>50</v>
      </c>
      <c r="I600" s="159" t="s">
        <v>2592</v>
      </c>
      <c r="J600" s="17" t="str" cm="1">
        <f t="array" ref="J600">SeCcolor($A$634:$A$644,I600)</f>
        <v/>
      </c>
      <c r="M600" s="22"/>
      <c r="N600" s="22"/>
    </row>
    <row r="601" spans="1:21" s="29" customFormat="1">
      <c r="A601" s="22" t="s">
        <v>1001</v>
      </c>
      <c r="B601" s="159" t="s">
        <v>2593</v>
      </c>
      <c r="C601" s="159" t="s">
        <v>2594</v>
      </c>
      <c r="D601" s="160">
        <v>242</v>
      </c>
      <c r="E601" s="159" t="s">
        <v>19</v>
      </c>
      <c r="F601" s="159" t="s">
        <v>2595</v>
      </c>
      <c r="G601" s="160">
        <v>5</v>
      </c>
      <c r="H601" s="161">
        <v>60</v>
      </c>
      <c r="I601" s="159" t="s">
        <v>2596</v>
      </c>
      <c r="J601" s="17" t="str" cm="1">
        <f t="array" ref="J601">SeCcolor($A$634:$A$644,I601)</f>
        <v/>
      </c>
      <c r="K601" s="22"/>
      <c r="L601" s="22"/>
      <c r="M601"/>
      <c r="N601"/>
      <c r="O601"/>
      <c r="P601"/>
      <c r="Q601"/>
      <c r="R601"/>
      <c r="S601"/>
      <c r="T601"/>
      <c r="U601"/>
    </row>
    <row r="602" spans="1:21">
      <c r="A602" s="22" t="s">
        <v>2597</v>
      </c>
      <c r="B602" s="227" t="s">
        <v>2598</v>
      </c>
      <c r="C602" s="227" t="s">
        <v>589</v>
      </c>
      <c r="D602" s="228">
        <v>78</v>
      </c>
      <c r="E602" s="227" t="s">
        <v>19</v>
      </c>
      <c r="F602" s="227" t="s">
        <v>2599</v>
      </c>
      <c r="G602" s="228">
        <v>10</v>
      </c>
      <c r="H602" s="229">
        <v>50</v>
      </c>
      <c r="I602" s="227" t="s">
        <v>2600</v>
      </c>
      <c r="J602" s="17" t="str" cm="1">
        <f t="array" ref="J602">SeCcolor($A$634:$A$644,I602)</f>
        <v/>
      </c>
    </row>
    <row r="603" spans="1:21">
      <c r="A603" s="22" t="s">
        <v>1001</v>
      </c>
      <c r="B603" s="159" t="s">
        <v>2601</v>
      </c>
      <c r="C603" s="159" t="s">
        <v>2594</v>
      </c>
      <c r="D603" s="160">
        <v>113</v>
      </c>
      <c r="E603" s="159" t="s">
        <v>19</v>
      </c>
      <c r="F603" s="159" t="s">
        <v>2602</v>
      </c>
      <c r="G603" s="160">
        <v>20</v>
      </c>
      <c r="H603" s="161">
        <v>60</v>
      </c>
      <c r="I603" s="159" t="s">
        <v>2603</v>
      </c>
      <c r="J603" s="17" t="str" cm="1">
        <f t="array" ref="J603">SeCcolor($A$634:$A$644,I603)</f>
        <v/>
      </c>
      <c r="L603" s="17"/>
    </row>
    <row r="604" spans="1:21">
      <c r="A604" s="22" t="s">
        <v>2604</v>
      </c>
      <c r="B604" s="159" t="s">
        <v>2605</v>
      </c>
      <c r="C604" s="159" t="s">
        <v>2606</v>
      </c>
      <c r="D604" s="160">
        <v>82</v>
      </c>
      <c r="E604" s="159" t="s">
        <v>127</v>
      </c>
      <c r="F604" s="159" t="s">
        <v>2607</v>
      </c>
      <c r="G604" s="160">
        <v>10</v>
      </c>
      <c r="H604" s="161">
        <v>50</v>
      </c>
      <c r="I604" s="159" t="s">
        <v>2608</v>
      </c>
      <c r="J604" s="17" t="str" cm="1">
        <f t="array" ref="J604">SeCcolor($A$634:$A$644,I604)</f>
        <v/>
      </c>
      <c r="L604" s="17"/>
    </row>
    <row r="605" spans="1:21">
      <c r="A605" s="22" t="s">
        <v>2609</v>
      </c>
      <c r="B605" s="159" t="s">
        <v>2610</v>
      </c>
      <c r="C605" s="159" t="s">
        <v>397</v>
      </c>
      <c r="D605" s="160">
        <v>123</v>
      </c>
      <c r="E605" s="159" t="s">
        <v>19</v>
      </c>
      <c r="F605" s="159" t="s">
        <v>2611</v>
      </c>
      <c r="G605" s="160">
        <v>20</v>
      </c>
      <c r="H605" s="161">
        <v>70</v>
      </c>
      <c r="I605" s="159" t="s">
        <v>2612</v>
      </c>
      <c r="J605" s="17" t="str" cm="1">
        <f t="array" ref="J605">SeCcolor($A$634:$A$644,I605)</f>
        <v/>
      </c>
      <c r="L605" s="17"/>
    </row>
    <row r="606" spans="1:21">
      <c r="A606" s="22" t="s">
        <v>2613</v>
      </c>
      <c r="B606" s="227" t="s">
        <v>2614</v>
      </c>
      <c r="C606" s="227" t="s">
        <v>2615</v>
      </c>
      <c r="D606" s="228">
        <v>110</v>
      </c>
      <c r="E606" s="227" t="s">
        <v>19</v>
      </c>
      <c r="F606" s="227" t="s">
        <v>2616</v>
      </c>
      <c r="G606" s="228">
        <v>10</v>
      </c>
      <c r="H606" s="229">
        <v>49.9</v>
      </c>
      <c r="I606" s="227" t="s">
        <v>2617</v>
      </c>
      <c r="J606" s="17" t="str" cm="1">
        <f t="array" ref="J606">SeCcolor($A$634:$A$644,I606)</f>
        <v/>
      </c>
    </row>
    <row r="607" spans="1:21">
      <c r="A607" s="22" t="s">
        <v>1001</v>
      </c>
      <c r="B607" s="158" t="s">
        <v>2618</v>
      </c>
      <c r="C607" s="159" t="s">
        <v>708</v>
      </c>
      <c r="D607" s="160">
        <v>410</v>
      </c>
      <c r="E607" s="159" t="s">
        <v>105</v>
      </c>
      <c r="F607" s="159" t="s">
        <v>2619</v>
      </c>
      <c r="G607" s="160">
        <v>20</v>
      </c>
      <c r="H607" s="161">
        <v>50</v>
      </c>
      <c r="I607" s="158" t="s">
        <v>2620</v>
      </c>
      <c r="J607" s="17" t="str" cm="1">
        <f t="array" ref="J607">SeCcolor($A$634:$A$644,I607)</f>
        <v/>
      </c>
    </row>
    <row r="608" spans="1:21">
      <c r="A608" s="22" t="s">
        <v>2621</v>
      </c>
      <c r="B608" s="243" t="s">
        <v>2622</v>
      </c>
      <c r="C608" s="159" t="s">
        <v>2014</v>
      </c>
      <c r="D608" s="160">
        <v>44</v>
      </c>
      <c r="E608" s="159" t="s">
        <v>1020</v>
      </c>
      <c r="F608" s="159" t="s">
        <v>2623</v>
      </c>
      <c r="G608" s="160">
        <v>20</v>
      </c>
      <c r="H608" s="161">
        <v>50</v>
      </c>
      <c r="I608" s="159" t="s">
        <v>2624</v>
      </c>
      <c r="J608" s="17" t="str" cm="1">
        <f t="array" ref="J608">SeCcolor($A$634:$A$644,I608)</f>
        <v/>
      </c>
    </row>
    <row r="609" spans="1:21">
      <c r="A609" s="22" t="s">
        <v>2625</v>
      </c>
      <c r="B609" s="159" t="s">
        <v>2626</v>
      </c>
      <c r="C609" s="159" t="s">
        <v>2627</v>
      </c>
      <c r="D609" s="160">
        <v>489</v>
      </c>
      <c r="E609" s="159" t="s">
        <v>19</v>
      </c>
      <c r="F609" s="159" t="s">
        <v>2628</v>
      </c>
      <c r="G609" s="160">
        <v>30</v>
      </c>
      <c r="H609" s="161">
        <v>50</v>
      </c>
      <c r="I609" s="159" t="s">
        <v>2629</v>
      </c>
      <c r="J609" s="17" t="str" cm="1">
        <f t="array" ref="J609">SeCcolor($A$634:$A$644,I609)</f>
        <v/>
      </c>
    </row>
    <row r="610" spans="1:21">
      <c r="A610" s="22" t="s">
        <v>2630</v>
      </c>
      <c r="B610" s="159" t="s">
        <v>2631</v>
      </c>
      <c r="C610" s="159" t="s">
        <v>2339</v>
      </c>
      <c r="D610" s="160">
        <v>757</v>
      </c>
      <c r="E610" s="159" t="s">
        <v>19</v>
      </c>
      <c r="F610" s="159" t="s">
        <v>2632</v>
      </c>
      <c r="G610" s="160">
        <v>5</v>
      </c>
      <c r="H610" s="161">
        <v>70</v>
      </c>
      <c r="I610" s="159" t="s">
        <v>2633</v>
      </c>
      <c r="J610" s="17" t="str" cm="1">
        <f t="array" ref="J610">SeCcolor($A$634:$A$644,I610)</f>
        <v/>
      </c>
      <c r="O610" s="3"/>
      <c r="P610" s="3"/>
      <c r="Q610" s="3"/>
      <c r="R610" s="3"/>
      <c r="S610" s="3"/>
      <c r="T610" s="3"/>
      <c r="U610" s="3"/>
    </row>
    <row r="611" spans="1:21">
      <c r="A611" s="22" t="s">
        <v>22</v>
      </c>
      <c r="B611" s="159" t="s">
        <v>2634</v>
      </c>
      <c r="C611" s="159" t="s">
        <v>1726</v>
      </c>
      <c r="D611" s="160">
        <v>1127</v>
      </c>
      <c r="E611" s="159" t="s">
        <v>540</v>
      </c>
      <c r="F611" s="159" t="s">
        <v>2635</v>
      </c>
      <c r="G611" s="160">
        <v>30</v>
      </c>
      <c r="H611" s="161">
        <v>60</v>
      </c>
      <c r="I611" s="159" t="s">
        <v>2636</v>
      </c>
      <c r="J611" s="17" t="str" cm="1">
        <f t="array" ref="J611">SeCcolor($A$634:$A$644,I611)</f>
        <v/>
      </c>
      <c r="O611" s="1"/>
      <c r="P611" s="1"/>
      <c r="Q611" s="1"/>
      <c r="R611" s="1"/>
      <c r="S611" s="1"/>
      <c r="T611" s="1"/>
      <c r="U611" s="1"/>
    </row>
    <row r="612" spans="1:21">
      <c r="A612" s="22" t="s">
        <v>2637</v>
      </c>
      <c r="B612" s="159" t="s">
        <v>2638</v>
      </c>
      <c r="C612" s="159" t="s">
        <v>2639</v>
      </c>
      <c r="D612" s="160">
        <v>200</v>
      </c>
      <c r="E612" s="159" t="s">
        <v>32</v>
      </c>
      <c r="F612" s="159" t="s">
        <v>1392</v>
      </c>
      <c r="G612" s="160">
        <v>30</v>
      </c>
      <c r="H612" s="161">
        <v>50</v>
      </c>
      <c r="I612" s="159" t="s">
        <v>2640</v>
      </c>
      <c r="J612" s="17" t="str" cm="1">
        <f t="array" ref="J612">SeCcolor($A$634:$A$644,I612)</f>
        <v/>
      </c>
    </row>
    <row r="613" spans="1:21">
      <c r="A613" s="22" t="s">
        <v>814</v>
      </c>
      <c r="B613" s="159" t="s">
        <v>2641</v>
      </c>
      <c r="C613" s="159" t="s">
        <v>2642</v>
      </c>
      <c r="D613" s="160">
        <v>128</v>
      </c>
      <c r="E613" s="159" t="s">
        <v>64</v>
      </c>
      <c r="F613" s="159" t="s">
        <v>2643</v>
      </c>
      <c r="G613" s="160">
        <v>10</v>
      </c>
      <c r="H613" s="161">
        <v>60</v>
      </c>
      <c r="I613" s="159" t="s">
        <v>2644</v>
      </c>
      <c r="J613" s="17" t="str" cm="1">
        <f t="array" ref="J613">SeCcolor($A$634:$A$644,I613)</f>
        <v/>
      </c>
    </row>
    <row r="614" spans="1:21">
      <c r="A614" s="22" t="s">
        <v>2645</v>
      </c>
      <c r="B614" s="159" t="s">
        <v>2646</v>
      </c>
      <c r="C614" s="159" t="s">
        <v>1531</v>
      </c>
      <c r="D614" s="160">
        <v>191</v>
      </c>
      <c r="E614" s="159" t="s">
        <v>64</v>
      </c>
      <c r="F614" s="159" t="s">
        <v>2647</v>
      </c>
      <c r="G614" s="160">
        <v>15</v>
      </c>
      <c r="H614" s="161">
        <v>40</v>
      </c>
      <c r="I614" s="159"/>
      <c r="J614" s="17" t="str" cm="1">
        <f t="array" ref="J614">SeCcolor($A$634:$A$644,I614)</f>
        <v/>
      </c>
      <c r="M614" t="s">
        <v>2648</v>
      </c>
    </row>
    <row r="615" spans="1:21">
      <c r="A615" s="22" t="s">
        <v>1012</v>
      </c>
      <c r="B615" s="159" t="s">
        <v>2649</v>
      </c>
      <c r="C615" s="159" t="s">
        <v>789</v>
      </c>
      <c r="D615" s="160">
        <v>360</v>
      </c>
      <c r="E615" s="159" t="s">
        <v>70</v>
      </c>
      <c r="F615" s="159" t="s">
        <v>2650</v>
      </c>
      <c r="G615" s="160">
        <v>10</v>
      </c>
      <c r="H615" s="161">
        <v>40</v>
      </c>
      <c r="I615" s="159" t="s">
        <v>2651</v>
      </c>
      <c r="J615" s="17" t="str" cm="1">
        <f t="array" ref="J615">SeCcolor($A$634:$A$644,I615)</f>
        <v/>
      </c>
      <c r="M615" s="207" t="s">
        <v>2652</v>
      </c>
      <c r="N615" s="22"/>
    </row>
    <row r="616" spans="1:21">
      <c r="A616" s="22" t="s">
        <v>2653</v>
      </c>
      <c r="B616" s="227" t="s">
        <v>2654</v>
      </c>
      <c r="C616" s="227" t="s">
        <v>2655</v>
      </c>
      <c r="D616" s="228">
        <v>80</v>
      </c>
      <c r="E616" s="227" t="s">
        <v>32</v>
      </c>
      <c r="F616" s="227" t="s">
        <v>2656</v>
      </c>
      <c r="G616" s="228">
        <v>30</v>
      </c>
      <c r="H616" s="229">
        <v>70</v>
      </c>
      <c r="I616" s="227" t="s">
        <v>2657</v>
      </c>
      <c r="J616" s="17" t="str" cm="1">
        <f t="array" ref="J616">SeCcolor($A$634:$A$644,I616)</f>
        <v/>
      </c>
      <c r="M616" s="3"/>
      <c r="N616" s="3"/>
    </row>
    <row r="617" spans="1:21">
      <c r="A617" s="1" t="s">
        <v>2658</v>
      </c>
      <c r="B617" s="159" t="s">
        <v>2659</v>
      </c>
      <c r="C617" s="159" t="s">
        <v>1359</v>
      </c>
      <c r="D617" s="160">
        <v>140</v>
      </c>
      <c r="E617" s="159" t="s">
        <v>127</v>
      </c>
      <c r="F617" s="159" t="s">
        <v>2660</v>
      </c>
      <c r="G617" s="160">
        <v>20</v>
      </c>
      <c r="H617" s="161">
        <v>60</v>
      </c>
      <c r="I617" s="159" t="s">
        <v>2661</v>
      </c>
      <c r="J617" s="17" t="str" cm="1">
        <f t="array" ref="J617">SeCcolor($A$634:$A$644,I617)</f>
        <v/>
      </c>
      <c r="K617" s="22" t="s">
        <v>2662</v>
      </c>
    </row>
    <row r="618" spans="1:21">
      <c r="A618" s="22" t="s">
        <v>2663</v>
      </c>
      <c r="B618" s="159" t="s">
        <v>2664</v>
      </c>
      <c r="C618" s="159" t="s">
        <v>1540</v>
      </c>
      <c r="D618" s="160">
        <v>69</v>
      </c>
      <c r="E618" s="159" t="s">
        <v>32</v>
      </c>
      <c r="F618" s="159" t="s">
        <v>2665</v>
      </c>
      <c r="G618" s="160">
        <v>15</v>
      </c>
      <c r="H618" s="161">
        <v>40</v>
      </c>
      <c r="I618" s="159" t="s">
        <v>2666</v>
      </c>
      <c r="J618" s="17" t="str" cm="1">
        <f t="array" ref="J618">SeCcolor($A$634:$A$644,I618)</f>
        <v/>
      </c>
    </row>
    <row r="619" spans="1:21">
      <c r="A619" s="22" t="s">
        <v>2667</v>
      </c>
      <c r="B619" s="227" t="s">
        <v>2668</v>
      </c>
      <c r="C619" s="227" t="s">
        <v>2669</v>
      </c>
      <c r="D619" s="228">
        <v>80</v>
      </c>
      <c r="E619" s="227" t="s">
        <v>105</v>
      </c>
      <c r="F619" s="227" t="s">
        <v>2670</v>
      </c>
      <c r="G619" s="228">
        <v>15</v>
      </c>
      <c r="H619" s="229">
        <v>40</v>
      </c>
      <c r="I619" s="227" t="s">
        <v>2671</v>
      </c>
      <c r="J619" s="17" t="str" cm="1">
        <f t="array" ref="J619">SeCcolor($A$634:$A$644,I619)</f>
        <v/>
      </c>
    </row>
    <row r="620" spans="1:21">
      <c r="A620" s="22" t="s">
        <v>2157</v>
      </c>
      <c r="B620" s="227" t="s">
        <v>2672</v>
      </c>
      <c r="C620" s="227" t="s">
        <v>1093</v>
      </c>
      <c r="D620" s="228">
        <v>191</v>
      </c>
      <c r="E620" s="227" t="s">
        <v>70</v>
      </c>
      <c r="F620" s="227" t="s">
        <v>2160</v>
      </c>
      <c r="G620" s="228">
        <v>15</v>
      </c>
      <c r="H620" s="229">
        <v>40</v>
      </c>
      <c r="I620" s="227" t="s">
        <v>2673</v>
      </c>
      <c r="J620" s="17" t="str" cm="1">
        <f t="array" ref="J620">SeCcolor($A$634:$A$644,I620)</f>
        <v/>
      </c>
    </row>
    <row r="621" spans="1:21">
      <c r="A621" s="22" t="s">
        <v>2674</v>
      </c>
      <c r="B621" s="159" t="s">
        <v>2675</v>
      </c>
      <c r="C621" s="159" t="s">
        <v>281</v>
      </c>
      <c r="D621" s="160">
        <v>301</v>
      </c>
      <c r="E621" s="159" t="s">
        <v>2676</v>
      </c>
      <c r="F621" s="159" t="s">
        <v>2677</v>
      </c>
      <c r="G621" s="160">
        <v>10</v>
      </c>
      <c r="H621" s="161">
        <v>50</v>
      </c>
      <c r="I621" s="159" t="s">
        <v>2678</v>
      </c>
      <c r="J621" s="17" t="str" cm="1">
        <f t="array" ref="J621">SeCcolor($A$634:$A$644,I621)</f>
        <v/>
      </c>
    </row>
    <row r="622" spans="1:21">
      <c r="A622" s="22" t="s">
        <v>607</v>
      </c>
      <c r="B622" s="227" t="s">
        <v>2679</v>
      </c>
      <c r="C622" s="227" t="s">
        <v>557</v>
      </c>
      <c r="D622" s="228">
        <v>198</v>
      </c>
      <c r="E622" s="227" t="s">
        <v>19</v>
      </c>
      <c r="F622" s="227" t="s">
        <v>2291</v>
      </c>
      <c r="G622" s="228">
        <v>5</v>
      </c>
      <c r="H622" s="251">
        <v>0</v>
      </c>
      <c r="I622" s="227" t="s">
        <v>2292</v>
      </c>
      <c r="J622" s="17" t="str" cm="1">
        <f t="array" ref="J622">SeCcolor($A$634:$A$644,I622)</f>
        <v/>
      </c>
    </row>
    <row r="623" spans="1:21">
      <c r="A623" s="22" t="s">
        <v>627</v>
      </c>
      <c r="B623" s="227" t="s">
        <v>2680</v>
      </c>
      <c r="C623" s="227" t="s">
        <v>2681</v>
      </c>
      <c r="D623" s="228">
        <v>131</v>
      </c>
      <c r="E623" s="227" t="s">
        <v>975</v>
      </c>
      <c r="F623" s="227" t="s">
        <v>2294</v>
      </c>
      <c r="G623" s="228">
        <v>20</v>
      </c>
      <c r="H623" s="229">
        <v>0</v>
      </c>
      <c r="I623" s="227" t="s">
        <v>2295</v>
      </c>
      <c r="J623" s="17" t="str" cm="1">
        <f t="array" ref="J623">SeCcolor($A$634:$A$644,I623)</f>
        <v/>
      </c>
    </row>
    <row r="624" spans="1:21">
      <c r="A624" s="22" t="s">
        <v>1201</v>
      </c>
      <c r="B624" s="227" t="s">
        <v>2682</v>
      </c>
      <c r="C624" s="227" t="s">
        <v>2683</v>
      </c>
      <c r="D624" s="227"/>
      <c r="E624" s="227" t="s">
        <v>2684</v>
      </c>
      <c r="F624" s="227" t="s">
        <v>2685</v>
      </c>
      <c r="G624" s="228">
        <v>10</v>
      </c>
      <c r="H624" s="229">
        <v>0</v>
      </c>
      <c r="I624" s="227" t="s">
        <v>2686</v>
      </c>
      <c r="J624" s="17" t="str" cm="1">
        <f t="array" ref="J624">SeCcolor($A$634:$A$644,I624)</f>
        <v/>
      </c>
    </row>
    <row r="625" spans="1:11">
      <c r="A625" s="22" t="s">
        <v>1086</v>
      </c>
      <c r="B625" s="227" t="s">
        <v>2687</v>
      </c>
      <c r="C625" s="227" t="s">
        <v>2688</v>
      </c>
      <c r="D625" s="227"/>
      <c r="E625" s="227" t="s">
        <v>2689</v>
      </c>
      <c r="F625" s="227" t="s">
        <v>2690</v>
      </c>
      <c r="G625" s="228">
        <v>20</v>
      </c>
      <c r="H625" s="229">
        <v>0</v>
      </c>
      <c r="I625" s="227" t="s">
        <v>2691</v>
      </c>
      <c r="J625" s="17" t="str" cm="1">
        <f t="array" ref="J625">SeCcolor($A$634:$A$644,I625)</f>
        <v/>
      </c>
    </row>
    <row r="626" spans="1:11">
      <c r="A626" s="1" t="s">
        <v>2692</v>
      </c>
      <c r="B626" s="282" t="s">
        <v>2693</v>
      </c>
      <c r="C626" s="227" t="s">
        <v>2694</v>
      </c>
      <c r="D626" s="228">
        <v>59</v>
      </c>
      <c r="E626" s="227" t="s">
        <v>64</v>
      </c>
      <c r="F626" s="227" t="s">
        <v>2695</v>
      </c>
      <c r="G626" s="228">
        <v>10</v>
      </c>
      <c r="H626" s="229">
        <v>40</v>
      </c>
      <c r="I626" s="227" t="s">
        <v>2696</v>
      </c>
      <c r="J626" s="17" t="str" cm="1">
        <f t="array" ref="J626">SeCcolor($A$634:$A$644,I626)</f>
        <v/>
      </c>
    </row>
    <row r="627" spans="1:11">
      <c r="A627" s="1" t="s">
        <v>2070</v>
      </c>
      <c r="B627" s="291" t="s">
        <v>2697</v>
      </c>
      <c r="C627" s="1" t="s">
        <v>2698</v>
      </c>
      <c r="D627" s="12">
        <v>30</v>
      </c>
      <c r="E627" s="1" t="s">
        <v>64</v>
      </c>
      <c r="F627" s="1" t="s">
        <v>2699</v>
      </c>
      <c r="G627" s="12">
        <v>15</v>
      </c>
      <c r="H627" s="13">
        <v>40</v>
      </c>
      <c r="I627" s="1" t="s">
        <v>2700</v>
      </c>
      <c r="J627" s="17" t="str" cm="1">
        <f t="array" ref="J627">SeCcolor($A$634:$A$644,I627)</f>
        <v/>
      </c>
      <c r="K627" s="22" t="s">
        <v>2701</v>
      </c>
    </row>
    <row r="628" spans="1:11">
      <c r="A628" s="1" t="s">
        <v>2702</v>
      </c>
      <c r="B628" s="291" t="s">
        <v>2697</v>
      </c>
      <c r="C628" s="1" t="s">
        <v>2703</v>
      </c>
      <c r="D628" s="1" t="s">
        <v>1432</v>
      </c>
      <c r="E628" s="1" t="s">
        <v>32</v>
      </c>
      <c r="F628" s="1" t="s">
        <v>2699</v>
      </c>
      <c r="G628" s="12">
        <v>20</v>
      </c>
      <c r="H628" s="13">
        <v>40</v>
      </c>
      <c r="I628" s="1" t="s">
        <v>2700</v>
      </c>
      <c r="J628" s="17" t="str" cm="1">
        <f t="array" ref="J628">SeCcolor($A$634:$A$644,I628)</f>
        <v/>
      </c>
    </row>
    <row r="629" spans="1:11">
      <c r="K629" s="17"/>
    </row>
    <row r="633" spans="1:11">
      <c r="C633" s="22"/>
    </row>
    <row r="634" spans="1:11">
      <c r="A634" s="15"/>
      <c r="B634" s="16" t="s">
        <v>2704</v>
      </c>
    </row>
    <row r="635" spans="1:11">
      <c r="A635" s="1"/>
      <c r="B635" s="16" t="s">
        <v>2705</v>
      </c>
    </row>
    <row r="636" spans="1:11">
      <c r="A636" s="3"/>
      <c r="B636" s="16" t="s">
        <v>2706</v>
      </c>
    </row>
    <row r="637" spans="1:11">
      <c r="A637" s="9"/>
      <c r="B637" s="16" t="s">
        <v>2707</v>
      </c>
    </row>
    <row r="638" spans="1:11">
      <c r="A638" s="7"/>
      <c r="B638" s="16" t="s">
        <v>2708</v>
      </c>
    </row>
    <row r="639" spans="1:11">
      <c r="A639" s="5"/>
      <c r="B639" s="16" t="s">
        <v>2709</v>
      </c>
    </row>
    <row r="640" spans="1:11">
      <c r="A640" s="6"/>
      <c r="B640" t="s">
        <v>2710</v>
      </c>
    </row>
    <row r="641" spans="1:2">
      <c r="A641" s="8"/>
      <c r="B641" t="s">
        <v>2711</v>
      </c>
    </row>
    <row r="642" spans="1:2">
      <c r="A642" s="10"/>
      <c r="B642" t="s">
        <v>2712</v>
      </c>
    </row>
    <row r="643" spans="1:2">
      <c r="A643" s="158"/>
      <c r="B643" s="16" t="s">
        <v>2713</v>
      </c>
    </row>
    <row r="644" spans="1:2">
      <c r="A644" s="157"/>
      <c r="B644" s="16" t="s">
        <v>2714</v>
      </c>
    </row>
  </sheetData>
  <autoFilter ref="A2:J2" xr:uid="{00000000-0001-0000-0000-000000000000}"/>
  <mergeCells count="1">
    <mergeCell ref="A1:I1"/>
  </mergeCells>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3EC77-7A98-457A-8ED6-7BA57FA0C7A0}">
  <sheetPr codeName="Planilha6"/>
  <dimension ref="A1:G136"/>
  <sheetViews>
    <sheetView topLeftCell="A48" workbookViewId="0">
      <selection activeCell="B128" sqref="B128"/>
    </sheetView>
  </sheetViews>
  <sheetFormatPr defaultRowHeight="15"/>
  <cols>
    <col min="1" max="1" width="8.5703125" bestFit="1" customWidth="1"/>
    <col min="2" max="2" width="39.85546875" bestFit="1" customWidth="1"/>
  </cols>
  <sheetData>
    <row r="1" spans="1:2">
      <c r="A1" s="215"/>
      <c r="B1" s="219" t="s">
        <v>2715</v>
      </c>
    </row>
    <row r="2" spans="1:2">
      <c r="A2" s="215">
        <v>44317</v>
      </c>
      <c r="B2" s="84" t="s">
        <v>2716</v>
      </c>
    </row>
    <row r="3" spans="1:2">
      <c r="A3" s="215">
        <v>44319</v>
      </c>
      <c r="B3" s="84" t="s">
        <v>2717</v>
      </c>
    </row>
    <row r="4" spans="1:2">
      <c r="A4" s="215">
        <v>44320</v>
      </c>
      <c r="B4" s="84" t="s">
        <v>2718</v>
      </c>
    </row>
    <row r="5" spans="1:2">
      <c r="A5" s="215">
        <v>44321</v>
      </c>
      <c r="B5" s="84" t="s">
        <v>2719</v>
      </c>
    </row>
    <row r="6" spans="1:2">
      <c r="A6" s="215">
        <v>44323</v>
      </c>
      <c r="B6" s="84" t="s">
        <v>2720</v>
      </c>
    </row>
    <row r="7" spans="1:2">
      <c r="A7" s="215">
        <v>44326</v>
      </c>
      <c r="B7" s="84" t="s">
        <v>2721</v>
      </c>
    </row>
    <row r="8" spans="1:2">
      <c r="A8" s="215">
        <v>44326</v>
      </c>
      <c r="B8" s="84" t="s">
        <v>2722</v>
      </c>
    </row>
    <row r="9" spans="1:2">
      <c r="A9" s="215">
        <v>44327</v>
      </c>
      <c r="B9" s="84" t="s">
        <v>2723</v>
      </c>
    </row>
    <row r="10" spans="1:2">
      <c r="A10" s="215">
        <v>44328</v>
      </c>
      <c r="B10" s="84" t="s">
        <v>2724</v>
      </c>
    </row>
    <row r="11" spans="1:2">
      <c r="A11" s="215">
        <v>44329</v>
      </c>
      <c r="B11" s="84" t="s">
        <v>2725</v>
      </c>
    </row>
    <row r="12" spans="1:2">
      <c r="A12" s="215">
        <v>44329</v>
      </c>
      <c r="B12" s="84" t="s">
        <v>2726</v>
      </c>
    </row>
    <row r="13" spans="1:2">
      <c r="A13" s="215">
        <v>44329</v>
      </c>
      <c r="B13" s="84" t="s">
        <v>2727</v>
      </c>
    </row>
    <row r="14" spans="1:2">
      <c r="A14" s="215">
        <v>44333</v>
      </c>
      <c r="B14" s="84" t="s">
        <v>2728</v>
      </c>
    </row>
    <row r="15" spans="1:2">
      <c r="A15" s="215">
        <v>44335</v>
      </c>
      <c r="B15" s="84" t="s">
        <v>2729</v>
      </c>
    </row>
    <row r="16" spans="1:2">
      <c r="A16" s="215">
        <v>44337</v>
      </c>
      <c r="B16" s="84" t="s">
        <v>2730</v>
      </c>
    </row>
    <row r="17" spans="1:2">
      <c r="A17" s="215">
        <v>44341</v>
      </c>
      <c r="B17" s="108" t="s">
        <v>2731</v>
      </c>
    </row>
    <row r="18" spans="1:2">
      <c r="A18" s="215">
        <v>44344</v>
      </c>
      <c r="B18" s="108" t="s">
        <v>2732</v>
      </c>
    </row>
    <row r="19" spans="1:2">
      <c r="A19" s="215">
        <v>44344</v>
      </c>
      <c r="B19" s="108" t="s">
        <v>2733</v>
      </c>
    </row>
    <row r="20" spans="1:2">
      <c r="A20" s="31" t="s">
        <v>2734</v>
      </c>
      <c r="B20" s="84" t="s">
        <v>2735</v>
      </c>
    </row>
    <row r="21" spans="1:2">
      <c r="A21" s="31" t="s">
        <v>2734</v>
      </c>
      <c r="B21" s="108" t="s">
        <v>2736</v>
      </c>
    </row>
    <row r="22" spans="1:2">
      <c r="A22" s="215" t="s">
        <v>2734</v>
      </c>
      <c r="B22" s="84" t="s">
        <v>2737</v>
      </c>
    </row>
    <row r="23" spans="1:2">
      <c r="A23" s="215"/>
      <c r="B23" s="108"/>
    </row>
    <row r="24" spans="1:2">
      <c r="A24" s="215"/>
      <c r="B24" s="108"/>
    </row>
    <row r="25" spans="1:2">
      <c r="A25" s="215"/>
      <c r="B25" s="219" t="s">
        <v>2738</v>
      </c>
    </row>
    <row r="26" spans="1:2">
      <c r="A26" s="215">
        <v>44348</v>
      </c>
      <c r="B26" s="108" t="s">
        <v>2739</v>
      </c>
    </row>
    <row r="27" spans="1:2">
      <c r="A27" s="215">
        <v>44348</v>
      </c>
      <c r="B27" s="108" t="s">
        <v>2740</v>
      </c>
    </row>
    <row r="28" spans="1:2">
      <c r="A28" s="215">
        <v>44351</v>
      </c>
      <c r="B28" s="84" t="s">
        <v>2741</v>
      </c>
    </row>
    <row r="29" spans="1:2">
      <c r="A29" s="215">
        <v>44354</v>
      </c>
      <c r="B29" s="84" t="s">
        <v>2742</v>
      </c>
    </row>
    <row r="30" spans="1:2">
      <c r="A30" s="215">
        <v>44354</v>
      </c>
      <c r="B30" s="84" t="s">
        <v>2743</v>
      </c>
    </row>
    <row r="31" spans="1:2">
      <c r="A31" s="215">
        <v>44358</v>
      </c>
      <c r="B31" s="84" t="s">
        <v>2744</v>
      </c>
    </row>
    <row r="32" spans="1:2">
      <c r="A32" s="215">
        <v>44361</v>
      </c>
      <c r="B32" s="84" t="s">
        <v>2745</v>
      </c>
    </row>
    <row r="33" spans="1:2">
      <c r="A33" s="215">
        <v>44361</v>
      </c>
      <c r="B33" s="84" t="s">
        <v>2746</v>
      </c>
    </row>
    <row r="34" spans="1:2">
      <c r="A34" s="215">
        <v>44364</v>
      </c>
      <c r="B34" s="84" t="s">
        <v>2747</v>
      </c>
    </row>
    <row r="35" spans="1:2">
      <c r="A35" s="215">
        <v>44364</v>
      </c>
      <c r="B35" s="84" t="s">
        <v>2748</v>
      </c>
    </row>
    <row r="36" spans="1:2">
      <c r="A36" s="215">
        <v>44375</v>
      </c>
      <c r="B36" s="84" t="s">
        <v>2749</v>
      </c>
    </row>
    <row r="37" spans="1:2">
      <c r="A37" s="215">
        <v>44377</v>
      </c>
      <c r="B37" s="84" t="s">
        <v>2750</v>
      </c>
    </row>
    <row r="38" spans="1:2">
      <c r="A38" s="31" t="s">
        <v>2734</v>
      </c>
      <c r="B38" s="287" t="s">
        <v>2751</v>
      </c>
    </row>
    <row r="39" spans="1:2">
      <c r="A39" s="31" t="s">
        <v>2734</v>
      </c>
      <c r="B39" s="287" t="s">
        <v>2752</v>
      </c>
    </row>
    <row r="40" spans="1:2">
      <c r="A40" s="31" t="s">
        <v>2734</v>
      </c>
      <c r="B40" s="288" t="s">
        <v>2753</v>
      </c>
    </row>
    <row r="47" spans="1:2">
      <c r="B47" t="s">
        <v>2754</v>
      </c>
    </row>
    <row r="51" spans="2:7">
      <c r="B51" s="149" t="s">
        <v>2755</v>
      </c>
      <c r="C51" s="149"/>
      <c r="D51" s="149"/>
      <c r="E51" s="149"/>
      <c r="F51" s="149"/>
      <c r="G51" s="149"/>
    </row>
    <row r="52" spans="2:7">
      <c r="B52" s="149" t="s">
        <v>2756</v>
      </c>
      <c r="C52" s="149" t="s">
        <v>2757</v>
      </c>
      <c r="D52" s="149"/>
      <c r="E52" s="149"/>
      <c r="F52" s="149"/>
      <c r="G52" s="149"/>
    </row>
    <row r="53" spans="2:7">
      <c r="B53" s="149" t="s">
        <v>2758</v>
      </c>
      <c r="C53" s="149" t="s">
        <v>2759</v>
      </c>
      <c r="D53" s="149" t="s">
        <v>2760</v>
      </c>
      <c r="E53" s="149"/>
      <c r="F53" s="149"/>
      <c r="G53" s="149"/>
    </row>
    <row r="54" spans="2:7">
      <c r="B54" s="186" t="s">
        <v>2761</v>
      </c>
      <c r="C54" s="186" t="s">
        <v>2759</v>
      </c>
      <c r="D54" s="186" t="s">
        <v>2762</v>
      </c>
      <c r="E54" s="186"/>
      <c r="F54" s="186"/>
      <c r="G54" s="186"/>
    </row>
    <row r="55" spans="2:7">
      <c r="B55" s="186" t="s">
        <v>2763</v>
      </c>
      <c r="C55" s="186" t="s">
        <v>2759</v>
      </c>
      <c r="D55" s="186" t="s">
        <v>2764</v>
      </c>
      <c r="E55" s="186"/>
      <c r="F55" s="186"/>
      <c r="G55" s="186"/>
    </row>
    <row r="56" spans="2:7">
      <c r="B56" s="149" t="s">
        <v>2765</v>
      </c>
      <c r="C56" s="149" t="s">
        <v>2766</v>
      </c>
      <c r="D56" s="149" t="s">
        <v>2767</v>
      </c>
      <c r="E56" s="149"/>
      <c r="F56" s="149"/>
      <c r="G56" s="149"/>
    </row>
    <row r="57" spans="2:7">
      <c r="B57" s="149" t="s">
        <v>529</v>
      </c>
      <c r="C57" s="149" t="s">
        <v>2766</v>
      </c>
      <c r="D57" s="149" t="s">
        <v>2768</v>
      </c>
      <c r="E57" s="149"/>
      <c r="F57" s="149"/>
      <c r="G57" s="149"/>
    </row>
    <row r="58" spans="2:7">
      <c r="B58" s="149" t="s">
        <v>2769</v>
      </c>
      <c r="C58" s="149" t="s">
        <v>2770</v>
      </c>
      <c r="D58" s="240" t="s">
        <v>2771</v>
      </c>
      <c r="E58" s="149"/>
      <c r="F58" s="149"/>
      <c r="G58" s="149"/>
    </row>
    <row r="59" spans="2:7">
      <c r="B59" s="149" t="s">
        <v>2772</v>
      </c>
      <c r="C59" s="149" t="s">
        <v>2759</v>
      </c>
      <c r="D59" s="240" t="s">
        <v>2773</v>
      </c>
      <c r="E59" s="149"/>
      <c r="F59" s="149"/>
      <c r="G59" s="149"/>
    </row>
    <row r="60" spans="2:7">
      <c r="B60" s="149" t="s">
        <v>2774</v>
      </c>
      <c r="C60" s="290" t="s">
        <v>2775</v>
      </c>
      <c r="D60" s="289" t="s">
        <v>2776</v>
      </c>
      <c r="E60" s="149"/>
      <c r="F60" s="149"/>
      <c r="G60" s="149"/>
    </row>
    <row r="61" spans="2:7">
      <c r="B61" s="149" t="s">
        <v>2777</v>
      </c>
      <c r="C61" s="149" t="s">
        <v>2759</v>
      </c>
      <c r="D61" s="240" t="s">
        <v>2778</v>
      </c>
      <c r="E61" s="149"/>
      <c r="F61" s="149"/>
      <c r="G61" s="149"/>
    </row>
    <row r="62" spans="2:7">
      <c r="B62" s="186" t="s">
        <v>2779</v>
      </c>
      <c r="C62" s="186" t="s">
        <v>2759</v>
      </c>
      <c r="D62" s="340" t="s">
        <v>2780</v>
      </c>
      <c r="E62" s="186"/>
      <c r="F62" s="186"/>
      <c r="G62" s="186"/>
    </row>
    <row r="63" spans="2:7">
      <c r="B63" s="149" t="s">
        <v>2781</v>
      </c>
      <c r="C63" s="149" t="s">
        <v>2759</v>
      </c>
      <c r="D63" s="262" t="s">
        <v>2782</v>
      </c>
      <c r="E63" s="149"/>
      <c r="F63" s="149"/>
      <c r="G63" s="149"/>
    </row>
    <row r="64" spans="2:7">
      <c r="B64" s="341" t="s">
        <v>2783</v>
      </c>
      <c r="C64" s="149" t="s">
        <v>2775</v>
      </c>
      <c r="D64" s="262" t="s">
        <v>2784</v>
      </c>
      <c r="E64" s="149"/>
      <c r="F64" s="149"/>
      <c r="G64" s="149"/>
    </row>
    <row r="65" spans="2:7">
      <c r="B65" s="149" t="s">
        <v>2785</v>
      </c>
      <c r="C65" s="149" t="s">
        <v>2786</v>
      </c>
      <c r="D65" s="262" t="s">
        <v>2787</v>
      </c>
      <c r="E65" s="149"/>
      <c r="F65" s="149"/>
      <c r="G65" s="149"/>
    </row>
    <row r="66" spans="2:7">
      <c r="B66" s="187" t="s">
        <v>2788</v>
      </c>
      <c r="C66" s="187" t="s">
        <v>2759</v>
      </c>
      <c r="D66" s="340" t="s">
        <v>2789</v>
      </c>
      <c r="E66" s="187"/>
      <c r="F66" s="187"/>
      <c r="G66" s="187"/>
    </row>
    <row r="67" spans="2:7">
      <c r="B67" s="187" t="s">
        <v>674</v>
      </c>
      <c r="C67" s="187" t="s">
        <v>2790</v>
      </c>
      <c r="D67" s="289" t="s">
        <v>2791</v>
      </c>
      <c r="E67" s="187"/>
      <c r="F67" s="187"/>
      <c r="G67" s="187"/>
    </row>
    <row r="68" spans="2:7">
      <c r="B68" s="187"/>
      <c r="C68" s="187"/>
      <c r="D68" s="289"/>
      <c r="E68" s="187"/>
      <c r="F68" s="187"/>
      <c r="G68" s="187"/>
    </row>
    <row r="69" spans="2:7">
      <c r="B69" s="187"/>
      <c r="C69" s="187"/>
      <c r="D69" s="289"/>
      <c r="E69" s="187"/>
      <c r="F69" s="187"/>
      <c r="G69" s="187"/>
    </row>
    <row r="70" spans="2:7">
      <c r="B70" s="187"/>
      <c r="C70" s="187"/>
      <c r="D70" s="289"/>
      <c r="E70" s="187"/>
      <c r="F70" s="187"/>
      <c r="G70" s="187"/>
    </row>
    <row r="71" spans="2:7">
      <c r="B71" s="187"/>
      <c r="C71" s="187"/>
      <c r="D71" s="289"/>
      <c r="E71" s="187"/>
      <c r="F71" s="187"/>
      <c r="G71" s="187"/>
    </row>
    <row r="72" spans="2:7">
      <c r="B72" s="187"/>
      <c r="C72" s="187"/>
      <c r="D72" s="289"/>
      <c r="E72" s="187"/>
      <c r="F72" s="187"/>
      <c r="G72" s="187"/>
    </row>
    <row r="73" spans="2:7">
      <c r="B73" s="149"/>
      <c r="C73" s="149"/>
      <c r="D73" s="149"/>
      <c r="E73" s="149"/>
      <c r="F73" s="149"/>
      <c r="G73" s="149"/>
    </row>
    <row r="95" spans="2:2">
      <c r="B95" s="274" t="s">
        <v>2792</v>
      </c>
    </row>
    <row r="96" spans="2:2">
      <c r="B96" s="274" t="s">
        <v>2793</v>
      </c>
    </row>
    <row r="97" spans="2:2">
      <c r="B97" s="2" t="s">
        <v>2794</v>
      </c>
    </row>
    <row r="98" spans="2:2">
      <c r="B98" s="274" t="s">
        <v>2795</v>
      </c>
    </row>
    <row r="99" spans="2:2">
      <c r="B99" s="274" t="s">
        <v>2796</v>
      </c>
    </row>
    <row r="100" spans="2:2">
      <c r="B100" s="274" t="s">
        <v>2797</v>
      </c>
    </row>
    <row r="101" spans="2:2">
      <c r="B101" s="274" t="s">
        <v>2798</v>
      </c>
    </row>
    <row r="102" spans="2:2">
      <c r="B102" s="274" t="s">
        <v>2799</v>
      </c>
    </row>
    <row r="103" spans="2:2">
      <c r="B103" s="274" t="s">
        <v>2800</v>
      </c>
    </row>
    <row r="104" spans="2:2">
      <c r="B104" s="274" t="s">
        <v>2801</v>
      </c>
    </row>
    <row r="105" spans="2:2">
      <c r="B105" s="2" t="s">
        <v>2802</v>
      </c>
    </row>
    <row r="106" spans="2:2">
      <c r="B106" s="274" t="s">
        <v>2784</v>
      </c>
    </row>
    <row r="107" spans="2:2">
      <c r="B107" s="274" t="s">
        <v>2803</v>
      </c>
    </row>
    <row r="108" spans="2:2">
      <c r="B108" s="342" t="s">
        <v>2804</v>
      </c>
    </row>
    <row r="109" spans="2:2">
      <c r="B109" s="274" t="s">
        <v>2805</v>
      </c>
    </row>
    <row r="110" spans="2:2">
      <c r="B110" s="274" t="s">
        <v>2806</v>
      </c>
    </row>
    <row r="111" spans="2:2">
      <c r="B111" s="274" t="s">
        <v>2807</v>
      </c>
    </row>
    <row r="112" spans="2:2">
      <c r="B112" s="274" t="s">
        <v>2808</v>
      </c>
    </row>
    <row r="113" spans="2:2">
      <c r="B113" s="274" t="s">
        <v>2789</v>
      </c>
    </row>
    <row r="114" spans="2:2">
      <c r="B114" s="274" t="s">
        <v>2809</v>
      </c>
    </row>
    <row r="115" spans="2:2">
      <c r="B115" s="274" t="s">
        <v>2810</v>
      </c>
    </row>
    <row r="116" spans="2:2">
      <c r="B116" s="274" t="s">
        <v>2811</v>
      </c>
    </row>
    <row r="117" spans="2:2">
      <c r="B117" s="274" t="s">
        <v>2812</v>
      </c>
    </row>
    <row r="118" spans="2:2">
      <c r="B118" s="274" t="s">
        <v>2813</v>
      </c>
    </row>
    <row r="119" spans="2:2">
      <c r="B119" s="274" t="s">
        <v>2814</v>
      </c>
    </row>
    <row r="120" spans="2:2">
      <c r="B120" s="274" t="s">
        <v>2815</v>
      </c>
    </row>
    <row r="121" spans="2:2">
      <c r="B121" s="274" t="s">
        <v>2816</v>
      </c>
    </row>
    <row r="122" spans="2:2">
      <c r="B122" s="274" t="s">
        <v>2817</v>
      </c>
    </row>
    <row r="123" spans="2:2">
      <c r="B123" s="274" t="s">
        <v>2818</v>
      </c>
    </row>
    <row r="124" spans="2:2">
      <c r="B124" s="274" t="s">
        <v>2819</v>
      </c>
    </row>
    <row r="125" spans="2:2">
      <c r="B125" s="274" t="s">
        <v>2820</v>
      </c>
    </row>
    <row r="126" spans="2:2">
      <c r="B126" s="274" t="s">
        <v>2820</v>
      </c>
    </row>
    <row r="127" spans="2:2">
      <c r="B127" s="274" t="s">
        <v>2821</v>
      </c>
    </row>
    <row r="128" spans="2:2">
      <c r="B128" s="343" t="s">
        <v>2822</v>
      </c>
    </row>
    <row r="129" spans="2:2">
      <c r="B129" s="274" t="s">
        <v>2823</v>
      </c>
    </row>
    <row r="130" spans="2:2">
      <c r="B130" s="274" t="s">
        <v>2824</v>
      </c>
    </row>
    <row r="131" spans="2:2">
      <c r="B131" s="274" t="s">
        <v>2825</v>
      </c>
    </row>
    <row r="132" spans="2:2">
      <c r="B132" s="274" t="s">
        <v>2826</v>
      </c>
    </row>
    <row r="133" spans="2:2">
      <c r="B133" s="274" t="s">
        <v>2827</v>
      </c>
    </row>
    <row r="134" spans="2:2">
      <c r="B134" s="292" t="s">
        <v>2828</v>
      </c>
    </row>
    <row r="135" spans="2:2">
      <c r="B135" s="274" t="s">
        <v>2829</v>
      </c>
    </row>
    <row r="136" spans="2:2">
      <c r="B136" s="292" t="s">
        <v>2830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02571-CA51-4852-B7C2-8146E616D40D}">
  <dimension ref="A1:F626"/>
  <sheetViews>
    <sheetView workbookViewId="0"/>
  </sheetViews>
  <sheetFormatPr defaultColWidth="9.140625" defaultRowHeight="15"/>
  <cols>
    <col min="1" max="1" width="59.42578125" style="16" bestFit="1" customWidth="1"/>
    <col min="2" max="2" width="65.140625" style="16" bestFit="1" customWidth="1"/>
    <col min="3" max="3" width="6.5703125" style="16" bestFit="1" customWidth="1"/>
    <col min="4" max="4" width="30.42578125" style="16" bestFit="1" customWidth="1"/>
    <col min="5" max="5" width="3" style="16" bestFit="1" customWidth="1"/>
    <col min="6" max="6" width="18" style="16" bestFit="1" customWidth="1"/>
    <col min="7" max="16384" width="9.140625" style="16"/>
  </cols>
  <sheetData>
    <row r="1" spans="1:6">
      <c r="A1" s="16" t="s">
        <v>11</v>
      </c>
      <c r="B1" s="16" t="s">
        <v>12</v>
      </c>
      <c r="C1" s="432">
        <v>1450</v>
      </c>
      <c r="D1" s="16" t="s">
        <v>13</v>
      </c>
      <c r="E1" s="432">
        <v>10</v>
      </c>
      <c r="F1" s="16" t="s">
        <v>15</v>
      </c>
    </row>
    <row r="2" spans="1:6">
      <c r="A2" s="16" t="s">
        <v>17</v>
      </c>
      <c r="B2" s="16" t="s">
        <v>18</v>
      </c>
      <c r="C2" s="432">
        <v>345</v>
      </c>
      <c r="D2" s="16" t="s">
        <v>19</v>
      </c>
      <c r="E2" s="432">
        <v>30</v>
      </c>
      <c r="F2" s="16" t="s">
        <v>21</v>
      </c>
    </row>
    <row r="3" spans="1:6">
      <c r="A3" s="16" t="s">
        <v>23</v>
      </c>
      <c r="B3" s="16" t="s">
        <v>24</v>
      </c>
      <c r="C3" s="432">
        <v>760</v>
      </c>
      <c r="D3" s="16" t="s">
        <v>25</v>
      </c>
      <c r="E3" s="432">
        <v>10</v>
      </c>
      <c r="F3" s="16" t="s">
        <v>27</v>
      </c>
    </row>
    <row r="4" spans="1:6">
      <c r="A4" s="16" t="s">
        <v>29</v>
      </c>
      <c r="B4" s="16" t="s">
        <v>30</v>
      </c>
      <c r="C4" s="16" t="s">
        <v>31</v>
      </c>
      <c r="D4" s="16" t="s">
        <v>32</v>
      </c>
      <c r="E4" s="432">
        <v>10</v>
      </c>
      <c r="F4" s="16" t="s">
        <v>34</v>
      </c>
    </row>
    <row r="5" spans="1:6">
      <c r="A5" s="16" t="s">
        <v>36</v>
      </c>
      <c r="B5" s="16" t="s">
        <v>37</v>
      </c>
      <c r="C5" s="432">
        <v>20</v>
      </c>
      <c r="D5" s="16" t="s">
        <v>19</v>
      </c>
      <c r="E5" s="432">
        <v>10</v>
      </c>
      <c r="F5" s="16" t="s">
        <v>39</v>
      </c>
    </row>
    <row r="6" spans="1:6">
      <c r="A6" s="16" t="s">
        <v>41</v>
      </c>
      <c r="B6" s="16" t="s">
        <v>25</v>
      </c>
      <c r="C6" s="16" t="s">
        <v>42</v>
      </c>
      <c r="D6" s="16" t="s">
        <v>25</v>
      </c>
      <c r="E6" s="432">
        <v>30</v>
      </c>
      <c r="F6" s="16" t="s">
        <v>44</v>
      </c>
    </row>
    <row r="7" spans="1:6">
      <c r="A7" s="16" t="s">
        <v>46</v>
      </c>
      <c r="B7" s="16" t="s">
        <v>47</v>
      </c>
      <c r="C7" s="16" t="s">
        <v>42</v>
      </c>
      <c r="D7" s="16" t="s">
        <v>48</v>
      </c>
      <c r="E7" s="432">
        <v>15</v>
      </c>
      <c r="F7" s="16" t="s">
        <v>50</v>
      </c>
    </row>
    <row r="8" spans="1:6">
      <c r="A8" s="16" t="s">
        <v>52</v>
      </c>
      <c r="B8" s="16" t="s">
        <v>53</v>
      </c>
      <c r="C8" s="16" t="s">
        <v>31</v>
      </c>
      <c r="D8" s="16" t="s">
        <v>54</v>
      </c>
      <c r="E8" s="432">
        <v>20</v>
      </c>
      <c r="F8" s="16" t="s">
        <v>56</v>
      </c>
    </row>
    <row r="9" spans="1:6">
      <c r="A9" s="16" t="s">
        <v>57</v>
      </c>
      <c r="B9" s="16" t="s">
        <v>58</v>
      </c>
      <c r="C9" s="432">
        <v>151</v>
      </c>
      <c r="D9" s="16" t="s">
        <v>19</v>
      </c>
      <c r="E9" s="432">
        <v>15</v>
      </c>
      <c r="F9" s="16" t="s">
        <v>60</v>
      </c>
    </row>
    <row r="10" spans="1:6">
      <c r="A10" s="16" t="s">
        <v>62</v>
      </c>
      <c r="B10" s="16" t="s">
        <v>63</v>
      </c>
      <c r="C10" s="432">
        <v>39</v>
      </c>
      <c r="D10" s="16" t="s">
        <v>64</v>
      </c>
      <c r="E10" s="432">
        <v>20</v>
      </c>
      <c r="F10" s="16" t="s">
        <v>66</v>
      </c>
    </row>
    <row r="11" spans="1:6">
      <c r="A11" s="16" t="s">
        <v>29</v>
      </c>
      <c r="B11" s="16" t="s">
        <v>69</v>
      </c>
      <c r="C11" s="432">
        <v>50</v>
      </c>
      <c r="D11" s="16" t="s">
        <v>70</v>
      </c>
      <c r="E11" s="432">
        <v>10</v>
      </c>
      <c r="F11" s="16" t="s">
        <v>34</v>
      </c>
    </row>
    <row r="12" spans="1:6">
      <c r="A12" s="16" t="s">
        <v>72</v>
      </c>
      <c r="B12" s="16" t="s">
        <v>73</v>
      </c>
      <c r="C12" s="432">
        <v>113</v>
      </c>
      <c r="D12" s="16" t="s">
        <v>74</v>
      </c>
      <c r="E12" s="432">
        <v>10</v>
      </c>
      <c r="F12" s="16" t="s">
        <v>76</v>
      </c>
    </row>
    <row r="13" spans="1:6">
      <c r="A13" s="16" t="s">
        <v>78</v>
      </c>
      <c r="B13" s="16" t="s">
        <v>79</v>
      </c>
      <c r="C13" s="432">
        <v>160</v>
      </c>
      <c r="D13" s="16" t="s">
        <v>70</v>
      </c>
      <c r="E13" s="432">
        <v>25</v>
      </c>
      <c r="F13" s="16" t="s">
        <v>81</v>
      </c>
    </row>
    <row r="14" spans="1:6">
      <c r="A14" s="16" t="s">
        <v>83</v>
      </c>
      <c r="B14" s="16" t="s">
        <v>84</v>
      </c>
      <c r="C14" s="432">
        <v>148</v>
      </c>
      <c r="D14" s="16" t="s">
        <v>19</v>
      </c>
      <c r="E14" s="432">
        <v>10</v>
      </c>
      <c r="F14" s="16" t="s">
        <v>86</v>
      </c>
    </row>
    <row r="15" spans="1:6">
      <c r="A15" s="16" t="s">
        <v>88</v>
      </c>
      <c r="B15" s="16" t="s">
        <v>89</v>
      </c>
      <c r="C15" s="432">
        <v>181</v>
      </c>
      <c r="D15" s="16" t="s">
        <v>90</v>
      </c>
      <c r="E15" s="432">
        <v>20</v>
      </c>
      <c r="F15" s="16" t="s">
        <v>92</v>
      </c>
    </row>
    <row r="16" spans="1:6">
      <c r="A16" s="16" t="s">
        <v>93</v>
      </c>
      <c r="B16" s="16" t="s">
        <v>94</v>
      </c>
      <c r="C16" s="432">
        <v>60</v>
      </c>
      <c r="D16" s="16" t="s">
        <v>70</v>
      </c>
      <c r="E16" s="432">
        <v>10</v>
      </c>
      <c r="F16" s="16" t="s">
        <v>96</v>
      </c>
    </row>
    <row r="17" spans="1:6">
      <c r="A17" s="16" t="s">
        <v>98</v>
      </c>
      <c r="B17" s="16" t="s">
        <v>99</v>
      </c>
      <c r="C17" s="432">
        <v>675</v>
      </c>
      <c r="D17" s="16" t="s">
        <v>19</v>
      </c>
      <c r="E17" s="432">
        <v>5</v>
      </c>
      <c r="F17" s="16" t="s">
        <v>101</v>
      </c>
    </row>
    <row r="18" spans="1:6">
      <c r="A18" s="16" t="s">
        <v>103</v>
      </c>
      <c r="B18" s="16" t="s">
        <v>104</v>
      </c>
      <c r="C18" s="432">
        <v>132</v>
      </c>
      <c r="D18" s="16" t="s">
        <v>105</v>
      </c>
      <c r="E18" s="432">
        <v>15</v>
      </c>
      <c r="F18" s="16" t="s">
        <v>107</v>
      </c>
    </row>
    <row r="19" spans="1:6">
      <c r="A19" s="16" t="s">
        <v>110</v>
      </c>
      <c r="B19" s="16" t="s">
        <v>111</v>
      </c>
      <c r="C19" s="432">
        <v>41</v>
      </c>
      <c r="D19" s="16" t="s">
        <v>90</v>
      </c>
      <c r="E19" s="432">
        <v>10</v>
      </c>
      <c r="F19" s="16" t="s">
        <v>113</v>
      </c>
    </row>
    <row r="20" spans="1:6">
      <c r="A20" s="16" t="s">
        <v>115</v>
      </c>
      <c r="B20" s="16" t="s">
        <v>116</v>
      </c>
      <c r="C20" s="432">
        <v>52</v>
      </c>
      <c r="D20" s="16" t="s">
        <v>19</v>
      </c>
      <c r="E20" s="432">
        <v>20</v>
      </c>
      <c r="F20" s="16" t="s">
        <v>118</v>
      </c>
    </row>
    <row r="21" spans="1:6">
      <c r="A21" s="16" t="s">
        <v>120</v>
      </c>
      <c r="B21" s="16" t="s">
        <v>121</v>
      </c>
      <c r="C21" s="432">
        <v>30</v>
      </c>
      <c r="D21" s="16" t="s">
        <v>70</v>
      </c>
      <c r="E21" s="432">
        <v>30</v>
      </c>
      <c r="F21" s="16" t="s">
        <v>123</v>
      </c>
    </row>
    <row r="22" spans="1:6">
      <c r="A22" s="16" t="s">
        <v>125</v>
      </c>
      <c r="B22" s="16" t="s">
        <v>126</v>
      </c>
      <c r="C22" s="432">
        <v>1325</v>
      </c>
      <c r="D22" s="16" t="s">
        <v>127</v>
      </c>
      <c r="E22" s="432">
        <v>15</v>
      </c>
      <c r="F22" s="16" t="s">
        <v>129</v>
      </c>
    </row>
    <row r="23" spans="1:6">
      <c r="A23" s="16" t="s">
        <v>131</v>
      </c>
      <c r="B23" s="16" t="s">
        <v>104</v>
      </c>
      <c r="C23" s="432">
        <v>120</v>
      </c>
      <c r="D23" s="16" t="s">
        <v>19</v>
      </c>
      <c r="E23" s="432">
        <v>20</v>
      </c>
      <c r="F23" s="16" t="s">
        <v>133</v>
      </c>
    </row>
    <row r="24" spans="1:6">
      <c r="A24" s="16" t="s">
        <v>135</v>
      </c>
      <c r="B24" s="16" t="s">
        <v>136</v>
      </c>
      <c r="C24" s="432">
        <v>77</v>
      </c>
      <c r="D24" s="16" t="s">
        <v>32</v>
      </c>
      <c r="E24" s="432">
        <v>5</v>
      </c>
      <c r="F24" s="16" t="s">
        <v>138</v>
      </c>
    </row>
    <row r="25" spans="1:6">
      <c r="A25" s="16" t="s">
        <v>140</v>
      </c>
      <c r="B25" s="16" t="s">
        <v>141</v>
      </c>
      <c r="C25" s="432">
        <v>131</v>
      </c>
      <c r="D25" s="16" t="s">
        <v>142</v>
      </c>
      <c r="E25" s="432">
        <v>10</v>
      </c>
      <c r="F25" s="16" t="s">
        <v>144</v>
      </c>
    </row>
    <row r="26" spans="1:6">
      <c r="A26" s="16" t="s">
        <v>146</v>
      </c>
      <c r="B26" s="16" t="s">
        <v>147</v>
      </c>
      <c r="C26" s="432">
        <v>50</v>
      </c>
      <c r="D26" s="16" t="s">
        <v>32</v>
      </c>
      <c r="E26" s="432">
        <v>20</v>
      </c>
      <c r="F26" s="16" t="s">
        <v>149</v>
      </c>
    </row>
    <row r="27" spans="1:6">
      <c r="A27" s="16" t="s">
        <v>151</v>
      </c>
      <c r="B27" s="16" t="s">
        <v>152</v>
      </c>
      <c r="C27" s="432">
        <v>140</v>
      </c>
      <c r="D27" s="16" t="s">
        <v>70</v>
      </c>
      <c r="E27" s="432">
        <v>10</v>
      </c>
      <c r="F27" s="16" t="s">
        <v>154</v>
      </c>
    </row>
    <row r="28" spans="1:6">
      <c r="A28" s="16" t="s">
        <v>156</v>
      </c>
      <c r="B28" s="16" t="s">
        <v>157</v>
      </c>
      <c r="C28" s="432">
        <v>674</v>
      </c>
      <c r="D28" s="16" t="s">
        <v>19</v>
      </c>
      <c r="E28" s="432">
        <v>5</v>
      </c>
      <c r="F28" s="16" t="s">
        <v>159</v>
      </c>
    </row>
    <row r="29" spans="1:6">
      <c r="A29" s="16" t="s">
        <v>161</v>
      </c>
      <c r="B29" s="16" t="s">
        <v>162</v>
      </c>
      <c r="C29" s="432">
        <v>21</v>
      </c>
      <c r="D29" s="16" t="s">
        <v>105</v>
      </c>
      <c r="E29" s="432">
        <v>15</v>
      </c>
      <c r="F29" s="16" t="s">
        <v>164</v>
      </c>
    </row>
    <row r="30" spans="1:6">
      <c r="A30" s="16" t="s">
        <v>166</v>
      </c>
      <c r="B30" s="16" t="s">
        <v>167</v>
      </c>
      <c r="C30" s="432">
        <v>740</v>
      </c>
      <c r="D30" s="16" t="s">
        <v>70</v>
      </c>
      <c r="E30" s="432">
        <v>10</v>
      </c>
      <c r="F30" s="16" t="s">
        <v>169</v>
      </c>
    </row>
    <row r="31" spans="1:6">
      <c r="A31" s="16" t="s">
        <v>171</v>
      </c>
      <c r="B31" s="16" t="s">
        <v>172</v>
      </c>
      <c r="C31" s="432">
        <v>26</v>
      </c>
      <c r="D31" s="16" t="s">
        <v>19</v>
      </c>
      <c r="E31" s="432">
        <v>25</v>
      </c>
      <c r="F31" s="16" t="s">
        <v>174</v>
      </c>
    </row>
    <row r="32" spans="1:6">
      <c r="A32" s="16" t="s">
        <v>175</v>
      </c>
      <c r="B32" s="16" t="s">
        <v>176</v>
      </c>
      <c r="C32" s="432">
        <v>768</v>
      </c>
      <c r="D32" s="16" t="s">
        <v>127</v>
      </c>
      <c r="E32" s="432">
        <v>25</v>
      </c>
      <c r="F32" s="16" t="s">
        <v>178</v>
      </c>
    </row>
    <row r="33" spans="1:6">
      <c r="A33" s="16" t="s">
        <v>181</v>
      </c>
      <c r="B33" s="16" t="s">
        <v>182</v>
      </c>
      <c r="C33" s="16" t="s">
        <v>42</v>
      </c>
      <c r="D33" s="16" t="s">
        <v>25</v>
      </c>
      <c r="E33" s="432">
        <v>10</v>
      </c>
      <c r="F33" s="16" t="s">
        <v>184</v>
      </c>
    </row>
    <row r="34" spans="1:6">
      <c r="A34" s="16" t="s">
        <v>186</v>
      </c>
      <c r="B34" s="16" t="s">
        <v>187</v>
      </c>
      <c r="C34" s="432">
        <v>76</v>
      </c>
      <c r="D34" s="16" t="s">
        <v>188</v>
      </c>
      <c r="E34" s="432">
        <v>10</v>
      </c>
      <c r="F34" s="16" t="s">
        <v>190</v>
      </c>
    </row>
    <row r="35" spans="1:6">
      <c r="A35" s="16" t="s">
        <v>192</v>
      </c>
      <c r="B35" s="16" t="s">
        <v>193</v>
      </c>
      <c r="C35" s="432">
        <v>130</v>
      </c>
      <c r="D35" s="16" t="s">
        <v>19</v>
      </c>
      <c r="E35" s="432">
        <v>15</v>
      </c>
      <c r="F35" s="16" t="s">
        <v>195</v>
      </c>
    </row>
    <row r="36" spans="1:6">
      <c r="A36" s="16" t="s">
        <v>197</v>
      </c>
      <c r="B36" s="16" t="s">
        <v>198</v>
      </c>
      <c r="C36" s="432">
        <v>161</v>
      </c>
      <c r="D36" s="16" t="s">
        <v>127</v>
      </c>
      <c r="E36" s="432">
        <v>20</v>
      </c>
      <c r="F36" s="16" t="s">
        <v>200</v>
      </c>
    </row>
    <row r="37" spans="1:6">
      <c r="A37" s="16" t="s">
        <v>202</v>
      </c>
      <c r="B37" s="16" t="s">
        <v>203</v>
      </c>
      <c r="C37" s="432">
        <v>158</v>
      </c>
      <c r="D37" s="16" t="s">
        <v>105</v>
      </c>
      <c r="E37" s="432">
        <v>15</v>
      </c>
      <c r="F37" s="16" t="s">
        <v>205</v>
      </c>
    </row>
    <row r="38" spans="1:6">
      <c r="A38" s="16" t="s">
        <v>208</v>
      </c>
      <c r="B38" s="16" t="s">
        <v>209</v>
      </c>
      <c r="C38" s="432">
        <v>94</v>
      </c>
      <c r="D38" s="16" t="s">
        <v>19</v>
      </c>
      <c r="E38" s="432">
        <v>15</v>
      </c>
      <c r="F38" s="16" t="s">
        <v>211</v>
      </c>
    </row>
    <row r="39" spans="1:6">
      <c r="A39" s="16" t="s">
        <v>213</v>
      </c>
      <c r="B39" s="16" t="s">
        <v>214</v>
      </c>
      <c r="C39" s="432">
        <v>187</v>
      </c>
      <c r="D39" s="16" t="s">
        <v>32</v>
      </c>
      <c r="E39" s="432">
        <v>20</v>
      </c>
      <c r="F39" s="16" t="s">
        <v>216</v>
      </c>
    </row>
    <row r="40" spans="1:6">
      <c r="A40" s="16" t="s">
        <v>218</v>
      </c>
      <c r="B40" s="16" t="s">
        <v>219</v>
      </c>
      <c r="C40" s="432">
        <v>180</v>
      </c>
      <c r="D40" s="16" t="s">
        <v>220</v>
      </c>
      <c r="E40" s="432">
        <v>25</v>
      </c>
      <c r="F40" s="16" t="s">
        <v>222</v>
      </c>
    </row>
    <row r="41" spans="1:6">
      <c r="A41" s="16" t="s">
        <v>224</v>
      </c>
      <c r="B41" s="16" t="s">
        <v>176</v>
      </c>
      <c r="C41" s="432">
        <v>146</v>
      </c>
      <c r="D41" s="16" t="s">
        <v>19</v>
      </c>
      <c r="E41" s="432">
        <v>10</v>
      </c>
      <c r="F41" s="16" t="s">
        <v>226</v>
      </c>
    </row>
    <row r="42" spans="1:6">
      <c r="A42" s="16" t="s">
        <v>228</v>
      </c>
      <c r="B42" s="16" t="s">
        <v>229</v>
      </c>
      <c r="C42" s="432">
        <v>69</v>
      </c>
      <c r="D42" s="16" t="s">
        <v>188</v>
      </c>
      <c r="E42" s="432">
        <v>20</v>
      </c>
      <c r="F42" s="16" t="s">
        <v>231</v>
      </c>
    </row>
    <row r="43" spans="1:6">
      <c r="A43" s="16" t="s">
        <v>233</v>
      </c>
      <c r="B43" s="16" t="s">
        <v>234</v>
      </c>
      <c r="C43" s="432">
        <v>160</v>
      </c>
      <c r="D43" s="16" t="s">
        <v>70</v>
      </c>
      <c r="E43" s="432">
        <v>20</v>
      </c>
      <c r="F43" s="16" t="s">
        <v>236</v>
      </c>
    </row>
    <row r="44" spans="1:6">
      <c r="A44" s="16" t="s">
        <v>238</v>
      </c>
      <c r="B44" s="16" t="s">
        <v>239</v>
      </c>
      <c r="C44" s="432">
        <v>670</v>
      </c>
      <c r="D44" s="16" t="s">
        <v>19</v>
      </c>
      <c r="E44" s="432">
        <v>20</v>
      </c>
      <c r="F44" s="16" t="s">
        <v>241</v>
      </c>
    </row>
    <row r="45" spans="1:6">
      <c r="A45" s="16" t="s">
        <v>243</v>
      </c>
      <c r="B45" s="16" t="s">
        <v>244</v>
      </c>
      <c r="C45" s="432">
        <v>605</v>
      </c>
      <c r="D45" s="16" t="s">
        <v>220</v>
      </c>
      <c r="E45" s="432">
        <v>20</v>
      </c>
      <c r="F45" s="16" t="s">
        <v>246</v>
      </c>
    </row>
    <row r="46" spans="1:6">
      <c r="A46" s="16" t="s">
        <v>248</v>
      </c>
      <c r="B46" s="16" t="s">
        <v>249</v>
      </c>
      <c r="C46" s="432">
        <v>30</v>
      </c>
      <c r="D46" s="16" t="s">
        <v>105</v>
      </c>
      <c r="E46" s="432">
        <v>30</v>
      </c>
      <c r="F46" s="16" t="s">
        <v>251</v>
      </c>
    </row>
    <row r="47" spans="1:6">
      <c r="A47" s="16" t="s">
        <v>253</v>
      </c>
      <c r="B47" s="16" t="s">
        <v>254</v>
      </c>
      <c r="C47" s="432">
        <v>290</v>
      </c>
      <c r="D47" s="16" t="s">
        <v>90</v>
      </c>
      <c r="E47" s="432">
        <v>20</v>
      </c>
      <c r="F47" s="16" t="s">
        <v>256</v>
      </c>
    </row>
    <row r="48" spans="1:6">
      <c r="A48" s="16" t="s">
        <v>258</v>
      </c>
      <c r="B48" s="16" t="s">
        <v>259</v>
      </c>
      <c r="C48" s="432">
        <v>855</v>
      </c>
      <c r="D48" s="16" t="s">
        <v>19</v>
      </c>
      <c r="E48" s="432">
        <v>25</v>
      </c>
      <c r="F48" s="16" t="s">
        <v>261</v>
      </c>
    </row>
    <row r="49" spans="1:6">
      <c r="A49" s="16" t="s">
        <v>263</v>
      </c>
      <c r="B49" s="16" t="s">
        <v>264</v>
      </c>
      <c r="C49" s="432">
        <v>41</v>
      </c>
      <c r="D49" s="16" t="s">
        <v>19</v>
      </c>
      <c r="E49" s="432">
        <v>10</v>
      </c>
      <c r="F49" s="16" t="s">
        <v>266</v>
      </c>
    </row>
    <row r="50" spans="1:6">
      <c r="A50" s="16" t="s">
        <v>268</v>
      </c>
      <c r="B50" s="16" t="s">
        <v>269</v>
      </c>
      <c r="C50" s="432">
        <v>20</v>
      </c>
      <c r="D50" s="16" t="s">
        <v>270</v>
      </c>
      <c r="E50" s="432">
        <v>20</v>
      </c>
      <c r="F50" s="16" t="s">
        <v>272</v>
      </c>
    </row>
    <row r="51" spans="1:6">
      <c r="A51" s="16" t="s">
        <v>274</v>
      </c>
      <c r="B51" s="16" t="s">
        <v>275</v>
      </c>
      <c r="C51" s="432">
        <v>78</v>
      </c>
      <c r="D51" s="16" t="s">
        <v>64</v>
      </c>
      <c r="E51" s="432">
        <v>5</v>
      </c>
      <c r="F51" s="16" t="s">
        <v>277</v>
      </c>
    </row>
    <row r="52" spans="1:6">
      <c r="A52" s="16" t="s">
        <v>280</v>
      </c>
      <c r="B52" s="16" t="s">
        <v>281</v>
      </c>
      <c r="C52" s="432">
        <v>80</v>
      </c>
      <c r="D52" s="16" t="s">
        <v>19</v>
      </c>
      <c r="E52" s="432">
        <v>10</v>
      </c>
      <c r="F52" s="16" t="s">
        <v>283</v>
      </c>
    </row>
    <row r="53" spans="1:6">
      <c r="A53" s="16" t="s">
        <v>285</v>
      </c>
      <c r="B53" s="16" t="s">
        <v>286</v>
      </c>
      <c r="C53" s="432">
        <v>94</v>
      </c>
      <c r="D53" s="16" t="s">
        <v>64</v>
      </c>
      <c r="E53" s="432">
        <v>10</v>
      </c>
      <c r="F53" s="16" t="s">
        <v>288</v>
      </c>
    </row>
    <row r="54" spans="1:6">
      <c r="A54" s="16" t="s">
        <v>289</v>
      </c>
      <c r="B54" s="16" t="s">
        <v>290</v>
      </c>
      <c r="C54" s="432">
        <v>54</v>
      </c>
      <c r="D54" s="16" t="s">
        <v>19</v>
      </c>
      <c r="E54" s="432">
        <v>30</v>
      </c>
      <c r="F54" s="16" t="s">
        <v>292</v>
      </c>
    </row>
    <row r="55" spans="1:6">
      <c r="A55" s="16" t="s">
        <v>294</v>
      </c>
      <c r="B55" s="16" t="s">
        <v>295</v>
      </c>
      <c r="C55" s="432">
        <v>35</v>
      </c>
      <c r="D55" s="16" t="s">
        <v>70</v>
      </c>
      <c r="E55" s="432">
        <v>5</v>
      </c>
      <c r="F55" s="16" t="s">
        <v>297</v>
      </c>
    </row>
    <row r="56" spans="1:6">
      <c r="A56" s="16" t="s">
        <v>298</v>
      </c>
      <c r="B56" s="16" t="s">
        <v>299</v>
      </c>
      <c r="C56" s="432">
        <v>393</v>
      </c>
      <c r="D56" s="16" t="s">
        <v>19</v>
      </c>
      <c r="E56" s="432">
        <v>10</v>
      </c>
      <c r="F56" s="16" t="s">
        <v>300</v>
      </c>
    </row>
    <row r="57" spans="1:6">
      <c r="A57" s="16" t="s">
        <v>302</v>
      </c>
      <c r="B57" s="16" t="s">
        <v>303</v>
      </c>
      <c r="C57" s="432">
        <v>108</v>
      </c>
      <c r="D57" s="16" t="s">
        <v>19</v>
      </c>
      <c r="E57" s="432">
        <v>10</v>
      </c>
      <c r="F57" s="16" t="s">
        <v>305</v>
      </c>
    </row>
    <row r="58" spans="1:6">
      <c r="A58" s="16" t="s">
        <v>307</v>
      </c>
      <c r="B58" s="16" t="s">
        <v>308</v>
      </c>
      <c r="C58" s="432">
        <v>278</v>
      </c>
      <c r="D58" s="16" t="s">
        <v>19</v>
      </c>
      <c r="E58" s="432">
        <v>15</v>
      </c>
      <c r="F58" s="16" t="s">
        <v>310</v>
      </c>
    </row>
    <row r="59" spans="1:6">
      <c r="A59" s="16" t="s">
        <v>312</v>
      </c>
      <c r="B59" s="16" t="s">
        <v>313</v>
      </c>
      <c r="C59" s="432">
        <v>24</v>
      </c>
      <c r="D59" s="16" t="s">
        <v>314</v>
      </c>
      <c r="E59" s="432">
        <v>10</v>
      </c>
      <c r="F59" s="16" t="s">
        <v>316</v>
      </c>
    </row>
    <row r="60" spans="1:6">
      <c r="A60" s="16" t="s">
        <v>318</v>
      </c>
      <c r="B60" s="16" t="s">
        <v>319</v>
      </c>
      <c r="C60" s="432">
        <v>59</v>
      </c>
      <c r="D60" s="16" t="s">
        <v>320</v>
      </c>
      <c r="E60" s="432">
        <v>15</v>
      </c>
      <c r="F60" s="16" t="s">
        <v>322</v>
      </c>
    </row>
    <row r="61" spans="1:6">
      <c r="A61" s="16" t="s">
        <v>323</v>
      </c>
      <c r="B61" s="16" t="s">
        <v>324</v>
      </c>
      <c r="C61" s="432">
        <v>108</v>
      </c>
      <c r="D61" s="16" t="s">
        <v>325</v>
      </c>
      <c r="E61" s="432">
        <v>20</v>
      </c>
      <c r="F61" s="16" t="s">
        <v>327</v>
      </c>
    </row>
    <row r="62" spans="1:6">
      <c r="A62" s="16" t="s">
        <v>330</v>
      </c>
      <c r="B62" s="16" t="s">
        <v>331</v>
      </c>
      <c r="C62" s="432">
        <v>290</v>
      </c>
      <c r="D62" s="16" t="s">
        <v>70</v>
      </c>
      <c r="E62" s="432">
        <v>30</v>
      </c>
      <c r="F62" s="16" t="s">
        <v>333</v>
      </c>
    </row>
    <row r="63" spans="1:6">
      <c r="A63" s="16" t="s">
        <v>335</v>
      </c>
      <c r="B63" s="16" t="s">
        <v>336</v>
      </c>
      <c r="D63" s="16" t="s">
        <v>19</v>
      </c>
      <c r="E63" s="432">
        <v>10</v>
      </c>
      <c r="F63" s="16" t="s">
        <v>338</v>
      </c>
    </row>
    <row r="64" spans="1:6">
      <c r="A64" s="16" t="s">
        <v>340</v>
      </c>
      <c r="B64" s="16" t="s">
        <v>341</v>
      </c>
      <c r="C64" s="432">
        <v>120</v>
      </c>
      <c r="D64" s="16" t="s">
        <v>70</v>
      </c>
      <c r="E64" s="432">
        <v>20</v>
      </c>
      <c r="F64" s="16" t="s">
        <v>343</v>
      </c>
    </row>
    <row r="65" spans="1:6">
      <c r="A65" s="16" t="s">
        <v>345</v>
      </c>
      <c r="B65" s="16" t="s">
        <v>346</v>
      </c>
      <c r="C65" s="432">
        <v>147</v>
      </c>
      <c r="D65" s="16" t="s">
        <v>19</v>
      </c>
      <c r="E65" s="432">
        <v>10</v>
      </c>
      <c r="F65" s="16" t="s">
        <v>348</v>
      </c>
    </row>
    <row r="66" spans="1:6">
      <c r="A66" s="16" t="s">
        <v>350</v>
      </c>
      <c r="B66" s="16" t="s">
        <v>351</v>
      </c>
      <c r="C66" s="432">
        <v>90</v>
      </c>
      <c r="D66" s="16" t="s">
        <v>105</v>
      </c>
      <c r="E66" s="432">
        <v>10</v>
      </c>
      <c r="F66" s="16" t="s">
        <v>353</v>
      </c>
    </row>
    <row r="67" spans="1:6">
      <c r="A67" s="16" t="s">
        <v>355</v>
      </c>
      <c r="B67" s="16" t="s">
        <v>356</v>
      </c>
      <c r="C67" s="432">
        <v>60</v>
      </c>
      <c r="D67" s="16" t="s">
        <v>357</v>
      </c>
      <c r="E67" s="432">
        <v>10</v>
      </c>
      <c r="F67" s="16" t="s">
        <v>358</v>
      </c>
    </row>
    <row r="68" spans="1:6">
      <c r="A68" s="16" t="s">
        <v>360</v>
      </c>
      <c r="B68" s="16" t="s">
        <v>361</v>
      </c>
      <c r="C68" s="432">
        <v>35</v>
      </c>
      <c r="D68" s="16" t="s">
        <v>270</v>
      </c>
      <c r="E68" s="432">
        <v>5</v>
      </c>
      <c r="F68" s="16" t="s">
        <v>363</v>
      </c>
    </row>
    <row r="69" spans="1:6">
      <c r="A69" s="16" t="s">
        <v>365</v>
      </c>
      <c r="B69" s="16" t="s">
        <v>366</v>
      </c>
      <c r="D69" s="16" t="s">
        <v>19</v>
      </c>
      <c r="E69" s="432">
        <v>10</v>
      </c>
      <c r="F69" s="16" t="s">
        <v>368</v>
      </c>
    </row>
    <row r="70" spans="1:6">
      <c r="A70" s="16" t="s">
        <v>370</v>
      </c>
      <c r="B70" s="16" t="s">
        <v>371</v>
      </c>
      <c r="C70" s="432">
        <v>80</v>
      </c>
      <c r="D70" s="16" t="s">
        <v>19</v>
      </c>
      <c r="E70" s="432">
        <v>20</v>
      </c>
      <c r="F70" s="16" t="s">
        <v>373</v>
      </c>
    </row>
    <row r="71" spans="1:6">
      <c r="A71" s="16" t="s">
        <v>375</v>
      </c>
      <c r="B71" s="16" t="s">
        <v>376</v>
      </c>
      <c r="C71" s="432">
        <v>310</v>
      </c>
      <c r="D71" s="16" t="s">
        <v>220</v>
      </c>
      <c r="E71" s="432">
        <v>25</v>
      </c>
      <c r="F71" s="16" t="s">
        <v>378</v>
      </c>
    </row>
    <row r="72" spans="1:6">
      <c r="A72" s="16" t="s">
        <v>379</v>
      </c>
      <c r="B72" s="16" t="s">
        <v>380</v>
      </c>
      <c r="C72" s="432">
        <v>150</v>
      </c>
      <c r="D72" s="16" t="s">
        <v>19</v>
      </c>
      <c r="E72" s="432">
        <v>20</v>
      </c>
      <c r="F72" s="16" t="s">
        <v>382</v>
      </c>
    </row>
    <row r="73" spans="1:6">
      <c r="A73" s="16" t="s">
        <v>384</v>
      </c>
      <c r="B73" s="16" t="s">
        <v>286</v>
      </c>
      <c r="C73" s="432">
        <v>88</v>
      </c>
      <c r="D73" s="16" t="s">
        <v>64</v>
      </c>
      <c r="E73" s="432">
        <v>20</v>
      </c>
      <c r="F73" s="16" t="s">
        <v>386</v>
      </c>
    </row>
    <row r="74" spans="1:6">
      <c r="A74" s="16" t="s">
        <v>388</v>
      </c>
      <c r="B74" s="16" t="s">
        <v>389</v>
      </c>
      <c r="C74" s="432">
        <v>30</v>
      </c>
      <c r="D74" s="16" t="s">
        <v>25</v>
      </c>
      <c r="E74" s="432">
        <v>25</v>
      </c>
      <c r="F74" s="16" t="s">
        <v>391</v>
      </c>
    </row>
    <row r="75" spans="1:6">
      <c r="A75" s="16" t="s">
        <v>393</v>
      </c>
      <c r="B75" s="16" t="s">
        <v>193</v>
      </c>
      <c r="C75" s="432">
        <v>117</v>
      </c>
      <c r="D75" s="16" t="s">
        <v>19</v>
      </c>
      <c r="E75" s="432">
        <v>10</v>
      </c>
      <c r="F75" s="16" t="s">
        <v>394</v>
      </c>
    </row>
    <row r="76" spans="1:6">
      <c r="A76" s="16" t="s">
        <v>396</v>
      </c>
      <c r="B76" s="16" t="s">
        <v>397</v>
      </c>
      <c r="C76" s="432">
        <v>91</v>
      </c>
      <c r="D76" s="16" t="s">
        <v>19</v>
      </c>
      <c r="E76" s="432">
        <v>5</v>
      </c>
      <c r="F76" s="16" t="s">
        <v>399</v>
      </c>
    </row>
    <row r="77" spans="1:6">
      <c r="A77" s="16" t="s">
        <v>402</v>
      </c>
      <c r="B77" s="16" t="s">
        <v>403</v>
      </c>
      <c r="C77" s="432">
        <v>790</v>
      </c>
      <c r="D77" s="16" t="s">
        <v>19</v>
      </c>
      <c r="E77" s="432">
        <v>30</v>
      </c>
      <c r="F77" s="16" t="s">
        <v>405</v>
      </c>
    </row>
    <row r="78" spans="1:6">
      <c r="A78" s="16" t="s">
        <v>407</v>
      </c>
      <c r="B78" s="16" t="s">
        <v>408</v>
      </c>
      <c r="C78" s="432">
        <v>132</v>
      </c>
      <c r="D78" s="16" t="s">
        <v>70</v>
      </c>
      <c r="E78" s="432">
        <v>10</v>
      </c>
      <c r="F78" s="16" t="s">
        <v>410</v>
      </c>
    </row>
    <row r="79" spans="1:6">
      <c r="A79" s="16" t="s">
        <v>413</v>
      </c>
      <c r="B79" s="16" t="s">
        <v>414</v>
      </c>
      <c r="C79" s="432">
        <v>146</v>
      </c>
      <c r="D79" s="16" t="s">
        <v>19</v>
      </c>
      <c r="E79" s="432">
        <v>20</v>
      </c>
      <c r="F79" s="16" t="s">
        <v>416</v>
      </c>
    </row>
    <row r="80" spans="1:6">
      <c r="A80" s="16" t="s">
        <v>418</v>
      </c>
      <c r="B80" s="16" t="s">
        <v>419</v>
      </c>
      <c r="C80" s="432">
        <v>110</v>
      </c>
      <c r="D80" s="16" t="s">
        <v>127</v>
      </c>
      <c r="E80" s="432">
        <v>10</v>
      </c>
      <c r="F80" s="16" t="s">
        <v>421</v>
      </c>
    </row>
    <row r="81" spans="1:6">
      <c r="A81" s="16" t="s">
        <v>423</v>
      </c>
      <c r="B81" s="16" t="s">
        <v>424</v>
      </c>
      <c r="C81" s="432">
        <v>395</v>
      </c>
      <c r="D81" s="16" t="s">
        <v>19</v>
      </c>
      <c r="E81" s="432">
        <v>10</v>
      </c>
      <c r="F81" s="16" t="s">
        <v>426</v>
      </c>
    </row>
    <row r="82" spans="1:6">
      <c r="A82" s="16" t="s">
        <v>428</v>
      </c>
      <c r="B82" s="16" t="s">
        <v>380</v>
      </c>
      <c r="C82" s="432">
        <v>150</v>
      </c>
      <c r="D82" s="16" t="s">
        <v>19</v>
      </c>
      <c r="E82" s="432">
        <v>15</v>
      </c>
      <c r="F82" s="16" t="s">
        <v>430</v>
      </c>
    </row>
    <row r="83" spans="1:6">
      <c r="A83" s="16" t="s">
        <v>432</v>
      </c>
      <c r="B83" s="16" t="s">
        <v>433</v>
      </c>
      <c r="C83" s="432">
        <v>122</v>
      </c>
      <c r="D83" s="16" t="s">
        <v>90</v>
      </c>
      <c r="E83" s="432">
        <v>15</v>
      </c>
      <c r="F83" s="16" t="s">
        <v>435</v>
      </c>
    </row>
    <row r="84" spans="1:6">
      <c r="A84" s="16" t="s">
        <v>437</v>
      </c>
      <c r="B84" s="16" t="s">
        <v>438</v>
      </c>
      <c r="C84" s="432">
        <v>120</v>
      </c>
      <c r="D84" s="16" t="s">
        <v>19</v>
      </c>
      <c r="E84" s="432">
        <v>15</v>
      </c>
      <c r="F84" s="16" t="s">
        <v>439</v>
      </c>
    </row>
    <row r="85" spans="1:6">
      <c r="A85" s="16" t="s">
        <v>440</v>
      </c>
      <c r="B85" s="16" t="s">
        <v>441</v>
      </c>
      <c r="C85" s="432">
        <v>116</v>
      </c>
      <c r="D85" s="16" t="s">
        <v>19</v>
      </c>
      <c r="E85" s="432">
        <v>10</v>
      </c>
      <c r="F85" s="16" t="s">
        <v>443</v>
      </c>
    </row>
    <row r="86" spans="1:6">
      <c r="A86" s="16" t="s">
        <v>445</v>
      </c>
      <c r="B86" s="16" t="s">
        <v>446</v>
      </c>
      <c r="C86" s="432">
        <v>657</v>
      </c>
      <c r="D86" s="16" t="s">
        <v>19</v>
      </c>
      <c r="E86" s="432">
        <v>10</v>
      </c>
      <c r="F86" s="16" t="s">
        <v>443</v>
      </c>
    </row>
    <row r="87" spans="1:6">
      <c r="A87" s="16" t="s">
        <v>448</v>
      </c>
      <c r="B87" s="16" t="s">
        <v>449</v>
      </c>
      <c r="C87" s="432">
        <v>222</v>
      </c>
      <c r="D87" s="16" t="s">
        <v>19</v>
      </c>
      <c r="E87" s="432">
        <v>10</v>
      </c>
      <c r="F87" s="16" t="s">
        <v>450</v>
      </c>
    </row>
    <row r="88" spans="1:6">
      <c r="A88" s="16" t="s">
        <v>452</v>
      </c>
      <c r="B88" s="16" t="s">
        <v>453</v>
      </c>
      <c r="C88" s="432">
        <v>126</v>
      </c>
      <c r="D88" s="16" t="s">
        <v>127</v>
      </c>
      <c r="E88" s="432">
        <v>20</v>
      </c>
      <c r="F88" s="16" t="s">
        <v>454</v>
      </c>
    </row>
    <row r="89" spans="1:6">
      <c r="A89" s="16" t="s">
        <v>456</v>
      </c>
      <c r="B89" s="16" t="s">
        <v>457</v>
      </c>
      <c r="C89" s="432">
        <v>210</v>
      </c>
      <c r="D89" s="16" t="s">
        <v>90</v>
      </c>
      <c r="E89" s="432">
        <v>20</v>
      </c>
      <c r="F89" s="16" t="s">
        <v>459</v>
      </c>
    </row>
    <row r="90" spans="1:6">
      <c r="A90" s="16" t="s">
        <v>461</v>
      </c>
      <c r="B90" s="16" t="s">
        <v>167</v>
      </c>
      <c r="C90" s="432">
        <v>370</v>
      </c>
      <c r="D90" s="16" t="s">
        <v>220</v>
      </c>
      <c r="E90" s="432">
        <v>25</v>
      </c>
      <c r="F90" s="16" t="s">
        <v>463</v>
      </c>
    </row>
    <row r="91" spans="1:6">
      <c r="A91" s="16" t="s">
        <v>465</v>
      </c>
      <c r="B91" s="16" t="s">
        <v>466</v>
      </c>
      <c r="C91" s="432">
        <v>211</v>
      </c>
      <c r="D91" s="16" t="s">
        <v>19</v>
      </c>
      <c r="E91" s="432">
        <v>20</v>
      </c>
      <c r="F91" s="16" t="s">
        <v>468</v>
      </c>
    </row>
    <row r="92" spans="1:6">
      <c r="A92" s="16" t="s">
        <v>470</v>
      </c>
      <c r="B92" s="16" t="s">
        <v>471</v>
      </c>
      <c r="C92" s="432">
        <v>70</v>
      </c>
      <c r="D92" s="16" t="s">
        <v>90</v>
      </c>
      <c r="E92" s="432">
        <v>5</v>
      </c>
      <c r="F92" s="16" t="s">
        <v>472</v>
      </c>
    </row>
    <row r="93" spans="1:6">
      <c r="A93" s="16" t="s">
        <v>474</v>
      </c>
      <c r="B93" s="16" t="s">
        <v>475</v>
      </c>
      <c r="C93" s="432">
        <v>50</v>
      </c>
      <c r="D93" s="16" t="s">
        <v>70</v>
      </c>
      <c r="E93" s="432">
        <v>10</v>
      </c>
      <c r="F93" s="16" t="s">
        <v>477</v>
      </c>
    </row>
    <row r="94" spans="1:6">
      <c r="A94" s="16" t="s">
        <v>479</v>
      </c>
      <c r="B94" s="16" t="s">
        <v>480</v>
      </c>
      <c r="C94" s="432">
        <v>40</v>
      </c>
      <c r="D94" s="16" t="s">
        <v>127</v>
      </c>
      <c r="E94" s="432">
        <v>20</v>
      </c>
      <c r="F94" s="16" t="s">
        <v>482</v>
      </c>
    </row>
    <row r="95" spans="1:6">
      <c r="A95" s="16" t="s">
        <v>479</v>
      </c>
      <c r="B95" s="16" t="s">
        <v>484</v>
      </c>
      <c r="C95" s="432">
        <v>18</v>
      </c>
      <c r="D95" s="16" t="s">
        <v>19</v>
      </c>
      <c r="E95" s="432">
        <v>20</v>
      </c>
      <c r="F95" s="16" t="s">
        <v>482</v>
      </c>
    </row>
    <row r="96" spans="1:6">
      <c r="A96" s="16" t="s">
        <v>486</v>
      </c>
      <c r="B96" s="16" t="s">
        <v>487</v>
      </c>
      <c r="C96" s="432">
        <v>100</v>
      </c>
      <c r="D96" s="16" t="s">
        <v>90</v>
      </c>
      <c r="E96" s="432">
        <v>10</v>
      </c>
      <c r="F96" s="16" t="s">
        <v>489</v>
      </c>
    </row>
    <row r="97" spans="1:6">
      <c r="A97" s="16" t="s">
        <v>491</v>
      </c>
      <c r="B97" s="16" t="s">
        <v>492</v>
      </c>
      <c r="C97" s="432">
        <v>57</v>
      </c>
      <c r="D97" s="16" t="s">
        <v>127</v>
      </c>
      <c r="E97" s="432">
        <v>5</v>
      </c>
      <c r="F97" s="16" t="s">
        <v>494</v>
      </c>
    </row>
    <row r="98" spans="1:6">
      <c r="A98" s="16" t="s">
        <v>496</v>
      </c>
      <c r="B98" s="16" t="s">
        <v>497</v>
      </c>
      <c r="C98" s="432">
        <v>200</v>
      </c>
      <c r="D98" s="16" t="s">
        <v>70</v>
      </c>
      <c r="E98" s="432">
        <v>25</v>
      </c>
      <c r="F98" s="16" t="s">
        <v>499</v>
      </c>
    </row>
    <row r="99" spans="1:6">
      <c r="A99" s="16" t="s">
        <v>501</v>
      </c>
      <c r="B99" s="16" t="s">
        <v>502</v>
      </c>
      <c r="C99" s="432">
        <v>16</v>
      </c>
      <c r="D99" s="16" t="s">
        <v>25</v>
      </c>
      <c r="E99" s="432">
        <v>20</v>
      </c>
      <c r="F99" s="16" t="s">
        <v>504</v>
      </c>
    </row>
    <row r="100" spans="1:6">
      <c r="A100" s="16" t="s">
        <v>506</v>
      </c>
      <c r="B100" s="16" t="s">
        <v>507</v>
      </c>
      <c r="C100" s="432">
        <v>29</v>
      </c>
      <c r="D100" s="16" t="s">
        <v>105</v>
      </c>
      <c r="E100" s="432">
        <v>15</v>
      </c>
      <c r="F100" s="16" t="s">
        <v>509</v>
      </c>
    </row>
    <row r="101" spans="1:6">
      <c r="A101" s="16" t="s">
        <v>510</v>
      </c>
      <c r="B101" s="16" t="s">
        <v>511</v>
      </c>
      <c r="C101" s="16" t="s">
        <v>31</v>
      </c>
      <c r="D101" s="16" t="s">
        <v>70</v>
      </c>
      <c r="E101" s="432">
        <v>25</v>
      </c>
      <c r="F101" s="16" t="s">
        <v>513</v>
      </c>
    </row>
    <row r="102" spans="1:6">
      <c r="A102" s="16" t="s">
        <v>515</v>
      </c>
      <c r="B102" s="16" t="s">
        <v>516</v>
      </c>
      <c r="C102" s="432">
        <v>81</v>
      </c>
      <c r="D102" s="16" t="s">
        <v>32</v>
      </c>
      <c r="E102" s="432">
        <v>15</v>
      </c>
      <c r="F102" s="16" t="s">
        <v>518</v>
      </c>
    </row>
    <row r="103" spans="1:6">
      <c r="A103" s="16" t="s">
        <v>520</v>
      </c>
      <c r="B103" s="16" t="s">
        <v>521</v>
      </c>
      <c r="C103" s="432">
        <v>75</v>
      </c>
      <c r="D103" s="16" t="s">
        <v>19</v>
      </c>
      <c r="E103" s="432">
        <v>10</v>
      </c>
      <c r="F103" s="16" t="s">
        <v>523</v>
      </c>
    </row>
    <row r="104" spans="1:6">
      <c r="A104" s="16" t="s">
        <v>524</v>
      </c>
      <c r="B104" s="16" t="s">
        <v>525</v>
      </c>
      <c r="C104" s="432">
        <v>379</v>
      </c>
      <c r="D104" s="16" t="s">
        <v>70</v>
      </c>
      <c r="E104" s="432">
        <v>10</v>
      </c>
      <c r="F104" s="16" t="s">
        <v>527</v>
      </c>
    </row>
    <row r="105" spans="1:6">
      <c r="A105" s="16" t="s">
        <v>529</v>
      </c>
      <c r="B105" s="16" t="s">
        <v>530</v>
      </c>
      <c r="C105" s="432">
        <v>59</v>
      </c>
      <c r="D105" s="16" t="s">
        <v>320</v>
      </c>
      <c r="E105" s="432">
        <v>10</v>
      </c>
      <c r="F105" s="16" t="s">
        <v>532</v>
      </c>
    </row>
    <row r="106" spans="1:6">
      <c r="A106" s="16" t="s">
        <v>534</v>
      </c>
      <c r="B106" s="16" t="s">
        <v>187</v>
      </c>
      <c r="C106" s="432">
        <v>66</v>
      </c>
      <c r="D106" s="16" t="s">
        <v>188</v>
      </c>
      <c r="E106" s="432">
        <v>15</v>
      </c>
      <c r="F106" s="16" t="s">
        <v>536</v>
      </c>
    </row>
    <row r="107" spans="1:6">
      <c r="A107" s="16" t="s">
        <v>538</v>
      </c>
      <c r="B107" s="16" t="s">
        <v>539</v>
      </c>
      <c r="C107" s="432">
        <v>753</v>
      </c>
      <c r="D107" s="16" t="s">
        <v>540</v>
      </c>
      <c r="E107" s="432">
        <v>20</v>
      </c>
      <c r="F107" s="16" t="s">
        <v>542</v>
      </c>
    </row>
    <row r="108" spans="1:6">
      <c r="A108" s="16" t="s">
        <v>544</v>
      </c>
      <c r="B108" s="16" t="s">
        <v>157</v>
      </c>
      <c r="C108" s="432">
        <v>381</v>
      </c>
      <c r="D108" s="16" t="s">
        <v>19</v>
      </c>
      <c r="E108" s="432">
        <v>30</v>
      </c>
      <c r="F108" s="16" t="s">
        <v>546</v>
      </c>
    </row>
    <row r="109" spans="1:6">
      <c r="A109" s="16" t="s">
        <v>548</v>
      </c>
      <c r="B109" s="16" t="s">
        <v>47</v>
      </c>
      <c r="C109" s="16" t="s">
        <v>42</v>
      </c>
      <c r="D109" s="16" t="s">
        <v>48</v>
      </c>
      <c r="E109" s="432">
        <v>10</v>
      </c>
      <c r="F109" s="16" t="s">
        <v>550</v>
      </c>
    </row>
    <row r="110" spans="1:6">
      <c r="A110" s="16" t="s">
        <v>552</v>
      </c>
      <c r="B110" s="16" t="s">
        <v>553</v>
      </c>
      <c r="C110" s="432">
        <v>165</v>
      </c>
      <c r="D110" s="16" t="s">
        <v>127</v>
      </c>
      <c r="E110" s="432">
        <v>15</v>
      </c>
      <c r="F110" s="16" t="s">
        <v>555</v>
      </c>
    </row>
    <row r="111" spans="1:6">
      <c r="A111" s="16" t="s">
        <v>556</v>
      </c>
      <c r="B111" s="16" t="s">
        <v>557</v>
      </c>
      <c r="C111" s="432">
        <v>124</v>
      </c>
      <c r="D111" s="16" t="s">
        <v>558</v>
      </c>
      <c r="E111" s="432">
        <v>5</v>
      </c>
      <c r="F111" s="16" t="s">
        <v>560</v>
      </c>
    </row>
    <row r="112" spans="1:6">
      <c r="A112" s="16" t="s">
        <v>562</v>
      </c>
      <c r="B112" s="16" t="s">
        <v>557</v>
      </c>
      <c r="C112" s="16" t="s">
        <v>563</v>
      </c>
      <c r="D112" s="16" t="s">
        <v>19</v>
      </c>
      <c r="E112" s="432">
        <v>15</v>
      </c>
      <c r="F112" s="16" t="s">
        <v>565</v>
      </c>
    </row>
    <row r="113" spans="1:6">
      <c r="A113" s="16" t="s">
        <v>567</v>
      </c>
      <c r="B113" s="16" t="s">
        <v>259</v>
      </c>
      <c r="C113" s="432">
        <v>1064</v>
      </c>
      <c r="D113" s="16" t="s">
        <v>188</v>
      </c>
      <c r="E113" s="432">
        <v>5</v>
      </c>
      <c r="F113" s="16" t="s">
        <v>569</v>
      </c>
    </row>
    <row r="114" spans="1:6">
      <c r="A114" s="16" t="s">
        <v>570</v>
      </c>
      <c r="C114" s="432"/>
      <c r="E114" s="432"/>
    </row>
    <row r="115" spans="1:6">
      <c r="A115" s="16" t="s">
        <v>570</v>
      </c>
      <c r="B115" s="16" t="s">
        <v>572</v>
      </c>
      <c r="C115" s="432">
        <v>602</v>
      </c>
      <c r="D115" s="16" t="s">
        <v>19</v>
      </c>
      <c r="E115" s="432">
        <v>30</v>
      </c>
      <c r="F115" s="16" t="s">
        <v>574</v>
      </c>
    </row>
    <row r="116" spans="1:6">
      <c r="A116" s="16" t="s">
        <v>576</v>
      </c>
      <c r="B116" s="16" t="s">
        <v>577</v>
      </c>
      <c r="C116" s="432">
        <v>210</v>
      </c>
      <c r="D116" s="16" t="s">
        <v>70</v>
      </c>
      <c r="E116" s="432">
        <v>10</v>
      </c>
      <c r="F116" s="16" t="s">
        <v>578</v>
      </c>
    </row>
    <row r="117" spans="1:6">
      <c r="A117" s="16" t="s">
        <v>580</v>
      </c>
      <c r="B117" s="16" t="s">
        <v>581</v>
      </c>
      <c r="C117" s="432">
        <v>999</v>
      </c>
      <c r="D117" s="16" t="s">
        <v>19</v>
      </c>
      <c r="E117" s="432">
        <v>15</v>
      </c>
      <c r="F117" s="16" t="s">
        <v>583</v>
      </c>
    </row>
    <row r="118" spans="1:6">
      <c r="A118" s="16" t="s">
        <v>584</v>
      </c>
      <c r="B118" s="16" t="s">
        <v>585</v>
      </c>
      <c r="C118" s="432">
        <v>100</v>
      </c>
      <c r="D118" s="16" t="s">
        <v>188</v>
      </c>
      <c r="E118" s="432">
        <v>10</v>
      </c>
      <c r="F118" s="16" t="s">
        <v>587</v>
      </c>
    </row>
    <row r="119" spans="1:6">
      <c r="A119" s="16" t="s">
        <v>588</v>
      </c>
      <c r="B119" s="16" t="s">
        <v>589</v>
      </c>
      <c r="C119" s="432">
        <v>169</v>
      </c>
      <c r="D119" s="16" t="s">
        <v>19</v>
      </c>
      <c r="E119" s="432">
        <v>10</v>
      </c>
      <c r="F119" s="16" t="s">
        <v>591</v>
      </c>
    </row>
    <row r="120" spans="1:6">
      <c r="A120" s="16" t="s">
        <v>593</v>
      </c>
      <c r="B120" s="16" t="s">
        <v>594</v>
      </c>
      <c r="C120" s="432">
        <v>50</v>
      </c>
      <c r="D120" s="16" t="s">
        <v>32</v>
      </c>
      <c r="E120" s="432">
        <v>20</v>
      </c>
      <c r="F120" s="16" t="s">
        <v>596</v>
      </c>
    </row>
    <row r="121" spans="1:6">
      <c r="A121" s="16" t="s">
        <v>598</v>
      </c>
      <c r="B121" s="16" t="s">
        <v>599</v>
      </c>
      <c r="C121" s="432">
        <v>54</v>
      </c>
      <c r="D121" s="16" t="s">
        <v>270</v>
      </c>
      <c r="E121" s="432">
        <v>20</v>
      </c>
      <c r="F121" s="16" t="s">
        <v>601</v>
      </c>
    </row>
    <row r="122" spans="1:6">
      <c r="A122" s="107" t="s">
        <v>603</v>
      </c>
      <c r="B122" s="16" t="s">
        <v>604</v>
      </c>
      <c r="C122" s="432">
        <v>182</v>
      </c>
      <c r="D122" s="16" t="s">
        <v>220</v>
      </c>
      <c r="E122" s="432">
        <v>20</v>
      </c>
      <c r="F122" s="16" t="s">
        <v>606</v>
      </c>
    </row>
    <row r="123" spans="1:6">
      <c r="A123" s="16" t="s">
        <v>608</v>
      </c>
      <c r="B123" s="16" t="s">
        <v>609</v>
      </c>
      <c r="C123" s="432">
        <v>53</v>
      </c>
      <c r="D123" s="16" t="s">
        <v>320</v>
      </c>
      <c r="E123" s="432">
        <v>5</v>
      </c>
      <c r="F123" s="16" t="s">
        <v>611</v>
      </c>
    </row>
    <row r="124" spans="1:6">
      <c r="A124" s="16" t="s">
        <v>613</v>
      </c>
      <c r="B124" s="16" t="s">
        <v>614</v>
      </c>
      <c r="C124" s="432">
        <v>624</v>
      </c>
      <c r="D124" s="16" t="s">
        <v>127</v>
      </c>
      <c r="E124" s="432">
        <v>10</v>
      </c>
      <c r="F124" s="16" t="s">
        <v>616</v>
      </c>
    </row>
    <row r="125" spans="1:6">
      <c r="A125" s="16" t="s">
        <v>618</v>
      </c>
      <c r="B125" s="16" t="s">
        <v>619</v>
      </c>
      <c r="C125" s="432">
        <v>45</v>
      </c>
      <c r="D125" s="16" t="s">
        <v>70</v>
      </c>
      <c r="E125" s="432">
        <v>20</v>
      </c>
      <c r="F125" s="16" t="s">
        <v>621</v>
      </c>
    </row>
    <row r="126" spans="1:6">
      <c r="A126" s="16" t="s">
        <v>623</v>
      </c>
      <c r="B126" s="16" t="s">
        <v>624</v>
      </c>
      <c r="C126" s="432">
        <v>958</v>
      </c>
      <c r="D126" s="16" t="s">
        <v>19</v>
      </c>
      <c r="E126" s="432">
        <v>20</v>
      </c>
      <c r="F126" s="16" t="s">
        <v>626</v>
      </c>
    </row>
    <row r="127" spans="1:6">
      <c r="A127" s="16" t="s">
        <v>628</v>
      </c>
      <c r="B127" s="16" t="s">
        <v>629</v>
      </c>
      <c r="C127" s="432">
        <v>18</v>
      </c>
      <c r="D127" s="16" t="s">
        <v>90</v>
      </c>
      <c r="E127" s="432">
        <v>25</v>
      </c>
      <c r="F127" s="16" t="s">
        <v>631</v>
      </c>
    </row>
    <row r="128" spans="1:6">
      <c r="A128" s="16" t="s">
        <v>632</v>
      </c>
      <c r="B128" s="16" t="s">
        <v>633</v>
      </c>
      <c r="C128" s="432">
        <v>120</v>
      </c>
      <c r="D128" s="16" t="s">
        <v>634</v>
      </c>
      <c r="E128" s="432">
        <v>10</v>
      </c>
      <c r="F128" s="16" t="s">
        <v>636</v>
      </c>
    </row>
    <row r="129" spans="1:6">
      <c r="A129" s="16" t="s">
        <v>638</v>
      </c>
      <c r="B129" s="16" t="s">
        <v>639</v>
      </c>
      <c r="C129" s="432">
        <v>222</v>
      </c>
      <c r="D129" s="16" t="s">
        <v>32</v>
      </c>
      <c r="E129" s="432">
        <v>20</v>
      </c>
      <c r="F129" s="16" t="s">
        <v>641</v>
      </c>
    </row>
    <row r="130" spans="1:6">
      <c r="A130" s="16" t="s">
        <v>643</v>
      </c>
      <c r="B130" s="16" t="s">
        <v>644</v>
      </c>
      <c r="C130" s="432">
        <v>215</v>
      </c>
      <c r="D130" s="16" t="s">
        <v>19</v>
      </c>
      <c r="E130" s="432">
        <v>20</v>
      </c>
      <c r="F130" s="16" t="s">
        <v>646</v>
      </c>
    </row>
    <row r="131" spans="1:6">
      <c r="A131" s="16" t="s">
        <v>648</v>
      </c>
      <c r="B131" s="16" t="s">
        <v>649</v>
      </c>
      <c r="C131" s="432">
        <v>150</v>
      </c>
      <c r="D131" s="16" t="s">
        <v>19</v>
      </c>
      <c r="E131" s="432">
        <v>20</v>
      </c>
      <c r="F131" s="16" t="s">
        <v>651</v>
      </c>
    </row>
    <row r="132" spans="1:6">
      <c r="A132" s="16" t="s">
        <v>653</v>
      </c>
      <c r="B132" s="16" t="s">
        <v>654</v>
      </c>
      <c r="C132" s="432">
        <v>51</v>
      </c>
      <c r="D132" s="16" t="s">
        <v>188</v>
      </c>
      <c r="E132" s="432">
        <v>10</v>
      </c>
      <c r="F132" s="16" t="s">
        <v>656</v>
      </c>
    </row>
    <row r="133" spans="1:6">
      <c r="A133" s="16" t="s">
        <v>658</v>
      </c>
      <c r="B133" s="16" t="s">
        <v>659</v>
      </c>
      <c r="C133" s="432">
        <v>178</v>
      </c>
      <c r="D133" s="16" t="s">
        <v>105</v>
      </c>
      <c r="E133" s="432">
        <v>10</v>
      </c>
      <c r="F133" s="16" t="s">
        <v>661</v>
      </c>
    </row>
    <row r="134" spans="1:6">
      <c r="A134" s="16" t="s">
        <v>663</v>
      </c>
      <c r="B134" s="16" t="s">
        <v>286</v>
      </c>
      <c r="C134" s="432">
        <v>34</v>
      </c>
      <c r="D134" s="16" t="s">
        <v>64</v>
      </c>
      <c r="E134" s="432">
        <v>25</v>
      </c>
      <c r="F134" s="16" t="s">
        <v>665</v>
      </c>
    </row>
    <row r="135" spans="1:6">
      <c r="A135" s="16" t="s">
        <v>613</v>
      </c>
      <c r="B135" s="16" t="s">
        <v>667</v>
      </c>
      <c r="C135" s="432">
        <v>115</v>
      </c>
      <c r="D135" s="16" t="s">
        <v>127</v>
      </c>
      <c r="E135" s="432">
        <v>10</v>
      </c>
      <c r="F135" s="16" t="s">
        <v>616</v>
      </c>
    </row>
    <row r="136" spans="1:6">
      <c r="A136" s="16" t="s">
        <v>669</v>
      </c>
      <c r="B136" s="16" t="s">
        <v>275</v>
      </c>
      <c r="C136" s="432">
        <v>55</v>
      </c>
      <c r="D136" s="16" t="s">
        <v>670</v>
      </c>
      <c r="E136" s="432">
        <v>15</v>
      </c>
      <c r="F136" s="16" t="s">
        <v>672</v>
      </c>
    </row>
    <row r="137" spans="1:6">
      <c r="A137" s="16" t="s">
        <v>674</v>
      </c>
      <c r="B137" s="16" t="s">
        <v>675</v>
      </c>
      <c r="C137" s="432">
        <v>107</v>
      </c>
      <c r="D137" s="16" t="s">
        <v>19</v>
      </c>
      <c r="E137" s="432">
        <v>15</v>
      </c>
      <c r="F137" s="16" t="s">
        <v>677</v>
      </c>
    </row>
    <row r="138" spans="1:6">
      <c r="A138" s="16" t="s">
        <v>679</v>
      </c>
      <c r="B138" s="16" t="s">
        <v>680</v>
      </c>
      <c r="C138" s="432">
        <v>510</v>
      </c>
      <c r="D138" s="16" t="s">
        <v>32</v>
      </c>
      <c r="E138" s="432">
        <v>10</v>
      </c>
      <c r="F138" s="16" t="s">
        <v>682</v>
      </c>
    </row>
    <row r="139" spans="1:6">
      <c r="A139" s="16" t="s">
        <v>683</v>
      </c>
      <c r="B139" s="16" t="s">
        <v>684</v>
      </c>
      <c r="C139" s="432">
        <v>103</v>
      </c>
      <c r="D139" s="16" t="s">
        <v>90</v>
      </c>
      <c r="E139" s="432">
        <v>10</v>
      </c>
      <c r="F139" s="16" t="s">
        <v>686</v>
      </c>
    </row>
    <row r="140" spans="1:6">
      <c r="A140" s="16" t="s">
        <v>688</v>
      </c>
      <c r="B140" s="16" t="s">
        <v>198</v>
      </c>
      <c r="C140" s="432">
        <v>91</v>
      </c>
      <c r="D140" s="16" t="s">
        <v>127</v>
      </c>
      <c r="E140" s="432">
        <v>15</v>
      </c>
      <c r="F140" s="16" t="s">
        <v>690</v>
      </c>
    </row>
    <row r="141" spans="1:6">
      <c r="A141" s="16" t="s">
        <v>692</v>
      </c>
      <c r="B141" s="16" t="s">
        <v>693</v>
      </c>
      <c r="C141" s="432">
        <v>118</v>
      </c>
      <c r="D141" s="16" t="s">
        <v>64</v>
      </c>
      <c r="E141" s="432">
        <v>20</v>
      </c>
      <c r="F141" s="16" t="s">
        <v>695</v>
      </c>
    </row>
    <row r="142" spans="1:6">
      <c r="A142" s="16" t="s">
        <v>697</v>
      </c>
      <c r="B142" s="16" t="s">
        <v>698</v>
      </c>
      <c r="C142" s="432">
        <v>345</v>
      </c>
      <c r="D142" s="16" t="s">
        <v>19</v>
      </c>
      <c r="E142" s="432">
        <v>10</v>
      </c>
      <c r="F142" s="16" t="s">
        <v>700</v>
      </c>
    </row>
    <row r="143" spans="1:6">
      <c r="A143" s="16" t="s">
        <v>702</v>
      </c>
      <c r="B143" s="16" t="s">
        <v>703</v>
      </c>
      <c r="C143" s="432">
        <v>70</v>
      </c>
      <c r="D143" s="16" t="s">
        <v>32</v>
      </c>
      <c r="E143" s="432">
        <v>30</v>
      </c>
      <c r="F143" s="16" t="s">
        <v>705</v>
      </c>
    </row>
    <row r="144" spans="1:6">
      <c r="A144" s="16" t="s">
        <v>707</v>
      </c>
      <c r="B144" s="16" t="s">
        <v>708</v>
      </c>
      <c r="C144" s="432">
        <v>113</v>
      </c>
      <c r="D144" s="16" t="s">
        <v>105</v>
      </c>
      <c r="E144" s="432">
        <v>20</v>
      </c>
      <c r="F144" s="16" t="s">
        <v>710</v>
      </c>
    </row>
    <row r="145" spans="1:6">
      <c r="A145" s="16" t="s">
        <v>501</v>
      </c>
      <c r="B145" s="16" t="s">
        <v>712</v>
      </c>
      <c r="C145" s="432">
        <v>380</v>
      </c>
      <c r="D145" s="16" t="s">
        <v>70</v>
      </c>
      <c r="E145" s="432">
        <v>15</v>
      </c>
      <c r="F145" s="16" t="s">
        <v>504</v>
      </c>
    </row>
    <row r="146" spans="1:6">
      <c r="A146" s="16" t="s">
        <v>715</v>
      </c>
      <c r="B146" s="16" t="s">
        <v>716</v>
      </c>
      <c r="C146" s="432">
        <v>300</v>
      </c>
      <c r="D146" s="16" t="s">
        <v>19</v>
      </c>
      <c r="E146" s="432">
        <v>25</v>
      </c>
      <c r="F146" s="16" t="s">
        <v>718</v>
      </c>
    </row>
    <row r="147" spans="1:6">
      <c r="A147" s="16" t="s">
        <v>496</v>
      </c>
      <c r="B147" s="16" t="s">
        <v>720</v>
      </c>
      <c r="C147" s="432">
        <v>832</v>
      </c>
      <c r="D147" s="16" t="s">
        <v>70</v>
      </c>
      <c r="E147" s="432">
        <v>10</v>
      </c>
      <c r="F147" s="16" t="s">
        <v>499</v>
      </c>
    </row>
    <row r="148" spans="1:6">
      <c r="A148" s="16" t="s">
        <v>721</v>
      </c>
      <c r="B148" s="16" t="s">
        <v>722</v>
      </c>
      <c r="C148" s="432">
        <v>100</v>
      </c>
      <c r="D148" s="16" t="s">
        <v>127</v>
      </c>
      <c r="E148" s="432">
        <v>25</v>
      </c>
      <c r="F148" s="435" t="s">
        <v>724</v>
      </c>
    </row>
    <row r="149" spans="1:6">
      <c r="A149" s="16" t="s">
        <v>726</v>
      </c>
      <c r="B149" s="16" t="s">
        <v>136</v>
      </c>
      <c r="C149" s="432">
        <v>162</v>
      </c>
      <c r="D149" s="16" t="s">
        <v>32</v>
      </c>
      <c r="E149" s="432">
        <v>20</v>
      </c>
      <c r="F149" s="16" t="s">
        <v>728</v>
      </c>
    </row>
    <row r="150" spans="1:6">
      <c r="A150" s="16" t="s">
        <v>730</v>
      </c>
      <c r="B150" s="16" t="s">
        <v>731</v>
      </c>
      <c r="C150" s="432">
        <v>310</v>
      </c>
      <c r="D150" s="16" t="s">
        <v>127</v>
      </c>
      <c r="E150" s="432">
        <v>20</v>
      </c>
      <c r="F150" s="16" t="s">
        <v>733</v>
      </c>
    </row>
    <row r="151" spans="1:6">
      <c r="A151" s="16" t="s">
        <v>735</v>
      </c>
      <c r="B151" s="16" t="s">
        <v>516</v>
      </c>
      <c r="C151" s="432">
        <v>80</v>
      </c>
      <c r="D151" s="16" t="s">
        <v>32</v>
      </c>
      <c r="E151" s="432">
        <v>25</v>
      </c>
      <c r="F151" s="16" t="s">
        <v>737</v>
      </c>
    </row>
    <row r="152" spans="1:6">
      <c r="A152" s="16" t="s">
        <v>739</v>
      </c>
      <c r="B152" s="16" t="s">
        <v>740</v>
      </c>
      <c r="C152" s="432">
        <v>27</v>
      </c>
      <c r="D152" s="16" t="s">
        <v>127</v>
      </c>
      <c r="E152" s="432">
        <v>10</v>
      </c>
      <c r="F152" s="16" t="s">
        <v>741</v>
      </c>
    </row>
    <row r="153" spans="1:6">
      <c r="A153" s="16" t="s">
        <v>742</v>
      </c>
      <c r="B153" s="16" t="s">
        <v>743</v>
      </c>
      <c r="C153" s="432">
        <v>108</v>
      </c>
      <c r="D153" s="16" t="s">
        <v>70</v>
      </c>
      <c r="E153" s="432">
        <v>20</v>
      </c>
      <c r="F153" s="16" t="s">
        <v>744</v>
      </c>
    </row>
    <row r="154" spans="1:6">
      <c r="A154" s="16" t="s">
        <v>746</v>
      </c>
      <c r="B154" s="16" t="s">
        <v>747</v>
      </c>
      <c r="C154" s="16" t="s">
        <v>31</v>
      </c>
      <c r="D154" s="16" t="s">
        <v>540</v>
      </c>
      <c r="E154" s="432">
        <v>10</v>
      </c>
      <c r="F154" s="16" t="s">
        <v>749</v>
      </c>
    </row>
    <row r="155" spans="1:6">
      <c r="A155" s="16" t="s">
        <v>751</v>
      </c>
      <c r="B155" s="16" t="s">
        <v>752</v>
      </c>
      <c r="C155" s="432">
        <v>200</v>
      </c>
      <c r="D155" s="16" t="s">
        <v>753</v>
      </c>
      <c r="E155" s="432">
        <v>10</v>
      </c>
      <c r="F155" s="16" t="s">
        <v>755</v>
      </c>
    </row>
    <row r="156" spans="1:6">
      <c r="A156" s="16" t="s">
        <v>756</v>
      </c>
      <c r="B156" s="16" t="s">
        <v>757</v>
      </c>
      <c r="C156" s="432">
        <v>40</v>
      </c>
      <c r="D156" s="16" t="s">
        <v>64</v>
      </c>
      <c r="E156" s="432">
        <v>10</v>
      </c>
      <c r="F156" s="16" t="s">
        <v>759</v>
      </c>
    </row>
    <row r="157" spans="1:6">
      <c r="A157" s="16" t="s">
        <v>761</v>
      </c>
      <c r="B157" s="16" t="s">
        <v>762</v>
      </c>
      <c r="C157" s="432">
        <v>9</v>
      </c>
      <c r="D157" s="16" t="s">
        <v>188</v>
      </c>
      <c r="E157" s="432">
        <v>5</v>
      </c>
      <c r="F157" s="16" t="s">
        <v>764</v>
      </c>
    </row>
    <row r="158" spans="1:6">
      <c r="A158" s="16" t="s">
        <v>761</v>
      </c>
      <c r="B158" s="16" t="s">
        <v>766</v>
      </c>
      <c r="C158" s="432">
        <v>73</v>
      </c>
      <c r="D158" s="16" t="s">
        <v>314</v>
      </c>
      <c r="E158" s="432">
        <v>5</v>
      </c>
      <c r="F158" s="16" t="s">
        <v>764</v>
      </c>
    </row>
    <row r="159" spans="1:6">
      <c r="A159" s="16" t="s">
        <v>768</v>
      </c>
      <c r="B159" s="16" t="s">
        <v>769</v>
      </c>
      <c r="C159" s="432">
        <v>101</v>
      </c>
      <c r="D159" s="16" t="s">
        <v>188</v>
      </c>
      <c r="E159" s="432">
        <v>10</v>
      </c>
      <c r="F159" s="16" t="s">
        <v>771</v>
      </c>
    </row>
    <row r="160" spans="1:6">
      <c r="A160" s="16" t="s">
        <v>773</v>
      </c>
      <c r="B160" s="16" t="s">
        <v>774</v>
      </c>
      <c r="C160" s="432">
        <v>49</v>
      </c>
      <c r="D160" s="16" t="s">
        <v>64</v>
      </c>
      <c r="E160" s="432">
        <v>10</v>
      </c>
      <c r="F160" s="16" t="s">
        <v>776</v>
      </c>
    </row>
    <row r="161" spans="1:6">
      <c r="A161" s="16" t="s">
        <v>778</v>
      </c>
      <c r="B161" s="16" t="s">
        <v>779</v>
      </c>
      <c r="C161" s="432">
        <v>335</v>
      </c>
      <c r="D161" s="16" t="s">
        <v>19</v>
      </c>
      <c r="E161" s="432">
        <v>10</v>
      </c>
      <c r="F161" s="16" t="s">
        <v>781</v>
      </c>
    </row>
    <row r="162" spans="1:6">
      <c r="A162" s="16" t="s">
        <v>783</v>
      </c>
      <c r="B162" s="16" t="s">
        <v>784</v>
      </c>
      <c r="C162" s="432">
        <v>72</v>
      </c>
      <c r="D162" s="16" t="s">
        <v>64</v>
      </c>
      <c r="E162" s="432">
        <v>30</v>
      </c>
      <c r="F162" s="16" t="s">
        <v>786</v>
      </c>
    </row>
    <row r="163" spans="1:6">
      <c r="A163" s="16" t="s">
        <v>788</v>
      </c>
      <c r="B163" s="16" t="s">
        <v>789</v>
      </c>
      <c r="C163" s="432">
        <v>160</v>
      </c>
      <c r="D163" s="16" t="s">
        <v>64</v>
      </c>
      <c r="E163" s="432">
        <v>25</v>
      </c>
      <c r="F163" s="16" t="s">
        <v>791</v>
      </c>
    </row>
    <row r="164" spans="1:6">
      <c r="A164" s="16" t="s">
        <v>793</v>
      </c>
      <c r="B164" s="16" t="s">
        <v>794</v>
      </c>
      <c r="C164" s="432">
        <v>169</v>
      </c>
      <c r="D164" s="16" t="s">
        <v>188</v>
      </c>
      <c r="E164" s="432">
        <v>20</v>
      </c>
      <c r="F164" s="16" t="s">
        <v>796</v>
      </c>
    </row>
    <row r="165" spans="1:6">
      <c r="A165" s="16" t="s">
        <v>798</v>
      </c>
      <c r="B165" s="16" t="s">
        <v>799</v>
      </c>
      <c r="C165" s="432">
        <v>21</v>
      </c>
      <c r="D165" s="16" t="s">
        <v>800</v>
      </c>
      <c r="E165" s="432">
        <v>10</v>
      </c>
      <c r="F165" s="16" t="s">
        <v>802</v>
      </c>
    </row>
    <row r="166" spans="1:6">
      <c r="A166" s="16" t="s">
        <v>805</v>
      </c>
      <c r="B166" s="16" t="s">
        <v>806</v>
      </c>
      <c r="C166" s="432">
        <v>88</v>
      </c>
      <c r="D166" s="16" t="s">
        <v>64</v>
      </c>
      <c r="E166" s="432">
        <v>15</v>
      </c>
      <c r="F166" s="16" t="s">
        <v>808</v>
      </c>
    </row>
    <row r="167" spans="1:6">
      <c r="A167" s="16" t="s">
        <v>810</v>
      </c>
      <c r="B167" s="16" t="s">
        <v>811</v>
      </c>
      <c r="C167" s="432">
        <v>203</v>
      </c>
      <c r="D167" s="16" t="s">
        <v>19</v>
      </c>
      <c r="E167" s="432">
        <v>20</v>
      </c>
      <c r="F167" s="16" t="s">
        <v>813</v>
      </c>
    </row>
    <row r="168" spans="1:6">
      <c r="A168" s="16" t="s">
        <v>810</v>
      </c>
      <c r="B168" s="16" t="s">
        <v>589</v>
      </c>
      <c r="C168" s="432">
        <v>232</v>
      </c>
      <c r="D168" s="16" t="s">
        <v>19</v>
      </c>
      <c r="E168" s="432">
        <v>20</v>
      </c>
      <c r="F168" s="16" t="s">
        <v>813</v>
      </c>
    </row>
    <row r="169" spans="1:6">
      <c r="A169" s="16" t="s">
        <v>816</v>
      </c>
      <c r="B169" s="16" t="s">
        <v>817</v>
      </c>
      <c r="C169" s="432">
        <v>160</v>
      </c>
      <c r="D169" s="16" t="s">
        <v>314</v>
      </c>
      <c r="E169" s="432">
        <v>20</v>
      </c>
      <c r="F169" s="16" t="s">
        <v>819</v>
      </c>
    </row>
    <row r="170" spans="1:6">
      <c r="A170" s="16" t="s">
        <v>820</v>
      </c>
      <c r="B170" s="16" t="s">
        <v>821</v>
      </c>
      <c r="C170" s="432">
        <v>88</v>
      </c>
      <c r="D170" s="16" t="s">
        <v>188</v>
      </c>
      <c r="E170" s="432">
        <v>10</v>
      </c>
      <c r="F170" s="16" t="s">
        <v>822</v>
      </c>
    </row>
    <row r="171" spans="1:6">
      <c r="A171" s="16" t="s">
        <v>824</v>
      </c>
      <c r="B171" s="16" t="s">
        <v>825</v>
      </c>
      <c r="C171" s="432">
        <v>90</v>
      </c>
      <c r="D171" s="16" t="s">
        <v>19</v>
      </c>
      <c r="E171" s="432">
        <v>20</v>
      </c>
      <c r="F171" s="16" t="s">
        <v>827</v>
      </c>
    </row>
    <row r="172" spans="1:6">
      <c r="A172" s="16" t="s">
        <v>824</v>
      </c>
      <c r="B172" s="16" t="s">
        <v>828</v>
      </c>
      <c r="C172" s="432">
        <v>53</v>
      </c>
      <c r="D172" s="16" t="s">
        <v>19</v>
      </c>
      <c r="E172" s="432">
        <v>20</v>
      </c>
      <c r="F172" s="16" t="s">
        <v>827</v>
      </c>
    </row>
    <row r="173" spans="1:6">
      <c r="A173" s="16" t="s">
        <v>830</v>
      </c>
      <c r="B173" s="16" t="s">
        <v>831</v>
      </c>
      <c r="C173" s="432">
        <v>35</v>
      </c>
      <c r="D173" s="16" t="s">
        <v>19</v>
      </c>
      <c r="E173" s="432">
        <v>30</v>
      </c>
      <c r="F173" s="16" t="s">
        <v>833</v>
      </c>
    </row>
    <row r="174" spans="1:6">
      <c r="A174" s="16" t="s">
        <v>835</v>
      </c>
      <c r="B174" s="16" t="s">
        <v>836</v>
      </c>
      <c r="C174" s="432">
        <v>33</v>
      </c>
      <c r="D174" s="16" t="s">
        <v>837</v>
      </c>
      <c r="E174" s="432">
        <v>10</v>
      </c>
      <c r="F174" s="16" t="s">
        <v>839</v>
      </c>
    </row>
    <row r="175" spans="1:6">
      <c r="A175" s="16" t="s">
        <v>840</v>
      </c>
      <c r="B175" s="16" t="s">
        <v>841</v>
      </c>
      <c r="C175" s="432">
        <v>90</v>
      </c>
      <c r="D175" s="16" t="s">
        <v>19</v>
      </c>
      <c r="E175" s="432">
        <v>20</v>
      </c>
      <c r="F175" s="16" t="s">
        <v>843</v>
      </c>
    </row>
    <row r="176" spans="1:6">
      <c r="A176" s="16" t="s">
        <v>845</v>
      </c>
      <c r="B176" s="16" t="s">
        <v>530</v>
      </c>
      <c r="C176" s="432">
        <v>20</v>
      </c>
      <c r="D176" s="16" t="s">
        <v>320</v>
      </c>
      <c r="E176" s="432">
        <v>20</v>
      </c>
      <c r="F176" s="16" t="s">
        <v>847</v>
      </c>
    </row>
    <row r="177" spans="1:6">
      <c r="A177" s="16" t="s">
        <v>849</v>
      </c>
      <c r="B177" s="16" t="s">
        <v>850</v>
      </c>
      <c r="C177" s="432">
        <v>45</v>
      </c>
      <c r="D177" s="16" t="s">
        <v>70</v>
      </c>
      <c r="E177" s="432">
        <v>25</v>
      </c>
      <c r="F177" s="16" t="s">
        <v>852</v>
      </c>
    </row>
    <row r="178" spans="1:6">
      <c r="A178" s="16" t="s">
        <v>854</v>
      </c>
      <c r="B178" s="16" t="s">
        <v>855</v>
      </c>
      <c r="C178" s="432">
        <v>210</v>
      </c>
      <c r="D178" s="16" t="s">
        <v>70</v>
      </c>
      <c r="E178" s="432">
        <v>20</v>
      </c>
      <c r="F178" s="16" t="s">
        <v>857</v>
      </c>
    </row>
    <row r="179" spans="1:6">
      <c r="A179" s="16" t="s">
        <v>859</v>
      </c>
      <c r="B179" s="16" t="s">
        <v>341</v>
      </c>
      <c r="C179" s="432">
        <v>859</v>
      </c>
      <c r="D179" s="16" t="s">
        <v>64</v>
      </c>
      <c r="E179" s="432">
        <v>5</v>
      </c>
      <c r="F179" s="16" t="s">
        <v>860</v>
      </c>
    </row>
    <row r="180" spans="1:6">
      <c r="A180" s="16" t="s">
        <v>862</v>
      </c>
      <c r="B180" s="16" t="s">
        <v>863</v>
      </c>
      <c r="C180" s="432">
        <v>270</v>
      </c>
      <c r="D180" s="16" t="s">
        <v>32</v>
      </c>
      <c r="E180" s="432">
        <v>10</v>
      </c>
      <c r="F180" s="16" t="s">
        <v>865</v>
      </c>
    </row>
    <row r="181" spans="1:6">
      <c r="A181" s="16" t="s">
        <v>867</v>
      </c>
      <c r="B181" s="16" t="s">
        <v>868</v>
      </c>
      <c r="C181" s="432">
        <v>100</v>
      </c>
      <c r="D181" s="16" t="s">
        <v>105</v>
      </c>
      <c r="E181" s="432">
        <v>20</v>
      </c>
      <c r="F181" s="16" t="s">
        <v>870</v>
      </c>
    </row>
    <row r="182" spans="1:6">
      <c r="A182" s="16" t="s">
        <v>872</v>
      </c>
      <c r="B182" s="16" t="s">
        <v>873</v>
      </c>
      <c r="C182" s="432">
        <v>129</v>
      </c>
      <c r="D182" s="16" t="s">
        <v>32</v>
      </c>
      <c r="E182" s="432">
        <v>20</v>
      </c>
      <c r="F182" s="16" t="s">
        <v>875</v>
      </c>
    </row>
    <row r="183" spans="1:6">
      <c r="A183" s="16" t="s">
        <v>876</v>
      </c>
      <c r="B183" s="16" t="s">
        <v>877</v>
      </c>
      <c r="C183" s="432">
        <v>240</v>
      </c>
      <c r="D183" s="16" t="s">
        <v>32</v>
      </c>
      <c r="E183" s="432">
        <v>10</v>
      </c>
      <c r="F183" s="16" t="s">
        <v>879</v>
      </c>
    </row>
    <row r="184" spans="1:6">
      <c r="A184" s="16" t="s">
        <v>307</v>
      </c>
      <c r="B184" s="16" t="s">
        <v>881</v>
      </c>
      <c r="C184" s="16" t="s">
        <v>31</v>
      </c>
      <c r="D184" s="16" t="s">
        <v>127</v>
      </c>
      <c r="E184" s="432">
        <v>15</v>
      </c>
      <c r="F184" s="16" t="s">
        <v>310</v>
      </c>
    </row>
    <row r="185" spans="1:6">
      <c r="A185" s="16" t="s">
        <v>882</v>
      </c>
      <c r="B185" s="16" t="s">
        <v>883</v>
      </c>
      <c r="C185" s="432">
        <v>72</v>
      </c>
      <c r="D185" s="16" t="s">
        <v>127</v>
      </c>
      <c r="E185" s="432">
        <v>25</v>
      </c>
      <c r="F185" s="16" t="s">
        <v>885</v>
      </c>
    </row>
    <row r="186" spans="1:6">
      <c r="A186" s="16" t="s">
        <v>887</v>
      </c>
      <c r="B186" s="16" t="s">
        <v>881</v>
      </c>
      <c r="C186" s="16" t="s">
        <v>31</v>
      </c>
      <c r="D186" s="16" t="s">
        <v>19</v>
      </c>
      <c r="E186" s="432">
        <v>10</v>
      </c>
      <c r="F186" s="16" t="s">
        <v>889</v>
      </c>
    </row>
    <row r="187" spans="1:6">
      <c r="A187" s="16" t="s">
        <v>890</v>
      </c>
      <c r="B187" s="16" t="s">
        <v>244</v>
      </c>
      <c r="C187" s="432">
        <v>865</v>
      </c>
      <c r="D187" s="16" t="s">
        <v>70</v>
      </c>
      <c r="E187" s="432">
        <v>10</v>
      </c>
      <c r="F187" s="16" t="s">
        <v>892</v>
      </c>
    </row>
    <row r="188" spans="1:6">
      <c r="A188" s="16" t="s">
        <v>894</v>
      </c>
      <c r="B188" s="16" t="s">
        <v>259</v>
      </c>
      <c r="C188" s="432">
        <v>567</v>
      </c>
      <c r="D188" s="16" t="s">
        <v>19</v>
      </c>
      <c r="E188" s="432">
        <v>10</v>
      </c>
      <c r="F188" s="16" t="s">
        <v>892</v>
      </c>
    </row>
    <row r="189" spans="1:6">
      <c r="A189" s="16" t="s">
        <v>896</v>
      </c>
      <c r="B189" s="16" t="s">
        <v>397</v>
      </c>
      <c r="C189" s="432">
        <v>41</v>
      </c>
      <c r="D189" s="16" t="s">
        <v>19</v>
      </c>
      <c r="E189" s="432">
        <v>10</v>
      </c>
      <c r="F189" s="16" t="s">
        <v>898</v>
      </c>
    </row>
    <row r="190" spans="1:6">
      <c r="A190" s="16" t="s">
        <v>900</v>
      </c>
      <c r="B190" s="16" t="s">
        <v>901</v>
      </c>
      <c r="C190" s="432">
        <v>145</v>
      </c>
      <c r="D190" s="16" t="s">
        <v>270</v>
      </c>
      <c r="E190" s="432">
        <v>20</v>
      </c>
      <c r="F190" s="16" t="s">
        <v>903</v>
      </c>
    </row>
    <row r="191" spans="1:6">
      <c r="A191" s="16" t="s">
        <v>905</v>
      </c>
      <c r="B191" s="16" t="s">
        <v>906</v>
      </c>
      <c r="C191" s="16" t="s">
        <v>42</v>
      </c>
      <c r="D191" s="16" t="s">
        <v>25</v>
      </c>
      <c r="E191" s="432">
        <v>15</v>
      </c>
      <c r="F191" s="16" t="s">
        <v>908</v>
      </c>
    </row>
    <row r="192" spans="1:6">
      <c r="A192" s="16" t="s">
        <v>905</v>
      </c>
      <c r="B192" s="16" t="s">
        <v>910</v>
      </c>
      <c r="C192" s="432">
        <v>177</v>
      </c>
      <c r="D192" s="16" t="s">
        <v>19</v>
      </c>
      <c r="E192" s="432">
        <v>15</v>
      </c>
      <c r="F192" s="16" t="s">
        <v>908</v>
      </c>
    </row>
    <row r="193" spans="1:6">
      <c r="A193" s="16" t="s">
        <v>912</v>
      </c>
      <c r="B193" s="16" t="s">
        <v>913</v>
      </c>
      <c r="C193" s="432">
        <v>146</v>
      </c>
      <c r="D193" s="16" t="s">
        <v>127</v>
      </c>
      <c r="E193" s="432">
        <v>10</v>
      </c>
      <c r="F193" s="16" t="s">
        <v>915</v>
      </c>
    </row>
    <row r="194" spans="1:6">
      <c r="A194" s="16" t="s">
        <v>917</v>
      </c>
      <c r="B194" s="16" t="s">
        <v>577</v>
      </c>
      <c r="C194" s="432">
        <v>100</v>
      </c>
      <c r="D194" s="16" t="s">
        <v>70</v>
      </c>
      <c r="E194" s="432">
        <v>10</v>
      </c>
      <c r="F194" s="16" t="s">
        <v>919</v>
      </c>
    </row>
    <row r="195" spans="1:6">
      <c r="A195" s="16" t="s">
        <v>921</v>
      </c>
      <c r="B195" s="16" t="s">
        <v>589</v>
      </c>
      <c r="C195" s="432">
        <v>79</v>
      </c>
      <c r="D195" s="16" t="s">
        <v>19</v>
      </c>
      <c r="E195" s="432">
        <v>10</v>
      </c>
      <c r="F195" s="16" t="s">
        <v>922</v>
      </c>
    </row>
    <row r="196" spans="1:6">
      <c r="A196" s="16" t="s">
        <v>924</v>
      </c>
      <c r="B196" s="16" t="s">
        <v>925</v>
      </c>
      <c r="C196" s="432">
        <v>201</v>
      </c>
      <c r="D196" s="16" t="s">
        <v>70</v>
      </c>
      <c r="E196" s="432">
        <v>10</v>
      </c>
      <c r="F196" s="16" t="s">
        <v>927</v>
      </c>
    </row>
    <row r="197" spans="1:6">
      <c r="A197" s="16" t="s">
        <v>929</v>
      </c>
      <c r="B197" s="16" t="s">
        <v>930</v>
      </c>
      <c r="C197" s="432">
        <v>79</v>
      </c>
      <c r="D197" s="16" t="s">
        <v>25</v>
      </c>
      <c r="E197" s="432">
        <v>10</v>
      </c>
      <c r="F197" s="16" t="s">
        <v>932</v>
      </c>
    </row>
    <row r="198" spans="1:6">
      <c r="A198" s="16" t="s">
        <v>934</v>
      </c>
      <c r="B198" s="16" t="s">
        <v>935</v>
      </c>
      <c r="C198" s="432">
        <v>485</v>
      </c>
      <c r="D198" s="16" t="s">
        <v>19</v>
      </c>
      <c r="E198" s="432">
        <v>30</v>
      </c>
      <c r="F198" s="16" t="s">
        <v>937</v>
      </c>
    </row>
    <row r="199" spans="1:6">
      <c r="A199" s="16" t="s">
        <v>939</v>
      </c>
      <c r="B199" s="16" t="s">
        <v>940</v>
      </c>
      <c r="C199" s="432">
        <v>306</v>
      </c>
      <c r="D199" s="16" t="s">
        <v>941</v>
      </c>
      <c r="E199" s="432">
        <v>5</v>
      </c>
      <c r="F199" s="16" t="s">
        <v>943</v>
      </c>
    </row>
    <row r="200" spans="1:6">
      <c r="A200" s="16" t="s">
        <v>944</v>
      </c>
      <c r="B200" s="16" t="s">
        <v>945</v>
      </c>
      <c r="C200" s="432">
        <v>200</v>
      </c>
      <c r="D200" s="16" t="s">
        <v>127</v>
      </c>
      <c r="E200" s="432">
        <v>20</v>
      </c>
      <c r="F200" s="16" t="s">
        <v>947</v>
      </c>
    </row>
    <row r="201" spans="1:6">
      <c r="A201" s="16" t="s">
        <v>949</v>
      </c>
      <c r="B201" s="16" t="s">
        <v>136</v>
      </c>
      <c r="C201" s="432">
        <v>400</v>
      </c>
      <c r="D201" s="16" t="s">
        <v>32</v>
      </c>
      <c r="E201" s="432">
        <v>25</v>
      </c>
      <c r="F201" s="16" t="s">
        <v>951</v>
      </c>
    </row>
    <row r="202" spans="1:6">
      <c r="A202" s="16" t="s">
        <v>952</v>
      </c>
      <c r="B202" s="16" t="s">
        <v>553</v>
      </c>
      <c r="C202" s="432">
        <v>17</v>
      </c>
      <c r="D202" s="16" t="s">
        <v>127</v>
      </c>
      <c r="E202" s="432">
        <v>10</v>
      </c>
      <c r="F202" s="16" t="s">
        <v>954</v>
      </c>
    </row>
    <row r="203" spans="1:6">
      <c r="A203" s="16" t="s">
        <v>956</v>
      </c>
      <c r="B203" s="16" t="s">
        <v>521</v>
      </c>
      <c r="C203" s="432">
        <v>150</v>
      </c>
      <c r="D203" s="16" t="s">
        <v>957</v>
      </c>
      <c r="E203" s="432">
        <v>10</v>
      </c>
      <c r="F203" s="16" t="s">
        <v>959</v>
      </c>
    </row>
    <row r="204" spans="1:6">
      <c r="A204" s="16" t="s">
        <v>960</v>
      </c>
      <c r="B204" s="16" t="s">
        <v>961</v>
      </c>
      <c r="C204" s="432">
        <v>905</v>
      </c>
      <c r="D204" s="16" t="s">
        <v>19</v>
      </c>
      <c r="E204" s="432">
        <v>20</v>
      </c>
      <c r="F204" s="16" t="s">
        <v>963</v>
      </c>
    </row>
    <row r="205" spans="1:6">
      <c r="A205" s="16" t="s">
        <v>965</v>
      </c>
      <c r="B205" s="16" t="s">
        <v>167</v>
      </c>
      <c r="C205" s="432">
        <v>856</v>
      </c>
      <c r="D205" s="16" t="s">
        <v>64</v>
      </c>
      <c r="E205" s="432">
        <v>20</v>
      </c>
      <c r="F205" s="16" t="s">
        <v>967</v>
      </c>
    </row>
    <row r="206" spans="1:6">
      <c r="A206" s="16" t="s">
        <v>968</v>
      </c>
      <c r="B206" s="16" t="s">
        <v>969</v>
      </c>
      <c r="C206" s="432">
        <v>62</v>
      </c>
      <c r="D206" s="16" t="s">
        <v>90</v>
      </c>
      <c r="E206" s="432">
        <v>10</v>
      </c>
      <c r="F206" s="16" t="s">
        <v>971</v>
      </c>
    </row>
    <row r="207" spans="1:6">
      <c r="A207" s="16" t="s">
        <v>973</v>
      </c>
      <c r="B207" s="16" t="s">
        <v>974</v>
      </c>
      <c r="C207" s="432">
        <v>145</v>
      </c>
      <c r="D207" s="16" t="s">
        <v>975</v>
      </c>
      <c r="E207" s="432">
        <v>20</v>
      </c>
      <c r="F207" s="16" t="s">
        <v>977</v>
      </c>
    </row>
    <row r="208" spans="1:6">
      <c r="A208" s="16" t="s">
        <v>979</v>
      </c>
      <c r="B208" s="16" t="s">
        <v>980</v>
      </c>
      <c r="C208" s="432">
        <v>130</v>
      </c>
      <c r="D208" s="16" t="s">
        <v>32</v>
      </c>
      <c r="E208" s="432">
        <v>15</v>
      </c>
      <c r="F208" s="16" t="s">
        <v>982</v>
      </c>
    </row>
    <row r="209" spans="1:6">
      <c r="A209" s="16" t="s">
        <v>984</v>
      </c>
      <c r="B209" s="16" t="s">
        <v>985</v>
      </c>
      <c r="C209" s="432">
        <v>20</v>
      </c>
      <c r="D209" s="16" t="s">
        <v>320</v>
      </c>
      <c r="E209" s="432">
        <v>10</v>
      </c>
      <c r="F209" s="16" t="s">
        <v>987</v>
      </c>
    </row>
    <row r="210" spans="1:6">
      <c r="A210" s="16" t="s">
        <v>989</v>
      </c>
      <c r="B210" s="16" t="s">
        <v>990</v>
      </c>
      <c r="C210" s="432">
        <v>115</v>
      </c>
      <c r="D210" s="16" t="s">
        <v>127</v>
      </c>
      <c r="E210" s="432">
        <v>30</v>
      </c>
      <c r="F210" s="16" t="s">
        <v>992</v>
      </c>
    </row>
    <row r="211" spans="1:6">
      <c r="A211" s="16" t="s">
        <v>994</v>
      </c>
      <c r="B211" s="16" t="s">
        <v>995</v>
      </c>
      <c r="C211" s="432">
        <v>240</v>
      </c>
      <c r="D211" s="16" t="s">
        <v>70</v>
      </c>
      <c r="E211" s="432">
        <v>15</v>
      </c>
      <c r="F211" s="16" t="s">
        <v>997</v>
      </c>
    </row>
    <row r="212" spans="1:6">
      <c r="A212" s="16" t="s">
        <v>999</v>
      </c>
      <c r="B212" s="16" t="s">
        <v>1000</v>
      </c>
      <c r="C212" s="432">
        <v>75</v>
      </c>
      <c r="D212" s="16" t="s">
        <v>314</v>
      </c>
      <c r="E212" s="432">
        <v>10</v>
      </c>
      <c r="F212" s="16" t="s">
        <v>15</v>
      </c>
    </row>
    <row r="213" spans="1:6">
      <c r="A213" s="16" t="s">
        <v>1002</v>
      </c>
      <c r="B213" s="16" t="s">
        <v>1003</v>
      </c>
      <c r="C213" s="432">
        <v>471</v>
      </c>
      <c r="D213" s="16" t="s">
        <v>325</v>
      </c>
      <c r="E213" s="432">
        <v>10</v>
      </c>
      <c r="F213" s="16" t="s">
        <v>1005</v>
      </c>
    </row>
    <row r="214" spans="1:6">
      <c r="A214" s="16" t="s">
        <v>1007</v>
      </c>
      <c r="B214" s="16" t="s">
        <v>1008</v>
      </c>
      <c r="C214" s="432">
        <v>47</v>
      </c>
      <c r="D214" s="16" t="s">
        <v>70</v>
      </c>
      <c r="E214" s="432">
        <v>20</v>
      </c>
      <c r="F214" s="16" t="s">
        <v>1010</v>
      </c>
    </row>
    <row r="215" spans="1:6">
      <c r="A215" s="16" t="s">
        <v>1013</v>
      </c>
      <c r="B215" s="16" t="s">
        <v>1014</v>
      </c>
      <c r="C215" s="432">
        <v>328</v>
      </c>
      <c r="D215" s="16" t="s">
        <v>19</v>
      </c>
      <c r="E215" s="432">
        <v>30</v>
      </c>
      <c r="F215" s="16" t="s">
        <v>1015</v>
      </c>
    </row>
    <row r="216" spans="1:6">
      <c r="A216" s="16" t="s">
        <v>1016</v>
      </c>
      <c r="B216" s="16" t="s">
        <v>453</v>
      </c>
      <c r="C216" s="432">
        <v>290</v>
      </c>
      <c r="D216" s="16" t="s">
        <v>127</v>
      </c>
      <c r="E216" s="432">
        <v>10</v>
      </c>
      <c r="F216" s="16" t="s">
        <v>1018</v>
      </c>
    </row>
    <row r="217" spans="1:6">
      <c r="A217" s="16" t="s">
        <v>1019</v>
      </c>
      <c r="B217" s="16" t="s">
        <v>341</v>
      </c>
      <c r="C217" s="432">
        <v>255</v>
      </c>
      <c r="D217" s="16" t="s">
        <v>1020</v>
      </c>
      <c r="E217" s="432">
        <v>15</v>
      </c>
      <c r="F217" s="16" t="s">
        <v>1022</v>
      </c>
    </row>
    <row r="218" spans="1:6">
      <c r="A218" s="16" t="s">
        <v>1024</v>
      </c>
      <c r="B218" s="16" t="s">
        <v>1025</v>
      </c>
      <c r="C218" s="432">
        <v>93</v>
      </c>
      <c r="D218" s="16" t="s">
        <v>32</v>
      </c>
      <c r="E218" s="432">
        <v>5</v>
      </c>
      <c r="F218" s="16" t="s">
        <v>1027</v>
      </c>
    </row>
    <row r="219" spans="1:6">
      <c r="A219" s="16" t="s">
        <v>1029</v>
      </c>
      <c r="B219" s="16" t="s">
        <v>259</v>
      </c>
      <c r="C219" s="432">
        <v>867</v>
      </c>
      <c r="D219" s="16" t="s">
        <v>19</v>
      </c>
      <c r="E219" s="432">
        <v>15</v>
      </c>
      <c r="F219" s="16" t="s">
        <v>1031</v>
      </c>
    </row>
    <row r="220" spans="1:6">
      <c r="A220" s="16" t="s">
        <v>1033</v>
      </c>
      <c r="B220" s="16" t="s">
        <v>1034</v>
      </c>
      <c r="C220" s="432">
        <v>855</v>
      </c>
      <c r="D220" s="16" t="s">
        <v>70</v>
      </c>
      <c r="E220" s="432">
        <v>20</v>
      </c>
      <c r="F220" s="16" t="s">
        <v>1036</v>
      </c>
    </row>
    <row r="221" spans="1:6">
      <c r="A221" s="16" t="s">
        <v>1038</v>
      </c>
      <c r="B221" s="16" t="s">
        <v>1039</v>
      </c>
      <c r="C221" s="432">
        <v>1040</v>
      </c>
      <c r="D221" s="16" t="s">
        <v>127</v>
      </c>
      <c r="E221" s="432">
        <v>20</v>
      </c>
      <c r="F221" s="16" t="s">
        <v>1041</v>
      </c>
    </row>
    <row r="222" spans="1:6">
      <c r="A222" s="16" t="s">
        <v>1042</v>
      </c>
      <c r="B222" s="16" t="s">
        <v>1043</v>
      </c>
      <c r="C222" s="432">
        <v>39</v>
      </c>
      <c r="D222" s="16" t="s">
        <v>837</v>
      </c>
      <c r="E222" s="432">
        <v>25</v>
      </c>
      <c r="F222" s="16" t="s">
        <v>1045</v>
      </c>
    </row>
    <row r="223" spans="1:6">
      <c r="A223" s="16" t="s">
        <v>1047</v>
      </c>
      <c r="B223" s="16" t="s">
        <v>1048</v>
      </c>
      <c r="C223" s="432">
        <v>95</v>
      </c>
      <c r="D223" s="16" t="s">
        <v>64</v>
      </c>
      <c r="E223" s="432">
        <v>10</v>
      </c>
      <c r="F223" s="16" t="s">
        <v>1050</v>
      </c>
    </row>
    <row r="224" spans="1:6">
      <c r="A224" s="16" t="s">
        <v>1052</v>
      </c>
      <c r="B224" s="16" t="s">
        <v>1053</v>
      </c>
      <c r="C224" s="432">
        <v>59</v>
      </c>
      <c r="D224" s="16" t="s">
        <v>64</v>
      </c>
      <c r="E224" s="432">
        <v>10</v>
      </c>
      <c r="F224" s="16" t="s">
        <v>1054</v>
      </c>
    </row>
    <row r="225" spans="1:6">
      <c r="A225" s="16" t="s">
        <v>1057</v>
      </c>
      <c r="B225" s="16" t="s">
        <v>624</v>
      </c>
      <c r="C225" s="432">
        <v>556</v>
      </c>
      <c r="D225" s="16" t="s">
        <v>19</v>
      </c>
      <c r="E225" s="432">
        <v>20</v>
      </c>
      <c r="F225" s="16" t="s">
        <v>1059</v>
      </c>
    </row>
    <row r="226" spans="1:6">
      <c r="A226" s="16" t="s">
        <v>1060</v>
      </c>
      <c r="B226" s="16" t="s">
        <v>1061</v>
      </c>
      <c r="C226" s="432">
        <v>80</v>
      </c>
      <c r="D226" s="16" t="s">
        <v>32</v>
      </c>
      <c r="E226" s="432">
        <v>20</v>
      </c>
      <c r="F226" s="54" t="s">
        <v>1063</v>
      </c>
    </row>
    <row r="227" spans="1:6">
      <c r="A227" s="16" t="s">
        <v>1065</v>
      </c>
      <c r="B227" s="16" t="s">
        <v>167</v>
      </c>
      <c r="C227" s="432">
        <v>225</v>
      </c>
      <c r="D227" s="16" t="s">
        <v>64</v>
      </c>
      <c r="E227" s="432">
        <v>10</v>
      </c>
      <c r="F227" s="16" t="s">
        <v>1067</v>
      </c>
    </row>
    <row r="228" spans="1:6">
      <c r="A228" s="16" t="s">
        <v>1069</v>
      </c>
      <c r="B228" s="16" t="s">
        <v>1070</v>
      </c>
      <c r="C228" s="432">
        <v>18</v>
      </c>
      <c r="D228" s="16" t="s">
        <v>19</v>
      </c>
      <c r="E228" s="432">
        <v>10</v>
      </c>
      <c r="F228" s="16" t="s">
        <v>1072</v>
      </c>
    </row>
    <row r="229" spans="1:6">
      <c r="A229" s="16" t="s">
        <v>1074</v>
      </c>
      <c r="B229" s="16" t="s">
        <v>1075</v>
      </c>
      <c r="C229" s="432">
        <v>106</v>
      </c>
      <c r="D229" s="16" t="s">
        <v>70</v>
      </c>
      <c r="E229" s="432">
        <v>5</v>
      </c>
      <c r="F229" s="16" t="s">
        <v>1076</v>
      </c>
    </row>
    <row r="230" spans="1:6">
      <c r="A230" s="16" t="s">
        <v>1078</v>
      </c>
      <c r="B230" s="16" t="s">
        <v>1079</v>
      </c>
      <c r="C230" s="432">
        <v>120</v>
      </c>
      <c r="D230" s="16" t="s">
        <v>188</v>
      </c>
      <c r="E230" s="432">
        <v>5</v>
      </c>
      <c r="F230" s="16" t="s">
        <v>1081</v>
      </c>
    </row>
    <row r="231" spans="1:6">
      <c r="A231" s="16" t="s">
        <v>1083</v>
      </c>
      <c r="B231" s="16" t="s">
        <v>1084</v>
      </c>
      <c r="C231" s="432">
        <v>10</v>
      </c>
      <c r="D231" s="16" t="s">
        <v>70</v>
      </c>
      <c r="E231" s="432">
        <v>20</v>
      </c>
      <c r="F231" s="16" t="s">
        <v>1085</v>
      </c>
    </row>
    <row r="232" spans="1:6">
      <c r="A232" s="16" t="s">
        <v>1087</v>
      </c>
      <c r="B232" s="16" t="s">
        <v>341</v>
      </c>
      <c r="C232" s="432">
        <v>861</v>
      </c>
      <c r="D232" s="16" t="s">
        <v>1088</v>
      </c>
      <c r="E232" s="432">
        <v>10</v>
      </c>
      <c r="F232" s="16" t="s">
        <v>1090</v>
      </c>
    </row>
    <row r="233" spans="1:6">
      <c r="A233" s="16" t="s">
        <v>1092</v>
      </c>
      <c r="B233" s="16" t="s">
        <v>1093</v>
      </c>
      <c r="C233" s="432">
        <v>50</v>
      </c>
      <c r="D233" s="16" t="s">
        <v>70</v>
      </c>
      <c r="E233" s="432">
        <v>15</v>
      </c>
      <c r="F233" s="16" t="s">
        <v>1095</v>
      </c>
    </row>
    <row r="234" spans="1:6">
      <c r="A234" s="16" t="s">
        <v>1096</v>
      </c>
      <c r="B234" s="16" t="s">
        <v>743</v>
      </c>
      <c r="C234" s="432">
        <v>111</v>
      </c>
      <c r="D234" s="16" t="s">
        <v>70</v>
      </c>
      <c r="E234" s="432">
        <v>10</v>
      </c>
      <c r="F234" s="16" t="s">
        <v>1097</v>
      </c>
    </row>
    <row r="235" spans="1:6">
      <c r="A235" s="16" t="s">
        <v>1099</v>
      </c>
      <c r="B235" s="16" t="s">
        <v>1100</v>
      </c>
      <c r="C235" s="432">
        <v>300</v>
      </c>
      <c r="D235" s="16" t="s">
        <v>127</v>
      </c>
      <c r="E235" s="432">
        <v>15</v>
      </c>
      <c r="F235" s="16" t="s">
        <v>1102</v>
      </c>
    </row>
    <row r="236" spans="1:6">
      <c r="A236" s="16" t="s">
        <v>1104</v>
      </c>
      <c r="B236" s="16" t="s">
        <v>1093</v>
      </c>
      <c r="C236" s="432">
        <v>190</v>
      </c>
      <c r="D236" s="16" t="s">
        <v>70</v>
      </c>
      <c r="E236" s="432">
        <v>10</v>
      </c>
      <c r="F236" s="16" t="s">
        <v>1106</v>
      </c>
    </row>
    <row r="237" spans="1:6">
      <c r="A237" s="16" t="s">
        <v>1108</v>
      </c>
      <c r="B237" s="16" t="s">
        <v>1109</v>
      </c>
      <c r="C237" s="432">
        <v>300</v>
      </c>
      <c r="D237" s="16" t="s">
        <v>19</v>
      </c>
      <c r="E237" s="432">
        <v>15</v>
      </c>
      <c r="F237" s="16" t="s">
        <v>1111</v>
      </c>
    </row>
    <row r="238" spans="1:6">
      <c r="A238" s="16" t="s">
        <v>1113</v>
      </c>
      <c r="B238" s="16" t="s">
        <v>1114</v>
      </c>
      <c r="C238" s="432">
        <v>20</v>
      </c>
      <c r="D238" s="16" t="s">
        <v>19</v>
      </c>
      <c r="E238" s="432">
        <v>5</v>
      </c>
      <c r="F238" s="16" t="s">
        <v>1116</v>
      </c>
    </row>
    <row r="239" spans="1:6">
      <c r="A239" s="16" t="s">
        <v>1118</v>
      </c>
      <c r="B239" s="16" t="s">
        <v>1119</v>
      </c>
      <c r="C239" s="432">
        <v>31</v>
      </c>
      <c r="D239" s="16" t="s">
        <v>19</v>
      </c>
      <c r="E239" s="432">
        <v>15</v>
      </c>
      <c r="F239" s="16" t="s">
        <v>1121</v>
      </c>
    </row>
    <row r="240" spans="1:6">
      <c r="A240" s="16" t="s">
        <v>1123</v>
      </c>
      <c r="B240" s="16" t="s">
        <v>1124</v>
      </c>
      <c r="C240" s="432">
        <v>32</v>
      </c>
      <c r="D240" s="16" t="s">
        <v>270</v>
      </c>
      <c r="E240" s="432">
        <v>15</v>
      </c>
      <c r="F240" s="16" t="s">
        <v>1121</v>
      </c>
    </row>
    <row r="241" spans="1:6">
      <c r="A241" s="16" t="s">
        <v>1126</v>
      </c>
      <c r="B241" s="16" t="s">
        <v>1127</v>
      </c>
      <c r="C241" s="432">
        <v>45</v>
      </c>
      <c r="D241" s="16" t="s">
        <v>127</v>
      </c>
      <c r="E241" s="432">
        <v>20</v>
      </c>
      <c r="F241" s="16" t="s">
        <v>1129</v>
      </c>
    </row>
    <row r="242" spans="1:6">
      <c r="A242" s="16" t="s">
        <v>1131</v>
      </c>
      <c r="B242" s="16" t="s">
        <v>1132</v>
      </c>
      <c r="C242" s="432">
        <v>70</v>
      </c>
      <c r="D242" s="16" t="s">
        <v>105</v>
      </c>
      <c r="E242" s="432">
        <v>5</v>
      </c>
      <c r="F242" s="16" t="s">
        <v>1134</v>
      </c>
    </row>
    <row r="243" spans="1:6">
      <c r="A243" s="16" t="s">
        <v>1136</v>
      </c>
      <c r="B243" s="16" t="s">
        <v>1137</v>
      </c>
      <c r="C243" s="432">
        <v>3</v>
      </c>
      <c r="D243" s="16" t="s">
        <v>19</v>
      </c>
      <c r="E243" s="432">
        <v>20</v>
      </c>
      <c r="F243" s="16" t="s">
        <v>1139</v>
      </c>
    </row>
    <row r="244" spans="1:6">
      <c r="A244" s="16" t="s">
        <v>1141</v>
      </c>
      <c r="B244" s="16" t="s">
        <v>1142</v>
      </c>
      <c r="C244" s="432">
        <v>130</v>
      </c>
      <c r="D244" s="16" t="s">
        <v>32</v>
      </c>
      <c r="E244" s="432">
        <v>20</v>
      </c>
      <c r="F244" s="16" t="s">
        <v>1144</v>
      </c>
    </row>
    <row r="245" spans="1:6">
      <c r="A245" s="16" t="s">
        <v>1146</v>
      </c>
      <c r="B245" s="16" t="s">
        <v>1147</v>
      </c>
      <c r="C245" s="432">
        <v>31</v>
      </c>
      <c r="D245" s="16" t="s">
        <v>64</v>
      </c>
      <c r="E245" s="432">
        <v>20</v>
      </c>
      <c r="F245" s="16" t="s">
        <v>1149</v>
      </c>
    </row>
    <row r="246" spans="1:6">
      <c r="A246" s="16" t="s">
        <v>1150</v>
      </c>
      <c r="B246" s="16" t="s">
        <v>1151</v>
      </c>
      <c r="C246" s="432">
        <v>272</v>
      </c>
      <c r="D246" s="16" t="s">
        <v>25</v>
      </c>
      <c r="E246" s="432">
        <v>10</v>
      </c>
      <c r="F246" s="16" t="s">
        <v>1153</v>
      </c>
    </row>
    <row r="247" spans="1:6">
      <c r="A247" s="16" t="s">
        <v>1155</v>
      </c>
      <c r="B247" s="16" t="s">
        <v>1156</v>
      </c>
      <c r="C247" s="432">
        <v>179</v>
      </c>
      <c r="D247" s="16" t="s">
        <v>70</v>
      </c>
      <c r="E247" s="432">
        <v>10</v>
      </c>
      <c r="F247" s="16" t="s">
        <v>1158</v>
      </c>
    </row>
    <row r="248" spans="1:6">
      <c r="A248" s="16" t="s">
        <v>1160</v>
      </c>
      <c r="B248" s="16" t="s">
        <v>172</v>
      </c>
      <c r="C248" s="16" t="s">
        <v>42</v>
      </c>
      <c r="D248" s="16" t="s">
        <v>70</v>
      </c>
      <c r="E248" s="432">
        <v>10</v>
      </c>
      <c r="F248" s="16" t="s">
        <v>1162</v>
      </c>
    </row>
    <row r="249" spans="1:6">
      <c r="A249" s="16" t="s">
        <v>1164</v>
      </c>
      <c r="B249" s="16" t="s">
        <v>1165</v>
      </c>
      <c r="C249" s="432">
        <v>700</v>
      </c>
      <c r="D249" s="16" t="s">
        <v>19</v>
      </c>
      <c r="E249" s="432">
        <v>10</v>
      </c>
      <c r="F249" s="16" t="s">
        <v>1167</v>
      </c>
    </row>
    <row r="250" spans="1:6">
      <c r="A250" s="16" t="s">
        <v>1169</v>
      </c>
      <c r="B250" s="16" t="s">
        <v>1170</v>
      </c>
      <c r="C250" s="432">
        <v>101</v>
      </c>
      <c r="D250" s="16" t="s">
        <v>105</v>
      </c>
      <c r="E250" s="432">
        <v>10</v>
      </c>
      <c r="F250" s="16" t="s">
        <v>1172</v>
      </c>
    </row>
    <row r="251" spans="1:6">
      <c r="A251" s="16" t="s">
        <v>1174</v>
      </c>
      <c r="B251" s="16" t="s">
        <v>1175</v>
      </c>
      <c r="C251" s="432">
        <v>98</v>
      </c>
      <c r="D251" s="16" t="s">
        <v>270</v>
      </c>
      <c r="E251" s="432">
        <v>30</v>
      </c>
      <c r="F251" s="16" t="s">
        <v>1177</v>
      </c>
    </row>
    <row r="252" spans="1:6">
      <c r="A252" s="16" t="s">
        <v>1179</v>
      </c>
      <c r="B252" s="16" t="s">
        <v>1180</v>
      </c>
      <c r="C252" s="432">
        <v>528</v>
      </c>
      <c r="D252" s="16" t="s">
        <v>70</v>
      </c>
      <c r="E252" s="432">
        <v>20</v>
      </c>
      <c r="F252" s="16" t="s">
        <v>1182</v>
      </c>
    </row>
    <row r="253" spans="1:6">
      <c r="A253" s="16" t="s">
        <v>1184</v>
      </c>
      <c r="B253" s="16" t="s">
        <v>1185</v>
      </c>
      <c r="C253" s="432">
        <v>130</v>
      </c>
      <c r="D253" s="16" t="s">
        <v>19</v>
      </c>
      <c r="E253" s="432">
        <v>10</v>
      </c>
      <c r="F253" s="16" t="s">
        <v>1187</v>
      </c>
    </row>
    <row r="254" spans="1:6">
      <c r="A254" s="16" t="s">
        <v>1189</v>
      </c>
      <c r="B254" s="16" t="s">
        <v>1190</v>
      </c>
      <c r="C254" s="432">
        <v>271</v>
      </c>
      <c r="D254" s="16" t="s">
        <v>70</v>
      </c>
      <c r="E254" s="432">
        <v>10</v>
      </c>
      <c r="F254" s="16" t="s">
        <v>1192</v>
      </c>
    </row>
    <row r="255" spans="1:6">
      <c r="A255" s="16" t="s">
        <v>1194</v>
      </c>
      <c r="B255" s="16" t="s">
        <v>806</v>
      </c>
      <c r="C255" s="432">
        <v>91</v>
      </c>
      <c r="D255" s="16" t="s">
        <v>1020</v>
      </c>
      <c r="E255" s="432">
        <v>25</v>
      </c>
      <c r="F255" s="16" t="s">
        <v>1195</v>
      </c>
    </row>
    <row r="256" spans="1:6">
      <c r="A256" s="16" t="s">
        <v>1197</v>
      </c>
      <c r="B256" s="16" t="s">
        <v>1198</v>
      </c>
      <c r="C256" s="432">
        <v>92</v>
      </c>
      <c r="D256" s="16" t="s">
        <v>70</v>
      </c>
      <c r="E256" s="432">
        <v>15</v>
      </c>
      <c r="F256" s="16" t="s">
        <v>1200</v>
      </c>
    </row>
    <row r="257" spans="1:6">
      <c r="A257" s="16" t="s">
        <v>1202</v>
      </c>
      <c r="B257" s="16" t="s">
        <v>1203</v>
      </c>
      <c r="C257" s="432">
        <v>354</v>
      </c>
      <c r="D257" s="16" t="s">
        <v>19</v>
      </c>
      <c r="E257" s="432">
        <v>20</v>
      </c>
      <c r="F257" s="16" t="s">
        <v>1205</v>
      </c>
    </row>
    <row r="258" spans="1:6">
      <c r="A258" s="16" t="s">
        <v>1207</v>
      </c>
      <c r="B258" s="16" t="s">
        <v>1208</v>
      </c>
      <c r="C258" s="432">
        <v>184</v>
      </c>
      <c r="D258" s="16" t="s">
        <v>32</v>
      </c>
      <c r="E258" s="432">
        <v>10</v>
      </c>
      <c r="F258" s="16" t="s">
        <v>1210</v>
      </c>
    </row>
    <row r="259" spans="1:6">
      <c r="A259" s="16" t="s">
        <v>1211</v>
      </c>
      <c r="B259" s="16" t="s">
        <v>624</v>
      </c>
      <c r="C259" s="432">
        <v>364</v>
      </c>
      <c r="D259" s="16" t="s">
        <v>19</v>
      </c>
      <c r="E259" s="432">
        <v>15</v>
      </c>
      <c r="F259" s="16" t="s">
        <v>1213</v>
      </c>
    </row>
    <row r="260" spans="1:6">
      <c r="A260" s="16" t="s">
        <v>1214</v>
      </c>
      <c r="B260" s="16" t="s">
        <v>1215</v>
      </c>
      <c r="C260" s="432">
        <v>830</v>
      </c>
      <c r="D260" s="16" t="s">
        <v>19</v>
      </c>
      <c r="E260" s="432">
        <v>10</v>
      </c>
      <c r="F260" s="16" t="s">
        <v>1217</v>
      </c>
    </row>
    <row r="261" spans="1:6">
      <c r="A261" s="16" t="s">
        <v>1219</v>
      </c>
      <c r="B261" s="16" t="s">
        <v>1220</v>
      </c>
      <c r="C261" s="432">
        <v>350</v>
      </c>
      <c r="D261" s="16" t="s">
        <v>70</v>
      </c>
      <c r="E261" s="432">
        <v>20</v>
      </c>
      <c r="F261" s="16" t="s">
        <v>1222</v>
      </c>
    </row>
    <row r="262" spans="1:6">
      <c r="A262" s="16" t="s">
        <v>1223</v>
      </c>
      <c r="B262" s="16" t="s">
        <v>1224</v>
      </c>
      <c r="C262" s="432">
        <v>1069</v>
      </c>
      <c r="D262" s="16" t="s">
        <v>1225</v>
      </c>
      <c r="E262" s="432">
        <v>20</v>
      </c>
      <c r="F262" s="16" t="s">
        <v>1227</v>
      </c>
    </row>
    <row r="263" spans="1:6">
      <c r="A263" s="16" t="s">
        <v>1229</v>
      </c>
      <c r="B263" s="16" t="s">
        <v>784</v>
      </c>
      <c r="C263" s="432">
        <v>135</v>
      </c>
      <c r="D263" s="16" t="s">
        <v>64</v>
      </c>
      <c r="E263" s="432">
        <v>5</v>
      </c>
      <c r="F263" s="16" t="s">
        <v>1230</v>
      </c>
    </row>
    <row r="264" spans="1:6">
      <c r="A264" s="16" t="s">
        <v>1232</v>
      </c>
      <c r="B264" s="16" t="s">
        <v>1233</v>
      </c>
      <c r="C264" s="432">
        <v>43</v>
      </c>
      <c r="D264" s="16" t="s">
        <v>320</v>
      </c>
      <c r="E264" s="432">
        <v>10</v>
      </c>
      <c r="F264" s="16" t="s">
        <v>1234</v>
      </c>
    </row>
    <row r="265" spans="1:6">
      <c r="A265" s="16" t="s">
        <v>1235</v>
      </c>
      <c r="B265" s="16" t="s">
        <v>356</v>
      </c>
      <c r="C265" s="432">
        <v>40</v>
      </c>
      <c r="D265" s="16" t="s">
        <v>325</v>
      </c>
      <c r="E265" s="432">
        <v>20</v>
      </c>
      <c r="F265" s="16" t="s">
        <v>1237</v>
      </c>
    </row>
    <row r="266" spans="1:6">
      <c r="A266" s="16" t="s">
        <v>1239</v>
      </c>
      <c r="B266" s="16" t="s">
        <v>1240</v>
      </c>
      <c r="C266" s="432">
        <v>89</v>
      </c>
      <c r="D266" s="16" t="s">
        <v>19</v>
      </c>
      <c r="E266" s="432">
        <v>15</v>
      </c>
      <c r="F266" s="16" t="s">
        <v>1242</v>
      </c>
    </row>
    <row r="267" spans="1:6">
      <c r="A267" s="16" t="s">
        <v>1243</v>
      </c>
      <c r="B267" s="16" t="s">
        <v>1244</v>
      </c>
      <c r="C267" s="432">
        <v>690</v>
      </c>
      <c r="D267" s="16" t="s">
        <v>127</v>
      </c>
      <c r="E267" s="432">
        <v>20</v>
      </c>
      <c r="F267" s="16" t="s">
        <v>1246</v>
      </c>
    </row>
    <row r="268" spans="1:6">
      <c r="A268" s="16" t="s">
        <v>1248</v>
      </c>
      <c r="B268" s="16" t="s">
        <v>167</v>
      </c>
      <c r="C268" s="432">
        <v>139</v>
      </c>
      <c r="D268" s="16" t="s">
        <v>64</v>
      </c>
      <c r="E268" s="432">
        <v>25</v>
      </c>
      <c r="F268" s="16" t="s">
        <v>1250</v>
      </c>
    </row>
    <row r="269" spans="1:6">
      <c r="A269" s="16" t="s">
        <v>1252</v>
      </c>
      <c r="B269" s="16" t="s">
        <v>1203</v>
      </c>
      <c r="C269" s="432">
        <v>390</v>
      </c>
      <c r="D269" s="16" t="s">
        <v>19</v>
      </c>
      <c r="E269" s="432">
        <v>10</v>
      </c>
      <c r="F269" s="16" t="s">
        <v>1254</v>
      </c>
    </row>
    <row r="270" spans="1:6">
      <c r="A270" s="16" t="s">
        <v>1256</v>
      </c>
      <c r="B270" s="16" t="s">
        <v>1224</v>
      </c>
      <c r="C270" s="432">
        <v>1025</v>
      </c>
      <c r="D270" s="16" t="s">
        <v>1257</v>
      </c>
      <c r="E270" s="432">
        <v>20</v>
      </c>
      <c r="F270" s="16" t="s">
        <v>1258</v>
      </c>
    </row>
    <row r="271" spans="1:6">
      <c r="A271" s="16" t="s">
        <v>1259</v>
      </c>
      <c r="B271" s="16" t="s">
        <v>1260</v>
      </c>
      <c r="C271" s="432">
        <v>301</v>
      </c>
      <c r="D271" s="16" t="s">
        <v>127</v>
      </c>
      <c r="E271" s="432">
        <v>20</v>
      </c>
      <c r="F271" s="16" t="s">
        <v>1262</v>
      </c>
    </row>
    <row r="272" spans="1:6">
      <c r="A272" s="16" t="s">
        <v>1264</v>
      </c>
      <c r="B272" s="16" t="s">
        <v>1265</v>
      </c>
      <c r="C272" s="432">
        <v>60</v>
      </c>
      <c r="D272" s="16" t="s">
        <v>1020</v>
      </c>
      <c r="E272" s="432">
        <v>25</v>
      </c>
      <c r="F272" s="16" t="s">
        <v>1267</v>
      </c>
    </row>
    <row r="273" spans="1:6">
      <c r="A273" s="16" t="s">
        <v>1269</v>
      </c>
      <c r="B273" s="16" t="s">
        <v>1270</v>
      </c>
      <c r="C273" s="432">
        <v>96</v>
      </c>
      <c r="D273" s="16" t="s">
        <v>74</v>
      </c>
      <c r="E273" s="432">
        <v>20</v>
      </c>
      <c r="F273" s="16" t="s">
        <v>1271</v>
      </c>
    </row>
    <row r="274" spans="1:6">
      <c r="A274" s="16" t="s">
        <v>1273</v>
      </c>
      <c r="B274" s="16" t="s">
        <v>1274</v>
      </c>
      <c r="C274" s="432">
        <v>30</v>
      </c>
      <c r="D274" s="16" t="s">
        <v>90</v>
      </c>
      <c r="E274" s="432">
        <v>20</v>
      </c>
      <c r="F274" s="16" t="s">
        <v>1276</v>
      </c>
    </row>
    <row r="275" spans="1:6">
      <c r="A275" s="16" t="s">
        <v>1278</v>
      </c>
      <c r="B275" s="16" t="s">
        <v>901</v>
      </c>
      <c r="C275" s="432">
        <v>149</v>
      </c>
      <c r="D275" s="16" t="s">
        <v>270</v>
      </c>
      <c r="E275" s="432">
        <v>15</v>
      </c>
      <c r="F275" s="16" t="s">
        <v>1280</v>
      </c>
    </row>
    <row r="276" spans="1:6">
      <c r="A276" s="16" t="s">
        <v>1282</v>
      </c>
      <c r="B276" s="16" t="s">
        <v>789</v>
      </c>
      <c r="C276" s="432">
        <v>643</v>
      </c>
      <c r="D276" s="16" t="s">
        <v>90</v>
      </c>
      <c r="E276" s="432">
        <v>15</v>
      </c>
      <c r="F276" s="16" t="s">
        <v>1284</v>
      </c>
    </row>
    <row r="277" spans="1:6">
      <c r="A277" s="16" t="s">
        <v>1285</v>
      </c>
      <c r="B277" s="16" t="s">
        <v>1286</v>
      </c>
      <c r="C277" s="432">
        <v>140</v>
      </c>
      <c r="D277" s="16" t="s">
        <v>70</v>
      </c>
      <c r="E277" s="432">
        <v>20</v>
      </c>
      <c r="F277" s="16" t="s">
        <v>1288</v>
      </c>
    </row>
    <row r="278" spans="1:6">
      <c r="A278" s="16" t="s">
        <v>1290</v>
      </c>
      <c r="B278" s="16" t="s">
        <v>341</v>
      </c>
      <c r="C278" s="432">
        <v>693</v>
      </c>
      <c r="D278" s="16" t="s">
        <v>220</v>
      </c>
      <c r="E278" s="432">
        <v>20</v>
      </c>
      <c r="F278" s="16" t="s">
        <v>1292</v>
      </c>
    </row>
    <row r="279" spans="1:6">
      <c r="A279" s="16" t="s">
        <v>1294</v>
      </c>
      <c r="B279" s="16" t="s">
        <v>1295</v>
      </c>
      <c r="C279" s="432">
        <v>60</v>
      </c>
      <c r="D279" s="16" t="s">
        <v>70</v>
      </c>
      <c r="E279" s="432">
        <v>10</v>
      </c>
      <c r="F279" s="16" t="s">
        <v>1297</v>
      </c>
    </row>
    <row r="280" spans="1:6">
      <c r="A280" s="16" t="s">
        <v>1299</v>
      </c>
      <c r="B280" s="16" t="s">
        <v>1300</v>
      </c>
      <c r="C280" s="432">
        <v>16</v>
      </c>
      <c r="D280" s="16" t="s">
        <v>70</v>
      </c>
      <c r="E280" s="432">
        <v>15</v>
      </c>
      <c r="F280" s="16" t="s">
        <v>1302</v>
      </c>
    </row>
    <row r="281" spans="1:6">
      <c r="A281" s="16" t="s">
        <v>1304</v>
      </c>
      <c r="B281" s="16" t="s">
        <v>1305</v>
      </c>
      <c r="C281" s="432">
        <v>31</v>
      </c>
      <c r="D281" s="16" t="s">
        <v>90</v>
      </c>
      <c r="E281" s="432">
        <v>25</v>
      </c>
      <c r="F281" s="16" t="s">
        <v>1307</v>
      </c>
    </row>
    <row r="282" spans="1:6">
      <c r="A282" s="16" t="s">
        <v>1308</v>
      </c>
      <c r="B282" s="16" t="s">
        <v>806</v>
      </c>
      <c r="C282" s="432">
        <v>81</v>
      </c>
      <c r="D282" s="16" t="s">
        <v>64</v>
      </c>
      <c r="E282" s="432">
        <v>20</v>
      </c>
      <c r="F282" s="16" t="s">
        <v>1310</v>
      </c>
    </row>
    <row r="283" spans="1:6">
      <c r="A283" s="16" t="s">
        <v>1312</v>
      </c>
      <c r="B283" s="16" t="s">
        <v>1313</v>
      </c>
      <c r="C283" s="432">
        <v>120</v>
      </c>
      <c r="D283" s="16" t="s">
        <v>70</v>
      </c>
      <c r="E283" s="432">
        <v>30</v>
      </c>
      <c r="F283" s="16" t="s">
        <v>1315</v>
      </c>
    </row>
    <row r="284" spans="1:6">
      <c r="A284" s="16" t="s">
        <v>1317</v>
      </c>
      <c r="B284" s="16" t="s">
        <v>1175</v>
      </c>
      <c r="C284" s="432">
        <v>17</v>
      </c>
      <c r="D284" s="16" t="s">
        <v>270</v>
      </c>
      <c r="E284" s="432">
        <v>10</v>
      </c>
      <c r="F284" s="16" t="s">
        <v>1319</v>
      </c>
    </row>
    <row r="285" spans="1:6">
      <c r="A285" s="16" t="s">
        <v>1321</v>
      </c>
      <c r="B285" s="16" t="s">
        <v>286</v>
      </c>
      <c r="C285" s="432">
        <v>220</v>
      </c>
      <c r="D285" s="16" t="s">
        <v>64</v>
      </c>
      <c r="E285" s="432">
        <v>20</v>
      </c>
      <c r="F285" s="16" t="s">
        <v>1323</v>
      </c>
    </row>
    <row r="286" spans="1:6">
      <c r="A286" s="16" t="s">
        <v>1325</v>
      </c>
      <c r="B286" s="16" t="s">
        <v>1326</v>
      </c>
      <c r="C286" s="432">
        <v>809</v>
      </c>
      <c r="D286" s="16" t="s">
        <v>19</v>
      </c>
      <c r="E286" s="432">
        <v>20</v>
      </c>
      <c r="F286" s="16" t="s">
        <v>1328</v>
      </c>
    </row>
    <row r="287" spans="1:6">
      <c r="A287" s="16" t="s">
        <v>1330</v>
      </c>
      <c r="B287" s="16" t="s">
        <v>1331</v>
      </c>
      <c r="C287" s="432">
        <v>64</v>
      </c>
      <c r="D287" s="16" t="s">
        <v>19</v>
      </c>
      <c r="E287" s="432">
        <v>20</v>
      </c>
      <c r="F287" s="16" t="s">
        <v>1333</v>
      </c>
    </row>
    <row r="288" spans="1:6">
      <c r="A288" s="16" t="s">
        <v>1335</v>
      </c>
      <c r="B288" s="16" t="s">
        <v>380</v>
      </c>
      <c r="C288" s="432">
        <v>30</v>
      </c>
      <c r="D288" s="16" t="s">
        <v>19</v>
      </c>
      <c r="E288" s="432">
        <v>20</v>
      </c>
      <c r="F288" s="16" t="s">
        <v>1333</v>
      </c>
    </row>
    <row r="289" spans="1:6">
      <c r="A289" s="16" t="s">
        <v>1337</v>
      </c>
      <c r="B289" s="16" t="s">
        <v>1338</v>
      </c>
      <c r="C289" s="432">
        <v>249</v>
      </c>
      <c r="D289" s="16" t="s">
        <v>540</v>
      </c>
      <c r="E289" s="432">
        <v>25</v>
      </c>
      <c r="F289" s="16" t="s">
        <v>1340</v>
      </c>
    </row>
    <row r="290" spans="1:6">
      <c r="A290" s="16" t="s">
        <v>1343</v>
      </c>
      <c r="B290" s="16" t="s">
        <v>624</v>
      </c>
      <c r="C290" s="432">
        <v>734</v>
      </c>
      <c r="D290" s="16" t="s">
        <v>19</v>
      </c>
      <c r="E290" s="432">
        <v>10</v>
      </c>
      <c r="F290" s="16" t="s">
        <v>1345</v>
      </c>
    </row>
    <row r="291" spans="1:6">
      <c r="A291" s="16" t="s">
        <v>1346</v>
      </c>
      <c r="B291" s="16" t="s">
        <v>167</v>
      </c>
      <c r="C291" s="432">
        <v>77</v>
      </c>
      <c r="D291" s="16" t="s">
        <v>1347</v>
      </c>
      <c r="E291" s="432">
        <v>25</v>
      </c>
      <c r="F291" s="16" t="s">
        <v>1349</v>
      </c>
    </row>
    <row r="292" spans="1:6">
      <c r="A292" s="16" t="s">
        <v>1350</v>
      </c>
      <c r="B292" s="16" t="s">
        <v>1351</v>
      </c>
      <c r="C292" s="432">
        <v>30</v>
      </c>
      <c r="D292" s="16" t="s">
        <v>70</v>
      </c>
      <c r="E292" s="432">
        <v>10</v>
      </c>
      <c r="F292" s="16" t="s">
        <v>1353</v>
      </c>
    </row>
    <row r="293" spans="1:6">
      <c r="A293" s="16" t="s">
        <v>1354</v>
      </c>
      <c r="B293" s="16" t="s">
        <v>589</v>
      </c>
      <c r="C293" s="432">
        <v>93</v>
      </c>
      <c r="D293" s="16" t="s">
        <v>19</v>
      </c>
      <c r="E293" s="432">
        <v>20</v>
      </c>
      <c r="F293" s="16" t="s">
        <v>1356</v>
      </c>
    </row>
    <row r="294" spans="1:6">
      <c r="A294" s="16" t="s">
        <v>1358</v>
      </c>
      <c r="B294" s="16" t="s">
        <v>1359</v>
      </c>
      <c r="C294" s="432">
        <v>120</v>
      </c>
      <c r="D294" s="16" t="s">
        <v>127</v>
      </c>
      <c r="E294" s="432">
        <v>15</v>
      </c>
      <c r="F294" s="16" t="s">
        <v>1360</v>
      </c>
    </row>
    <row r="295" spans="1:6">
      <c r="A295" s="16" t="s">
        <v>1358</v>
      </c>
      <c r="B295" s="16" t="s">
        <v>346</v>
      </c>
      <c r="C295" s="432">
        <v>35</v>
      </c>
      <c r="D295" s="16" t="s">
        <v>19</v>
      </c>
      <c r="E295" s="432">
        <v>10</v>
      </c>
      <c r="F295" s="16" t="s">
        <v>1360</v>
      </c>
    </row>
    <row r="296" spans="1:6">
      <c r="A296" s="16" t="s">
        <v>1362</v>
      </c>
      <c r="B296" s="16" t="s">
        <v>1363</v>
      </c>
      <c r="C296" s="432">
        <v>245</v>
      </c>
      <c r="D296" s="16" t="s">
        <v>70</v>
      </c>
      <c r="E296" s="432">
        <v>20</v>
      </c>
      <c r="F296" s="16" t="s">
        <v>1365</v>
      </c>
    </row>
    <row r="297" spans="1:6">
      <c r="A297" s="16" t="s">
        <v>1367</v>
      </c>
      <c r="B297" s="16" t="s">
        <v>1368</v>
      </c>
      <c r="C297" s="432">
        <v>107</v>
      </c>
      <c r="D297" s="16" t="s">
        <v>270</v>
      </c>
      <c r="E297" s="432">
        <v>25</v>
      </c>
      <c r="F297" s="16" t="s">
        <v>1369</v>
      </c>
    </row>
    <row r="298" spans="1:6">
      <c r="A298" s="16" t="s">
        <v>1371</v>
      </c>
      <c r="B298" s="16" t="s">
        <v>1372</v>
      </c>
      <c r="C298" s="432">
        <v>100</v>
      </c>
      <c r="D298" s="16" t="s">
        <v>1373</v>
      </c>
      <c r="E298" s="432">
        <v>20</v>
      </c>
      <c r="F298" s="16" t="s">
        <v>1375</v>
      </c>
    </row>
    <row r="299" spans="1:6">
      <c r="A299" s="16" t="s">
        <v>1377</v>
      </c>
      <c r="B299" s="16" t="s">
        <v>1378</v>
      </c>
      <c r="C299" s="432">
        <v>115</v>
      </c>
      <c r="D299" s="16" t="s">
        <v>105</v>
      </c>
      <c r="E299" s="432">
        <v>5</v>
      </c>
      <c r="F299" s="16" t="s">
        <v>1379</v>
      </c>
    </row>
    <row r="300" spans="1:6">
      <c r="A300" s="16" t="s">
        <v>1381</v>
      </c>
      <c r="B300" s="16" t="s">
        <v>136</v>
      </c>
      <c r="C300" s="432">
        <v>80</v>
      </c>
      <c r="D300" s="16" t="s">
        <v>32</v>
      </c>
      <c r="E300" s="432">
        <v>10</v>
      </c>
      <c r="F300" s="16" t="s">
        <v>1383</v>
      </c>
    </row>
    <row r="301" spans="1:6">
      <c r="A301" s="16" t="s">
        <v>1385</v>
      </c>
      <c r="B301" s="16" t="s">
        <v>1386</v>
      </c>
      <c r="C301" s="432">
        <v>23</v>
      </c>
      <c r="D301" s="16" t="s">
        <v>670</v>
      </c>
      <c r="E301" s="432">
        <v>15</v>
      </c>
      <c r="F301" s="16" t="s">
        <v>1388</v>
      </c>
    </row>
    <row r="302" spans="1:6">
      <c r="A302" s="16" t="s">
        <v>1390</v>
      </c>
      <c r="B302" s="16" t="s">
        <v>1391</v>
      </c>
      <c r="C302" s="432">
        <v>38</v>
      </c>
      <c r="D302" s="16" t="s">
        <v>90</v>
      </c>
      <c r="E302" s="432">
        <v>10</v>
      </c>
      <c r="F302" s="16" t="s">
        <v>1393</v>
      </c>
    </row>
    <row r="303" spans="1:6">
      <c r="A303" s="16" t="s">
        <v>1395</v>
      </c>
      <c r="B303" s="16" t="s">
        <v>961</v>
      </c>
      <c r="C303" s="432">
        <v>939</v>
      </c>
      <c r="D303" s="16" t="s">
        <v>19</v>
      </c>
      <c r="E303" s="432">
        <v>15</v>
      </c>
      <c r="F303" s="16" t="s">
        <v>1397</v>
      </c>
    </row>
    <row r="304" spans="1:6">
      <c r="A304" s="16" t="s">
        <v>1399</v>
      </c>
      <c r="B304" s="16" t="s">
        <v>1400</v>
      </c>
      <c r="C304" s="432">
        <v>273</v>
      </c>
      <c r="D304" s="16" t="s">
        <v>19</v>
      </c>
      <c r="E304" s="432">
        <v>15</v>
      </c>
      <c r="F304" s="16" t="s">
        <v>1397</v>
      </c>
    </row>
    <row r="305" spans="1:6">
      <c r="A305" s="16" t="s">
        <v>1402</v>
      </c>
      <c r="B305" s="16" t="s">
        <v>1403</v>
      </c>
      <c r="C305" s="432">
        <v>41</v>
      </c>
      <c r="D305" s="16" t="s">
        <v>70</v>
      </c>
      <c r="E305" s="432">
        <v>5</v>
      </c>
      <c r="F305" s="16" t="s">
        <v>1405</v>
      </c>
    </row>
    <row r="306" spans="1:6">
      <c r="A306" s="16" t="s">
        <v>1407</v>
      </c>
      <c r="B306" s="16" t="s">
        <v>1408</v>
      </c>
      <c r="C306" s="432">
        <v>40</v>
      </c>
      <c r="D306" s="16" t="s">
        <v>19</v>
      </c>
      <c r="E306" s="432">
        <v>10</v>
      </c>
      <c r="F306" s="16" t="s">
        <v>1410</v>
      </c>
    </row>
    <row r="307" spans="1:6">
      <c r="A307" s="16" t="s">
        <v>1412</v>
      </c>
      <c r="B307" s="16" t="s">
        <v>604</v>
      </c>
      <c r="C307" s="432">
        <v>230</v>
      </c>
      <c r="D307" s="16" t="s">
        <v>70</v>
      </c>
      <c r="E307" s="432">
        <v>30</v>
      </c>
      <c r="F307" s="16" t="s">
        <v>1414</v>
      </c>
    </row>
    <row r="308" spans="1:6">
      <c r="A308" s="16" t="s">
        <v>1417</v>
      </c>
      <c r="B308" s="16" t="s">
        <v>1418</v>
      </c>
      <c r="C308" s="432">
        <v>119</v>
      </c>
      <c r="D308" s="16" t="s">
        <v>74</v>
      </c>
      <c r="E308" s="432">
        <v>15</v>
      </c>
      <c r="F308" s="16" t="s">
        <v>1419</v>
      </c>
    </row>
    <row r="309" spans="1:6">
      <c r="A309" s="16" t="s">
        <v>1421</v>
      </c>
      <c r="B309" s="16" t="s">
        <v>1422</v>
      </c>
      <c r="C309" s="432">
        <v>244</v>
      </c>
      <c r="D309" s="16" t="s">
        <v>25</v>
      </c>
      <c r="E309" s="432">
        <v>10</v>
      </c>
      <c r="F309" s="16" t="s">
        <v>1423</v>
      </c>
    </row>
    <row r="310" spans="1:6">
      <c r="A310" s="16" t="s">
        <v>1425</v>
      </c>
      <c r="B310" s="16" t="s">
        <v>1426</v>
      </c>
      <c r="C310" s="432">
        <v>39</v>
      </c>
      <c r="D310" s="16" t="s">
        <v>19</v>
      </c>
      <c r="E310" s="432">
        <v>20</v>
      </c>
      <c r="F310" s="16" t="s">
        <v>1428</v>
      </c>
    </row>
    <row r="311" spans="1:6">
      <c r="A311" s="16" t="s">
        <v>1430</v>
      </c>
      <c r="B311" s="16" t="s">
        <v>1431</v>
      </c>
      <c r="C311" s="16" t="s">
        <v>1432</v>
      </c>
      <c r="D311" s="16" t="s">
        <v>188</v>
      </c>
      <c r="E311" s="432">
        <v>10</v>
      </c>
      <c r="F311" s="16" t="s">
        <v>1434</v>
      </c>
    </row>
    <row r="312" spans="1:6">
      <c r="A312" s="16" t="s">
        <v>1436</v>
      </c>
      <c r="B312" s="16" t="s">
        <v>1437</v>
      </c>
      <c r="C312" s="432">
        <v>330</v>
      </c>
      <c r="D312" s="16" t="s">
        <v>64</v>
      </c>
      <c r="E312" s="432">
        <v>20</v>
      </c>
      <c r="F312" s="16" t="s">
        <v>1439</v>
      </c>
    </row>
    <row r="313" spans="1:6">
      <c r="A313" s="16" t="s">
        <v>1441</v>
      </c>
      <c r="B313" s="16" t="s">
        <v>172</v>
      </c>
      <c r="C313" s="432">
        <v>763</v>
      </c>
      <c r="D313" s="16" t="s">
        <v>70</v>
      </c>
      <c r="E313" s="432">
        <v>15</v>
      </c>
      <c r="F313" s="16" t="s">
        <v>1443</v>
      </c>
    </row>
    <row r="314" spans="1:6">
      <c r="A314" s="16" t="s">
        <v>1444</v>
      </c>
      <c r="B314" s="16" t="s">
        <v>624</v>
      </c>
      <c r="C314" s="432">
        <v>299</v>
      </c>
      <c r="D314" s="16" t="s">
        <v>19</v>
      </c>
      <c r="E314" s="432">
        <v>10</v>
      </c>
      <c r="F314" s="16" t="s">
        <v>1445</v>
      </c>
    </row>
    <row r="315" spans="1:6">
      <c r="A315" s="16" t="s">
        <v>1447</v>
      </c>
      <c r="B315" s="16" t="s">
        <v>1448</v>
      </c>
      <c r="C315" s="432">
        <v>88</v>
      </c>
      <c r="D315" s="16" t="s">
        <v>19</v>
      </c>
      <c r="E315" s="432">
        <v>20</v>
      </c>
      <c r="F315" s="16" t="s">
        <v>1450</v>
      </c>
    </row>
    <row r="316" spans="1:6">
      <c r="A316" s="16" t="s">
        <v>1452</v>
      </c>
      <c r="B316" s="16" t="s">
        <v>1453</v>
      </c>
      <c r="C316" s="432">
        <v>147</v>
      </c>
      <c r="D316" s="16" t="s">
        <v>70</v>
      </c>
      <c r="E316" s="432">
        <v>30</v>
      </c>
      <c r="F316" s="16" t="s">
        <v>1455</v>
      </c>
    </row>
    <row r="317" spans="1:6">
      <c r="A317" s="16" t="s">
        <v>1456</v>
      </c>
      <c r="B317" s="16" t="s">
        <v>1457</v>
      </c>
      <c r="C317" s="432">
        <v>417</v>
      </c>
      <c r="D317" s="16" t="s">
        <v>32</v>
      </c>
      <c r="E317" s="432">
        <v>20</v>
      </c>
      <c r="F317" s="16" t="s">
        <v>1459</v>
      </c>
    </row>
    <row r="318" spans="1:6">
      <c r="A318" s="16" t="s">
        <v>1461</v>
      </c>
      <c r="B318" s="16" t="s">
        <v>1462</v>
      </c>
      <c r="C318" s="432">
        <v>162</v>
      </c>
      <c r="D318" s="16" t="s">
        <v>25</v>
      </c>
      <c r="E318" s="432">
        <v>20</v>
      </c>
      <c r="F318" s="16" t="s">
        <v>1464</v>
      </c>
    </row>
    <row r="319" spans="1:6">
      <c r="A319" s="16" t="s">
        <v>1466</v>
      </c>
      <c r="B319" s="16" t="s">
        <v>1467</v>
      </c>
      <c r="C319" s="432">
        <v>150</v>
      </c>
      <c r="D319" s="16" t="s">
        <v>90</v>
      </c>
      <c r="E319" s="432">
        <v>10</v>
      </c>
      <c r="F319" s="16" t="s">
        <v>1469</v>
      </c>
    </row>
    <row r="320" spans="1:6">
      <c r="A320" s="16" t="s">
        <v>1470</v>
      </c>
      <c r="B320" s="16" t="s">
        <v>1471</v>
      </c>
      <c r="C320" s="432">
        <v>430</v>
      </c>
      <c r="D320" s="16" t="s">
        <v>19</v>
      </c>
      <c r="E320" s="432">
        <v>30</v>
      </c>
      <c r="F320" s="16" t="s">
        <v>1473</v>
      </c>
    </row>
    <row r="321" spans="1:6">
      <c r="A321" s="16" t="s">
        <v>1475</v>
      </c>
      <c r="B321" s="16" t="s">
        <v>789</v>
      </c>
      <c r="C321" s="432">
        <v>529</v>
      </c>
      <c r="D321" s="16" t="s">
        <v>90</v>
      </c>
      <c r="E321" s="432">
        <v>30</v>
      </c>
      <c r="F321" s="16" t="s">
        <v>1477</v>
      </c>
    </row>
    <row r="322" spans="1:6">
      <c r="A322" s="16" t="s">
        <v>1480</v>
      </c>
      <c r="B322" s="16" t="s">
        <v>1481</v>
      </c>
      <c r="C322" s="432">
        <v>227</v>
      </c>
      <c r="D322" s="16" t="s">
        <v>70</v>
      </c>
      <c r="E322" s="432">
        <v>10</v>
      </c>
      <c r="F322" s="16" t="s">
        <v>1483</v>
      </c>
    </row>
    <row r="323" spans="1:6">
      <c r="A323" s="16" t="s">
        <v>1484</v>
      </c>
      <c r="B323" s="16" t="s">
        <v>1485</v>
      </c>
      <c r="C323" s="432">
        <v>28</v>
      </c>
      <c r="D323" s="16" t="s">
        <v>105</v>
      </c>
      <c r="E323" s="432">
        <v>10</v>
      </c>
      <c r="F323" s="16" t="s">
        <v>1487</v>
      </c>
    </row>
    <row r="324" spans="1:6">
      <c r="A324" s="16" t="s">
        <v>1488</v>
      </c>
      <c r="B324" s="16" t="s">
        <v>259</v>
      </c>
      <c r="C324" s="16" t="s">
        <v>31</v>
      </c>
      <c r="D324" s="16" t="s">
        <v>19</v>
      </c>
      <c r="E324" s="432">
        <v>10</v>
      </c>
      <c r="F324" s="16" t="s">
        <v>1490</v>
      </c>
    </row>
    <row r="325" spans="1:6">
      <c r="A325" s="16" t="s">
        <v>1491</v>
      </c>
      <c r="B325" s="16" t="s">
        <v>1492</v>
      </c>
      <c r="C325" s="432">
        <v>22</v>
      </c>
      <c r="D325" s="16" t="s">
        <v>188</v>
      </c>
      <c r="E325" s="432">
        <v>10</v>
      </c>
      <c r="F325" s="16" t="s">
        <v>1494</v>
      </c>
    </row>
    <row r="326" spans="1:6">
      <c r="A326" s="16" t="s">
        <v>1497</v>
      </c>
      <c r="B326" s="16" t="s">
        <v>525</v>
      </c>
      <c r="C326" s="432">
        <v>375</v>
      </c>
      <c r="D326" s="16" t="s">
        <v>70</v>
      </c>
      <c r="E326" s="432">
        <v>15</v>
      </c>
      <c r="F326" s="16" t="s">
        <v>1499</v>
      </c>
    </row>
    <row r="327" spans="1:6">
      <c r="A327" s="16" t="s">
        <v>1500</v>
      </c>
      <c r="B327" s="16" t="s">
        <v>1501</v>
      </c>
      <c r="C327" s="432">
        <v>60</v>
      </c>
      <c r="D327" s="16" t="s">
        <v>90</v>
      </c>
      <c r="E327" s="432">
        <v>20</v>
      </c>
      <c r="F327" s="16" t="s">
        <v>1503</v>
      </c>
    </row>
    <row r="328" spans="1:6">
      <c r="A328" s="16" t="s">
        <v>1500</v>
      </c>
      <c r="B328" s="16" t="s">
        <v>1505</v>
      </c>
      <c r="C328" s="432">
        <v>150</v>
      </c>
      <c r="D328" s="16" t="s">
        <v>540</v>
      </c>
      <c r="E328" s="432">
        <v>20</v>
      </c>
      <c r="F328" s="16" t="s">
        <v>1503</v>
      </c>
    </row>
    <row r="329" spans="1:6">
      <c r="A329" s="16" t="s">
        <v>1507</v>
      </c>
      <c r="B329" s="16" t="s">
        <v>1508</v>
      </c>
      <c r="C329" s="432">
        <v>1040</v>
      </c>
      <c r="D329" s="16" t="s">
        <v>142</v>
      </c>
      <c r="E329" s="432">
        <v>30</v>
      </c>
      <c r="F329" s="16" t="s">
        <v>1510</v>
      </c>
    </row>
    <row r="330" spans="1:6">
      <c r="A330" s="16" t="s">
        <v>1512</v>
      </c>
      <c r="B330" s="16" t="s">
        <v>1513</v>
      </c>
      <c r="C330" s="16" t="s">
        <v>31</v>
      </c>
      <c r="D330" s="16" t="s">
        <v>25</v>
      </c>
      <c r="E330" s="432">
        <v>5</v>
      </c>
      <c r="F330" s="16" t="s">
        <v>1515</v>
      </c>
    </row>
    <row r="331" spans="1:6">
      <c r="A331" s="16" t="s">
        <v>1517</v>
      </c>
      <c r="B331" s="16" t="s">
        <v>1518</v>
      </c>
      <c r="C331" s="432">
        <v>251</v>
      </c>
      <c r="D331" s="16" t="s">
        <v>1519</v>
      </c>
      <c r="E331" s="432">
        <v>5</v>
      </c>
      <c r="F331" s="16" t="s">
        <v>1521</v>
      </c>
    </row>
    <row r="332" spans="1:6">
      <c r="A332" s="16" t="s">
        <v>1523</v>
      </c>
      <c r="B332" s="16" t="s">
        <v>234</v>
      </c>
      <c r="C332" s="432">
        <v>705</v>
      </c>
      <c r="D332" s="16">
        <v>0</v>
      </c>
      <c r="E332" s="432">
        <v>5</v>
      </c>
      <c r="F332" s="16" t="s">
        <v>1525</v>
      </c>
    </row>
    <row r="333" spans="1:6">
      <c r="A333" s="16" t="s">
        <v>1526</v>
      </c>
      <c r="B333" s="16" t="s">
        <v>1527</v>
      </c>
      <c r="C333" s="432">
        <v>349</v>
      </c>
      <c r="D333" s="16" t="s">
        <v>19</v>
      </c>
      <c r="E333" s="432">
        <v>20</v>
      </c>
      <c r="F333" s="16" t="s">
        <v>1529</v>
      </c>
    </row>
    <row r="334" spans="1:6">
      <c r="A334" s="16" t="s">
        <v>1530</v>
      </c>
      <c r="B334" s="16" t="s">
        <v>1531</v>
      </c>
      <c r="C334" s="432">
        <v>185</v>
      </c>
      <c r="D334" s="16" t="s">
        <v>325</v>
      </c>
      <c r="E334" s="432">
        <v>30</v>
      </c>
      <c r="F334" s="16" t="s">
        <v>1533</v>
      </c>
    </row>
    <row r="335" spans="1:6">
      <c r="A335" s="16" t="s">
        <v>1535</v>
      </c>
      <c r="B335" s="16" t="s">
        <v>380</v>
      </c>
      <c r="C335" s="432">
        <v>139</v>
      </c>
      <c r="D335" s="16" t="s">
        <v>19</v>
      </c>
      <c r="E335" s="432">
        <v>20</v>
      </c>
      <c r="F335" s="16" t="s">
        <v>1537</v>
      </c>
    </row>
    <row r="336" spans="1:6">
      <c r="A336" s="16" t="s">
        <v>1539</v>
      </c>
      <c r="B336" s="16" t="s">
        <v>1540</v>
      </c>
      <c r="C336" s="432">
        <v>19</v>
      </c>
      <c r="D336" s="16" t="s">
        <v>1541</v>
      </c>
      <c r="E336" s="432">
        <v>10</v>
      </c>
      <c r="F336" s="16" t="s">
        <v>1543</v>
      </c>
    </row>
    <row r="337" spans="1:6">
      <c r="A337" s="435" t="s">
        <v>1544</v>
      </c>
      <c r="C337" s="432"/>
      <c r="E337" s="432"/>
    </row>
    <row r="338" spans="1:6">
      <c r="A338" s="16" t="s">
        <v>1545</v>
      </c>
      <c r="B338" s="16" t="s">
        <v>1546</v>
      </c>
      <c r="C338" s="432">
        <v>220</v>
      </c>
      <c r="D338" s="16" t="s">
        <v>90</v>
      </c>
      <c r="E338" s="432">
        <v>20</v>
      </c>
      <c r="F338" s="16" t="s">
        <v>1548</v>
      </c>
    </row>
    <row r="339" spans="1:6">
      <c r="A339" s="16" t="s">
        <v>1550</v>
      </c>
      <c r="B339" s="16" t="s">
        <v>254</v>
      </c>
      <c r="C339" s="432">
        <v>240</v>
      </c>
      <c r="D339" s="16" t="s">
        <v>90</v>
      </c>
      <c r="E339" s="432">
        <v>10</v>
      </c>
      <c r="F339" s="16" t="s">
        <v>1552</v>
      </c>
    </row>
    <row r="340" spans="1:6">
      <c r="A340" s="16" t="s">
        <v>1554</v>
      </c>
      <c r="B340" s="16" t="s">
        <v>167</v>
      </c>
      <c r="C340" s="432">
        <v>200</v>
      </c>
      <c r="D340" s="16" t="s">
        <v>64</v>
      </c>
      <c r="E340" s="432">
        <v>15</v>
      </c>
      <c r="F340" s="16" t="s">
        <v>1556</v>
      </c>
    </row>
    <row r="341" spans="1:6">
      <c r="A341" s="16" t="s">
        <v>1558</v>
      </c>
      <c r="B341" s="16" t="s">
        <v>1559</v>
      </c>
      <c r="C341" s="432">
        <v>163</v>
      </c>
      <c r="D341" s="16" t="s">
        <v>127</v>
      </c>
      <c r="E341" s="432">
        <v>15</v>
      </c>
      <c r="F341" s="16" t="s">
        <v>1561</v>
      </c>
    </row>
    <row r="342" spans="1:6">
      <c r="A342" s="16" t="s">
        <v>1563</v>
      </c>
      <c r="B342" s="16" t="s">
        <v>553</v>
      </c>
      <c r="C342" s="432">
        <v>255</v>
      </c>
      <c r="D342" s="16" t="s">
        <v>127</v>
      </c>
      <c r="E342" s="432">
        <v>20</v>
      </c>
      <c r="F342" s="16" t="s">
        <v>1565</v>
      </c>
    </row>
    <row r="343" spans="1:6">
      <c r="A343" s="16" t="s">
        <v>1567</v>
      </c>
      <c r="B343" s="16" t="s">
        <v>1359</v>
      </c>
      <c r="C343" s="432">
        <v>101</v>
      </c>
      <c r="D343" s="16" t="s">
        <v>127</v>
      </c>
      <c r="E343" s="432">
        <v>25</v>
      </c>
      <c r="F343" s="16" t="s">
        <v>1569</v>
      </c>
    </row>
    <row r="344" spans="1:6">
      <c r="A344" s="16" t="s">
        <v>1571</v>
      </c>
      <c r="B344" s="16" t="s">
        <v>1572</v>
      </c>
      <c r="C344" s="432">
        <v>21</v>
      </c>
      <c r="D344" s="16" t="s">
        <v>19</v>
      </c>
      <c r="E344" s="432">
        <v>10</v>
      </c>
      <c r="F344" s="16" t="s">
        <v>1574</v>
      </c>
    </row>
    <row r="345" spans="1:6">
      <c r="A345" s="16" t="s">
        <v>1576</v>
      </c>
      <c r="B345" s="16" t="s">
        <v>397</v>
      </c>
      <c r="C345" s="432">
        <v>145</v>
      </c>
      <c r="D345" s="16" t="s">
        <v>19</v>
      </c>
      <c r="E345" s="432">
        <v>10</v>
      </c>
      <c r="F345" s="16" t="s">
        <v>1578</v>
      </c>
    </row>
    <row r="346" spans="1:6">
      <c r="A346" s="16" t="s">
        <v>1580</v>
      </c>
      <c r="B346" s="16" t="s">
        <v>1581</v>
      </c>
      <c r="C346" s="432">
        <v>109</v>
      </c>
      <c r="D346" s="16" t="s">
        <v>74</v>
      </c>
      <c r="E346" s="432">
        <v>10</v>
      </c>
      <c r="F346" s="16" t="s">
        <v>1582</v>
      </c>
    </row>
    <row r="347" spans="1:6">
      <c r="A347" s="16" t="s">
        <v>1583</v>
      </c>
      <c r="B347" s="16" t="s">
        <v>254</v>
      </c>
      <c r="C347" s="432">
        <v>220</v>
      </c>
      <c r="D347" s="16" t="s">
        <v>90</v>
      </c>
      <c r="E347" s="432">
        <v>5</v>
      </c>
      <c r="F347" s="16" t="s">
        <v>1585</v>
      </c>
    </row>
    <row r="348" spans="1:6">
      <c r="A348" s="16" t="s">
        <v>1587</v>
      </c>
      <c r="B348" s="16" t="s">
        <v>1588</v>
      </c>
      <c r="C348" s="432">
        <v>188</v>
      </c>
      <c r="D348" s="16" t="s">
        <v>127</v>
      </c>
      <c r="E348" s="432">
        <v>15</v>
      </c>
      <c r="F348" s="16" t="s">
        <v>1590</v>
      </c>
    </row>
    <row r="349" spans="1:6">
      <c r="A349" s="16" t="s">
        <v>1592</v>
      </c>
      <c r="B349" s="16" t="s">
        <v>1593</v>
      </c>
      <c r="C349" s="432">
        <v>10</v>
      </c>
      <c r="D349" s="16" t="s">
        <v>70</v>
      </c>
      <c r="E349" s="432">
        <v>10</v>
      </c>
      <c r="F349" s="16" t="s">
        <v>1595</v>
      </c>
    </row>
    <row r="350" spans="1:6">
      <c r="A350" s="16" t="s">
        <v>1596</v>
      </c>
      <c r="B350" s="16" t="s">
        <v>1597</v>
      </c>
      <c r="C350" s="432">
        <v>86</v>
      </c>
      <c r="D350" s="16" t="s">
        <v>127</v>
      </c>
      <c r="E350" s="432">
        <v>20</v>
      </c>
      <c r="F350" s="16" t="s">
        <v>1599</v>
      </c>
    </row>
    <row r="351" spans="1:6">
      <c r="A351" s="16" t="s">
        <v>1601</v>
      </c>
      <c r="B351" s="16" t="s">
        <v>1602</v>
      </c>
      <c r="C351" s="432">
        <v>164</v>
      </c>
      <c r="D351" s="16" t="s">
        <v>1020</v>
      </c>
      <c r="E351" s="432">
        <v>20</v>
      </c>
      <c r="F351" s="16" t="s">
        <v>1604</v>
      </c>
    </row>
    <row r="352" spans="1:6">
      <c r="A352" s="16" t="s">
        <v>1605</v>
      </c>
      <c r="B352" s="16" t="s">
        <v>1597</v>
      </c>
      <c r="C352" s="432">
        <v>96</v>
      </c>
      <c r="D352" s="16" t="s">
        <v>127</v>
      </c>
      <c r="E352" s="432">
        <v>20</v>
      </c>
      <c r="F352" s="16" t="s">
        <v>1606</v>
      </c>
    </row>
    <row r="353" spans="1:6">
      <c r="A353" s="16" t="s">
        <v>1608</v>
      </c>
      <c r="B353" s="16" t="s">
        <v>841</v>
      </c>
      <c r="C353" s="432"/>
      <c r="D353" s="16" t="s">
        <v>105</v>
      </c>
      <c r="E353" s="432">
        <v>20</v>
      </c>
      <c r="F353" s="16" t="s">
        <v>1610</v>
      </c>
    </row>
    <row r="354" spans="1:6">
      <c r="A354" s="16" t="s">
        <v>1612</v>
      </c>
      <c r="B354" s="16" t="s">
        <v>1613</v>
      </c>
      <c r="C354" s="16" t="s">
        <v>1614</v>
      </c>
      <c r="D354" s="16" t="s">
        <v>270</v>
      </c>
      <c r="E354" s="432">
        <v>10</v>
      </c>
      <c r="F354" s="16" t="s">
        <v>1616</v>
      </c>
    </row>
    <row r="355" spans="1:6">
      <c r="A355" s="16" t="s">
        <v>1618</v>
      </c>
      <c r="B355" s="16" t="s">
        <v>1619</v>
      </c>
      <c r="C355" s="432">
        <v>159</v>
      </c>
      <c r="D355" s="16" t="s">
        <v>70</v>
      </c>
      <c r="E355" s="432">
        <v>20</v>
      </c>
      <c r="F355" s="16" t="s">
        <v>1621</v>
      </c>
    </row>
    <row r="356" spans="1:6">
      <c r="A356" s="16" t="s">
        <v>1623</v>
      </c>
      <c r="B356" s="16" t="s">
        <v>1624</v>
      </c>
      <c r="C356" s="432">
        <v>32</v>
      </c>
      <c r="D356" s="16" t="s">
        <v>19</v>
      </c>
      <c r="E356" s="432">
        <v>10</v>
      </c>
      <c r="F356" s="16" t="s">
        <v>1626</v>
      </c>
    </row>
    <row r="357" spans="1:6">
      <c r="A357" s="16" t="s">
        <v>960</v>
      </c>
      <c r="B357" s="16" t="s">
        <v>1628</v>
      </c>
      <c r="C357" s="16" t="s">
        <v>31</v>
      </c>
      <c r="D357" s="16" t="s">
        <v>19</v>
      </c>
      <c r="E357" s="432">
        <v>20</v>
      </c>
      <c r="F357" s="16" t="s">
        <v>963</v>
      </c>
    </row>
    <row r="358" spans="1:6">
      <c r="A358" s="16" t="s">
        <v>1630</v>
      </c>
      <c r="B358" s="16" t="s">
        <v>1631</v>
      </c>
      <c r="C358" s="432">
        <v>101</v>
      </c>
      <c r="D358" s="16" t="s">
        <v>90</v>
      </c>
      <c r="E358" s="432">
        <v>20</v>
      </c>
      <c r="F358" s="16" t="s">
        <v>1633</v>
      </c>
    </row>
    <row r="359" spans="1:6">
      <c r="A359" s="16" t="s">
        <v>1635</v>
      </c>
      <c r="B359" s="16" t="s">
        <v>1636</v>
      </c>
      <c r="C359" s="432">
        <v>50</v>
      </c>
      <c r="D359" s="16" t="s">
        <v>25</v>
      </c>
      <c r="E359" s="432">
        <v>15</v>
      </c>
      <c r="F359" s="16" t="s">
        <v>1638</v>
      </c>
    </row>
    <row r="360" spans="1:6">
      <c r="A360" s="16" t="s">
        <v>1640</v>
      </c>
      <c r="B360" s="16" t="s">
        <v>414</v>
      </c>
      <c r="C360" s="432">
        <v>197</v>
      </c>
      <c r="D360" s="16" t="s">
        <v>19</v>
      </c>
      <c r="E360" s="432">
        <v>10</v>
      </c>
      <c r="F360" s="16" t="s">
        <v>1642</v>
      </c>
    </row>
    <row r="361" spans="1:6">
      <c r="A361" s="16" t="s">
        <v>1644</v>
      </c>
      <c r="B361" s="16" t="s">
        <v>1645</v>
      </c>
      <c r="C361" s="432">
        <v>292</v>
      </c>
      <c r="D361" s="16" t="s">
        <v>540</v>
      </c>
      <c r="E361" s="432">
        <v>20</v>
      </c>
      <c r="F361" s="16" t="s">
        <v>1647</v>
      </c>
    </row>
    <row r="362" spans="1:6">
      <c r="A362" s="16" t="s">
        <v>1649</v>
      </c>
      <c r="B362" s="16" t="s">
        <v>1650</v>
      </c>
      <c r="C362" s="432">
        <v>48</v>
      </c>
      <c r="D362" s="16" t="s">
        <v>19</v>
      </c>
      <c r="E362" s="432">
        <v>15</v>
      </c>
      <c r="F362" s="16" t="s">
        <v>1652</v>
      </c>
    </row>
    <row r="363" spans="1:6">
      <c r="A363" s="16" t="s">
        <v>1654</v>
      </c>
      <c r="B363" s="16" t="s">
        <v>1655</v>
      </c>
      <c r="C363" s="432">
        <v>185</v>
      </c>
      <c r="D363" s="16" t="s">
        <v>325</v>
      </c>
      <c r="E363" s="432">
        <v>20</v>
      </c>
      <c r="F363" s="16" t="s">
        <v>1657</v>
      </c>
    </row>
    <row r="364" spans="1:6">
      <c r="A364" s="16" t="s">
        <v>1659</v>
      </c>
      <c r="B364" s="16" t="s">
        <v>1198</v>
      </c>
      <c r="C364" s="432">
        <v>394</v>
      </c>
      <c r="D364" s="16" t="s">
        <v>70</v>
      </c>
      <c r="E364" s="432">
        <v>25</v>
      </c>
      <c r="F364" s="16" t="s">
        <v>1661</v>
      </c>
    </row>
    <row r="365" spans="1:6">
      <c r="A365" s="16" t="s">
        <v>1663</v>
      </c>
      <c r="B365" s="16" t="s">
        <v>1664</v>
      </c>
      <c r="C365" s="432">
        <v>45</v>
      </c>
      <c r="D365" s="16" t="s">
        <v>90</v>
      </c>
      <c r="E365" s="432">
        <v>20</v>
      </c>
      <c r="F365" s="16" t="s">
        <v>1666</v>
      </c>
    </row>
    <row r="366" spans="1:6">
      <c r="A366" s="16" t="s">
        <v>1667</v>
      </c>
      <c r="B366" s="16" t="s">
        <v>1668</v>
      </c>
      <c r="C366" s="16" t="s">
        <v>31</v>
      </c>
      <c r="D366" s="16" t="s">
        <v>19</v>
      </c>
      <c r="E366" s="432">
        <v>20</v>
      </c>
      <c r="F366" s="16" t="s">
        <v>1669</v>
      </c>
    </row>
    <row r="367" spans="1:6">
      <c r="A367" s="16" t="s">
        <v>1671</v>
      </c>
      <c r="B367" s="16" t="s">
        <v>572</v>
      </c>
      <c r="C367" s="432">
        <v>643</v>
      </c>
      <c r="D367" s="16" t="s">
        <v>19</v>
      </c>
      <c r="E367" s="432">
        <v>20</v>
      </c>
      <c r="F367" s="16" t="s">
        <v>1673</v>
      </c>
    </row>
    <row r="368" spans="1:6">
      <c r="A368" s="16" t="s">
        <v>1675</v>
      </c>
      <c r="B368" s="16" t="s">
        <v>172</v>
      </c>
      <c r="C368" s="432">
        <v>950</v>
      </c>
      <c r="D368" s="16" t="s">
        <v>70</v>
      </c>
      <c r="E368" s="432">
        <v>20</v>
      </c>
      <c r="F368" s="16" t="s">
        <v>1677</v>
      </c>
    </row>
    <row r="369" spans="1:6">
      <c r="A369" s="16" t="s">
        <v>1679</v>
      </c>
      <c r="B369" s="16" t="s">
        <v>1680</v>
      </c>
      <c r="C369" s="432">
        <v>44</v>
      </c>
      <c r="D369" s="16" t="s">
        <v>320</v>
      </c>
      <c r="E369" s="432">
        <v>10</v>
      </c>
      <c r="F369" s="16" t="s">
        <v>1682</v>
      </c>
    </row>
    <row r="370" spans="1:6">
      <c r="A370" s="16" t="s">
        <v>1684</v>
      </c>
      <c r="B370" s="16" t="s">
        <v>1685</v>
      </c>
      <c r="C370" s="432">
        <v>161</v>
      </c>
      <c r="D370" s="16" t="s">
        <v>105</v>
      </c>
      <c r="E370" s="432">
        <v>25</v>
      </c>
      <c r="F370" s="16" t="s">
        <v>1687</v>
      </c>
    </row>
    <row r="371" spans="1:6">
      <c r="A371" s="16" t="s">
        <v>1689</v>
      </c>
      <c r="B371" s="16" t="s">
        <v>1690</v>
      </c>
      <c r="C371" s="432">
        <v>55</v>
      </c>
      <c r="D371" s="16" t="s">
        <v>70</v>
      </c>
      <c r="E371" s="432">
        <v>25</v>
      </c>
      <c r="F371" s="16" t="s">
        <v>1691</v>
      </c>
    </row>
    <row r="372" spans="1:6">
      <c r="A372" s="16" t="s">
        <v>1693</v>
      </c>
      <c r="B372" s="16" t="s">
        <v>1694</v>
      </c>
      <c r="C372" s="432">
        <v>116</v>
      </c>
      <c r="D372" s="16" t="s">
        <v>19</v>
      </c>
      <c r="E372" s="432">
        <v>20</v>
      </c>
      <c r="F372" s="16" t="s">
        <v>1696</v>
      </c>
    </row>
    <row r="373" spans="1:6">
      <c r="A373" s="16" t="s">
        <v>1698</v>
      </c>
      <c r="B373" s="16" t="s">
        <v>1699</v>
      </c>
      <c r="C373" s="432">
        <v>60</v>
      </c>
      <c r="D373" s="16" t="s">
        <v>1700</v>
      </c>
      <c r="E373" s="432">
        <v>10</v>
      </c>
      <c r="F373" s="16" t="s">
        <v>1702</v>
      </c>
    </row>
    <row r="374" spans="1:6">
      <c r="A374" s="16" t="s">
        <v>1703</v>
      </c>
      <c r="B374" s="16" t="s">
        <v>1704</v>
      </c>
      <c r="C374" s="432">
        <v>103</v>
      </c>
      <c r="D374" s="16" t="s">
        <v>19</v>
      </c>
      <c r="E374" s="432">
        <v>10</v>
      </c>
      <c r="F374" s="16" t="s">
        <v>1706</v>
      </c>
    </row>
    <row r="375" spans="1:6">
      <c r="A375" s="16" t="s">
        <v>1708</v>
      </c>
      <c r="B375" s="16" t="s">
        <v>1709</v>
      </c>
      <c r="C375" s="432">
        <v>125</v>
      </c>
      <c r="D375" s="16" t="s">
        <v>1710</v>
      </c>
      <c r="E375" s="432">
        <v>20</v>
      </c>
      <c r="F375" s="16" t="s">
        <v>1712</v>
      </c>
    </row>
    <row r="376" spans="1:6">
      <c r="A376" s="16" t="s">
        <v>1713</v>
      </c>
      <c r="B376" s="16" t="s">
        <v>1714</v>
      </c>
      <c r="C376" s="432">
        <v>160</v>
      </c>
      <c r="D376" s="16" t="s">
        <v>320</v>
      </c>
      <c r="E376" s="432">
        <v>10</v>
      </c>
      <c r="F376" s="16" t="s">
        <v>1716</v>
      </c>
    </row>
    <row r="377" spans="1:6">
      <c r="A377" s="16" t="s">
        <v>1718</v>
      </c>
      <c r="B377" s="16" t="s">
        <v>1351</v>
      </c>
      <c r="C377" s="432">
        <v>131</v>
      </c>
      <c r="D377" s="16" t="s">
        <v>220</v>
      </c>
      <c r="E377" s="432">
        <v>20</v>
      </c>
      <c r="F377" s="16" t="s">
        <v>1720</v>
      </c>
    </row>
    <row r="378" spans="1:6">
      <c r="A378" s="16" t="s">
        <v>1721</v>
      </c>
      <c r="B378" s="16" t="s">
        <v>1645</v>
      </c>
      <c r="C378" s="16" t="s">
        <v>31</v>
      </c>
      <c r="D378" s="16" t="s">
        <v>540</v>
      </c>
      <c r="E378" s="432">
        <v>20</v>
      </c>
      <c r="F378" s="16" t="s">
        <v>1723</v>
      </c>
    </row>
    <row r="379" spans="1:6">
      <c r="A379" s="16" t="s">
        <v>1725</v>
      </c>
      <c r="B379" s="16" t="s">
        <v>1726</v>
      </c>
      <c r="C379" s="432">
        <v>292</v>
      </c>
      <c r="D379" s="16" t="s">
        <v>540</v>
      </c>
      <c r="E379" s="432">
        <v>30</v>
      </c>
      <c r="F379" s="16" t="s">
        <v>1728</v>
      </c>
    </row>
    <row r="380" spans="1:6">
      <c r="A380" s="165" t="s">
        <v>1730</v>
      </c>
      <c r="B380" s="16" t="s">
        <v>1731</v>
      </c>
      <c r="C380" s="432">
        <v>69</v>
      </c>
      <c r="D380" s="16" t="s">
        <v>70</v>
      </c>
      <c r="E380" s="432">
        <v>10</v>
      </c>
      <c r="F380" s="16" t="s">
        <v>1732</v>
      </c>
    </row>
    <row r="381" spans="1:6">
      <c r="A381" s="16" t="s">
        <v>1734</v>
      </c>
      <c r="B381" s="16" t="s">
        <v>1735</v>
      </c>
      <c r="C381" s="432">
        <v>50</v>
      </c>
      <c r="D381" s="16" t="s">
        <v>64</v>
      </c>
      <c r="E381" s="432">
        <v>20</v>
      </c>
      <c r="F381" s="16" t="s">
        <v>1737</v>
      </c>
    </row>
    <row r="382" spans="1:6">
      <c r="A382" s="16" t="s">
        <v>1738</v>
      </c>
      <c r="B382" s="16" t="s">
        <v>341</v>
      </c>
      <c r="C382" s="432">
        <v>68</v>
      </c>
      <c r="D382" s="16" t="s">
        <v>64</v>
      </c>
      <c r="E382" s="432">
        <v>10</v>
      </c>
      <c r="F382" s="16" t="s">
        <v>1740</v>
      </c>
    </row>
    <row r="383" spans="1:6">
      <c r="A383" s="16" t="s">
        <v>1741</v>
      </c>
      <c r="B383" s="16" t="s">
        <v>1742</v>
      </c>
      <c r="D383" s="16" t="s">
        <v>1743</v>
      </c>
      <c r="E383" s="432">
        <v>10</v>
      </c>
      <c r="F383" s="16" t="s">
        <v>1745</v>
      </c>
    </row>
    <row r="384" spans="1:6">
      <c r="A384" s="16" t="s">
        <v>1747</v>
      </c>
      <c r="B384" s="16" t="s">
        <v>341</v>
      </c>
      <c r="C384" s="432">
        <v>709</v>
      </c>
      <c r="D384" s="16" t="s">
        <v>1748</v>
      </c>
      <c r="E384" s="432">
        <v>20</v>
      </c>
      <c r="F384" s="16" t="s">
        <v>1750</v>
      </c>
    </row>
    <row r="385" spans="1:6">
      <c r="A385" s="16" t="s">
        <v>1752</v>
      </c>
      <c r="B385" s="16" t="s">
        <v>1753</v>
      </c>
      <c r="C385" s="432">
        <v>195</v>
      </c>
      <c r="D385" s="16" t="s">
        <v>32</v>
      </c>
      <c r="E385" s="432">
        <v>20</v>
      </c>
      <c r="F385" s="16" t="s">
        <v>1755</v>
      </c>
    </row>
    <row r="386" spans="1:6">
      <c r="A386" s="16" t="s">
        <v>1757</v>
      </c>
      <c r="B386" s="16" t="s">
        <v>1758</v>
      </c>
      <c r="C386" s="432">
        <v>72</v>
      </c>
      <c r="D386" s="16" t="s">
        <v>188</v>
      </c>
      <c r="E386" s="432">
        <v>30</v>
      </c>
      <c r="F386" s="16" t="s">
        <v>1760</v>
      </c>
    </row>
    <row r="387" spans="1:6">
      <c r="A387" s="16" t="s">
        <v>1762</v>
      </c>
      <c r="B387" s="16" t="s">
        <v>303</v>
      </c>
      <c r="C387" s="432">
        <v>126</v>
      </c>
      <c r="D387" s="16" t="s">
        <v>19</v>
      </c>
      <c r="E387" s="432">
        <v>20</v>
      </c>
      <c r="F387" s="16" t="s">
        <v>1764</v>
      </c>
    </row>
    <row r="388" spans="1:6">
      <c r="A388" s="16" t="s">
        <v>1766</v>
      </c>
      <c r="B388" s="16" t="s">
        <v>1767</v>
      </c>
      <c r="C388" s="432">
        <v>21</v>
      </c>
      <c r="D388" s="16" t="s">
        <v>127</v>
      </c>
      <c r="E388" s="432">
        <v>10</v>
      </c>
      <c r="F388" s="16" t="s">
        <v>1769</v>
      </c>
    </row>
    <row r="389" spans="1:6">
      <c r="A389" s="16" t="s">
        <v>1771</v>
      </c>
      <c r="B389" s="16" t="s">
        <v>1300</v>
      </c>
      <c r="C389" s="432">
        <v>329</v>
      </c>
      <c r="D389" s="16" t="s">
        <v>70</v>
      </c>
      <c r="E389" s="432">
        <v>20</v>
      </c>
      <c r="F389" s="16" t="s">
        <v>1773</v>
      </c>
    </row>
    <row r="390" spans="1:6">
      <c r="A390" s="16" t="s">
        <v>1775</v>
      </c>
      <c r="B390" s="16" t="s">
        <v>1776</v>
      </c>
      <c r="C390" s="432">
        <v>70</v>
      </c>
      <c r="D390" s="16" t="s">
        <v>64</v>
      </c>
      <c r="E390" s="432">
        <v>20</v>
      </c>
      <c r="F390" s="16" t="s">
        <v>1778</v>
      </c>
    </row>
    <row r="391" spans="1:6">
      <c r="A391" s="16" t="s">
        <v>1779</v>
      </c>
      <c r="B391" s="16" t="s">
        <v>1780</v>
      </c>
      <c r="C391" s="432">
        <v>505</v>
      </c>
      <c r="D391" s="16" t="s">
        <v>19</v>
      </c>
      <c r="E391" s="432">
        <v>10</v>
      </c>
      <c r="F391" s="16" t="s">
        <v>1782</v>
      </c>
    </row>
    <row r="392" spans="1:6">
      <c r="A392" s="16" t="s">
        <v>1783</v>
      </c>
      <c r="B392" s="16" t="s">
        <v>1784</v>
      </c>
      <c r="C392" s="432">
        <v>39</v>
      </c>
      <c r="D392" s="16" t="s">
        <v>105</v>
      </c>
      <c r="E392" s="432">
        <v>10</v>
      </c>
      <c r="F392" s="16" t="s">
        <v>1786</v>
      </c>
    </row>
    <row r="393" spans="1:6">
      <c r="A393" s="16" t="s">
        <v>1788</v>
      </c>
      <c r="B393" s="16" t="s">
        <v>1789</v>
      </c>
      <c r="C393" s="432">
        <v>105</v>
      </c>
      <c r="D393" s="16" t="s">
        <v>90</v>
      </c>
      <c r="E393" s="432">
        <v>25</v>
      </c>
      <c r="F393" s="16" t="s">
        <v>1791</v>
      </c>
    </row>
    <row r="394" spans="1:6">
      <c r="A394" s="16" t="s">
        <v>1792</v>
      </c>
      <c r="B394" s="16" t="s">
        <v>1793</v>
      </c>
      <c r="C394" s="432">
        <v>100</v>
      </c>
      <c r="D394" s="16" t="s">
        <v>32</v>
      </c>
      <c r="E394" s="432">
        <v>20</v>
      </c>
      <c r="F394" s="16" t="s">
        <v>1795</v>
      </c>
    </row>
    <row r="395" spans="1:6">
      <c r="A395" s="16" t="s">
        <v>1796</v>
      </c>
      <c r="B395" s="16" t="s">
        <v>356</v>
      </c>
      <c r="C395" s="432">
        <v>219</v>
      </c>
      <c r="D395" s="16" t="s">
        <v>1020</v>
      </c>
      <c r="E395" s="432">
        <v>20</v>
      </c>
      <c r="F395" s="16" t="s">
        <v>1798</v>
      </c>
    </row>
    <row r="396" spans="1:6">
      <c r="A396" s="16" t="s">
        <v>1796</v>
      </c>
      <c r="B396" s="16" t="s">
        <v>577</v>
      </c>
      <c r="C396" s="432">
        <v>143</v>
      </c>
      <c r="D396" s="16" t="s">
        <v>70</v>
      </c>
      <c r="E396" s="432">
        <v>25</v>
      </c>
      <c r="F396" s="16" t="s">
        <v>1798</v>
      </c>
    </row>
    <row r="397" spans="1:6">
      <c r="A397" s="16" t="s">
        <v>1800</v>
      </c>
      <c r="B397" s="16" t="s">
        <v>1426</v>
      </c>
      <c r="C397" s="432">
        <v>52</v>
      </c>
      <c r="D397" s="16" t="s">
        <v>19</v>
      </c>
      <c r="E397" s="432">
        <v>20</v>
      </c>
      <c r="F397" s="16" t="s">
        <v>1802</v>
      </c>
    </row>
    <row r="398" spans="1:6">
      <c r="A398" s="436" t="s">
        <v>1803</v>
      </c>
      <c r="C398" s="432"/>
      <c r="E398" s="432"/>
    </row>
    <row r="399" spans="1:6">
      <c r="A399" s="436" t="s">
        <v>1804</v>
      </c>
      <c r="C399" s="432"/>
      <c r="E399" s="432"/>
    </row>
    <row r="400" spans="1:6">
      <c r="A400" s="16" t="s">
        <v>1805</v>
      </c>
      <c r="B400" s="16" t="s">
        <v>1806</v>
      </c>
      <c r="C400" s="432">
        <v>28</v>
      </c>
      <c r="D400" s="16" t="s">
        <v>19</v>
      </c>
      <c r="E400" s="432">
        <v>10</v>
      </c>
      <c r="F400" s="16" t="s">
        <v>1807</v>
      </c>
    </row>
    <row r="401" spans="1:6">
      <c r="A401" s="16" t="s">
        <v>1809</v>
      </c>
      <c r="B401" s="16" t="s">
        <v>1810</v>
      </c>
      <c r="C401" s="432">
        <v>60</v>
      </c>
      <c r="D401" s="16" t="s">
        <v>320</v>
      </c>
      <c r="E401" s="432">
        <v>20</v>
      </c>
      <c r="F401" s="16" t="s">
        <v>1812</v>
      </c>
    </row>
    <row r="402" spans="1:6">
      <c r="A402" s="16" t="s">
        <v>1814</v>
      </c>
      <c r="B402" s="16" t="s">
        <v>1815</v>
      </c>
      <c r="C402" s="432">
        <v>303</v>
      </c>
      <c r="D402" s="16" t="s">
        <v>19</v>
      </c>
      <c r="E402" s="432">
        <v>20</v>
      </c>
      <c r="F402" s="16" t="s">
        <v>1817</v>
      </c>
    </row>
    <row r="403" spans="1:6">
      <c r="A403" s="16" t="s">
        <v>1819</v>
      </c>
      <c r="B403" s="16" t="s">
        <v>639</v>
      </c>
      <c r="C403" s="432">
        <v>91</v>
      </c>
      <c r="D403" s="16" t="s">
        <v>1820</v>
      </c>
      <c r="E403" s="432">
        <v>20</v>
      </c>
      <c r="F403" s="16" t="s">
        <v>1822</v>
      </c>
    </row>
    <row r="404" spans="1:6">
      <c r="A404" s="16" t="s">
        <v>1824</v>
      </c>
      <c r="B404" s="16" t="s">
        <v>1825</v>
      </c>
      <c r="C404" s="432">
        <v>51</v>
      </c>
      <c r="D404" s="16" t="s">
        <v>70</v>
      </c>
      <c r="E404" s="432">
        <v>10</v>
      </c>
      <c r="F404" s="16" t="s">
        <v>1827</v>
      </c>
    </row>
    <row r="405" spans="1:6">
      <c r="A405" s="107" t="s">
        <v>1828</v>
      </c>
      <c r="B405" s="16" t="s">
        <v>1829</v>
      </c>
      <c r="C405" s="432">
        <v>80</v>
      </c>
      <c r="D405" s="16" t="s">
        <v>127</v>
      </c>
      <c r="E405" s="432">
        <v>20</v>
      </c>
      <c r="F405" s="16" t="s">
        <v>1831</v>
      </c>
    </row>
    <row r="406" spans="1:6">
      <c r="A406" s="16" t="s">
        <v>1833</v>
      </c>
      <c r="B406" s="16" t="s">
        <v>1780</v>
      </c>
      <c r="C406" s="432">
        <v>380</v>
      </c>
      <c r="D406" s="16" t="s">
        <v>19</v>
      </c>
      <c r="E406" s="432">
        <v>10</v>
      </c>
      <c r="F406" s="16" t="s">
        <v>1835</v>
      </c>
    </row>
    <row r="407" spans="1:6">
      <c r="A407" s="16" t="s">
        <v>1837</v>
      </c>
      <c r="B407" s="16" t="s">
        <v>167</v>
      </c>
      <c r="C407" s="432">
        <v>844</v>
      </c>
      <c r="D407" s="16" t="s">
        <v>64</v>
      </c>
      <c r="E407" s="432">
        <v>5</v>
      </c>
      <c r="F407" s="16" t="s">
        <v>1839</v>
      </c>
    </row>
    <row r="408" spans="1:6">
      <c r="A408" s="16" t="s">
        <v>1841</v>
      </c>
      <c r="B408" s="16" t="s">
        <v>1842</v>
      </c>
      <c r="C408" s="432">
        <v>80</v>
      </c>
      <c r="D408" s="16" t="s">
        <v>70</v>
      </c>
      <c r="E408" s="432">
        <v>10</v>
      </c>
      <c r="F408" s="16" t="s">
        <v>1844</v>
      </c>
    </row>
    <row r="409" spans="1:6">
      <c r="A409" s="16" t="s">
        <v>1845</v>
      </c>
      <c r="B409" s="16" t="s">
        <v>1274</v>
      </c>
      <c r="C409" s="432">
        <v>39</v>
      </c>
      <c r="D409" s="16" t="s">
        <v>90</v>
      </c>
      <c r="E409" s="432">
        <v>10</v>
      </c>
      <c r="F409" s="16" t="s">
        <v>1847</v>
      </c>
    </row>
    <row r="410" spans="1:6">
      <c r="A410" s="16" t="s">
        <v>1849</v>
      </c>
      <c r="B410" s="16" t="s">
        <v>1850</v>
      </c>
      <c r="C410" s="432">
        <v>170</v>
      </c>
      <c r="D410" s="16" t="s">
        <v>270</v>
      </c>
      <c r="E410" s="432">
        <v>15</v>
      </c>
      <c r="F410" s="16" t="s">
        <v>1852</v>
      </c>
    </row>
    <row r="411" spans="1:6">
      <c r="A411" s="16" t="s">
        <v>1854</v>
      </c>
      <c r="B411" s="16" t="s">
        <v>1326</v>
      </c>
      <c r="C411" s="432">
        <v>397</v>
      </c>
      <c r="D411" s="16" t="s">
        <v>19</v>
      </c>
      <c r="E411" s="432">
        <v>10</v>
      </c>
      <c r="F411" s="16" t="s">
        <v>1856</v>
      </c>
    </row>
    <row r="412" spans="1:6">
      <c r="A412" s="16" t="s">
        <v>1858</v>
      </c>
      <c r="B412" s="16" t="s">
        <v>1859</v>
      </c>
      <c r="C412" s="16" t="s">
        <v>1860</v>
      </c>
      <c r="D412" s="16" t="s">
        <v>19</v>
      </c>
      <c r="E412" s="432">
        <v>10</v>
      </c>
      <c r="F412" s="16" t="s">
        <v>1861</v>
      </c>
    </row>
    <row r="413" spans="1:6">
      <c r="A413" s="16" t="s">
        <v>1862</v>
      </c>
      <c r="B413" s="16" t="s">
        <v>1093</v>
      </c>
      <c r="C413" s="432">
        <v>62</v>
      </c>
      <c r="D413" s="16" t="s">
        <v>19</v>
      </c>
      <c r="E413" s="432">
        <v>20</v>
      </c>
      <c r="F413" s="16" t="s">
        <v>1864</v>
      </c>
    </row>
    <row r="414" spans="1:6">
      <c r="A414" s="16" t="s">
        <v>1865</v>
      </c>
      <c r="B414" s="16" t="s">
        <v>624</v>
      </c>
      <c r="C414" s="432">
        <v>735</v>
      </c>
      <c r="D414" s="16" t="s">
        <v>19</v>
      </c>
      <c r="E414" s="432">
        <v>15</v>
      </c>
      <c r="F414" s="16" t="s">
        <v>1867</v>
      </c>
    </row>
    <row r="415" spans="1:6">
      <c r="A415" s="16" t="s">
        <v>1869</v>
      </c>
      <c r="B415" s="16" t="s">
        <v>1731</v>
      </c>
      <c r="C415" s="16" t="s">
        <v>1870</v>
      </c>
      <c r="D415" s="16" t="s">
        <v>70</v>
      </c>
      <c r="E415" s="432">
        <v>10</v>
      </c>
      <c r="F415" s="16" t="s">
        <v>1872</v>
      </c>
    </row>
    <row r="416" spans="1:6">
      <c r="A416" s="16" t="s">
        <v>1874</v>
      </c>
      <c r="B416" s="16" t="s">
        <v>475</v>
      </c>
      <c r="C416" s="432">
        <v>21</v>
      </c>
      <c r="D416" s="16" t="s">
        <v>70</v>
      </c>
      <c r="E416" s="432">
        <v>30</v>
      </c>
      <c r="F416" s="16" t="s">
        <v>1876</v>
      </c>
    </row>
    <row r="417" spans="1:6">
      <c r="A417" s="16" t="s">
        <v>1874</v>
      </c>
      <c r="B417" s="16" t="s">
        <v>1093</v>
      </c>
      <c r="C417" s="432">
        <v>86</v>
      </c>
      <c r="D417" s="16" t="s">
        <v>70</v>
      </c>
      <c r="E417" s="432">
        <v>30</v>
      </c>
      <c r="F417" s="16" t="s">
        <v>1876</v>
      </c>
    </row>
    <row r="418" spans="1:6">
      <c r="A418" s="16" t="s">
        <v>1879</v>
      </c>
      <c r="B418" s="16" t="s">
        <v>1351</v>
      </c>
      <c r="C418" s="432">
        <v>96</v>
      </c>
      <c r="D418" s="16" t="s">
        <v>70</v>
      </c>
      <c r="E418" s="432">
        <v>15</v>
      </c>
      <c r="F418" s="16" t="s">
        <v>1881</v>
      </c>
    </row>
    <row r="419" spans="1:6">
      <c r="A419" s="16" t="s">
        <v>1882</v>
      </c>
      <c r="B419" s="16" t="s">
        <v>1883</v>
      </c>
      <c r="C419" s="432">
        <v>515</v>
      </c>
      <c r="D419" s="16" t="s">
        <v>64</v>
      </c>
      <c r="E419" s="432">
        <v>30</v>
      </c>
      <c r="F419" s="16" t="s">
        <v>1885</v>
      </c>
    </row>
    <row r="420" spans="1:6">
      <c r="A420" s="16" t="s">
        <v>1886</v>
      </c>
      <c r="B420" s="16" t="s">
        <v>1887</v>
      </c>
      <c r="C420" s="432">
        <v>230</v>
      </c>
      <c r="D420" s="16" t="s">
        <v>19</v>
      </c>
      <c r="E420" s="432">
        <v>20</v>
      </c>
      <c r="F420" s="16" t="s">
        <v>1889</v>
      </c>
    </row>
    <row r="421" spans="1:6">
      <c r="A421" s="16" t="s">
        <v>1890</v>
      </c>
      <c r="B421" s="16" t="s">
        <v>1481</v>
      </c>
      <c r="C421" s="432">
        <v>130</v>
      </c>
      <c r="D421" s="16" t="s">
        <v>70</v>
      </c>
      <c r="E421" s="432">
        <v>20</v>
      </c>
      <c r="F421" s="16" t="s">
        <v>1892</v>
      </c>
    </row>
    <row r="422" spans="1:6">
      <c r="A422" s="436" t="s">
        <v>1893</v>
      </c>
      <c r="C422" s="432"/>
      <c r="E422" s="432"/>
    </row>
    <row r="423" spans="1:6">
      <c r="A423" s="16" t="s">
        <v>1894</v>
      </c>
      <c r="B423" s="16" t="s">
        <v>286</v>
      </c>
      <c r="C423" s="432">
        <v>190</v>
      </c>
      <c r="D423" s="16" t="s">
        <v>64</v>
      </c>
      <c r="E423" s="432">
        <v>25</v>
      </c>
      <c r="F423" s="16" t="s">
        <v>1896</v>
      </c>
    </row>
    <row r="424" spans="1:6">
      <c r="A424" s="16" t="s">
        <v>1898</v>
      </c>
      <c r="B424" s="16" t="s">
        <v>1899</v>
      </c>
      <c r="C424" s="432">
        <v>22</v>
      </c>
      <c r="D424" s="16" t="s">
        <v>320</v>
      </c>
      <c r="E424" s="432">
        <v>10</v>
      </c>
      <c r="F424" s="16" t="s">
        <v>1901</v>
      </c>
    </row>
    <row r="425" spans="1:6">
      <c r="A425" s="16" t="s">
        <v>1903</v>
      </c>
      <c r="B425" s="16" t="s">
        <v>433</v>
      </c>
      <c r="C425" s="432">
        <v>281</v>
      </c>
      <c r="D425" s="16" t="s">
        <v>90</v>
      </c>
      <c r="E425" s="432">
        <v>10</v>
      </c>
      <c r="F425" s="16" t="s">
        <v>1905</v>
      </c>
    </row>
    <row r="426" spans="1:6">
      <c r="A426" s="16" t="s">
        <v>1906</v>
      </c>
      <c r="B426" s="16" t="s">
        <v>1907</v>
      </c>
      <c r="C426" s="432">
        <v>540</v>
      </c>
      <c r="D426" s="16" t="s">
        <v>127</v>
      </c>
      <c r="E426" s="432">
        <v>15</v>
      </c>
      <c r="F426" s="16" t="s">
        <v>1909</v>
      </c>
    </row>
    <row r="427" spans="1:6">
      <c r="A427" s="16" t="s">
        <v>1911</v>
      </c>
      <c r="B427" s="16" t="s">
        <v>157</v>
      </c>
      <c r="C427" s="432">
        <v>887</v>
      </c>
      <c r="D427" s="16" t="s">
        <v>19</v>
      </c>
      <c r="E427" s="432">
        <v>20</v>
      </c>
      <c r="F427" s="16" t="s">
        <v>1913</v>
      </c>
    </row>
    <row r="428" spans="1:6">
      <c r="A428" s="16" t="s">
        <v>1915</v>
      </c>
      <c r="B428" s="16" t="s">
        <v>1156</v>
      </c>
      <c r="C428" s="432">
        <v>208</v>
      </c>
      <c r="D428" s="16" t="s">
        <v>220</v>
      </c>
      <c r="E428" s="432">
        <v>20</v>
      </c>
      <c r="F428" s="16" t="s">
        <v>1917</v>
      </c>
    </row>
    <row r="429" spans="1:6">
      <c r="A429" s="16" t="s">
        <v>1919</v>
      </c>
      <c r="B429" s="16" t="s">
        <v>172</v>
      </c>
      <c r="C429" s="432">
        <v>140</v>
      </c>
      <c r="D429" s="16" t="s">
        <v>64</v>
      </c>
      <c r="E429" s="432">
        <v>10</v>
      </c>
      <c r="F429" s="16" t="s">
        <v>1921</v>
      </c>
    </row>
    <row r="430" spans="1:6">
      <c r="A430" s="16" t="s">
        <v>1922</v>
      </c>
      <c r="B430" s="16" t="s">
        <v>1923</v>
      </c>
      <c r="C430" s="432">
        <v>10</v>
      </c>
      <c r="D430" s="16" t="s">
        <v>32</v>
      </c>
      <c r="E430" s="432">
        <v>10</v>
      </c>
      <c r="F430" s="16" t="s">
        <v>1921</v>
      </c>
    </row>
    <row r="431" spans="1:6">
      <c r="A431" s="16" t="s">
        <v>1925</v>
      </c>
      <c r="B431" s="16" t="s">
        <v>1926</v>
      </c>
      <c r="C431" s="432">
        <v>43</v>
      </c>
      <c r="D431" s="16" t="s">
        <v>19</v>
      </c>
      <c r="E431" s="432">
        <v>10</v>
      </c>
      <c r="F431" s="16" t="s">
        <v>1928</v>
      </c>
    </row>
    <row r="432" spans="1:6">
      <c r="A432" s="16" t="s">
        <v>1929</v>
      </c>
      <c r="B432" s="16" t="s">
        <v>1930</v>
      </c>
      <c r="C432" s="432">
        <v>49</v>
      </c>
      <c r="D432" s="16" t="s">
        <v>32</v>
      </c>
      <c r="E432" s="432">
        <v>15</v>
      </c>
      <c r="F432" s="16" t="s">
        <v>1932</v>
      </c>
    </row>
    <row r="433" spans="1:6">
      <c r="A433" s="16" t="s">
        <v>1934</v>
      </c>
      <c r="B433" s="16" t="s">
        <v>1935</v>
      </c>
      <c r="C433" s="432">
        <v>1240</v>
      </c>
      <c r="D433" s="16" t="s">
        <v>1936</v>
      </c>
      <c r="E433" s="432">
        <v>30</v>
      </c>
      <c r="F433" s="16" t="s">
        <v>1937</v>
      </c>
    </row>
    <row r="434" spans="1:6">
      <c r="A434" s="16" t="s">
        <v>1939</v>
      </c>
      <c r="B434" s="16" t="s">
        <v>1940</v>
      </c>
      <c r="C434" s="432">
        <v>19</v>
      </c>
      <c r="D434" s="16" t="s">
        <v>70</v>
      </c>
      <c r="E434" s="432">
        <v>10</v>
      </c>
      <c r="F434" s="16" t="s">
        <v>1942</v>
      </c>
    </row>
    <row r="435" spans="1:6">
      <c r="A435" s="16" t="s">
        <v>1943</v>
      </c>
      <c r="B435" s="16" t="s">
        <v>1935</v>
      </c>
      <c r="C435" s="432">
        <v>663</v>
      </c>
      <c r="D435" s="16" t="s">
        <v>90</v>
      </c>
      <c r="E435" s="432">
        <v>20</v>
      </c>
      <c r="F435" s="16" t="s">
        <v>1945</v>
      </c>
    </row>
    <row r="436" spans="1:6">
      <c r="A436" s="16" t="s">
        <v>1947</v>
      </c>
      <c r="B436" s="16" t="s">
        <v>930</v>
      </c>
      <c r="C436" s="432">
        <v>26</v>
      </c>
      <c r="D436" s="16" t="s">
        <v>25</v>
      </c>
      <c r="E436" s="432">
        <v>15</v>
      </c>
      <c r="F436" s="16" t="s">
        <v>1949</v>
      </c>
    </row>
    <row r="437" spans="1:6">
      <c r="A437" s="16" t="s">
        <v>1951</v>
      </c>
      <c r="B437" s="16" t="s">
        <v>1952</v>
      </c>
      <c r="C437" s="432">
        <v>30</v>
      </c>
      <c r="D437" s="16" t="s">
        <v>320</v>
      </c>
      <c r="E437" s="432">
        <v>30</v>
      </c>
      <c r="F437" s="16" t="s">
        <v>1954</v>
      </c>
    </row>
    <row r="438" spans="1:6">
      <c r="A438" s="16" t="s">
        <v>1956</v>
      </c>
      <c r="B438" s="16" t="s">
        <v>1957</v>
      </c>
      <c r="C438" s="432">
        <v>14</v>
      </c>
      <c r="D438" s="16" t="s">
        <v>19</v>
      </c>
      <c r="E438" s="432">
        <v>30</v>
      </c>
      <c r="F438" s="16" t="s">
        <v>1959</v>
      </c>
    </row>
    <row r="439" spans="1:6">
      <c r="A439" s="16" t="s">
        <v>1962</v>
      </c>
      <c r="B439" s="16" t="s">
        <v>1963</v>
      </c>
      <c r="C439" s="432">
        <v>1089</v>
      </c>
      <c r="D439" s="16" t="s">
        <v>314</v>
      </c>
      <c r="E439" s="432">
        <v>20</v>
      </c>
      <c r="F439" s="16" t="s">
        <v>1965</v>
      </c>
    </row>
    <row r="440" spans="1:6">
      <c r="A440" s="16" t="s">
        <v>1967</v>
      </c>
      <c r="B440" s="16" t="s">
        <v>789</v>
      </c>
      <c r="C440" s="432">
        <v>360</v>
      </c>
      <c r="D440" s="16" t="s">
        <v>70</v>
      </c>
      <c r="E440" s="432">
        <v>15</v>
      </c>
      <c r="F440" s="16" t="s">
        <v>1969</v>
      </c>
    </row>
    <row r="441" spans="1:6">
      <c r="A441" s="16" t="s">
        <v>1971</v>
      </c>
      <c r="B441" s="16" t="s">
        <v>1972</v>
      </c>
      <c r="C441" s="432">
        <v>291</v>
      </c>
      <c r="D441" s="16" t="s">
        <v>220</v>
      </c>
      <c r="E441" s="432">
        <v>10</v>
      </c>
      <c r="F441" s="16" t="s">
        <v>1974</v>
      </c>
    </row>
    <row r="442" spans="1:6">
      <c r="A442" s="436" t="s">
        <v>1975</v>
      </c>
      <c r="C442" s="432"/>
      <c r="E442" s="432"/>
    </row>
    <row r="443" spans="1:6">
      <c r="A443" s="16" t="s">
        <v>1977</v>
      </c>
      <c r="B443" s="16" t="s">
        <v>1978</v>
      </c>
      <c r="C443" s="432">
        <v>55</v>
      </c>
      <c r="D443" s="16" t="s">
        <v>25</v>
      </c>
      <c r="E443" s="432">
        <v>10</v>
      </c>
      <c r="F443" s="16" t="s">
        <v>1980</v>
      </c>
    </row>
    <row r="444" spans="1:6">
      <c r="A444" s="16" t="s">
        <v>41</v>
      </c>
      <c r="B444" s="16" t="s">
        <v>1957</v>
      </c>
      <c r="C444" s="432">
        <v>10</v>
      </c>
      <c r="D444" s="16" t="s">
        <v>19</v>
      </c>
      <c r="E444" s="432">
        <v>30</v>
      </c>
      <c r="F444" s="16" t="s">
        <v>44</v>
      </c>
    </row>
    <row r="445" spans="1:6">
      <c r="A445" s="16" t="s">
        <v>1983</v>
      </c>
      <c r="B445" s="16" t="s">
        <v>1984</v>
      </c>
      <c r="C445" s="432">
        <v>270</v>
      </c>
      <c r="D445" s="16" t="s">
        <v>127</v>
      </c>
      <c r="E445" s="432">
        <v>15</v>
      </c>
      <c r="F445" s="16" t="s">
        <v>1986</v>
      </c>
    </row>
    <row r="446" spans="1:6">
      <c r="A446" s="16" t="s">
        <v>1989</v>
      </c>
      <c r="B446" s="16" t="s">
        <v>453</v>
      </c>
      <c r="C446" s="432">
        <v>285</v>
      </c>
      <c r="D446" s="16" t="s">
        <v>127</v>
      </c>
      <c r="E446" s="432">
        <v>10</v>
      </c>
      <c r="F446" s="16" t="s">
        <v>1991</v>
      </c>
    </row>
    <row r="447" spans="1:6">
      <c r="A447" s="16" t="s">
        <v>1992</v>
      </c>
      <c r="B447" s="16" t="s">
        <v>1993</v>
      </c>
      <c r="C447" s="432">
        <v>130</v>
      </c>
      <c r="D447" s="16" t="s">
        <v>105</v>
      </c>
      <c r="E447" s="432">
        <v>20</v>
      </c>
      <c r="F447" s="16" t="s">
        <v>1994</v>
      </c>
    </row>
    <row r="448" spans="1:6">
      <c r="A448" s="16" t="s">
        <v>1992</v>
      </c>
      <c r="B448" s="16" t="s">
        <v>1996</v>
      </c>
      <c r="C448" s="432">
        <v>21</v>
      </c>
      <c r="D448" s="16" t="s">
        <v>64</v>
      </c>
      <c r="E448" s="432">
        <v>20</v>
      </c>
      <c r="F448" s="16" t="s">
        <v>1994</v>
      </c>
    </row>
    <row r="449" spans="1:6">
      <c r="A449" s="16" t="s">
        <v>1998</v>
      </c>
      <c r="B449" s="16" t="s">
        <v>1999</v>
      </c>
      <c r="C449" s="432">
        <v>30</v>
      </c>
      <c r="D449" s="16" t="s">
        <v>90</v>
      </c>
      <c r="E449" s="432">
        <v>5</v>
      </c>
      <c r="F449" s="16" t="s">
        <v>2001</v>
      </c>
    </row>
    <row r="450" spans="1:6">
      <c r="A450" s="16" t="s">
        <v>2003</v>
      </c>
      <c r="B450" s="16" t="s">
        <v>2004</v>
      </c>
      <c r="C450" s="432">
        <v>390</v>
      </c>
      <c r="D450" s="16" t="s">
        <v>32</v>
      </c>
      <c r="E450" s="432">
        <v>25</v>
      </c>
      <c r="F450" s="16" t="s">
        <v>2006</v>
      </c>
    </row>
    <row r="451" spans="1:6">
      <c r="A451" s="435" t="s">
        <v>2008</v>
      </c>
      <c r="B451" s="16" t="s">
        <v>2009</v>
      </c>
      <c r="C451" s="432">
        <v>98</v>
      </c>
      <c r="D451" s="16" t="s">
        <v>127</v>
      </c>
      <c r="E451" s="432">
        <v>10</v>
      </c>
      <c r="F451" s="16" t="s">
        <v>2011</v>
      </c>
    </row>
    <row r="452" spans="1:6">
      <c r="A452" s="16" t="s">
        <v>2013</v>
      </c>
      <c r="B452" s="16" t="s">
        <v>2014</v>
      </c>
      <c r="C452" s="432">
        <v>88</v>
      </c>
      <c r="D452" s="16" t="s">
        <v>64</v>
      </c>
      <c r="E452" s="432">
        <v>20</v>
      </c>
      <c r="F452" s="16" t="s">
        <v>2016</v>
      </c>
    </row>
    <row r="453" spans="1:6">
      <c r="A453" s="435" t="s">
        <v>2017</v>
      </c>
      <c r="C453" s="432"/>
      <c r="E453" s="432"/>
    </row>
    <row r="454" spans="1:6">
      <c r="A454" s="16" t="s">
        <v>2018</v>
      </c>
      <c r="B454" s="16" t="s">
        <v>2019</v>
      </c>
      <c r="C454" s="432">
        <v>52</v>
      </c>
      <c r="D454" s="16" t="s">
        <v>19</v>
      </c>
      <c r="E454" s="432">
        <v>20</v>
      </c>
      <c r="F454" s="16" t="s">
        <v>2020</v>
      </c>
    </row>
    <row r="455" spans="1:6">
      <c r="A455" s="16" t="s">
        <v>2022</v>
      </c>
      <c r="B455" s="16" t="s">
        <v>286</v>
      </c>
      <c r="C455" s="432">
        <v>88</v>
      </c>
      <c r="D455" s="16" t="s">
        <v>64</v>
      </c>
      <c r="E455" s="432">
        <v>10</v>
      </c>
      <c r="F455" s="16" t="s">
        <v>2024</v>
      </c>
    </row>
    <row r="456" spans="1:6">
      <c r="A456" s="16" t="s">
        <v>2026</v>
      </c>
      <c r="B456" s="16" t="s">
        <v>961</v>
      </c>
      <c r="C456" s="432">
        <v>943</v>
      </c>
      <c r="D456" s="16" t="s">
        <v>270</v>
      </c>
      <c r="E456" s="432">
        <v>10</v>
      </c>
      <c r="F456" s="16" t="s">
        <v>2028</v>
      </c>
    </row>
    <row r="457" spans="1:6">
      <c r="A457" s="16" t="s">
        <v>2029</v>
      </c>
      <c r="B457" s="16" t="s">
        <v>299</v>
      </c>
      <c r="C457" s="432">
        <v>740</v>
      </c>
      <c r="D457" s="16" t="s">
        <v>19</v>
      </c>
      <c r="E457" s="432">
        <v>20</v>
      </c>
      <c r="F457" s="16" t="s">
        <v>2031</v>
      </c>
    </row>
    <row r="458" spans="1:6">
      <c r="A458" s="16" t="s">
        <v>2033</v>
      </c>
      <c r="B458" s="16" t="s">
        <v>2034</v>
      </c>
      <c r="C458" s="432">
        <v>49</v>
      </c>
      <c r="D458" s="16" t="s">
        <v>320</v>
      </c>
      <c r="E458" s="432">
        <v>10</v>
      </c>
      <c r="F458" s="16" t="s">
        <v>2036</v>
      </c>
    </row>
    <row r="459" spans="1:6">
      <c r="A459" s="435" t="s">
        <v>2037</v>
      </c>
      <c r="C459" s="432"/>
      <c r="E459" s="432"/>
    </row>
    <row r="460" spans="1:6">
      <c r="A460" s="16" t="s">
        <v>2039</v>
      </c>
      <c r="B460" s="16" t="s">
        <v>2040</v>
      </c>
      <c r="C460" s="432">
        <v>349</v>
      </c>
      <c r="D460" s="16" t="s">
        <v>127</v>
      </c>
      <c r="E460" s="432">
        <v>20</v>
      </c>
      <c r="F460" s="16" t="s">
        <v>2042</v>
      </c>
    </row>
    <row r="461" spans="1:6">
      <c r="A461" s="16" t="s">
        <v>2044</v>
      </c>
      <c r="B461" s="16" t="s">
        <v>58</v>
      </c>
      <c r="C461" s="432">
        <v>130</v>
      </c>
      <c r="D461" s="16" t="s">
        <v>105</v>
      </c>
      <c r="E461" s="432">
        <v>15</v>
      </c>
      <c r="F461" s="16" t="s">
        <v>2046</v>
      </c>
    </row>
    <row r="462" spans="1:6">
      <c r="A462" s="16" t="s">
        <v>2048</v>
      </c>
      <c r="B462" s="16" t="s">
        <v>2049</v>
      </c>
      <c r="C462" s="432">
        <v>65</v>
      </c>
      <c r="D462" s="16" t="s">
        <v>90</v>
      </c>
      <c r="E462" s="432">
        <v>30</v>
      </c>
      <c r="F462" s="16" t="s">
        <v>2051</v>
      </c>
    </row>
    <row r="463" spans="1:6">
      <c r="A463" s="16" t="s">
        <v>2052</v>
      </c>
      <c r="B463" s="16" t="s">
        <v>172</v>
      </c>
      <c r="C463" s="432">
        <v>95</v>
      </c>
      <c r="D463" s="16" t="s">
        <v>19</v>
      </c>
      <c r="E463" s="432">
        <v>10</v>
      </c>
      <c r="F463" s="16" t="s">
        <v>2054</v>
      </c>
    </row>
    <row r="464" spans="1:6">
      <c r="A464" s="16" t="s">
        <v>2055</v>
      </c>
      <c r="B464" s="16" t="s">
        <v>1426</v>
      </c>
      <c r="C464" s="432">
        <v>97</v>
      </c>
      <c r="D464" s="16" t="s">
        <v>19</v>
      </c>
      <c r="E464" s="432">
        <v>20</v>
      </c>
      <c r="F464" s="16" t="s">
        <v>2057</v>
      </c>
    </row>
    <row r="465" spans="1:6">
      <c r="A465" s="16" t="s">
        <v>2058</v>
      </c>
      <c r="B465" s="16" t="s">
        <v>1156</v>
      </c>
      <c r="C465" s="432">
        <v>365</v>
      </c>
      <c r="D465" s="16" t="s">
        <v>220</v>
      </c>
      <c r="E465" s="432">
        <v>15</v>
      </c>
      <c r="F465" s="16" t="s">
        <v>2059</v>
      </c>
    </row>
    <row r="466" spans="1:6">
      <c r="A466" s="16" t="s">
        <v>2061</v>
      </c>
      <c r="B466" s="16" t="s">
        <v>2062</v>
      </c>
      <c r="C466" s="16" t="s">
        <v>2063</v>
      </c>
      <c r="D466" s="16" t="s">
        <v>48</v>
      </c>
      <c r="E466" s="432">
        <v>10</v>
      </c>
      <c r="F466" s="16" t="s">
        <v>2065</v>
      </c>
    </row>
    <row r="467" spans="1:6">
      <c r="A467" s="16" t="s">
        <v>2066</v>
      </c>
      <c r="B467" s="16" t="s">
        <v>2067</v>
      </c>
      <c r="C467" s="432">
        <v>160</v>
      </c>
      <c r="D467" s="16" t="s">
        <v>1820</v>
      </c>
      <c r="E467" s="432">
        <v>20</v>
      </c>
      <c r="F467" s="16" t="s">
        <v>2069</v>
      </c>
    </row>
    <row r="468" spans="1:6">
      <c r="A468" s="16" t="s">
        <v>2071</v>
      </c>
      <c r="B468" s="16" t="s">
        <v>1753</v>
      </c>
      <c r="C468" s="432">
        <v>211</v>
      </c>
      <c r="D468" s="16" t="s">
        <v>2072</v>
      </c>
      <c r="E468" s="432">
        <v>20</v>
      </c>
      <c r="F468" s="16" t="s">
        <v>2074</v>
      </c>
    </row>
    <row r="469" spans="1:6">
      <c r="A469" s="16" t="s">
        <v>2075</v>
      </c>
      <c r="B469" s="16" t="s">
        <v>2076</v>
      </c>
      <c r="C469" s="432">
        <v>121</v>
      </c>
      <c r="D469" s="16" t="s">
        <v>19</v>
      </c>
      <c r="E469" s="432">
        <v>15</v>
      </c>
      <c r="F469" s="16" t="s">
        <v>2078</v>
      </c>
    </row>
    <row r="470" spans="1:6">
      <c r="A470" s="16" t="s">
        <v>1983</v>
      </c>
      <c r="B470" s="16" t="s">
        <v>2080</v>
      </c>
      <c r="C470" s="432">
        <v>931</v>
      </c>
      <c r="D470" s="16" t="s">
        <v>127</v>
      </c>
      <c r="E470" s="432">
        <v>20</v>
      </c>
      <c r="F470" s="16" t="s">
        <v>1986</v>
      </c>
    </row>
    <row r="471" spans="1:6">
      <c r="A471" s="16" t="s">
        <v>2081</v>
      </c>
      <c r="B471" s="16" t="s">
        <v>2082</v>
      </c>
      <c r="C471" s="432">
        <v>57</v>
      </c>
      <c r="D471" s="16" t="s">
        <v>64</v>
      </c>
      <c r="E471" s="432">
        <v>15</v>
      </c>
      <c r="F471" s="16" t="s">
        <v>2084</v>
      </c>
    </row>
    <row r="472" spans="1:6">
      <c r="A472" s="16" t="s">
        <v>2085</v>
      </c>
      <c r="B472" s="16" t="s">
        <v>157</v>
      </c>
      <c r="C472" s="432">
        <v>439</v>
      </c>
      <c r="D472" s="16" t="s">
        <v>19</v>
      </c>
      <c r="E472" s="432">
        <v>30</v>
      </c>
      <c r="F472" s="16" t="s">
        <v>2087</v>
      </c>
    </row>
    <row r="473" spans="1:6">
      <c r="A473" s="16" t="s">
        <v>2088</v>
      </c>
      <c r="B473" s="16" t="s">
        <v>2089</v>
      </c>
      <c r="C473" s="432">
        <v>243</v>
      </c>
      <c r="D473" s="16" t="s">
        <v>19</v>
      </c>
      <c r="E473" s="432">
        <v>20</v>
      </c>
      <c r="F473" s="16" t="s">
        <v>2090</v>
      </c>
    </row>
    <row r="474" spans="1:6">
      <c r="A474" s="16" t="s">
        <v>2092</v>
      </c>
      <c r="B474" s="16" t="s">
        <v>2093</v>
      </c>
      <c r="C474" s="432">
        <v>140</v>
      </c>
      <c r="D474" s="16" t="s">
        <v>1020</v>
      </c>
      <c r="E474" s="432">
        <v>10</v>
      </c>
      <c r="F474" s="16" t="s">
        <v>2095</v>
      </c>
    </row>
    <row r="475" spans="1:6">
      <c r="A475" s="16" t="s">
        <v>2096</v>
      </c>
      <c r="B475" s="16" t="s">
        <v>1170</v>
      </c>
      <c r="C475" s="432">
        <v>52</v>
      </c>
      <c r="D475" s="16" t="s">
        <v>105</v>
      </c>
      <c r="E475" s="432">
        <v>30</v>
      </c>
      <c r="F475" s="16" t="s">
        <v>2098</v>
      </c>
    </row>
    <row r="476" spans="1:6">
      <c r="A476" s="16" t="s">
        <v>2100</v>
      </c>
      <c r="B476" s="16" t="s">
        <v>2101</v>
      </c>
      <c r="C476" s="432">
        <v>1114</v>
      </c>
      <c r="D476" s="16" t="s">
        <v>540</v>
      </c>
      <c r="E476" s="432">
        <v>25</v>
      </c>
      <c r="F476" s="16" t="s">
        <v>2103</v>
      </c>
    </row>
    <row r="477" spans="1:6">
      <c r="A477" s="16" t="s">
        <v>2106</v>
      </c>
      <c r="B477" s="16" t="s">
        <v>789</v>
      </c>
      <c r="C477" s="432">
        <v>249</v>
      </c>
      <c r="D477" s="16" t="s">
        <v>70</v>
      </c>
      <c r="E477" s="432">
        <v>15</v>
      </c>
      <c r="F477" s="16" t="s">
        <v>2108</v>
      </c>
    </row>
    <row r="478" spans="1:6">
      <c r="A478" s="16" t="s">
        <v>2110</v>
      </c>
      <c r="B478" s="16" t="s">
        <v>12</v>
      </c>
      <c r="C478" s="432">
        <v>300</v>
      </c>
      <c r="D478" s="16" t="s">
        <v>2111</v>
      </c>
      <c r="E478" s="432">
        <v>10</v>
      </c>
      <c r="F478" s="16" t="s">
        <v>2113</v>
      </c>
    </row>
    <row r="479" spans="1:6">
      <c r="A479" s="16" t="s">
        <v>2115</v>
      </c>
      <c r="B479" s="16" t="s">
        <v>2116</v>
      </c>
      <c r="C479" s="432">
        <v>80</v>
      </c>
      <c r="D479" s="16" t="s">
        <v>70</v>
      </c>
      <c r="E479" s="432">
        <v>10</v>
      </c>
      <c r="F479" s="16" t="s">
        <v>2117</v>
      </c>
    </row>
    <row r="480" spans="1:6">
      <c r="A480" s="435" t="s">
        <v>2118</v>
      </c>
      <c r="C480" s="432"/>
      <c r="E480" s="432"/>
    </row>
    <row r="481" spans="1:6">
      <c r="A481" s="16" t="s">
        <v>2120</v>
      </c>
      <c r="B481" s="16" t="s">
        <v>2121</v>
      </c>
      <c r="C481" s="432">
        <v>100</v>
      </c>
      <c r="D481" s="16" t="s">
        <v>90</v>
      </c>
      <c r="E481" s="432">
        <v>5</v>
      </c>
      <c r="F481" s="16" t="s">
        <v>2123</v>
      </c>
    </row>
    <row r="482" spans="1:6">
      <c r="A482" s="16" t="s">
        <v>2125</v>
      </c>
      <c r="B482" s="16" t="s">
        <v>2126</v>
      </c>
      <c r="C482" s="432">
        <v>59</v>
      </c>
      <c r="D482" s="16" t="s">
        <v>32</v>
      </c>
      <c r="E482" s="432">
        <v>20</v>
      </c>
      <c r="F482" s="16" t="s">
        <v>2128</v>
      </c>
    </row>
    <row r="483" spans="1:6">
      <c r="A483" s="16" t="s">
        <v>2130</v>
      </c>
      <c r="B483" s="16" t="s">
        <v>2131</v>
      </c>
      <c r="C483" s="432">
        <v>20</v>
      </c>
      <c r="D483" s="16" t="s">
        <v>2132</v>
      </c>
      <c r="E483" s="432">
        <v>20</v>
      </c>
      <c r="F483" s="16" t="s">
        <v>2134</v>
      </c>
    </row>
    <row r="484" spans="1:6">
      <c r="A484" s="16" t="s">
        <v>2135</v>
      </c>
      <c r="B484" s="16" t="s">
        <v>433</v>
      </c>
      <c r="C484" s="432">
        <v>20</v>
      </c>
      <c r="D484" s="16" t="s">
        <v>90</v>
      </c>
      <c r="E484" s="432">
        <v>20</v>
      </c>
      <c r="F484" s="16" t="s">
        <v>2137</v>
      </c>
    </row>
    <row r="485" spans="1:6">
      <c r="A485" s="16" t="s">
        <v>2139</v>
      </c>
      <c r="B485" s="16" t="s">
        <v>2140</v>
      </c>
      <c r="C485" s="432">
        <v>56</v>
      </c>
      <c r="D485" s="16" t="s">
        <v>105</v>
      </c>
      <c r="E485" s="432">
        <v>15</v>
      </c>
      <c r="F485" s="16" t="s">
        <v>2142</v>
      </c>
    </row>
    <row r="486" spans="1:6">
      <c r="A486" s="16" t="s">
        <v>2143</v>
      </c>
      <c r="B486" s="16" t="s">
        <v>2144</v>
      </c>
      <c r="C486" s="432">
        <v>636</v>
      </c>
      <c r="D486" s="16" t="s">
        <v>127</v>
      </c>
      <c r="E486" s="432">
        <v>25</v>
      </c>
      <c r="F486" s="16" t="s">
        <v>2145</v>
      </c>
    </row>
    <row r="487" spans="1:6">
      <c r="A487" s="107" t="s">
        <v>2143</v>
      </c>
      <c r="B487" s="16" t="s">
        <v>2147</v>
      </c>
      <c r="C487" s="432">
        <v>25</v>
      </c>
      <c r="D487" s="16" t="s">
        <v>127</v>
      </c>
      <c r="E487" s="432">
        <v>10</v>
      </c>
      <c r="F487" s="16" t="s">
        <v>2145</v>
      </c>
    </row>
    <row r="488" spans="1:6">
      <c r="A488" s="16" t="s">
        <v>2149</v>
      </c>
      <c r="B488" s="16" t="s">
        <v>1735</v>
      </c>
      <c r="C488" s="432">
        <v>482</v>
      </c>
      <c r="D488" s="16" t="s">
        <v>70</v>
      </c>
      <c r="E488" s="432">
        <v>10</v>
      </c>
      <c r="F488" s="16" t="s">
        <v>2151</v>
      </c>
    </row>
    <row r="489" spans="1:6">
      <c r="A489" s="16" t="s">
        <v>2153</v>
      </c>
      <c r="B489" s="16" t="s">
        <v>2154</v>
      </c>
      <c r="C489" s="432">
        <v>95</v>
      </c>
      <c r="D489" s="16" t="s">
        <v>127</v>
      </c>
      <c r="E489" s="432">
        <v>10</v>
      </c>
      <c r="F489" s="16" t="s">
        <v>2156</v>
      </c>
    </row>
    <row r="490" spans="1:6">
      <c r="A490" s="16" t="s">
        <v>2158</v>
      </c>
      <c r="B490" s="16" t="s">
        <v>2159</v>
      </c>
      <c r="C490" s="432">
        <v>190</v>
      </c>
      <c r="D490" s="16" t="s">
        <v>70</v>
      </c>
      <c r="E490" s="432">
        <v>15</v>
      </c>
      <c r="F490" s="16" t="s">
        <v>2161</v>
      </c>
    </row>
    <row r="491" spans="1:6">
      <c r="A491" s="107" t="s">
        <v>2163</v>
      </c>
      <c r="B491" s="16" t="s">
        <v>1203</v>
      </c>
      <c r="C491" s="432">
        <v>406</v>
      </c>
      <c r="D491" s="16" t="s">
        <v>19</v>
      </c>
      <c r="E491" s="432">
        <v>10</v>
      </c>
      <c r="F491" s="16" t="s">
        <v>2165</v>
      </c>
    </row>
    <row r="492" spans="1:6">
      <c r="A492" s="16" t="s">
        <v>2167</v>
      </c>
      <c r="B492" s="16" t="s">
        <v>2168</v>
      </c>
      <c r="C492" s="432">
        <v>130</v>
      </c>
      <c r="D492" s="16" t="s">
        <v>19</v>
      </c>
      <c r="E492" s="432">
        <v>10</v>
      </c>
      <c r="F492" s="16" t="s">
        <v>2169</v>
      </c>
    </row>
    <row r="493" spans="1:6">
      <c r="A493" s="16" t="s">
        <v>2172</v>
      </c>
      <c r="B493" s="16" t="s">
        <v>2173</v>
      </c>
      <c r="C493" s="432">
        <v>252</v>
      </c>
      <c r="D493" s="16" t="s">
        <v>19</v>
      </c>
      <c r="E493" s="432">
        <v>10</v>
      </c>
      <c r="F493" s="16" t="s">
        <v>2175</v>
      </c>
    </row>
    <row r="494" spans="1:6">
      <c r="A494" s="16" t="s">
        <v>2176</v>
      </c>
      <c r="B494" s="16" t="s">
        <v>2177</v>
      </c>
      <c r="C494" s="432">
        <v>715</v>
      </c>
      <c r="D494" s="16" t="s">
        <v>2178</v>
      </c>
      <c r="E494" s="432">
        <v>20</v>
      </c>
      <c r="F494" s="16" t="s">
        <v>2180</v>
      </c>
    </row>
    <row r="495" spans="1:6">
      <c r="A495" s="16" t="s">
        <v>2181</v>
      </c>
      <c r="B495" s="16" t="s">
        <v>2168</v>
      </c>
      <c r="C495" s="432">
        <v>62</v>
      </c>
      <c r="D495" s="16" t="s">
        <v>19</v>
      </c>
      <c r="E495" s="432">
        <v>10</v>
      </c>
      <c r="F495" s="16" t="s">
        <v>2183</v>
      </c>
    </row>
    <row r="496" spans="1:6">
      <c r="A496" s="16" t="s">
        <v>2186</v>
      </c>
      <c r="B496" s="16" t="s">
        <v>1636</v>
      </c>
      <c r="C496" s="432">
        <v>70</v>
      </c>
      <c r="D496" s="16" t="s">
        <v>25</v>
      </c>
      <c r="E496" s="432">
        <v>10</v>
      </c>
      <c r="F496" s="16" t="s">
        <v>2187</v>
      </c>
    </row>
    <row r="497" spans="1:6">
      <c r="A497" s="16" t="s">
        <v>2189</v>
      </c>
      <c r="B497" s="16" t="s">
        <v>2190</v>
      </c>
      <c r="C497" s="432">
        <v>69</v>
      </c>
      <c r="D497" s="16" t="s">
        <v>70</v>
      </c>
      <c r="E497" s="432">
        <v>30</v>
      </c>
      <c r="F497" s="16" t="s">
        <v>2192</v>
      </c>
    </row>
    <row r="498" spans="1:6">
      <c r="A498" s="16" t="s">
        <v>2194</v>
      </c>
      <c r="B498" s="16" t="s">
        <v>99</v>
      </c>
      <c r="C498" s="432">
        <v>939</v>
      </c>
      <c r="D498" s="16" t="s">
        <v>19</v>
      </c>
      <c r="E498" s="432">
        <v>25</v>
      </c>
      <c r="F498" s="16" t="s">
        <v>2196</v>
      </c>
    </row>
    <row r="499" spans="1:6">
      <c r="A499" s="16" t="s">
        <v>2197</v>
      </c>
      <c r="B499" s="16" t="s">
        <v>2198</v>
      </c>
      <c r="C499" s="432">
        <v>796</v>
      </c>
      <c r="D499" s="16" t="s">
        <v>19</v>
      </c>
      <c r="E499" s="432">
        <v>10</v>
      </c>
      <c r="F499" s="16" t="s">
        <v>2200</v>
      </c>
    </row>
    <row r="500" spans="1:6">
      <c r="A500" s="16" t="s">
        <v>2202</v>
      </c>
      <c r="B500" s="16" t="s">
        <v>446</v>
      </c>
      <c r="C500" s="432">
        <v>620</v>
      </c>
      <c r="D500" s="16" t="s">
        <v>19</v>
      </c>
      <c r="E500" s="432">
        <v>10</v>
      </c>
      <c r="F500" s="16" t="s">
        <v>2204</v>
      </c>
    </row>
    <row r="501" spans="1:6">
      <c r="A501" s="16" t="s">
        <v>2206</v>
      </c>
      <c r="B501" s="16" t="s">
        <v>2207</v>
      </c>
      <c r="C501" s="432">
        <v>1061</v>
      </c>
      <c r="D501" s="16" t="s">
        <v>2208</v>
      </c>
      <c r="E501" s="432">
        <v>10</v>
      </c>
      <c r="F501" s="16" t="s">
        <v>2210</v>
      </c>
    </row>
    <row r="502" spans="1:6">
      <c r="A502" s="16" t="s">
        <v>2212</v>
      </c>
      <c r="B502" s="16" t="s">
        <v>2213</v>
      </c>
      <c r="C502" s="432">
        <v>720</v>
      </c>
      <c r="D502" s="16" t="s">
        <v>19</v>
      </c>
      <c r="E502" s="432">
        <v>20</v>
      </c>
      <c r="F502" s="16" t="s">
        <v>2215</v>
      </c>
    </row>
    <row r="503" spans="1:6">
      <c r="A503" s="16" t="s">
        <v>2217</v>
      </c>
      <c r="B503" s="16" t="s">
        <v>2218</v>
      </c>
      <c r="C503" s="432">
        <v>28</v>
      </c>
      <c r="D503" s="16" t="s">
        <v>90</v>
      </c>
      <c r="E503" s="432">
        <v>20</v>
      </c>
      <c r="F503" s="16" t="s">
        <v>66</v>
      </c>
    </row>
    <row r="504" spans="1:6">
      <c r="A504" s="16" t="s">
        <v>2220</v>
      </c>
      <c r="B504" s="16" t="s">
        <v>2221</v>
      </c>
      <c r="C504" s="16" t="s">
        <v>2222</v>
      </c>
      <c r="D504" s="16" t="s">
        <v>270</v>
      </c>
      <c r="E504" s="432">
        <v>20</v>
      </c>
      <c r="F504" s="16" t="s">
        <v>2224</v>
      </c>
    </row>
    <row r="505" spans="1:6">
      <c r="A505" s="16" t="s">
        <v>2225</v>
      </c>
      <c r="B505" s="16" t="s">
        <v>2226</v>
      </c>
      <c r="D505" s="16" t="s">
        <v>64</v>
      </c>
      <c r="E505" s="432">
        <v>10</v>
      </c>
      <c r="F505" s="16" t="s">
        <v>2228</v>
      </c>
    </row>
    <row r="506" spans="1:6">
      <c r="A506" s="16" t="s">
        <v>93</v>
      </c>
      <c r="B506" s="16" t="s">
        <v>176</v>
      </c>
      <c r="C506" s="432">
        <v>590</v>
      </c>
      <c r="D506" s="16" t="s">
        <v>127</v>
      </c>
      <c r="E506" s="432">
        <v>10</v>
      </c>
      <c r="F506" s="16" t="s">
        <v>96</v>
      </c>
    </row>
    <row r="507" spans="1:6">
      <c r="A507" s="16" t="s">
        <v>2230</v>
      </c>
      <c r="B507" s="16" t="s">
        <v>1572</v>
      </c>
      <c r="C507" s="432">
        <v>114</v>
      </c>
      <c r="D507" s="16" t="s">
        <v>19</v>
      </c>
      <c r="E507" s="432">
        <v>10</v>
      </c>
      <c r="F507" s="16" t="s">
        <v>2232</v>
      </c>
    </row>
    <row r="508" spans="1:6">
      <c r="A508" s="16" t="s">
        <v>2234</v>
      </c>
      <c r="B508" s="16" t="s">
        <v>2235</v>
      </c>
      <c r="C508" s="432">
        <v>150</v>
      </c>
      <c r="D508" s="16" t="s">
        <v>2236</v>
      </c>
      <c r="E508" s="432">
        <v>10</v>
      </c>
      <c r="F508" s="16" t="s">
        <v>2237</v>
      </c>
    </row>
    <row r="509" spans="1:6">
      <c r="A509" s="16" t="s">
        <v>2238</v>
      </c>
      <c r="B509" s="16" t="s">
        <v>37</v>
      </c>
      <c r="C509" s="432">
        <v>32</v>
      </c>
      <c r="D509" s="16" t="s">
        <v>19</v>
      </c>
      <c r="E509" s="432">
        <v>20</v>
      </c>
      <c r="F509" s="16" t="s">
        <v>2240</v>
      </c>
    </row>
    <row r="510" spans="1:6">
      <c r="A510" s="16" t="s">
        <v>2242</v>
      </c>
      <c r="B510" s="16" t="s">
        <v>2243</v>
      </c>
      <c r="C510" s="16" t="s">
        <v>31</v>
      </c>
      <c r="D510" s="16" t="s">
        <v>90</v>
      </c>
      <c r="E510" s="432">
        <v>20</v>
      </c>
      <c r="F510" s="16" t="s">
        <v>2245</v>
      </c>
    </row>
    <row r="511" spans="1:6">
      <c r="A511" s="16" t="s">
        <v>2247</v>
      </c>
      <c r="B511" s="16" t="s">
        <v>2248</v>
      </c>
      <c r="C511" s="432">
        <v>885</v>
      </c>
      <c r="D511" s="16" t="s">
        <v>19</v>
      </c>
      <c r="E511" s="432">
        <v>20</v>
      </c>
      <c r="F511" s="16" t="s">
        <v>2250</v>
      </c>
    </row>
    <row r="512" spans="1:6">
      <c r="A512" s="16" t="s">
        <v>2252</v>
      </c>
      <c r="B512" s="16" t="s">
        <v>2213</v>
      </c>
      <c r="C512" s="432">
        <v>76</v>
      </c>
      <c r="D512" s="16" t="s">
        <v>19</v>
      </c>
      <c r="E512" s="432">
        <v>15</v>
      </c>
      <c r="F512" s="16" t="s">
        <v>2254</v>
      </c>
    </row>
    <row r="513" spans="1:6">
      <c r="A513" s="16" t="s">
        <v>2256</v>
      </c>
      <c r="B513" s="16" t="s">
        <v>136</v>
      </c>
      <c r="C513" s="432">
        <v>239</v>
      </c>
      <c r="D513" s="16" t="s">
        <v>32</v>
      </c>
      <c r="E513" s="432">
        <v>10</v>
      </c>
      <c r="F513" s="16" t="s">
        <v>2258</v>
      </c>
    </row>
    <row r="514" spans="1:6">
      <c r="A514" s="16" t="s">
        <v>2260</v>
      </c>
      <c r="B514" s="16" t="s">
        <v>789</v>
      </c>
      <c r="C514" s="432">
        <v>38</v>
      </c>
      <c r="D514" s="16" t="s">
        <v>220</v>
      </c>
      <c r="E514" s="432">
        <v>20</v>
      </c>
      <c r="F514" s="16" t="s">
        <v>2262</v>
      </c>
    </row>
    <row r="515" spans="1:6">
      <c r="A515" s="340" t="s">
        <v>2264</v>
      </c>
      <c r="B515" s="16" t="s">
        <v>2265</v>
      </c>
      <c r="C515" s="432">
        <v>270</v>
      </c>
      <c r="D515" s="16" t="s">
        <v>19</v>
      </c>
      <c r="E515" s="432">
        <v>5</v>
      </c>
      <c r="F515" s="16" t="s">
        <v>2266</v>
      </c>
    </row>
    <row r="516" spans="1:6">
      <c r="A516" s="437" t="s">
        <v>2267</v>
      </c>
      <c r="C516" s="432"/>
      <c r="E516" s="432"/>
    </row>
    <row r="517" spans="1:6">
      <c r="A517" s="340" t="s">
        <v>2269</v>
      </c>
      <c r="B517" s="16" t="s">
        <v>2270</v>
      </c>
      <c r="C517" s="16" t="s">
        <v>1860</v>
      </c>
      <c r="D517" s="16" t="s">
        <v>19</v>
      </c>
      <c r="E517" s="432">
        <v>20</v>
      </c>
      <c r="F517" s="16" t="s">
        <v>2272</v>
      </c>
    </row>
    <row r="518" spans="1:6">
      <c r="A518" s="438" t="s">
        <v>2273</v>
      </c>
      <c r="C518" s="432"/>
      <c r="E518" s="432"/>
    </row>
    <row r="519" spans="1:6">
      <c r="A519" s="341" t="s">
        <v>2275</v>
      </c>
      <c r="B519" s="16" t="s">
        <v>2276</v>
      </c>
      <c r="C519" s="432">
        <v>60</v>
      </c>
      <c r="D519" s="16" t="s">
        <v>19</v>
      </c>
      <c r="E519" s="432">
        <v>10</v>
      </c>
      <c r="F519" s="16" t="s">
        <v>2278</v>
      </c>
    </row>
    <row r="520" spans="1:6">
      <c r="A520" s="340" t="s">
        <v>2280</v>
      </c>
      <c r="B520" s="16" t="s">
        <v>1887</v>
      </c>
      <c r="C520" s="432">
        <v>278</v>
      </c>
      <c r="D520" s="16" t="s">
        <v>105</v>
      </c>
      <c r="E520" s="432">
        <v>20</v>
      </c>
      <c r="F520" s="16" t="s">
        <v>2282</v>
      </c>
    </row>
    <row r="521" spans="1:6">
      <c r="A521" s="340" t="s">
        <v>2284</v>
      </c>
      <c r="B521" s="16" t="s">
        <v>572</v>
      </c>
      <c r="C521" s="432">
        <v>751</v>
      </c>
      <c r="D521" s="16" t="s">
        <v>19</v>
      </c>
      <c r="E521" s="432">
        <v>10</v>
      </c>
      <c r="F521" s="16" t="s">
        <v>2286</v>
      </c>
    </row>
    <row r="522" spans="1:6">
      <c r="A522" s="433" t="s">
        <v>2287</v>
      </c>
      <c r="C522" s="432"/>
      <c r="E522" s="432"/>
    </row>
    <row r="523" spans="1:6">
      <c r="A523" s="16" t="s">
        <v>2289</v>
      </c>
      <c r="B523" s="16" t="s">
        <v>2290</v>
      </c>
      <c r="C523" s="432">
        <v>109</v>
      </c>
      <c r="D523" s="16" t="s">
        <v>105</v>
      </c>
      <c r="E523" s="432">
        <v>5</v>
      </c>
      <c r="F523" s="16" t="s">
        <v>2292</v>
      </c>
    </row>
    <row r="524" spans="1:6">
      <c r="A524" s="16" t="s">
        <v>2293</v>
      </c>
      <c r="B524" s="16" t="s">
        <v>1426</v>
      </c>
      <c r="C524" s="432">
        <v>58</v>
      </c>
      <c r="D524" s="16" t="s">
        <v>19</v>
      </c>
      <c r="E524" s="432">
        <v>20</v>
      </c>
      <c r="F524" s="16" t="s">
        <v>2295</v>
      </c>
    </row>
    <row r="525" spans="1:6">
      <c r="A525" s="16" t="s">
        <v>2297</v>
      </c>
      <c r="B525" s="16" t="s">
        <v>2298</v>
      </c>
      <c r="C525" s="432">
        <v>124</v>
      </c>
      <c r="D525" s="16" t="s">
        <v>1020</v>
      </c>
      <c r="E525" s="432">
        <v>20</v>
      </c>
      <c r="F525" s="16" t="s">
        <v>2300</v>
      </c>
    </row>
    <row r="526" spans="1:6">
      <c r="A526" s="16" t="s">
        <v>2302</v>
      </c>
      <c r="B526" s="16" t="s">
        <v>2303</v>
      </c>
      <c r="C526" s="16" t="s">
        <v>42</v>
      </c>
      <c r="D526" s="16" t="s">
        <v>188</v>
      </c>
      <c r="E526" s="432">
        <v>25</v>
      </c>
      <c r="F526" s="16" t="s">
        <v>2305</v>
      </c>
    </row>
    <row r="527" spans="1:6">
      <c r="A527" s="16" t="s">
        <v>2308</v>
      </c>
      <c r="B527" s="16" t="s">
        <v>244</v>
      </c>
      <c r="C527" s="432">
        <v>905</v>
      </c>
      <c r="D527" s="16" t="s">
        <v>70</v>
      </c>
      <c r="E527" s="432">
        <v>15</v>
      </c>
      <c r="F527" s="16" t="s">
        <v>2310</v>
      </c>
    </row>
    <row r="528" spans="1:6">
      <c r="A528" s="16" t="s">
        <v>2311</v>
      </c>
      <c r="B528" s="16" t="s">
        <v>2049</v>
      </c>
      <c r="C528" s="432">
        <v>81</v>
      </c>
      <c r="D528" s="16" t="s">
        <v>90</v>
      </c>
      <c r="E528" s="432">
        <v>1</v>
      </c>
      <c r="F528" s="16" t="s">
        <v>2313</v>
      </c>
    </row>
    <row r="529" spans="1:6">
      <c r="A529" s="16" t="s">
        <v>2315</v>
      </c>
      <c r="B529" s="16" t="s">
        <v>2009</v>
      </c>
      <c r="C529" s="432">
        <v>104</v>
      </c>
      <c r="D529" s="16" t="s">
        <v>127</v>
      </c>
      <c r="E529" s="432">
        <v>20</v>
      </c>
      <c r="F529" s="16" t="s">
        <v>2317</v>
      </c>
    </row>
    <row r="530" spans="1:6">
      <c r="A530" s="16" t="s">
        <v>2319</v>
      </c>
      <c r="B530" s="16" t="s">
        <v>2320</v>
      </c>
      <c r="D530" s="16" t="s">
        <v>25</v>
      </c>
      <c r="E530" s="432">
        <v>10</v>
      </c>
      <c r="F530" s="16" t="s">
        <v>2322</v>
      </c>
    </row>
    <row r="531" spans="1:6">
      <c r="A531" s="16" t="s">
        <v>2324</v>
      </c>
      <c r="B531" s="16" t="s">
        <v>1403</v>
      </c>
      <c r="C531" s="432">
        <v>211</v>
      </c>
      <c r="D531" s="16" t="s">
        <v>70</v>
      </c>
      <c r="E531" s="432">
        <v>15</v>
      </c>
      <c r="F531" s="16" t="s">
        <v>2326</v>
      </c>
    </row>
    <row r="532" spans="1:6">
      <c r="A532" s="16" t="s">
        <v>2328</v>
      </c>
      <c r="B532" s="16" t="s">
        <v>2329</v>
      </c>
      <c r="C532" s="432">
        <v>385</v>
      </c>
      <c r="D532" s="16" t="s">
        <v>70</v>
      </c>
      <c r="E532" s="432">
        <v>10</v>
      </c>
      <c r="F532" s="16" t="s">
        <v>2331</v>
      </c>
    </row>
    <row r="533" spans="1:6">
      <c r="A533" s="16" t="s">
        <v>2333</v>
      </c>
      <c r="B533" s="16" t="s">
        <v>2334</v>
      </c>
      <c r="C533" s="432">
        <v>104</v>
      </c>
      <c r="D533" s="16" t="s">
        <v>25</v>
      </c>
      <c r="E533" s="432">
        <v>25</v>
      </c>
      <c r="F533" s="16" t="s">
        <v>2336</v>
      </c>
    </row>
    <row r="534" spans="1:6">
      <c r="A534" s="16" t="s">
        <v>2338</v>
      </c>
      <c r="B534" s="16" t="s">
        <v>2339</v>
      </c>
      <c r="C534" s="432">
        <v>13</v>
      </c>
      <c r="D534" s="16" t="s">
        <v>19</v>
      </c>
      <c r="E534" s="432">
        <v>10</v>
      </c>
      <c r="F534" s="16" t="s">
        <v>2341</v>
      </c>
    </row>
    <row r="535" spans="1:6">
      <c r="A535" s="16" t="s">
        <v>2343</v>
      </c>
      <c r="B535" s="16" t="s">
        <v>172</v>
      </c>
      <c r="C535" s="432">
        <v>774</v>
      </c>
      <c r="D535" s="16" t="s">
        <v>70</v>
      </c>
      <c r="E535" s="432">
        <v>30</v>
      </c>
      <c r="F535" s="16" t="s">
        <v>2345</v>
      </c>
    </row>
    <row r="536" spans="1:6">
      <c r="A536" s="16" t="s">
        <v>2346</v>
      </c>
      <c r="B536" s="16" t="s">
        <v>961</v>
      </c>
      <c r="C536" s="432">
        <v>722</v>
      </c>
      <c r="D536" s="16" t="s">
        <v>19</v>
      </c>
      <c r="E536" s="432">
        <v>10</v>
      </c>
      <c r="F536" s="16" t="s">
        <v>2348</v>
      </c>
    </row>
    <row r="537" spans="1:6">
      <c r="A537" s="16" t="s">
        <v>2351</v>
      </c>
      <c r="B537" s="16" t="s">
        <v>2352</v>
      </c>
      <c r="C537" s="432">
        <v>150</v>
      </c>
      <c r="D537" s="16" t="s">
        <v>32</v>
      </c>
      <c r="E537" s="432">
        <v>20</v>
      </c>
      <c r="F537" s="16" t="s">
        <v>2354</v>
      </c>
    </row>
    <row r="538" spans="1:6">
      <c r="A538" s="16" t="s">
        <v>2356</v>
      </c>
      <c r="B538" s="16" t="s">
        <v>2357</v>
      </c>
      <c r="C538" s="432">
        <v>240</v>
      </c>
      <c r="D538" s="16" t="s">
        <v>90</v>
      </c>
      <c r="E538" s="432">
        <v>25</v>
      </c>
      <c r="F538" s="16" t="s">
        <v>2359</v>
      </c>
    </row>
    <row r="539" spans="1:6">
      <c r="A539" s="16" t="s">
        <v>2361</v>
      </c>
      <c r="B539" s="16" t="s">
        <v>2362</v>
      </c>
      <c r="C539" s="432">
        <v>49</v>
      </c>
      <c r="D539" s="16" t="s">
        <v>32</v>
      </c>
      <c r="E539" s="432">
        <v>23</v>
      </c>
      <c r="F539" s="16" t="s">
        <v>2364</v>
      </c>
    </row>
    <row r="540" spans="1:6">
      <c r="A540" s="107" t="s">
        <v>2365</v>
      </c>
      <c r="B540" s="16" t="s">
        <v>446</v>
      </c>
      <c r="C540" s="432">
        <v>789</v>
      </c>
      <c r="D540" s="16" t="s">
        <v>19</v>
      </c>
      <c r="E540" s="432">
        <v>15</v>
      </c>
      <c r="F540" s="16" t="s">
        <v>2367</v>
      </c>
    </row>
    <row r="541" spans="1:6">
      <c r="A541" s="16" t="s">
        <v>2369</v>
      </c>
      <c r="B541" s="16" t="s">
        <v>1690</v>
      </c>
      <c r="C541" s="432">
        <v>280</v>
      </c>
      <c r="D541" s="16" t="s">
        <v>70</v>
      </c>
      <c r="E541" s="432">
        <v>25</v>
      </c>
      <c r="F541" s="16" t="s">
        <v>2371</v>
      </c>
    </row>
    <row r="542" spans="1:6">
      <c r="A542" s="16" t="s">
        <v>2373</v>
      </c>
      <c r="B542" s="16" t="s">
        <v>2374</v>
      </c>
      <c r="C542" s="432">
        <v>120</v>
      </c>
      <c r="D542" s="16" t="s">
        <v>90</v>
      </c>
      <c r="E542" s="432">
        <v>10</v>
      </c>
      <c r="F542" s="16" t="s">
        <v>2376</v>
      </c>
    </row>
    <row r="543" spans="1:6">
      <c r="A543" s="16" t="s">
        <v>2377</v>
      </c>
      <c r="B543" s="16" t="s">
        <v>2378</v>
      </c>
      <c r="C543" s="432">
        <v>193</v>
      </c>
      <c r="D543" s="16" t="s">
        <v>325</v>
      </c>
      <c r="E543" s="432">
        <v>20</v>
      </c>
      <c r="F543" s="16" t="s">
        <v>2379</v>
      </c>
    </row>
    <row r="544" spans="1:6">
      <c r="A544" s="16" t="s">
        <v>1470</v>
      </c>
      <c r="B544" s="16" t="s">
        <v>157</v>
      </c>
      <c r="C544" s="432">
        <v>430</v>
      </c>
      <c r="D544" s="16" t="s">
        <v>19</v>
      </c>
      <c r="E544" s="432">
        <v>30</v>
      </c>
      <c r="F544" s="16" t="s">
        <v>1473</v>
      </c>
    </row>
    <row r="545" spans="1:6">
      <c r="A545" s="16" t="s">
        <v>2382</v>
      </c>
      <c r="B545" s="16" t="s">
        <v>2383</v>
      </c>
      <c r="C545" s="432">
        <v>100</v>
      </c>
      <c r="D545" s="16" t="s">
        <v>25</v>
      </c>
      <c r="E545" s="432">
        <v>15</v>
      </c>
      <c r="F545" s="16" t="s">
        <v>2385</v>
      </c>
    </row>
    <row r="546" spans="1:6">
      <c r="A546" s="16" t="s">
        <v>2387</v>
      </c>
      <c r="B546" s="16" t="s">
        <v>2388</v>
      </c>
      <c r="C546" s="16" t="s">
        <v>31</v>
      </c>
      <c r="D546" s="16" t="s">
        <v>25</v>
      </c>
      <c r="E546" s="432">
        <v>20</v>
      </c>
      <c r="F546" s="16" t="s">
        <v>2390</v>
      </c>
    </row>
    <row r="547" spans="1:6">
      <c r="A547" s="16" t="s">
        <v>2392</v>
      </c>
      <c r="B547" s="16" t="s">
        <v>487</v>
      </c>
      <c r="C547" s="432">
        <v>201</v>
      </c>
      <c r="D547" s="16" t="s">
        <v>90</v>
      </c>
      <c r="E547" s="432">
        <v>15</v>
      </c>
      <c r="F547" s="16" t="s">
        <v>2394</v>
      </c>
    </row>
    <row r="548" spans="1:6">
      <c r="A548" s="16" t="s">
        <v>2396</v>
      </c>
      <c r="B548" s="16" t="s">
        <v>341</v>
      </c>
      <c r="C548" s="432">
        <v>141</v>
      </c>
      <c r="D548" s="16" t="s">
        <v>64</v>
      </c>
      <c r="E548" s="432">
        <v>25</v>
      </c>
      <c r="F548" s="16" t="s">
        <v>2398</v>
      </c>
    </row>
    <row r="549" spans="1:6">
      <c r="A549" s="16" t="s">
        <v>2400</v>
      </c>
      <c r="B549" s="16" t="s">
        <v>2401</v>
      </c>
      <c r="C549" s="432">
        <v>41</v>
      </c>
      <c r="D549" s="16" t="s">
        <v>19</v>
      </c>
      <c r="E549" s="432">
        <v>20</v>
      </c>
      <c r="F549" s="16" t="s">
        <v>2403</v>
      </c>
    </row>
    <row r="550" spans="1:6">
      <c r="A550" s="16" t="s">
        <v>2405</v>
      </c>
      <c r="B550" s="16" t="s">
        <v>2406</v>
      </c>
      <c r="C550" s="16">
        <v>99</v>
      </c>
      <c r="D550" s="16" t="s">
        <v>25</v>
      </c>
      <c r="E550" s="16">
        <v>10</v>
      </c>
      <c r="F550" s="16" t="s">
        <v>2408</v>
      </c>
    </row>
    <row r="551" spans="1:6">
      <c r="A551" s="16" t="s">
        <v>2410</v>
      </c>
      <c r="B551" s="16" t="s">
        <v>2411</v>
      </c>
      <c r="C551" s="432">
        <v>20</v>
      </c>
      <c r="D551" s="16" t="s">
        <v>70</v>
      </c>
      <c r="E551" s="432">
        <v>10</v>
      </c>
      <c r="F551" s="16" t="s">
        <v>2413</v>
      </c>
    </row>
    <row r="552" spans="1:6">
      <c r="A552" s="16" t="s">
        <v>2415</v>
      </c>
      <c r="B552" s="16" t="s">
        <v>2416</v>
      </c>
      <c r="C552" s="432">
        <v>581</v>
      </c>
      <c r="D552" s="16" t="s">
        <v>1373</v>
      </c>
      <c r="E552" s="432">
        <v>20</v>
      </c>
      <c r="F552" s="16" t="s">
        <v>2418</v>
      </c>
    </row>
    <row r="553" spans="1:6">
      <c r="A553" s="16" t="s">
        <v>2420</v>
      </c>
      <c r="B553" s="16" t="s">
        <v>1664</v>
      </c>
      <c r="C553" s="432">
        <v>195</v>
      </c>
      <c r="D553" s="16" t="s">
        <v>90</v>
      </c>
      <c r="E553" s="432">
        <v>10</v>
      </c>
      <c r="F553" s="16" t="s">
        <v>2422</v>
      </c>
    </row>
    <row r="554" spans="1:6">
      <c r="A554" s="16" t="s">
        <v>2424</v>
      </c>
      <c r="B554" s="16" t="s">
        <v>2425</v>
      </c>
      <c r="C554" s="432">
        <v>50</v>
      </c>
      <c r="D554" s="16" t="s">
        <v>70</v>
      </c>
      <c r="E554" s="432">
        <v>25</v>
      </c>
      <c r="F554" s="16" t="s">
        <v>2427</v>
      </c>
    </row>
    <row r="555" spans="1:6">
      <c r="A555" s="107" t="s">
        <v>2429</v>
      </c>
      <c r="B555" s="16" t="s">
        <v>2430</v>
      </c>
      <c r="C555" s="432">
        <v>67</v>
      </c>
      <c r="D555" s="16" t="s">
        <v>25</v>
      </c>
      <c r="E555" s="432">
        <v>20</v>
      </c>
      <c r="F555" s="16" t="s">
        <v>2431</v>
      </c>
    </row>
    <row r="556" spans="1:6">
      <c r="A556" s="16" t="s">
        <v>2432</v>
      </c>
      <c r="B556" s="16" t="s">
        <v>2433</v>
      </c>
      <c r="C556" s="432">
        <v>60</v>
      </c>
      <c r="D556" s="16" t="s">
        <v>314</v>
      </c>
      <c r="E556" s="432">
        <v>10</v>
      </c>
      <c r="F556" s="16" t="s">
        <v>2435</v>
      </c>
    </row>
    <row r="557" spans="1:6">
      <c r="A557" s="16" t="s">
        <v>2432</v>
      </c>
      <c r="B557" s="16" t="s">
        <v>1025</v>
      </c>
      <c r="C557" s="432">
        <v>80</v>
      </c>
      <c r="D557" s="16" t="s">
        <v>32</v>
      </c>
      <c r="E557" s="432">
        <v>10</v>
      </c>
      <c r="F557" s="16" t="s">
        <v>2435</v>
      </c>
    </row>
    <row r="558" spans="1:6">
      <c r="A558" s="107" t="s">
        <v>2438</v>
      </c>
      <c r="B558" s="16" t="s">
        <v>259</v>
      </c>
      <c r="C558" s="432">
        <v>716</v>
      </c>
      <c r="D558" s="16" t="s">
        <v>19</v>
      </c>
      <c r="E558" s="432">
        <v>20</v>
      </c>
      <c r="F558" s="16" t="s">
        <v>2439</v>
      </c>
    </row>
    <row r="559" spans="1:6">
      <c r="A559" s="16" t="s">
        <v>2440</v>
      </c>
      <c r="B559" s="16" t="s">
        <v>453</v>
      </c>
      <c r="C559" s="432">
        <v>275</v>
      </c>
      <c r="D559" s="16" t="s">
        <v>127</v>
      </c>
      <c r="E559" s="432">
        <v>20</v>
      </c>
      <c r="F559" s="16" t="s">
        <v>2442</v>
      </c>
    </row>
    <row r="560" spans="1:6">
      <c r="A560" s="16" t="s">
        <v>669</v>
      </c>
      <c r="B560" s="16" t="s">
        <v>2444</v>
      </c>
      <c r="C560" s="432">
        <v>942</v>
      </c>
      <c r="D560" s="16" t="s">
        <v>19</v>
      </c>
      <c r="E560" s="432">
        <v>15</v>
      </c>
      <c r="F560" s="16" t="s">
        <v>672</v>
      </c>
    </row>
    <row r="561" spans="1:6">
      <c r="A561" s="16" t="s">
        <v>2446</v>
      </c>
      <c r="B561" s="16" t="s">
        <v>2447</v>
      </c>
      <c r="C561" s="432">
        <v>192</v>
      </c>
      <c r="D561" s="16" t="s">
        <v>220</v>
      </c>
      <c r="E561" s="432">
        <v>10</v>
      </c>
      <c r="F561" s="16" t="s">
        <v>2449</v>
      </c>
    </row>
    <row r="562" spans="1:6">
      <c r="A562" s="16" t="s">
        <v>2451</v>
      </c>
      <c r="B562" s="16" t="s">
        <v>2452</v>
      </c>
      <c r="C562" s="432">
        <v>326</v>
      </c>
      <c r="D562" s="16" t="s">
        <v>1020</v>
      </c>
      <c r="E562" s="432">
        <v>20</v>
      </c>
      <c r="F562" s="16" t="s">
        <v>2454</v>
      </c>
    </row>
    <row r="563" spans="1:6">
      <c r="A563" s="107" t="s">
        <v>2455</v>
      </c>
      <c r="B563" s="16" t="s">
        <v>2456</v>
      </c>
      <c r="C563" s="432">
        <v>117</v>
      </c>
      <c r="D563" s="16" t="s">
        <v>19</v>
      </c>
      <c r="E563" s="432">
        <v>10</v>
      </c>
      <c r="F563" s="16" t="s">
        <v>2458</v>
      </c>
    </row>
    <row r="564" spans="1:6">
      <c r="A564" s="16" t="s">
        <v>2459</v>
      </c>
      <c r="B564" s="16" t="s">
        <v>2460</v>
      </c>
      <c r="C564" s="432">
        <v>40</v>
      </c>
      <c r="D564" s="16" t="s">
        <v>70</v>
      </c>
      <c r="E564" s="432">
        <v>10</v>
      </c>
      <c r="F564" s="16" t="s">
        <v>2462</v>
      </c>
    </row>
    <row r="565" spans="1:6">
      <c r="A565" s="16" t="s">
        <v>2464</v>
      </c>
      <c r="B565" s="16" t="s">
        <v>1165</v>
      </c>
      <c r="C565" s="432">
        <v>399</v>
      </c>
      <c r="D565" s="16" t="s">
        <v>19</v>
      </c>
      <c r="E565" s="432">
        <v>15</v>
      </c>
      <c r="F565" s="16" t="s">
        <v>2466</v>
      </c>
    </row>
    <row r="566" spans="1:6">
      <c r="A566" s="16" t="s">
        <v>2467</v>
      </c>
      <c r="B566" s="16" t="s">
        <v>2468</v>
      </c>
      <c r="C566" s="432">
        <v>315</v>
      </c>
      <c r="D566" s="16" t="s">
        <v>19</v>
      </c>
      <c r="E566" s="432">
        <v>10</v>
      </c>
      <c r="F566" s="16" t="s">
        <v>2470</v>
      </c>
    </row>
    <row r="567" spans="1:6">
      <c r="A567" s="16" t="s">
        <v>2471</v>
      </c>
      <c r="B567" s="16" t="s">
        <v>244</v>
      </c>
      <c r="C567" s="432">
        <v>276</v>
      </c>
      <c r="D567" s="16" t="s">
        <v>2472</v>
      </c>
      <c r="E567" s="432">
        <v>10</v>
      </c>
      <c r="F567" s="16" t="s">
        <v>2474</v>
      </c>
    </row>
    <row r="568" spans="1:6">
      <c r="A568" s="16" t="s">
        <v>2475</v>
      </c>
      <c r="B568" s="16" t="s">
        <v>2476</v>
      </c>
      <c r="C568" s="432">
        <v>100</v>
      </c>
      <c r="D568" s="16" t="s">
        <v>70</v>
      </c>
      <c r="E568" s="432">
        <v>10</v>
      </c>
      <c r="F568" s="16" t="s">
        <v>2478</v>
      </c>
    </row>
    <row r="569" spans="1:6">
      <c r="A569" s="16" t="s">
        <v>2480</v>
      </c>
      <c r="B569" s="16" t="s">
        <v>2481</v>
      </c>
      <c r="C569" s="432">
        <v>160</v>
      </c>
      <c r="D569" s="16" t="s">
        <v>70</v>
      </c>
      <c r="E569" s="432">
        <v>10</v>
      </c>
      <c r="F569" s="16" t="s">
        <v>2483</v>
      </c>
    </row>
    <row r="570" spans="1:6">
      <c r="A570" s="16" t="s">
        <v>2485</v>
      </c>
      <c r="B570" s="16" t="s">
        <v>2213</v>
      </c>
      <c r="C570" s="432">
        <v>628</v>
      </c>
      <c r="D570" s="16" t="s">
        <v>19</v>
      </c>
      <c r="E570" s="432">
        <v>5</v>
      </c>
      <c r="F570" s="16" t="s">
        <v>2487</v>
      </c>
    </row>
    <row r="571" spans="1:6">
      <c r="A571" s="16" t="s">
        <v>2488</v>
      </c>
      <c r="B571" s="16" t="s">
        <v>1501</v>
      </c>
      <c r="C571" s="432">
        <v>54</v>
      </c>
      <c r="D571" s="16" t="s">
        <v>90</v>
      </c>
      <c r="E571" s="432">
        <v>5</v>
      </c>
      <c r="F571" s="16" t="s">
        <v>2489</v>
      </c>
    </row>
    <row r="572" spans="1:6">
      <c r="A572" s="16" t="s">
        <v>2491</v>
      </c>
      <c r="B572" s="16" t="s">
        <v>269</v>
      </c>
      <c r="C572" s="432">
        <v>127</v>
      </c>
      <c r="D572" s="16" t="s">
        <v>270</v>
      </c>
      <c r="E572" s="432">
        <v>5</v>
      </c>
      <c r="F572" s="16" t="s">
        <v>2493</v>
      </c>
    </row>
    <row r="573" spans="1:6">
      <c r="A573" s="16" t="s">
        <v>2495</v>
      </c>
      <c r="B573" s="16" t="s">
        <v>1208</v>
      </c>
      <c r="C573" s="432">
        <v>70</v>
      </c>
      <c r="D573" s="16" t="s">
        <v>32</v>
      </c>
      <c r="E573" s="432">
        <v>10</v>
      </c>
      <c r="F573" s="16" t="s">
        <v>2496</v>
      </c>
    </row>
    <row r="574" spans="1:6">
      <c r="A574" s="16" t="s">
        <v>2498</v>
      </c>
      <c r="B574" s="16" t="s">
        <v>254</v>
      </c>
      <c r="C574" s="432">
        <v>140</v>
      </c>
      <c r="D574" s="16" t="s">
        <v>90</v>
      </c>
      <c r="E574" s="432">
        <v>20</v>
      </c>
      <c r="F574" s="16" t="s">
        <v>2500</v>
      </c>
    </row>
    <row r="575" spans="1:6">
      <c r="A575" s="16" t="s">
        <v>2502</v>
      </c>
      <c r="B575" s="16" t="s">
        <v>2503</v>
      </c>
      <c r="C575" s="432">
        <v>590</v>
      </c>
      <c r="D575" s="16" t="s">
        <v>19</v>
      </c>
      <c r="E575" s="432">
        <v>20</v>
      </c>
      <c r="F575" s="16" t="s">
        <v>2505</v>
      </c>
    </row>
    <row r="576" spans="1:6">
      <c r="A576" s="16" t="s">
        <v>2506</v>
      </c>
      <c r="B576" s="16" t="s">
        <v>2507</v>
      </c>
      <c r="D576" s="16" t="s">
        <v>19</v>
      </c>
      <c r="E576" s="432">
        <v>10</v>
      </c>
      <c r="F576" s="16" t="s">
        <v>2509</v>
      </c>
    </row>
    <row r="577" spans="1:6">
      <c r="A577" s="16" t="s">
        <v>2510</v>
      </c>
      <c r="B577" s="16" t="s">
        <v>2511</v>
      </c>
      <c r="C577" s="432">
        <v>500</v>
      </c>
      <c r="D577" s="16" t="s">
        <v>270</v>
      </c>
      <c r="E577" s="432">
        <v>20</v>
      </c>
      <c r="F577" s="16" t="s">
        <v>2513</v>
      </c>
    </row>
    <row r="578" spans="1:6">
      <c r="A578" s="16" t="s">
        <v>2514</v>
      </c>
      <c r="B578" s="16" t="s">
        <v>2515</v>
      </c>
      <c r="C578" s="16" t="s">
        <v>31</v>
      </c>
      <c r="D578" s="16" t="s">
        <v>48</v>
      </c>
      <c r="E578" s="432">
        <v>10</v>
      </c>
      <c r="F578" s="16" t="s">
        <v>2517</v>
      </c>
    </row>
    <row r="579" spans="1:6">
      <c r="A579" s="16" t="s">
        <v>2519</v>
      </c>
      <c r="B579" s="16" t="s">
        <v>961</v>
      </c>
      <c r="C579" s="432">
        <v>737</v>
      </c>
      <c r="D579" s="16" t="s">
        <v>19</v>
      </c>
      <c r="E579" s="432">
        <v>10</v>
      </c>
      <c r="F579" s="16" t="s">
        <v>2521</v>
      </c>
    </row>
    <row r="580" spans="1:6">
      <c r="A580" s="16" t="s">
        <v>2523</v>
      </c>
      <c r="B580" s="16" t="s">
        <v>2524</v>
      </c>
      <c r="C580" s="432">
        <v>222</v>
      </c>
      <c r="D580" s="16" t="s">
        <v>19</v>
      </c>
      <c r="E580" s="432">
        <v>30</v>
      </c>
      <c r="F580" s="16" t="s">
        <v>2526</v>
      </c>
    </row>
    <row r="581" spans="1:6">
      <c r="A581" s="16" t="s">
        <v>2527</v>
      </c>
      <c r="B581" s="16" t="s">
        <v>1457</v>
      </c>
      <c r="C581" s="432">
        <v>347</v>
      </c>
      <c r="E581" s="432">
        <v>20</v>
      </c>
      <c r="F581" s="16" t="s">
        <v>2529</v>
      </c>
    </row>
    <row r="582" spans="1:6">
      <c r="A582" s="16" t="s">
        <v>2530</v>
      </c>
      <c r="B582" s="16" t="s">
        <v>2456</v>
      </c>
      <c r="C582" s="16" t="s">
        <v>31</v>
      </c>
      <c r="D582" s="16" t="s">
        <v>105</v>
      </c>
      <c r="E582" s="432">
        <v>20</v>
      </c>
      <c r="F582" s="16" t="s">
        <v>2531</v>
      </c>
    </row>
    <row r="583" spans="1:6">
      <c r="A583" s="16" t="s">
        <v>2532</v>
      </c>
      <c r="B583" s="16" t="s">
        <v>784</v>
      </c>
      <c r="C583" s="432">
        <v>167</v>
      </c>
      <c r="D583" s="16" t="s">
        <v>64</v>
      </c>
      <c r="E583" s="432">
        <v>20</v>
      </c>
      <c r="F583" s="16" t="s">
        <v>2534</v>
      </c>
    </row>
    <row r="584" spans="1:6">
      <c r="A584" s="16" t="s">
        <v>1308</v>
      </c>
      <c r="B584" s="16" t="s">
        <v>2535</v>
      </c>
      <c r="C584" s="16" t="s">
        <v>31</v>
      </c>
      <c r="D584" s="16" t="s">
        <v>2536</v>
      </c>
      <c r="E584" s="432">
        <v>20</v>
      </c>
      <c r="F584" s="16" t="s">
        <v>1310</v>
      </c>
    </row>
    <row r="585" spans="1:6">
      <c r="A585" s="16" t="s">
        <v>2537</v>
      </c>
      <c r="B585" s="16" t="s">
        <v>331</v>
      </c>
      <c r="C585" s="432">
        <v>380</v>
      </c>
      <c r="D585" s="16" t="s">
        <v>70</v>
      </c>
      <c r="E585" s="432">
        <v>10</v>
      </c>
      <c r="F585" s="16" t="s">
        <v>2539</v>
      </c>
    </row>
    <row r="586" spans="1:6">
      <c r="A586" s="16" t="s">
        <v>2542</v>
      </c>
      <c r="B586" s="16" t="s">
        <v>2543</v>
      </c>
      <c r="C586" s="432">
        <v>29</v>
      </c>
      <c r="D586" s="16" t="s">
        <v>70</v>
      </c>
      <c r="E586" s="432">
        <v>30</v>
      </c>
      <c r="F586" s="16" t="s">
        <v>2545</v>
      </c>
    </row>
    <row r="587" spans="1:6">
      <c r="A587" s="16" t="s">
        <v>2542</v>
      </c>
      <c r="B587" s="16" t="s">
        <v>572</v>
      </c>
      <c r="C587" s="432">
        <v>55</v>
      </c>
      <c r="D587" s="16" t="s">
        <v>19</v>
      </c>
      <c r="E587" s="432">
        <v>30</v>
      </c>
      <c r="F587" s="16" t="s">
        <v>2545</v>
      </c>
    </row>
    <row r="588" spans="1:6">
      <c r="A588" s="16" t="s">
        <v>1202</v>
      </c>
      <c r="B588" s="16" t="s">
        <v>2546</v>
      </c>
      <c r="C588" s="432">
        <v>16</v>
      </c>
      <c r="D588" s="16" t="s">
        <v>19</v>
      </c>
      <c r="E588" s="432">
        <v>25</v>
      </c>
      <c r="F588" s="16" t="s">
        <v>1205</v>
      </c>
    </row>
    <row r="589" spans="1:6">
      <c r="A589" s="16" t="s">
        <v>2548</v>
      </c>
      <c r="B589" s="16" t="s">
        <v>2549</v>
      </c>
      <c r="C589" s="16" t="s">
        <v>42</v>
      </c>
      <c r="D589" s="16" t="s">
        <v>25</v>
      </c>
      <c r="E589" s="432">
        <v>30</v>
      </c>
      <c r="F589" s="16" t="s">
        <v>2551</v>
      </c>
    </row>
    <row r="590" spans="1:6">
      <c r="A590" s="16" t="s">
        <v>2553</v>
      </c>
      <c r="B590" s="16" t="s">
        <v>2554</v>
      </c>
      <c r="C590" s="432">
        <v>81</v>
      </c>
      <c r="D590" s="16" t="s">
        <v>64</v>
      </c>
      <c r="E590" s="432">
        <v>30</v>
      </c>
      <c r="F590" s="16" t="s">
        <v>2556</v>
      </c>
    </row>
    <row r="591" spans="1:6">
      <c r="A591" s="16" t="s">
        <v>2558</v>
      </c>
      <c r="B591" s="16" t="s">
        <v>1132</v>
      </c>
      <c r="C591" s="432">
        <v>112</v>
      </c>
      <c r="D591" s="16" t="s">
        <v>105</v>
      </c>
      <c r="E591" s="432">
        <v>30</v>
      </c>
      <c r="F591" s="16" t="s">
        <v>2560</v>
      </c>
    </row>
    <row r="592" spans="1:6">
      <c r="A592" s="16" t="s">
        <v>2562</v>
      </c>
      <c r="B592" s="16" t="s">
        <v>1887</v>
      </c>
      <c r="C592" s="432">
        <v>175</v>
      </c>
      <c r="D592" s="16" t="s">
        <v>19</v>
      </c>
      <c r="E592" s="432">
        <v>10</v>
      </c>
      <c r="F592" s="16" t="s">
        <v>2564</v>
      </c>
    </row>
    <row r="593" spans="1:6">
      <c r="A593" s="16" t="s">
        <v>2566</v>
      </c>
      <c r="B593" s="16" t="s">
        <v>2567</v>
      </c>
      <c r="C593" s="16" t="s">
        <v>31</v>
      </c>
      <c r="D593" s="16" t="s">
        <v>2568</v>
      </c>
      <c r="E593" s="432">
        <v>25</v>
      </c>
      <c r="F593" s="16" t="s">
        <v>2570</v>
      </c>
    </row>
    <row r="594" spans="1:6">
      <c r="A594" s="16" t="s">
        <v>2572</v>
      </c>
      <c r="B594" s="432" t="s">
        <v>2573</v>
      </c>
      <c r="C594" s="439">
        <v>131</v>
      </c>
      <c r="D594" s="16" t="s">
        <v>70</v>
      </c>
      <c r="E594" s="16">
        <v>10</v>
      </c>
      <c r="F594" s="16" t="s">
        <v>2575</v>
      </c>
    </row>
    <row r="595" spans="1:6">
      <c r="A595" s="16" t="s">
        <v>2576</v>
      </c>
      <c r="B595" s="16" t="s">
        <v>2577</v>
      </c>
      <c r="C595" s="432">
        <v>39</v>
      </c>
      <c r="D595" s="16" t="s">
        <v>188</v>
      </c>
      <c r="E595" s="432">
        <v>10</v>
      </c>
      <c r="F595" s="16" t="s">
        <v>2579</v>
      </c>
    </row>
    <row r="596" spans="1:6">
      <c r="A596" s="16" t="s">
        <v>2581</v>
      </c>
      <c r="B596" s="16" t="s">
        <v>2582</v>
      </c>
      <c r="C596" s="16">
        <v>45</v>
      </c>
      <c r="D596" s="16" t="s">
        <v>127</v>
      </c>
      <c r="E596" s="16">
        <v>20</v>
      </c>
      <c r="F596" s="16" t="s">
        <v>2584</v>
      </c>
    </row>
    <row r="597" spans="1:6">
      <c r="A597" s="16" t="s">
        <v>2586</v>
      </c>
      <c r="B597" s="16" t="s">
        <v>2587</v>
      </c>
      <c r="C597" s="16" t="s">
        <v>2588</v>
      </c>
      <c r="D597" s="16" t="s">
        <v>19</v>
      </c>
      <c r="E597" s="432">
        <v>15</v>
      </c>
      <c r="F597" s="16" t="s">
        <v>2590</v>
      </c>
    </row>
    <row r="598" spans="1:6">
      <c r="A598" s="435" t="s">
        <v>2591</v>
      </c>
      <c r="B598" s="16" t="s">
        <v>1735</v>
      </c>
      <c r="C598" s="432">
        <v>766</v>
      </c>
      <c r="D598" s="16" t="s">
        <v>70</v>
      </c>
      <c r="E598" s="432">
        <v>20</v>
      </c>
      <c r="F598" s="16" t="s">
        <v>2592</v>
      </c>
    </row>
    <row r="599" spans="1:6">
      <c r="A599" s="16" t="s">
        <v>2593</v>
      </c>
      <c r="B599" s="16" t="s">
        <v>2594</v>
      </c>
      <c r="C599" s="432">
        <v>242</v>
      </c>
      <c r="D599" s="16" t="s">
        <v>19</v>
      </c>
      <c r="E599" s="432">
        <v>5</v>
      </c>
      <c r="F599" s="16" t="s">
        <v>2596</v>
      </c>
    </row>
    <row r="600" spans="1:6">
      <c r="A600" s="16" t="s">
        <v>2598</v>
      </c>
      <c r="B600" s="16" t="s">
        <v>589</v>
      </c>
      <c r="C600" s="432">
        <v>78</v>
      </c>
      <c r="D600" s="16" t="s">
        <v>19</v>
      </c>
      <c r="E600" s="432">
        <v>10</v>
      </c>
      <c r="F600" s="16" t="s">
        <v>2600</v>
      </c>
    </row>
    <row r="601" spans="1:6">
      <c r="A601" s="16" t="s">
        <v>2601</v>
      </c>
      <c r="B601" s="16" t="s">
        <v>2594</v>
      </c>
      <c r="C601" s="432">
        <v>113</v>
      </c>
      <c r="D601" s="16" t="s">
        <v>19</v>
      </c>
      <c r="E601" s="432">
        <v>20</v>
      </c>
      <c r="F601" s="16" t="s">
        <v>2603</v>
      </c>
    </row>
    <row r="602" spans="1:6">
      <c r="A602" s="16" t="s">
        <v>2605</v>
      </c>
      <c r="B602" s="16" t="s">
        <v>2606</v>
      </c>
      <c r="C602" s="432">
        <v>82</v>
      </c>
      <c r="D602" s="16" t="s">
        <v>127</v>
      </c>
      <c r="E602" s="432">
        <v>10</v>
      </c>
      <c r="F602" s="16" t="s">
        <v>2608</v>
      </c>
    </row>
    <row r="603" spans="1:6">
      <c r="A603" s="16" t="s">
        <v>2610</v>
      </c>
      <c r="B603" s="16" t="s">
        <v>397</v>
      </c>
      <c r="C603" s="432">
        <v>123</v>
      </c>
      <c r="D603" s="16" t="s">
        <v>19</v>
      </c>
      <c r="E603" s="432">
        <v>20</v>
      </c>
      <c r="F603" s="16" t="s">
        <v>2612</v>
      </c>
    </row>
    <row r="604" spans="1:6">
      <c r="A604" s="16" t="s">
        <v>2614</v>
      </c>
      <c r="B604" s="16" t="s">
        <v>2615</v>
      </c>
      <c r="C604" s="432">
        <v>110</v>
      </c>
      <c r="D604" s="16" t="s">
        <v>19</v>
      </c>
      <c r="E604" s="432">
        <v>10</v>
      </c>
      <c r="F604" s="16" t="s">
        <v>2617</v>
      </c>
    </row>
    <row r="605" spans="1:6">
      <c r="A605" s="16" t="s">
        <v>2618</v>
      </c>
      <c r="B605" s="16" t="s">
        <v>708</v>
      </c>
      <c r="C605" s="432">
        <v>410</v>
      </c>
      <c r="D605" s="16" t="s">
        <v>105</v>
      </c>
      <c r="E605" s="432">
        <v>20</v>
      </c>
      <c r="F605" s="16" t="s">
        <v>2620</v>
      </c>
    </row>
    <row r="606" spans="1:6">
      <c r="A606" s="107" t="s">
        <v>2622</v>
      </c>
      <c r="B606" s="16" t="s">
        <v>2014</v>
      </c>
      <c r="C606" s="432">
        <v>44</v>
      </c>
      <c r="D606" s="16" t="s">
        <v>1020</v>
      </c>
      <c r="E606" s="432">
        <v>20</v>
      </c>
      <c r="F606" s="16" t="s">
        <v>2624</v>
      </c>
    </row>
    <row r="607" spans="1:6">
      <c r="A607" s="16" t="s">
        <v>2626</v>
      </c>
      <c r="B607" s="16" t="s">
        <v>2627</v>
      </c>
      <c r="C607" s="432">
        <v>489</v>
      </c>
      <c r="D607" s="16" t="s">
        <v>19</v>
      </c>
      <c r="E607" s="432">
        <v>30</v>
      </c>
      <c r="F607" s="16" t="s">
        <v>2629</v>
      </c>
    </row>
    <row r="608" spans="1:6">
      <c r="A608" s="16" t="s">
        <v>2631</v>
      </c>
      <c r="B608" s="16" t="s">
        <v>2339</v>
      </c>
      <c r="C608" s="432">
        <v>757</v>
      </c>
      <c r="D608" s="16" t="s">
        <v>19</v>
      </c>
      <c r="E608" s="432">
        <v>5</v>
      </c>
      <c r="F608" s="16" t="s">
        <v>2633</v>
      </c>
    </row>
    <row r="609" spans="1:6">
      <c r="A609" s="16" t="s">
        <v>2634</v>
      </c>
      <c r="B609" s="16" t="s">
        <v>1726</v>
      </c>
      <c r="C609" s="432">
        <v>1127</v>
      </c>
      <c r="D609" s="16" t="s">
        <v>540</v>
      </c>
      <c r="E609" s="432">
        <v>30</v>
      </c>
      <c r="F609" s="16" t="s">
        <v>2636</v>
      </c>
    </row>
    <row r="610" spans="1:6">
      <c r="A610" s="16" t="s">
        <v>2638</v>
      </c>
      <c r="B610" s="16" t="s">
        <v>2639</v>
      </c>
      <c r="C610" s="432">
        <v>200</v>
      </c>
      <c r="D610" s="16" t="s">
        <v>32</v>
      </c>
      <c r="E610" s="432">
        <v>30</v>
      </c>
      <c r="F610" s="16" t="s">
        <v>2640</v>
      </c>
    </row>
    <row r="611" spans="1:6">
      <c r="A611" s="16" t="s">
        <v>2641</v>
      </c>
      <c r="B611" s="16" t="s">
        <v>2642</v>
      </c>
      <c r="C611" s="432">
        <v>128</v>
      </c>
      <c r="D611" s="16" t="s">
        <v>64</v>
      </c>
      <c r="E611" s="432">
        <v>10</v>
      </c>
      <c r="F611" s="16" t="s">
        <v>2644</v>
      </c>
    </row>
    <row r="612" spans="1:6">
      <c r="A612" s="16" t="s">
        <v>2646</v>
      </c>
      <c r="B612" s="16" t="s">
        <v>1531</v>
      </c>
      <c r="C612" s="432">
        <v>191</v>
      </c>
      <c r="D612" s="16" t="s">
        <v>64</v>
      </c>
      <c r="E612" s="432">
        <v>15</v>
      </c>
    </row>
    <row r="613" spans="1:6">
      <c r="A613" s="16" t="s">
        <v>2649</v>
      </c>
      <c r="B613" s="16" t="s">
        <v>789</v>
      </c>
      <c r="C613" s="432">
        <v>360</v>
      </c>
      <c r="D613" s="16" t="s">
        <v>70</v>
      </c>
      <c r="E613" s="432">
        <v>10</v>
      </c>
      <c r="F613" s="16" t="s">
        <v>2651</v>
      </c>
    </row>
    <row r="614" spans="1:6">
      <c r="A614" s="16" t="s">
        <v>2654</v>
      </c>
      <c r="B614" s="16" t="s">
        <v>2655</v>
      </c>
      <c r="C614" s="432">
        <v>80</v>
      </c>
      <c r="D614" s="16" t="s">
        <v>32</v>
      </c>
      <c r="E614" s="432">
        <v>30</v>
      </c>
      <c r="F614" s="16" t="s">
        <v>2657</v>
      </c>
    </row>
    <row r="615" spans="1:6">
      <c r="A615" s="16" t="s">
        <v>2659</v>
      </c>
      <c r="B615" s="16" t="s">
        <v>1359</v>
      </c>
      <c r="C615" s="432">
        <v>140</v>
      </c>
      <c r="D615" s="16" t="s">
        <v>127</v>
      </c>
      <c r="E615" s="432">
        <v>20</v>
      </c>
      <c r="F615" s="16" t="s">
        <v>2661</v>
      </c>
    </row>
    <row r="616" spans="1:6">
      <c r="A616" s="16" t="s">
        <v>2664</v>
      </c>
      <c r="B616" s="16" t="s">
        <v>1540</v>
      </c>
      <c r="C616" s="432">
        <v>69</v>
      </c>
      <c r="D616" s="16" t="s">
        <v>32</v>
      </c>
      <c r="E616" s="432">
        <v>15</v>
      </c>
      <c r="F616" s="16" t="s">
        <v>2666</v>
      </c>
    </row>
    <row r="617" spans="1:6">
      <c r="A617" s="16" t="s">
        <v>2668</v>
      </c>
      <c r="B617" s="16" t="s">
        <v>2669</v>
      </c>
      <c r="C617" s="432">
        <v>80</v>
      </c>
      <c r="D617" s="16" t="s">
        <v>105</v>
      </c>
      <c r="E617" s="432">
        <v>15</v>
      </c>
      <c r="F617" s="16" t="s">
        <v>2671</v>
      </c>
    </row>
    <row r="618" spans="1:6">
      <c r="A618" s="16" t="s">
        <v>2672</v>
      </c>
      <c r="B618" s="16" t="s">
        <v>1093</v>
      </c>
      <c r="C618" s="432">
        <v>191</v>
      </c>
      <c r="D618" s="16" t="s">
        <v>70</v>
      </c>
      <c r="E618" s="432">
        <v>15</v>
      </c>
      <c r="F618" s="16" t="s">
        <v>2673</v>
      </c>
    </row>
    <row r="619" spans="1:6">
      <c r="A619" s="16" t="s">
        <v>2675</v>
      </c>
      <c r="B619" s="16" t="s">
        <v>281</v>
      </c>
      <c r="C619" s="432">
        <v>301</v>
      </c>
      <c r="D619" s="16" t="s">
        <v>2676</v>
      </c>
      <c r="E619" s="432">
        <v>10</v>
      </c>
      <c r="F619" s="16" t="s">
        <v>2678</v>
      </c>
    </row>
    <row r="620" spans="1:6">
      <c r="A620" s="16" t="s">
        <v>2679</v>
      </c>
      <c r="B620" s="16" t="s">
        <v>557</v>
      </c>
      <c r="C620" s="432">
        <v>198</v>
      </c>
      <c r="D620" s="16" t="s">
        <v>19</v>
      </c>
      <c r="E620" s="432">
        <v>5</v>
      </c>
      <c r="F620" s="16" t="s">
        <v>2292</v>
      </c>
    </row>
    <row r="621" spans="1:6">
      <c r="A621" s="16" t="s">
        <v>2680</v>
      </c>
      <c r="B621" s="16" t="s">
        <v>2681</v>
      </c>
      <c r="C621" s="432">
        <v>131</v>
      </c>
      <c r="D621" s="16" t="s">
        <v>975</v>
      </c>
      <c r="E621" s="432">
        <v>20</v>
      </c>
      <c r="F621" s="16" t="s">
        <v>2295</v>
      </c>
    </row>
    <row r="622" spans="1:6">
      <c r="A622" s="16" t="s">
        <v>2682</v>
      </c>
      <c r="B622" s="16" t="s">
        <v>2683</v>
      </c>
      <c r="D622" s="16" t="s">
        <v>2684</v>
      </c>
      <c r="E622" s="432">
        <v>10</v>
      </c>
      <c r="F622" s="16" t="s">
        <v>2686</v>
      </c>
    </row>
    <row r="623" spans="1:6">
      <c r="A623" s="16" t="s">
        <v>2687</v>
      </c>
      <c r="B623" s="16" t="s">
        <v>2688</v>
      </c>
      <c r="D623" s="16" t="s">
        <v>2689</v>
      </c>
      <c r="E623" s="432">
        <v>20</v>
      </c>
      <c r="F623" s="16" t="s">
        <v>2691</v>
      </c>
    </row>
    <row r="624" spans="1:6">
      <c r="A624" s="434" t="s">
        <v>2693</v>
      </c>
      <c r="B624" s="16" t="s">
        <v>2694</v>
      </c>
      <c r="C624" s="432">
        <v>59</v>
      </c>
      <c r="D624" s="16" t="s">
        <v>64</v>
      </c>
      <c r="E624" s="432">
        <v>10</v>
      </c>
      <c r="F624" s="16" t="s">
        <v>2696</v>
      </c>
    </row>
    <row r="625" spans="1:6">
      <c r="A625" s="434" t="s">
        <v>2697</v>
      </c>
      <c r="B625" s="16" t="s">
        <v>2698</v>
      </c>
      <c r="C625" s="432">
        <v>30</v>
      </c>
      <c r="D625" s="16" t="s">
        <v>64</v>
      </c>
      <c r="E625" s="432">
        <v>15</v>
      </c>
      <c r="F625" s="16" t="s">
        <v>2700</v>
      </c>
    </row>
    <row r="626" spans="1:6">
      <c r="A626" s="434" t="s">
        <v>2697</v>
      </c>
      <c r="B626" s="16" t="s">
        <v>2703</v>
      </c>
      <c r="C626" s="16" t="s">
        <v>1432</v>
      </c>
      <c r="D626" s="16" t="s">
        <v>32</v>
      </c>
      <c r="E626" s="432">
        <v>20</v>
      </c>
      <c r="F626" s="16" t="s">
        <v>2700</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69C33-011A-4D0A-8310-6BFA2A9A653F}">
  <sheetPr codeName="Planilha3"/>
  <dimension ref="A1:G29"/>
  <sheetViews>
    <sheetView workbookViewId="0">
      <selection activeCell="D12" sqref="D12"/>
    </sheetView>
  </sheetViews>
  <sheetFormatPr defaultRowHeight="15"/>
  <cols>
    <col min="1" max="1" width="54.7109375" bestFit="1" customWidth="1"/>
    <col min="2" max="2" width="30" bestFit="1" customWidth="1"/>
    <col min="3" max="3" width="13.7109375" bestFit="1" customWidth="1"/>
    <col min="4" max="4" width="26.5703125" bestFit="1" customWidth="1"/>
    <col min="5" max="5" width="14.42578125" bestFit="1" customWidth="1"/>
  </cols>
  <sheetData>
    <row r="1" spans="1:7">
      <c r="A1" s="254" t="s">
        <v>2831</v>
      </c>
      <c r="B1" s="254" t="s">
        <v>2832</v>
      </c>
      <c r="C1" s="254" t="s">
        <v>2833</v>
      </c>
      <c r="D1" s="254" t="s">
        <v>2834</v>
      </c>
      <c r="E1" s="254" t="s">
        <v>2835</v>
      </c>
      <c r="F1" s="254" t="s">
        <v>2836</v>
      </c>
      <c r="G1" s="254" t="s">
        <v>2837</v>
      </c>
    </row>
    <row r="2" spans="1:7">
      <c r="A2" s="84" t="s">
        <v>1078</v>
      </c>
      <c r="B2" s="17" t="s">
        <v>1079</v>
      </c>
      <c r="C2" s="252">
        <v>120</v>
      </c>
      <c r="D2" s="17" t="s">
        <v>188</v>
      </c>
      <c r="E2" s="17" t="s">
        <v>1080</v>
      </c>
      <c r="F2" s="252">
        <v>5</v>
      </c>
      <c r="G2" s="253">
        <v>50</v>
      </c>
    </row>
    <row r="3" spans="1:7">
      <c r="A3" s="84" t="s">
        <v>715</v>
      </c>
      <c r="B3" s="17" t="s">
        <v>716</v>
      </c>
      <c r="C3" s="252">
        <v>300</v>
      </c>
      <c r="D3" s="17" t="s">
        <v>19</v>
      </c>
      <c r="E3" s="17" t="s">
        <v>717</v>
      </c>
      <c r="F3" s="252">
        <v>25</v>
      </c>
      <c r="G3" s="253">
        <v>59.9</v>
      </c>
    </row>
    <row r="4" spans="1:7">
      <c r="A4" s="17" t="s">
        <v>1160</v>
      </c>
      <c r="B4" s="17" t="s">
        <v>172</v>
      </c>
      <c r="C4" s="17" t="s">
        <v>42</v>
      </c>
      <c r="D4" s="17" t="s">
        <v>70</v>
      </c>
      <c r="E4" s="17" t="s">
        <v>1161</v>
      </c>
      <c r="F4" s="252">
        <v>10</v>
      </c>
      <c r="G4" s="253">
        <v>50</v>
      </c>
    </row>
    <row r="5" spans="1:7">
      <c r="A5" s="17" t="s">
        <v>1317</v>
      </c>
      <c r="B5" s="17" t="s">
        <v>1175</v>
      </c>
      <c r="C5" s="252">
        <v>17</v>
      </c>
      <c r="D5" s="17" t="s">
        <v>270</v>
      </c>
      <c r="E5" s="17" t="s">
        <v>1318</v>
      </c>
      <c r="F5" s="252">
        <v>10</v>
      </c>
      <c r="G5" s="253">
        <v>60</v>
      </c>
    </row>
    <row r="6" spans="1:7">
      <c r="A6" s="84" t="s">
        <v>1911</v>
      </c>
      <c r="B6" s="17" t="s">
        <v>157</v>
      </c>
      <c r="C6" s="252">
        <v>887</v>
      </c>
      <c r="D6" s="17" t="s">
        <v>19</v>
      </c>
      <c r="E6" s="17" t="s">
        <v>1912</v>
      </c>
      <c r="F6" s="252">
        <v>20</v>
      </c>
      <c r="G6" s="253">
        <v>59.9</v>
      </c>
    </row>
    <row r="7" spans="1:7">
      <c r="A7" s="17" t="s">
        <v>2029</v>
      </c>
      <c r="B7" s="17" t="s">
        <v>299</v>
      </c>
      <c r="C7" s="252">
        <v>740</v>
      </c>
      <c r="D7" s="17" t="s">
        <v>19</v>
      </c>
      <c r="E7" s="17" t="s">
        <v>2030</v>
      </c>
      <c r="F7" s="252">
        <v>20</v>
      </c>
      <c r="G7" s="253">
        <v>50</v>
      </c>
    </row>
    <row r="8" spans="1:7">
      <c r="A8" s="17" t="s">
        <v>258</v>
      </c>
      <c r="B8" s="17" t="s">
        <v>259</v>
      </c>
      <c r="C8" s="252">
        <v>855</v>
      </c>
      <c r="D8" s="17" t="s">
        <v>19</v>
      </c>
      <c r="E8" s="17" t="s">
        <v>260</v>
      </c>
      <c r="F8" s="252">
        <v>25</v>
      </c>
      <c r="G8" s="253">
        <v>60</v>
      </c>
    </row>
    <row r="9" spans="1:7">
      <c r="A9" s="17" t="s">
        <v>783</v>
      </c>
      <c r="B9" s="17" t="s">
        <v>784</v>
      </c>
      <c r="C9" s="252">
        <v>72</v>
      </c>
      <c r="D9" s="17" t="s">
        <v>64</v>
      </c>
      <c r="E9" s="17" t="s">
        <v>785</v>
      </c>
      <c r="F9" s="252">
        <v>30</v>
      </c>
      <c r="G9" s="253">
        <v>50</v>
      </c>
    </row>
    <row r="10" spans="1:7">
      <c r="A10" s="17" t="s">
        <v>280</v>
      </c>
      <c r="B10" s="17" t="s">
        <v>281</v>
      </c>
      <c r="C10" s="252">
        <v>80</v>
      </c>
      <c r="D10" s="17" t="s">
        <v>19</v>
      </c>
      <c r="E10" s="17" t="s">
        <v>282</v>
      </c>
      <c r="F10" s="252">
        <v>10</v>
      </c>
      <c r="G10" s="253">
        <v>40</v>
      </c>
    </row>
    <row r="11" spans="1:7">
      <c r="A11" s="17" t="s">
        <v>952</v>
      </c>
      <c r="B11" s="17" t="s">
        <v>553</v>
      </c>
      <c r="C11" s="252">
        <v>17</v>
      </c>
      <c r="D11" s="17" t="s">
        <v>127</v>
      </c>
      <c r="E11" s="17" t="s">
        <v>953</v>
      </c>
      <c r="F11" s="252">
        <v>10</v>
      </c>
      <c r="G11" s="253">
        <v>60</v>
      </c>
    </row>
    <row r="12" spans="1:7">
      <c r="A12" s="17" t="s">
        <v>1214</v>
      </c>
      <c r="B12" s="17" t="s">
        <v>1215</v>
      </c>
      <c r="C12" s="252">
        <v>830</v>
      </c>
      <c r="D12" s="17" t="s">
        <v>19</v>
      </c>
      <c r="E12" s="17" t="s">
        <v>1216</v>
      </c>
      <c r="F12" s="252">
        <v>10</v>
      </c>
      <c r="G12" s="253">
        <v>50</v>
      </c>
    </row>
    <row r="13" spans="1:7">
      <c r="A13" s="17" t="s">
        <v>2586</v>
      </c>
      <c r="B13" s="17" t="s">
        <v>2587</v>
      </c>
      <c r="C13" s="17" t="s">
        <v>2588</v>
      </c>
      <c r="D13" s="17" t="s">
        <v>19</v>
      </c>
      <c r="E13" s="17" t="s">
        <v>2589</v>
      </c>
      <c r="F13" s="252">
        <v>15</v>
      </c>
      <c r="G13" s="253">
        <v>40</v>
      </c>
    </row>
    <row r="14" spans="1:7">
      <c r="A14" s="17" t="s">
        <v>2284</v>
      </c>
      <c r="B14" s="17" t="s">
        <v>572</v>
      </c>
      <c r="C14" s="252">
        <v>751</v>
      </c>
      <c r="D14" s="17" t="s">
        <v>19</v>
      </c>
      <c r="E14" s="17" t="s">
        <v>2285</v>
      </c>
      <c r="F14" s="252">
        <v>10</v>
      </c>
      <c r="G14" s="253">
        <v>50</v>
      </c>
    </row>
    <row r="15" spans="1:7">
      <c r="A15" s="17" t="s">
        <v>1671</v>
      </c>
      <c r="B15" s="17" t="s">
        <v>572</v>
      </c>
      <c r="C15" s="252">
        <v>643</v>
      </c>
      <c r="D15" s="17" t="s">
        <v>19</v>
      </c>
      <c r="E15" s="17" t="s">
        <v>1672</v>
      </c>
      <c r="F15" s="252">
        <v>20</v>
      </c>
      <c r="G15" s="253">
        <v>40</v>
      </c>
    </row>
    <row r="16" spans="1:7">
      <c r="A16" s="17" t="s">
        <v>1029</v>
      </c>
      <c r="B16" s="17" t="s">
        <v>259</v>
      </c>
      <c r="C16" s="252">
        <v>867</v>
      </c>
      <c r="D16" s="17" t="s">
        <v>19</v>
      </c>
      <c r="E16" s="17" t="s">
        <v>1030</v>
      </c>
      <c r="F16" s="252">
        <v>15</v>
      </c>
      <c r="G16" s="253">
        <v>50</v>
      </c>
    </row>
    <row r="17" spans="1:7">
      <c r="A17" s="17" t="s">
        <v>2181</v>
      </c>
      <c r="B17" s="17" t="s">
        <v>2168</v>
      </c>
      <c r="C17" s="252">
        <v>62</v>
      </c>
      <c r="D17" s="17" t="s">
        <v>19</v>
      </c>
      <c r="E17" s="17" t="s">
        <v>2838</v>
      </c>
      <c r="F17" s="252">
        <v>10</v>
      </c>
      <c r="G17" s="253">
        <v>39.9</v>
      </c>
    </row>
    <row r="23" spans="1:7">
      <c r="A23" s="279">
        <v>5</v>
      </c>
      <c r="B23" s="280">
        <v>40</v>
      </c>
      <c r="C23" s="281">
        <f>A23*B23</f>
        <v>200</v>
      </c>
    </row>
    <row r="24" spans="1:7">
      <c r="A24" s="279">
        <v>9</v>
      </c>
      <c r="B24" s="280">
        <v>50</v>
      </c>
      <c r="C24" s="281">
        <f>A24*B24</f>
        <v>450</v>
      </c>
    </row>
    <row r="25" spans="1:7">
      <c r="A25" s="279">
        <v>3</v>
      </c>
      <c r="B25" s="280">
        <v>55</v>
      </c>
      <c r="C25" s="281">
        <f>A25*B25</f>
        <v>165</v>
      </c>
    </row>
    <row r="26" spans="1:7">
      <c r="A26" s="279">
        <v>3</v>
      </c>
      <c r="B26" s="280">
        <v>79.900000000000006</v>
      </c>
      <c r="C26" s="281">
        <f>A26*B26</f>
        <v>239.70000000000002</v>
      </c>
    </row>
    <row r="27" spans="1:7">
      <c r="A27" s="279">
        <v>1</v>
      </c>
      <c r="B27" s="280">
        <v>100</v>
      </c>
      <c r="C27" s="281">
        <f>A27*B27</f>
        <v>100</v>
      </c>
    </row>
    <row r="29" spans="1:7">
      <c r="C29" s="260">
        <f>SUM(C23:C27)</f>
        <v>1154.7</v>
      </c>
    </row>
  </sheetData>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82396-5DCD-4B11-BE5F-8B961BBFB918}">
  <sheetPr codeName="Planilha9"/>
  <dimension ref="A1:L648"/>
  <sheetViews>
    <sheetView topLeftCell="A614" zoomScaleNormal="100" workbookViewId="0">
      <selection activeCell="B618" sqref="B618"/>
    </sheetView>
  </sheetViews>
  <sheetFormatPr defaultRowHeight="15"/>
  <cols>
    <col min="1" max="1" width="65.7109375" customWidth="1"/>
    <col min="2" max="2" width="68" style="741" bestFit="1" customWidth="1"/>
  </cols>
  <sheetData>
    <row r="1" spans="1:3">
      <c r="A1" s="738"/>
      <c r="B1" s="155"/>
    </row>
    <row r="2" spans="1:3">
      <c r="A2" s="20" t="s">
        <v>2839</v>
      </c>
      <c r="B2" s="59" t="s">
        <v>2840</v>
      </c>
      <c r="C2" s="20"/>
    </row>
    <row r="3" spans="1:3">
      <c r="A3" s="192" t="s">
        <v>2841</v>
      </c>
      <c r="B3" s="59" t="s">
        <v>2842</v>
      </c>
      <c r="C3" s="149"/>
    </row>
    <row r="4" spans="1:3">
      <c r="A4" s="192" t="s">
        <v>2843</v>
      </c>
      <c r="B4" s="60" t="s">
        <v>2844</v>
      </c>
    </row>
    <row r="5" spans="1:3">
      <c r="A5" s="192" t="s">
        <v>2845</v>
      </c>
      <c r="B5" s="59" t="s">
        <v>2842</v>
      </c>
    </row>
    <row r="6" spans="1:3">
      <c r="A6" s="269" t="s">
        <v>2846</v>
      </c>
      <c r="B6" s="60" t="s">
        <v>1163</v>
      </c>
    </row>
    <row r="7" spans="1:3">
      <c r="A7" s="192" t="s">
        <v>2847</v>
      </c>
      <c r="B7" s="59" t="s">
        <v>2842</v>
      </c>
    </row>
    <row r="8" spans="1:3">
      <c r="A8" s="283" t="s">
        <v>2848</v>
      </c>
      <c r="B8" s="60" t="s">
        <v>2849</v>
      </c>
    </row>
    <row r="9" spans="1:3">
      <c r="A9" s="149" t="s">
        <v>2850</v>
      </c>
      <c r="B9" s="60" t="s">
        <v>2851</v>
      </c>
    </row>
    <row r="10" spans="1:3">
      <c r="A10" s="149" t="s">
        <v>2852</v>
      </c>
      <c r="B10" s="60" t="s">
        <v>2853</v>
      </c>
    </row>
    <row r="11" spans="1:3">
      <c r="A11" s="149" t="s">
        <v>1939</v>
      </c>
      <c r="B11" s="60" t="s">
        <v>2853</v>
      </c>
    </row>
    <row r="12" spans="1:3">
      <c r="A12" s="149" t="s">
        <v>2854</v>
      </c>
      <c r="B12" s="60" t="s">
        <v>2855</v>
      </c>
    </row>
    <row r="13" spans="1:3">
      <c r="A13" s="186" t="s">
        <v>2115</v>
      </c>
      <c r="B13" s="60" t="s">
        <v>2855</v>
      </c>
    </row>
    <row r="14" spans="1:3">
      <c r="A14" s="149" t="s">
        <v>2856</v>
      </c>
      <c r="B14" s="60" t="s">
        <v>2855</v>
      </c>
    </row>
    <row r="15" spans="1:3">
      <c r="A15" s="149" t="s">
        <v>2857</v>
      </c>
      <c r="B15" s="60" t="s">
        <v>2855</v>
      </c>
    </row>
    <row r="16" spans="1:3">
      <c r="A16" s="186" t="s">
        <v>2858</v>
      </c>
      <c r="B16" s="60" t="s">
        <v>2855</v>
      </c>
    </row>
    <row r="17" spans="1:2">
      <c r="A17" s="31" t="s">
        <v>2859</v>
      </c>
      <c r="B17" s="60" t="s">
        <v>2855</v>
      </c>
    </row>
    <row r="18" spans="1:2">
      <c r="A18" s="31" t="s">
        <v>2256</v>
      </c>
      <c r="B18" s="60" t="s">
        <v>2860</v>
      </c>
    </row>
    <row r="19" spans="1:2">
      <c r="A19" s="31" t="s">
        <v>2861</v>
      </c>
      <c r="B19" s="60" t="s">
        <v>2860</v>
      </c>
    </row>
    <row r="20" spans="1:2">
      <c r="A20" s="31" t="s">
        <v>2862</v>
      </c>
      <c r="B20" s="60" t="s">
        <v>1163</v>
      </c>
    </row>
    <row r="21" spans="1:2">
      <c r="A21" s="31" t="s">
        <v>1466</v>
      </c>
      <c r="B21" s="60" t="s">
        <v>2860</v>
      </c>
    </row>
    <row r="22" spans="1:2">
      <c r="A22" s="31" t="s">
        <v>2863</v>
      </c>
      <c r="B22" s="60" t="s">
        <v>1163</v>
      </c>
    </row>
    <row r="23" spans="1:2">
      <c r="A23" s="31" t="s">
        <v>2864</v>
      </c>
      <c r="B23" s="60" t="s">
        <v>1163</v>
      </c>
    </row>
    <row r="24" spans="1:2">
      <c r="A24" s="17" t="s">
        <v>2865</v>
      </c>
      <c r="B24" s="60" t="s">
        <v>2855</v>
      </c>
    </row>
    <row r="25" spans="1:2">
      <c r="A25" s="17" t="s">
        <v>2866</v>
      </c>
      <c r="B25" s="60" t="s">
        <v>2855</v>
      </c>
    </row>
    <row r="26" spans="1:2">
      <c r="A26" s="17" t="s">
        <v>2867</v>
      </c>
      <c r="B26" s="60" t="s">
        <v>2855</v>
      </c>
    </row>
    <row r="27" spans="1:2">
      <c r="A27" s="17" t="s">
        <v>2868</v>
      </c>
      <c r="B27" s="60" t="s">
        <v>2855</v>
      </c>
    </row>
    <row r="28" spans="1:2">
      <c r="A28" s="17" t="s">
        <v>2869</v>
      </c>
      <c r="B28" s="60" t="s">
        <v>2870</v>
      </c>
    </row>
    <row r="29" spans="1:2">
      <c r="A29" s="17" t="s">
        <v>2871</v>
      </c>
      <c r="B29" s="60" t="s">
        <v>2870</v>
      </c>
    </row>
    <row r="30" spans="1:2" s="289" customFormat="1" ht="15" hidden="1" customHeight="1">
      <c r="A30" s="737" t="s">
        <v>2872</v>
      </c>
      <c r="B30" s="579"/>
    </row>
    <row r="31" spans="1:2" hidden="1">
      <c r="A31" s="31" t="s">
        <v>2873</v>
      </c>
      <c r="B31" s="60"/>
    </row>
    <row r="32" spans="1:2" hidden="1">
      <c r="A32" s="31" t="s">
        <v>2874</v>
      </c>
      <c r="B32" s="60"/>
    </row>
    <row r="33" spans="1:2" hidden="1">
      <c r="A33" s="31" t="s">
        <v>2875</v>
      </c>
      <c r="B33" s="60"/>
    </row>
    <row r="34" spans="1:2" hidden="1">
      <c r="A34" s="31" t="s">
        <v>2876</v>
      </c>
      <c r="B34" s="60"/>
    </row>
    <row r="35" spans="1:2" hidden="1">
      <c r="A35" s="31" t="s">
        <v>491</v>
      </c>
      <c r="B35" s="60"/>
    </row>
    <row r="36" spans="1:2" hidden="1">
      <c r="A36" s="31" t="s">
        <v>2877</v>
      </c>
      <c r="B36" s="60"/>
    </row>
    <row r="37" spans="1:2" hidden="1">
      <c r="A37" t="s">
        <v>2878</v>
      </c>
      <c r="B37" s="60"/>
    </row>
    <row r="38" spans="1:2" hidden="1">
      <c r="A38" s="31" t="s">
        <v>2879</v>
      </c>
      <c r="B38" s="60"/>
    </row>
    <row r="39" spans="1:2" hidden="1">
      <c r="A39" s="31" t="s">
        <v>929</v>
      </c>
      <c r="B39" s="60"/>
    </row>
    <row r="40" spans="1:2" hidden="1">
      <c r="A40" s="31" t="s">
        <v>2864</v>
      </c>
      <c r="B40" s="60"/>
    </row>
    <row r="41" spans="1:2" hidden="1">
      <c r="A41" s="31" t="s">
        <v>2880</v>
      </c>
      <c r="B41" s="60"/>
    </row>
    <row r="42" spans="1:2" hidden="1">
      <c r="A42" s="31" t="s">
        <v>2881</v>
      </c>
      <c r="B42" s="60"/>
    </row>
    <row r="43" spans="1:2" hidden="1">
      <c r="A43" s="31" t="s">
        <v>2882</v>
      </c>
      <c r="B43" s="60"/>
    </row>
    <row r="44" spans="1:2" hidden="1">
      <c r="A44" s="31" t="s">
        <v>2883</v>
      </c>
      <c r="B44" s="60"/>
    </row>
    <row r="45" spans="1:2" hidden="1">
      <c r="A45" s="31" t="s">
        <v>2883</v>
      </c>
      <c r="B45" s="60"/>
    </row>
    <row r="46" spans="1:2" hidden="1">
      <c r="A46" s="31" t="s">
        <v>2884</v>
      </c>
      <c r="B46" s="60"/>
    </row>
    <row r="47" spans="1:2" hidden="1">
      <c r="A47" s="31" t="s">
        <v>2885</v>
      </c>
      <c r="B47" s="60"/>
    </row>
    <row r="48" spans="1:2" hidden="1">
      <c r="A48" s="31" t="s">
        <v>93</v>
      </c>
      <c r="B48" s="60"/>
    </row>
    <row r="49" spans="1:2" hidden="1">
      <c r="A49" s="31" t="s">
        <v>218</v>
      </c>
      <c r="B49" s="60"/>
    </row>
    <row r="50" spans="1:2" hidden="1">
      <c r="A50" s="31" t="s">
        <v>2886</v>
      </c>
      <c r="B50" s="60"/>
    </row>
    <row r="51" spans="1:2" ht="15" hidden="1" customHeight="1">
      <c r="A51" s="737" t="s">
        <v>2887</v>
      </c>
      <c r="B51" s="579"/>
    </row>
    <row r="52" spans="1:2" hidden="1">
      <c r="A52" s="31" t="s">
        <v>2888</v>
      </c>
      <c r="B52" s="60"/>
    </row>
    <row r="53" spans="1:2" hidden="1">
      <c r="A53" s="31" t="s">
        <v>2889</v>
      </c>
      <c r="B53" s="60"/>
    </row>
    <row r="54" spans="1:2" hidden="1">
      <c r="A54" s="31" t="s">
        <v>2890</v>
      </c>
      <c r="B54" s="60"/>
    </row>
    <row r="55" spans="1:2" hidden="1">
      <c r="A55" s="31" t="s">
        <v>2891</v>
      </c>
      <c r="B55" s="60"/>
    </row>
    <row r="56" spans="1:2" hidden="1">
      <c r="A56" s="31" t="s">
        <v>2892</v>
      </c>
      <c r="B56" s="60"/>
    </row>
    <row r="57" spans="1:2" hidden="1">
      <c r="A57" s="31" t="s">
        <v>2825</v>
      </c>
      <c r="B57" s="60"/>
    </row>
    <row r="58" spans="1:2" hidden="1">
      <c r="A58" s="31" t="s">
        <v>2893</v>
      </c>
      <c r="B58" s="60"/>
    </row>
    <row r="59" spans="1:2" hidden="1">
      <c r="A59" s="31" t="s">
        <v>2894</v>
      </c>
      <c r="B59" s="60"/>
    </row>
    <row r="60" spans="1:2" hidden="1">
      <c r="A60" s="31" t="s">
        <v>2895</v>
      </c>
      <c r="B60" s="60"/>
    </row>
    <row r="61" spans="1:2" hidden="1">
      <c r="A61" s="31" t="s">
        <v>2896</v>
      </c>
      <c r="B61" s="60">
        <v>44550</v>
      </c>
    </row>
    <row r="62" spans="1:2" hidden="1">
      <c r="A62" s="31" t="s">
        <v>2897</v>
      </c>
      <c r="B62" s="60">
        <v>44550</v>
      </c>
    </row>
    <row r="63" spans="1:2" hidden="1">
      <c r="A63" s="31" t="s">
        <v>2898</v>
      </c>
      <c r="B63" s="60">
        <v>44550</v>
      </c>
    </row>
    <row r="64" spans="1:2" hidden="1">
      <c r="A64" s="31" t="s">
        <v>2899</v>
      </c>
      <c r="B64" s="60">
        <v>44551</v>
      </c>
    </row>
    <row r="65" spans="1:2" hidden="1">
      <c r="A65" s="31" t="s">
        <v>2900</v>
      </c>
      <c r="B65" s="60">
        <v>44557</v>
      </c>
    </row>
    <row r="66" spans="1:2" hidden="1">
      <c r="A66" s="31" t="s">
        <v>2901</v>
      </c>
      <c r="B66" s="60">
        <v>44557</v>
      </c>
    </row>
    <row r="67" spans="1:2" hidden="1">
      <c r="A67" s="797" t="s">
        <v>2902</v>
      </c>
      <c r="B67" s="797"/>
    </row>
    <row r="68" spans="1:2" hidden="1">
      <c r="A68" s="31" t="s">
        <v>2903</v>
      </c>
      <c r="B68" s="60">
        <v>44567</v>
      </c>
    </row>
    <row r="69" spans="1:2" hidden="1">
      <c r="A69" s="31" t="s">
        <v>2904</v>
      </c>
      <c r="B69" s="60">
        <v>44567</v>
      </c>
    </row>
    <row r="70" spans="1:2" hidden="1">
      <c r="A70" s="31" t="s">
        <v>1470</v>
      </c>
      <c r="B70" s="60">
        <v>44567</v>
      </c>
    </row>
    <row r="71" spans="1:2" hidden="1">
      <c r="A71" s="31" t="s">
        <v>1583</v>
      </c>
      <c r="B71" s="60">
        <v>44571</v>
      </c>
    </row>
    <row r="72" spans="1:2" hidden="1">
      <c r="A72" s="31" t="s">
        <v>2905</v>
      </c>
      <c r="B72" s="60">
        <v>44571</v>
      </c>
    </row>
    <row r="73" spans="1:2" hidden="1">
      <c r="A73" s="31" t="s">
        <v>2905</v>
      </c>
      <c r="B73" s="60">
        <v>44571</v>
      </c>
    </row>
    <row r="74" spans="1:2" hidden="1">
      <c r="A74" s="31" t="s">
        <v>2906</v>
      </c>
      <c r="B74" s="60">
        <v>44575</v>
      </c>
    </row>
    <row r="75" spans="1:2" hidden="1">
      <c r="A75" s="31" t="s">
        <v>1038</v>
      </c>
      <c r="B75" s="60">
        <v>44579</v>
      </c>
    </row>
    <row r="76" spans="1:2" hidden="1">
      <c r="A76" s="31" t="s">
        <v>2907</v>
      </c>
      <c r="B76" s="60">
        <v>44582</v>
      </c>
    </row>
    <row r="77" spans="1:2" hidden="1">
      <c r="A77" s="31" t="s">
        <v>23</v>
      </c>
      <c r="B77" s="60">
        <v>44585</v>
      </c>
    </row>
    <row r="78" spans="1:2" hidden="1">
      <c r="A78" s="31" t="s">
        <v>2908</v>
      </c>
      <c r="B78" s="60">
        <v>44585</v>
      </c>
    </row>
    <row r="79" spans="1:2" hidden="1">
      <c r="A79" s="31" t="s">
        <v>2908</v>
      </c>
      <c r="B79" s="60">
        <v>44585</v>
      </c>
    </row>
    <row r="80" spans="1:2" hidden="1">
      <c r="A80" s="31" t="s">
        <v>2909</v>
      </c>
      <c r="B80" s="60">
        <v>44580</v>
      </c>
    </row>
    <row r="81" spans="1:2" hidden="1">
      <c r="A81" s="797" t="s">
        <v>2910</v>
      </c>
      <c r="B81" s="797"/>
    </row>
    <row r="82" spans="1:2" hidden="1">
      <c r="A82" s="31" t="s">
        <v>2911</v>
      </c>
      <c r="B82" s="60">
        <v>44594</v>
      </c>
    </row>
    <row r="83" spans="1:2" hidden="1">
      <c r="A83" s="31" t="s">
        <v>2912</v>
      </c>
      <c r="B83" s="60">
        <v>44594</v>
      </c>
    </row>
    <row r="84" spans="1:2" hidden="1">
      <c r="A84" s="84" t="s">
        <v>1649</v>
      </c>
      <c r="B84" s="60">
        <v>44594</v>
      </c>
    </row>
    <row r="85" spans="1:2" hidden="1">
      <c r="A85" s="31" t="s">
        <v>2913</v>
      </c>
      <c r="B85" s="60"/>
    </row>
    <row r="86" spans="1:2" hidden="1">
      <c r="A86" s="31" t="s">
        <v>501</v>
      </c>
      <c r="B86" s="60"/>
    </row>
    <row r="87" spans="1:2" hidden="1">
      <c r="A87" s="31" t="s">
        <v>2914</v>
      </c>
      <c r="B87" s="60">
        <v>44597</v>
      </c>
    </row>
    <row r="88" spans="1:2" hidden="1">
      <c r="A88" s="31" t="s">
        <v>2915</v>
      </c>
      <c r="B88" s="60"/>
    </row>
    <row r="89" spans="1:2" hidden="1">
      <c r="A89" s="31" t="s">
        <v>2916</v>
      </c>
      <c r="B89" s="60"/>
    </row>
    <row r="90" spans="1:2" hidden="1">
      <c r="A90" s="31" t="s">
        <v>2052</v>
      </c>
      <c r="B90" s="60"/>
    </row>
    <row r="91" spans="1:2" hidden="1">
      <c r="A91" s="31" t="s">
        <v>2917</v>
      </c>
      <c r="B91" s="60"/>
    </row>
    <row r="92" spans="1:2" hidden="1">
      <c r="A92" s="31" t="s">
        <v>2918</v>
      </c>
      <c r="B92" s="60"/>
    </row>
    <row r="93" spans="1:2" hidden="1">
      <c r="A93" s="31" t="s">
        <v>2919</v>
      </c>
      <c r="B93" s="60"/>
    </row>
    <row r="94" spans="1:2" hidden="1">
      <c r="A94" s="31" t="s">
        <v>2920</v>
      </c>
      <c r="B94" s="60"/>
    </row>
    <row r="95" spans="1:2" hidden="1">
      <c r="A95" s="31" t="s">
        <v>2654</v>
      </c>
      <c r="B95" s="60"/>
    </row>
    <row r="96" spans="1:2" hidden="1">
      <c r="A96" s="31" t="s">
        <v>2921</v>
      </c>
      <c r="B96" s="60"/>
    </row>
    <row r="97" spans="1:2" hidden="1">
      <c r="A97" s="31" t="s">
        <v>2922</v>
      </c>
      <c r="B97" s="60"/>
    </row>
    <row r="98" spans="1:2" hidden="1">
      <c r="A98" s="31" t="s">
        <v>2762</v>
      </c>
      <c r="B98" s="60"/>
    </row>
    <row r="99" spans="1:2" hidden="1">
      <c r="A99" s="31" t="s">
        <v>2923</v>
      </c>
      <c r="B99" s="60"/>
    </row>
    <row r="100" spans="1:2" hidden="1">
      <c r="A100" s="31" t="s">
        <v>669</v>
      </c>
      <c r="B100" s="60"/>
    </row>
    <row r="101" spans="1:2" hidden="1">
      <c r="A101" s="31" t="s">
        <v>679</v>
      </c>
      <c r="B101" s="60"/>
    </row>
    <row r="102" spans="1:2" hidden="1">
      <c r="A102" s="31" t="s">
        <v>2924</v>
      </c>
      <c r="B102" s="60"/>
    </row>
    <row r="103" spans="1:2" hidden="1">
      <c r="A103" s="31" t="s">
        <v>2925</v>
      </c>
      <c r="B103" s="60"/>
    </row>
    <row r="104" spans="1:2" hidden="1">
      <c r="A104" s="31" t="s">
        <v>2926</v>
      </c>
      <c r="B104" s="60"/>
    </row>
    <row r="105" spans="1:2" hidden="1">
      <c r="A105" s="31" t="s">
        <v>2927</v>
      </c>
      <c r="B105" s="60"/>
    </row>
    <row r="106" spans="1:2" hidden="1">
      <c r="A106" s="31" t="s">
        <v>2765</v>
      </c>
      <c r="B106" s="60"/>
    </row>
    <row r="107" spans="1:2" hidden="1">
      <c r="A107" s="31" t="s">
        <v>2928</v>
      </c>
      <c r="B107" s="60"/>
    </row>
    <row r="108" spans="1:2" hidden="1">
      <c r="A108" s="31" t="s">
        <v>2929</v>
      </c>
      <c r="B108" s="60"/>
    </row>
    <row r="109" spans="1:2" hidden="1">
      <c r="A109" s="31" t="s">
        <v>2930</v>
      </c>
      <c r="B109" s="60"/>
    </row>
    <row r="110" spans="1:2" hidden="1">
      <c r="A110" s="31" t="s">
        <v>2931</v>
      </c>
      <c r="B110" s="60"/>
    </row>
    <row r="111" spans="1:2" hidden="1">
      <c r="A111" s="31" t="s">
        <v>2776</v>
      </c>
      <c r="B111" s="60"/>
    </row>
    <row r="112" spans="1:2" hidden="1">
      <c r="A112" s="31" t="s">
        <v>2932</v>
      </c>
      <c r="B112" s="60"/>
    </row>
    <row r="113" spans="1:2" hidden="1">
      <c r="A113" s="31" t="s">
        <v>2933</v>
      </c>
      <c r="B113" s="60"/>
    </row>
    <row r="114" spans="1:2" hidden="1">
      <c r="A114" s="31" t="s">
        <v>2934</v>
      </c>
      <c r="B114" s="60"/>
    </row>
    <row r="115" spans="1:2" hidden="1">
      <c r="A115" s="149" t="s">
        <v>2935</v>
      </c>
      <c r="B115" s="60"/>
    </row>
    <row r="116" spans="1:2" hidden="1">
      <c r="A116" s="149" t="s">
        <v>1998</v>
      </c>
      <c r="B116" s="60"/>
    </row>
    <row r="117" spans="1:2" hidden="1">
      <c r="A117" s="149" t="s">
        <v>2936</v>
      </c>
      <c r="B117" s="60"/>
    </row>
    <row r="118" spans="1:2" hidden="1">
      <c r="A118" s="152" t="s">
        <v>2937</v>
      </c>
      <c r="B118" s="60"/>
    </row>
    <row r="119" spans="1:2" hidden="1">
      <c r="A119" s="31" t="s">
        <v>2938</v>
      </c>
      <c r="B119" s="60"/>
    </row>
    <row r="120" spans="1:2" hidden="1">
      <c r="A120" s="31" t="s">
        <v>2939</v>
      </c>
      <c r="B120" s="60"/>
    </row>
    <row r="121" spans="1:2" hidden="1">
      <c r="A121" s="340" t="s">
        <v>2940</v>
      </c>
      <c r="B121" s="60"/>
    </row>
    <row r="122" spans="1:2" hidden="1">
      <c r="A122" s="797" t="s">
        <v>2941</v>
      </c>
      <c r="B122" s="797"/>
    </row>
    <row r="123" spans="1:2" hidden="1">
      <c r="A123" t="s">
        <v>2942</v>
      </c>
      <c r="B123" s="60"/>
    </row>
    <row r="124" spans="1:2" hidden="1">
      <c r="A124" s="31" t="s">
        <v>2943</v>
      </c>
      <c r="B124" s="60"/>
    </row>
    <row r="125" spans="1:2" hidden="1">
      <c r="A125" s="31" t="s">
        <v>2944</v>
      </c>
      <c r="B125" s="60"/>
    </row>
    <row r="126" spans="1:2" hidden="1">
      <c r="A126" s="31" t="s">
        <v>2945</v>
      </c>
      <c r="B126" s="60"/>
    </row>
    <row r="127" spans="1:2" hidden="1">
      <c r="A127" s="31" t="s">
        <v>2946</v>
      </c>
      <c r="B127" s="60"/>
    </row>
    <row r="128" spans="1:2" hidden="1">
      <c r="A128" s="31" t="s">
        <v>2947</v>
      </c>
      <c r="B128" s="60"/>
    </row>
    <row r="129" spans="1:2" hidden="1">
      <c r="A129" s="31" t="s">
        <v>2948</v>
      </c>
      <c r="B129" s="60"/>
    </row>
    <row r="130" spans="1:2" hidden="1">
      <c r="A130" s="31" t="s">
        <v>2924</v>
      </c>
      <c r="B130" s="60"/>
    </row>
    <row r="131" spans="1:2" hidden="1">
      <c r="A131" s="31" t="s">
        <v>2949</v>
      </c>
      <c r="B131" s="60"/>
    </row>
    <row r="132" spans="1:2" hidden="1">
      <c r="A132" s="31" t="s">
        <v>2950</v>
      </c>
      <c r="B132" s="60"/>
    </row>
    <row r="133" spans="1:2" hidden="1">
      <c r="A133" s="31" t="s">
        <v>2951</v>
      </c>
      <c r="B133" s="60"/>
    </row>
    <row r="134" spans="1:2" hidden="1">
      <c r="A134" s="31" t="s">
        <v>2952</v>
      </c>
      <c r="B134" s="60">
        <v>44637</v>
      </c>
    </row>
    <row r="135" spans="1:2" hidden="1">
      <c r="A135" s="31" t="s">
        <v>2953</v>
      </c>
      <c r="B135" s="60">
        <v>44638</v>
      </c>
    </row>
    <row r="136" spans="1:2" hidden="1">
      <c r="A136" s="31" t="s">
        <v>2953</v>
      </c>
      <c r="B136" s="60">
        <v>44638</v>
      </c>
    </row>
    <row r="137" spans="1:2" hidden="1">
      <c r="A137" s="31" t="s">
        <v>2953</v>
      </c>
      <c r="B137" s="60">
        <v>44638</v>
      </c>
    </row>
    <row r="138" spans="1:2" hidden="1">
      <c r="A138" s="31" t="s">
        <v>2954</v>
      </c>
      <c r="B138" s="60">
        <v>44638</v>
      </c>
    </row>
    <row r="139" spans="1:2" hidden="1">
      <c r="A139" s="31" t="s">
        <v>2955</v>
      </c>
      <c r="B139" s="60">
        <v>44638</v>
      </c>
    </row>
    <row r="140" spans="1:2" hidden="1">
      <c r="A140" s="31" t="s">
        <v>2956</v>
      </c>
      <c r="B140" s="60">
        <v>44644</v>
      </c>
    </row>
    <row r="141" spans="1:2" hidden="1">
      <c r="A141" s="31" t="s">
        <v>2957</v>
      </c>
      <c r="B141" s="60">
        <v>44649</v>
      </c>
    </row>
    <row r="142" spans="1:2" hidden="1">
      <c r="A142" s="31" t="s">
        <v>2957</v>
      </c>
      <c r="B142" s="60"/>
    </row>
    <row r="143" spans="1:2" hidden="1">
      <c r="A143" s="31" t="s">
        <v>2958</v>
      </c>
      <c r="B143" s="60"/>
    </row>
    <row r="144" spans="1:2" hidden="1">
      <c r="A144" s="31" t="s">
        <v>2959</v>
      </c>
      <c r="B144" s="60"/>
    </row>
    <row r="145" spans="1:2" hidden="1">
      <c r="A145" s="31" t="s">
        <v>2960</v>
      </c>
      <c r="B145" s="60"/>
    </row>
    <row r="146" spans="1:2" hidden="1">
      <c r="A146" s="31" t="s">
        <v>2961</v>
      </c>
      <c r="B146" s="60"/>
    </row>
    <row r="147" spans="1:2" hidden="1">
      <c r="A147" s="797" t="s">
        <v>2962</v>
      </c>
      <c r="B147" s="797"/>
    </row>
    <row r="148" spans="1:2" hidden="1">
      <c r="A148" s="31" t="s">
        <v>2963</v>
      </c>
      <c r="B148" s="60"/>
    </row>
    <row r="149" spans="1:2" hidden="1">
      <c r="A149" s="31" t="s">
        <v>2964</v>
      </c>
      <c r="B149" s="60"/>
    </row>
    <row r="150" spans="1:2" hidden="1">
      <c r="A150" s="31" t="s">
        <v>2965</v>
      </c>
      <c r="B150" s="60"/>
    </row>
    <row r="151" spans="1:2" hidden="1">
      <c r="A151" s="31" t="s">
        <v>1689</v>
      </c>
      <c r="B151" s="60"/>
    </row>
    <row r="152" spans="1:2" hidden="1">
      <c r="A152" s="31" t="s">
        <v>2966</v>
      </c>
      <c r="B152" s="60"/>
    </row>
    <row r="153" spans="1:2" hidden="1">
      <c r="A153" t="s">
        <v>2967</v>
      </c>
      <c r="B153" s="60"/>
    </row>
    <row r="154" spans="1:2" hidden="1">
      <c r="A154" s="31" t="s">
        <v>2968</v>
      </c>
      <c r="B154" s="60"/>
    </row>
    <row r="155" spans="1:2" hidden="1">
      <c r="A155" s="31" t="s">
        <v>2969</v>
      </c>
      <c r="B155" s="60"/>
    </row>
    <row r="156" spans="1:2" hidden="1">
      <c r="A156" s="31" t="s">
        <v>2970</v>
      </c>
      <c r="B156" s="60"/>
    </row>
    <row r="157" spans="1:2" hidden="1">
      <c r="A157" s="31" t="s">
        <v>2971</v>
      </c>
      <c r="B157" s="60"/>
    </row>
    <row r="158" spans="1:2" hidden="1">
      <c r="A158" s="31" t="s">
        <v>2972</v>
      </c>
      <c r="B158" s="60"/>
    </row>
    <row r="159" spans="1:2" hidden="1">
      <c r="A159" s="31" t="s">
        <v>2973</v>
      </c>
      <c r="B159" s="60"/>
    </row>
    <row r="160" spans="1:2" hidden="1">
      <c r="A160" s="31" t="s">
        <v>2974</v>
      </c>
      <c r="B160" s="60"/>
    </row>
    <row r="161" spans="1:2" hidden="1">
      <c r="A161" s="31" t="s">
        <v>2975</v>
      </c>
      <c r="B161" s="60"/>
    </row>
    <row r="162" spans="1:2" hidden="1">
      <c r="A162" s="31" t="s">
        <v>2976</v>
      </c>
      <c r="B162" s="60" t="s">
        <v>2977</v>
      </c>
    </row>
    <row r="163" spans="1:2" hidden="1">
      <c r="A163" s="31" t="s">
        <v>2978</v>
      </c>
      <c r="B163" s="60"/>
    </row>
    <row r="164" spans="1:2" hidden="1">
      <c r="A164" s="31" t="s">
        <v>2979</v>
      </c>
      <c r="B164" s="60"/>
    </row>
    <row r="165" spans="1:2" ht="11.25" customHeight="1">
      <c r="A165" s="31" t="s">
        <v>465</v>
      </c>
      <c r="B165" s="60" t="s">
        <v>2855</v>
      </c>
    </row>
    <row r="166" spans="1:2">
      <c r="A166" s="31" t="s">
        <v>2212</v>
      </c>
      <c r="B166" s="60" t="s">
        <v>2870</v>
      </c>
    </row>
    <row r="167" spans="1:2">
      <c r="A167" s="31" t="s">
        <v>2923</v>
      </c>
      <c r="B167" s="60" t="s">
        <v>2855</v>
      </c>
    </row>
    <row r="168" spans="1:2">
      <c r="A168" s="31" t="s">
        <v>2980</v>
      </c>
      <c r="B168" s="60" t="s">
        <v>2855</v>
      </c>
    </row>
    <row r="169" spans="1:2">
      <c r="A169" s="31" t="s">
        <v>2981</v>
      </c>
      <c r="B169" s="60" t="s">
        <v>2855</v>
      </c>
    </row>
    <row r="170" spans="1:2">
      <c r="A170" t="s">
        <v>2982</v>
      </c>
      <c r="B170" s="60" t="s">
        <v>2983</v>
      </c>
    </row>
    <row r="171" spans="1:2">
      <c r="A171" s="31" t="s">
        <v>2984</v>
      </c>
      <c r="B171" s="60" t="s">
        <v>2855</v>
      </c>
    </row>
    <row r="172" spans="1:2">
      <c r="A172" s="31" t="s">
        <v>456</v>
      </c>
      <c r="B172" s="60" t="s">
        <v>2855</v>
      </c>
    </row>
    <row r="173" spans="1:2">
      <c r="A173" s="31" t="s">
        <v>2985</v>
      </c>
      <c r="B173" s="60" t="s">
        <v>2986</v>
      </c>
    </row>
    <row r="174" spans="1:2">
      <c r="A174" s="31" t="s">
        <v>2987</v>
      </c>
      <c r="B174" s="60" t="s">
        <v>2855</v>
      </c>
    </row>
    <row r="175" spans="1:2">
      <c r="A175" s="31" t="s">
        <v>2988</v>
      </c>
      <c r="B175" s="60" t="s">
        <v>2855</v>
      </c>
    </row>
    <row r="176" spans="1:2">
      <c r="A176" s="31" t="s">
        <v>2989</v>
      </c>
      <c r="B176" s="60" t="s">
        <v>2870</v>
      </c>
    </row>
    <row r="177" spans="1:2">
      <c r="A177" s="17" t="s">
        <v>2990</v>
      </c>
      <c r="B177" s="60" t="s">
        <v>2870</v>
      </c>
    </row>
    <row r="178" spans="1:2">
      <c r="A178" s="17" t="s">
        <v>2991</v>
      </c>
      <c r="B178" s="60" t="s">
        <v>2860</v>
      </c>
    </row>
    <row r="179" spans="1:2">
      <c r="A179" s="17" t="s">
        <v>2992</v>
      </c>
      <c r="B179" s="60" t="s">
        <v>2860</v>
      </c>
    </row>
    <row r="180" spans="1:2">
      <c r="A180" s="17" t="s">
        <v>2993</v>
      </c>
      <c r="B180" s="60" t="s">
        <v>1163</v>
      </c>
    </row>
    <row r="181" spans="1:2">
      <c r="A181" s="17" t="s">
        <v>2994</v>
      </c>
      <c r="B181" s="60" t="s">
        <v>2860</v>
      </c>
    </row>
    <row r="182" spans="1:2">
      <c r="A182" s="22" t="s">
        <v>1304</v>
      </c>
      <c r="B182" s="60" t="s">
        <v>1163</v>
      </c>
    </row>
    <row r="183" spans="1:2">
      <c r="A183" s="17" t="s">
        <v>2995</v>
      </c>
      <c r="B183" s="60" t="s">
        <v>2860</v>
      </c>
    </row>
    <row r="184" spans="1:2">
      <c r="A184" s="17" t="s">
        <v>2996</v>
      </c>
      <c r="B184" s="60" t="s">
        <v>2860</v>
      </c>
    </row>
    <row r="185" spans="1:2">
      <c r="A185" s="22" t="s">
        <v>2997</v>
      </c>
      <c r="B185" s="60" t="s">
        <v>2860</v>
      </c>
    </row>
    <row r="186" spans="1:2">
      <c r="A186" s="17" t="s">
        <v>2998</v>
      </c>
      <c r="B186" s="60" t="s">
        <v>2860</v>
      </c>
    </row>
    <row r="187" spans="1:2">
      <c r="A187" s="17" t="s">
        <v>2999</v>
      </c>
      <c r="B187" s="60" t="s">
        <v>1163</v>
      </c>
    </row>
    <row r="188" spans="1:2">
      <c r="A188" s="17" t="s">
        <v>3000</v>
      </c>
      <c r="B188" s="60" t="s">
        <v>2860</v>
      </c>
    </row>
    <row r="189" spans="1:2">
      <c r="A189" s="17" t="s">
        <v>3001</v>
      </c>
      <c r="B189" s="60" t="s">
        <v>2860</v>
      </c>
    </row>
    <row r="190" spans="1:2">
      <c r="A190" s="17" t="s">
        <v>3002</v>
      </c>
      <c r="B190" s="60" t="s">
        <v>2860</v>
      </c>
    </row>
    <row r="191" spans="1:2">
      <c r="A191" s="17" t="s">
        <v>3003</v>
      </c>
      <c r="B191" s="60" t="s">
        <v>2860</v>
      </c>
    </row>
    <row r="192" spans="1:2">
      <c r="A192" s="17" t="s">
        <v>2828</v>
      </c>
      <c r="B192" s="60" t="s">
        <v>2860</v>
      </c>
    </row>
    <row r="193" spans="1:2">
      <c r="A193" s="17" t="s">
        <v>3004</v>
      </c>
      <c r="B193" s="60" t="s">
        <v>1163</v>
      </c>
    </row>
    <row r="194" spans="1:2">
      <c r="A194" s="17" t="s">
        <v>3005</v>
      </c>
      <c r="B194" s="60" t="s">
        <v>2860</v>
      </c>
    </row>
    <row r="195" spans="1:2">
      <c r="A195" s="17" t="s">
        <v>3006</v>
      </c>
      <c r="B195" s="60" t="s">
        <v>1163</v>
      </c>
    </row>
    <row r="196" spans="1:2">
      <c r="A196" s="17" t="s">
        <v>3007</v>
      </c>
      <c r="B196" s="60" t="s">
        <v>2860</v>
      </c>
    </row>
    <row r="197" spans="1:2">
      <c r="A197" s="17" t="s">
        <v>3008</v>
      </c>
      <c r="B197" s="60" t="s">
        <v>2860</v>
      </c>
    </row>
    <row r="198" spans="1:2">
      <c r="A198" s="17" t="s">
        <v>3009</v>
      </c>
      <c r="B198" s="60" t="s">
        <v>1163</v>
      </c>
    </row>
    <row r="199" spans="1:2">
      <c r="A199" s="17" t="s">
        <v>3010</v>
      </c>
      <c r="B199" s="60" t="s">
        <v>2860</v>
      </c>
    </row>
    <row r="200" spans="1:2">
      <c r="A200" s="17" t="s">
        <v>3011</v>
      </c>
      <c r="B200" s="60" t="s">
        <v>2860</v>
      </c>
    </row>
    <row r="201" spans="1:2">
      <c r="A201" s="17" t="s">
        <v>3012</v>
      </c>
      <c r="B201" s="60" t="s">
        <v>2860</v>
      </c>
    </row>
    <row r="202" spans="1:2">
      <c r="A202" s="17" t="s">
        <v>2990</v>
      </c>
      <c r="B202" s="60" t="s">
        <v>1163</v>
      </c>
    </row>
    <row r="203" spans="1:2">
      <c r="A203" s="17" t="s">
        <v>3013</v>
      </c>
      <c r="B203" s="60" t="s">
        <v>2860</v>
      </c>
    </row>
    <row r="204" spans="1:2">
      <c r="A204" s="17" t="s">
        <v>3014</v>
      </c>
      <c r="B204" s="60" t="s">
        <v>2860</v>
      </c>
    </row>
    <row r="205" spans="1:2">
      <c r="A205" s="17" t="s">
        <v>1766</v>
      </c>
      <c r="B205" s="60" t="s">
        <v>2860</v>
      </c>
    </row>
    <row r="206" spans="1:2">
      <c r="A206" s="17" t="s">
        <v>2747</v>
      </c>
      <c r="B206" s="60" t="s">
        <v>2860</v>
      </c>
    </row>
    <row r="207" spans="1:2">
      <c r="A207" s="22" t="s">
        <v>3015</v>
      </c>
      <c r="B207" s="60" t="s">
        <v>2860</v>
      </c>
    </row>
    <row r="208" spans="1:2">
      <c r="A208" s="17" t="s">
        <v>3016</v>
      </c>
      <c r="B208" s="60" t="s">
        <v>1163</v>
      </c>
    </row>
    <row r="209" spans="1:2">
      <c r="A209" s="17" t="s">
        <v>3017</v>
      </c>
      <c r="B209" s="60" t="s">
        <v>2860</v>
      </c>
    </row>
    <row r="210" spans="1:2">
      <c r="A210" s="22" t="s">
        <v>350</v>
      </c>
      <c r="B210" s="60" t="s">
        <v>2860</v>
      </c>
    </row>
    <row r="211" spans="1:2">
      <c r="A211" s="192" t="s">
        <v>3018</v>
      </c>
      <c r="B211" s="60" t="s">
        <v>2860</v>
      </c>
    </row>
    <row r="212" spans="1:2">
      <c r="A212" s="192" t="s">
        <v>3019</v>
      </c>
      <c r="B212" s="60" t="s">
        <v>2860</v>
      </c>
    </row>
    <row r="213" spans="1:2">
      <c r="A213" s="192" t="s">
        <v>3020</v>
      </c>
      <c r="B213" s="60" t="s">
        <v>2860</v>
      </c>
    </row>
    <row r="214" spans="1:2">
      <c r="A214" s="108" t="s">
        <v>3021</v>
      </c>
      <c r="B214" s="579" t="s">
        <v>3022</v>
      </c>
    </row>
    <row r="215" spans="1:2">
      <c r="A215" s="192" t="s">
        <v>3023</v>
      </c>
      <c r="B215" s="60" t="s">
        <v>3024</v>
      </c>
    </row>
    <row r="216" spans="1:2">
      <c r="A216" s="192" t="s">
        <v>3025</v>
      </c>
      <c r="B216" s="60" t="s">
        <v>1163</v>
      </c>
    </row>
    <row r="217" spans="1:2">
      <c r="A217" s="22" t="s">
        <v>3026</v>
      </c>
      <c r="B217" s="60" t="s">
        <v>3024</v>
      </c>
    </row>
    <row r="218" spans="1:2">
      <c r="A218" s="192" t="s">
        <v>3027</v>
      </c>
      <c r="B218" s="60" t="s">
        <v>3024</v>
      </c>
    </row>
    <row r="219" spans="1:2">
      <c r="A219" s="192" t="s">
        <v>350</v>
      </c>
      <c r="B219" s="60" t="s">
        <v>3024</v>
      </c>
    </row>
    <row r="220" spans="1:2">
      <c r="A220" s="192" t="s">
        <v>3028</v>
      </c>
      <c r="B220" s="60" t="s">
        <v>1163</v>
      </c>
    </row>
    <row r="221" spans="1:2">
      <c r="A221" s="192" t="s">
        <v>3029</v>
      </c>
      <c r="B221" s="60" t="s">
        <v>3024</v>
      </c>
    </row>
    <row r="222" spans="1:2">
      <c r="A222" s="192" t="s">
        <v>3030</v>
      </c>
      <c r="B222" s="60" t="s">
        <v>1163</v>
      </c>
    </row>
    <row r="223" spans="1:2">
      <c r="A223" s="192" t="s">
        <v>3031</v>
      </c>
      <c r="B223" s="60" t="s">
        <v>3024</v>
      </c>
    </row>
    <row r="224" spans="1:2">
      <c r="A224" s="192" t="s">
        <v>3032</v>
      </c>
      <c r="B224" s="60" t="s">
        <v>3024</v>
      </c>
    </row>
    <row r="225" spans="1:2">
      <c r="A225" s="192" t="s">
        <v>3033</v>
      </c>
      <c r="B225" s="60" t="s">
        <v>3024</v>
      </c>
    </row>
    <row r="226" spans="1:2">
      <c r="A226" s="192" t="s">
        <v>3034</v>
      </c>
      <c r="B226" s="60" t="s">
        <v>3024</v>
      </c>
    </row>
    <row r="227" spans="1:2">
      <c r="A227" s="192" t="s">
        <v>3035</v>
      </c>
      <c r="B227" s="60" t="s">
        <v>3024</v>
      </c>
    </row>
    <row r="228" spans="1:2">
      <c r="A228" s="192" t="s">
        <v>3036</v>
      </c>
      <c r="B228" s="60" t="s">
        <v>3024</v>
      </c>
    </row>
    <row r="229" spans="1:2">
      <c r="A229" s="192" t="s">
        <v>3037</v>
      </c>
      <c r="B229" s="60" t="s">
        <v>1163</v>
      </c>
    </row>
    <row r="230" spans="1:2">
      <c r="A230" s="192" t="s">
        <v>3038</v>
      </c>
      <c r="B230" s="60" t="s">
        <v>3039</v>
      </c>
    </row>
    <row r="231" spans="1:2">
      <c r="A231" s="149" t="s">
        <v>3040</v>
      </c>
      <c r="B231" s="60" t="s">
        <v>3039</v>
      </c>
    </row>
    <row r="232" spans="1:2">
      <c r="A232" s="186" t="s">
        <v>3041</v>
      </c>
      <c r="B232" s="60" t="s">
        <v>3039</v>
      </c>
    </row>
    <row r="233" spans="1:2">
      <c r="A233" s="149" t="s">
        <v>3042</v>
      </c>
      <c r="B233" s="60" t="s">
        <v>3039</v>
      </c>
    </row>
    <row r="234" spans="1:2">
      <c r="A234" s="149" t="s">
        <v>2287</v>
      </c>
      <c r="B234" s="60" t="s">
        <v>3039</v>
      </c>
    </row>
    <row r="235" spans="1:2">
      <c r="A235" s="187" t="s">
        <v>88</v>
      </c>
      <c r="B235" s="60" t="s">
        <v>1163</v>
      </c>
    </row>
    <row r="236" spans="1:2">
      <c r="A236" s="149" t="s">
        <v>3043</v>
      </c>
      <c r="B236" s="60" t="s">
        <v>1163</v>
      </c>
    </row>
    <row r="237" spans="1:2">
      <c r="A237" s="149" t="s">
        <v>3044</v>
      </c>
      <c r="B237" s="60" t="s">
        <v>1163</v>
      </c>
    </row>
    <row r="238" spans="1:2">
      <c r="A238" s="149" t="s">
        <v>3045</v>
      </c>
      <c r="B238" s="60" t="s">
        <v>3039</v>
      </c>
    </row>
    <row r="239" spans="1:2">
      <c r="A239" s="149" t="s">
        <v>3046</v>
      </c>
      <c r="B239" s="60" t="s">
        <v>1163</v>
      </c>
    </row>
    <row r="240" spans="1:2">
      <c r="A240" s="149" t="s">
        <v>3047</v>
      </c>
      <c r="B240" s="60" t="s">
        <v>1163</v>
      </c>
    </row>
    <row r="241" spans="1:2">
      <c r="A241" s="149" t="s">
        <v>3048</v>
      </c>
      <c r="B241" s="60" t="s">
        <v>1163</v>
      </c>
    </row>
    <row r="242" spans="1:2">
      <c r="A242" s="149" t="s">
        <v>1539</v>
      </c>
      <c r="B242" s="60" t="s">
        <v>3039</v>
      </c>
    </row>
    <row r="243" spans="1:2">
      <c r="A243" s="149" t="s">
        <v>3049</v>
      </c>
      <c r="B243" s="60" t="s">
        <v>1163</v>
      </c>
    </row>
    <row r="244" spans="1:2">
      <c r="A244" t="s">
        <v>3050</v>
      </c>
      <c r="B244" s="60" t="s">
        <v>3039</v>
      </c>
    </row>
    <row r="245" spans="1:2">
      <c r="A245" s="149" t="s">
        <v>3051</v>
      </c>
      <c r="B245" s="60" t="s">
        <v>3039</v>
      </c>
    </row>
    <row r="246" spans="1:2">
      <c r="A246" s="149" t="s">
        <v>3052</v>
      </c>
      <c r="B246" s="60" t="s">
        <v>3039</v>
      </c>
    </row>
    <row r="247" spans="1:2">
      <c r="A247" s="149" t="s">
        <v>3053</v>
      </c>
      <c r="B247" s="60" t="s">
        <v>3039</v>
      </c>
    </row>
    <row r="248" spans="1:2">
      <c r="A248" s="149" t="s">
        <v>3054</v>
      </c>
      <c r="B248" s="60" t="s">
        <v>1163</v>
      </c>
    </row>
    <row r="249" spans="1:2">
      <c r="A249" s="149" t="s">
        <v>3055</v>
      </c>
      <c r="B249" s="60" t="s">
        <v>1163</v>
      </c>
    </row>
    <row r="250" spans="1:2">
      <c r="A250" s="149" t="s">
        <v>3056</v>
      </c>
      <c r="B250" s="60" t="s">
        <v>3039</v>
      </c>
    </row>
    <row r="251" spans="1:2">
      <c r="A251" s="149" t="s">
        <v>3057</v>
      </c>
      <c r="B251" s="60" t="s">
        <v>3039</v>
      </c>
    </row>
    <row r="252" spans="1:2">
      <c r="A252" t="s">
        <v>3058</v>
      </c>
      <c r="B252" s="60" t="s">
        <v>3039</v>
      </c>
    </row>
    <row r="253" spans="1:2">
      <c r="A253" s="295" t="s">
        <v>3059</v>
      </c>
      <c r="B253" s="60" t="s">
        <v>3039</v>
      </c>
    </row>
    <row r="254" spans="1:2">
      <c r="A254" s="149" t="s">
        <v>3060</v>
      </c>
      <c r="B254" s="60" t="s">
        <v>3039</v>
      </c>
    </row>
    <row r="255" spans="1:2">
      <c r="A255" s="295" t="s">
        <v>3061</v>
      </c>
      <c r="B255" s="60" t="s">
        <v>3039</v>
      </c>
    </row>
    <row r="256" spans="1:2">
      <c r="A256" s="283" t="s">
        <v>3062</v>
      </c>
      <c r="B256" s="60" t="s">
        <v>3039</v>
      </c>
    </row>
    <row r="257" spans="1:2">
      <c r="A257" s="295" t="s">
        <v>3063</v>
      </c>
      <c r="B257" s="60" t="s">
        <v>3039</v>
      </c>
    </row>
    <row r="258" spans="1:2">
      <c r="A258" s="149" t="s">
        <v>3064</v>
      </c>
      <c r="B258" s="60" t="s">
        <v>3039</v>
      </c>
    </row>
    <row r="259" spans="1:2">
      <c r="A259" s="149" t="s">
        <v>3065</v>
      </c>
      <c r="B259" s="60" t="s">
        <v>3039</v>
      </c>
    </row>
    <row r="260" spans="1:2">
      <c r="A260" s="149" t="s">
        <v>3066</v>
      </c>
      <c r="B260" s="60" t="s">
        <v>1163</v>
      </c>
    </row>
    <row r="261" spans="1:2">
      <c r="A261" s="149" t="s">
        <v>3067</v>
      </c>
      <c r="B261" s="60" t="s">
        <v>1163</v>
      </c>
    </row>
    <row r="262" spans="1:2">
      <c r="A262" s="149" t="s">
        <v>3068</v>
      </c>
      <c r="B262" s="60" t="s">
        <v>3039</v>
      </c>
    </row>
    <row r="263" spans="1:2">
      <c r="A263" s="149" t="s">
        <v>3069</v>
      </c>
      <c r="B263" s="60" t="s">
        <v>1163</v>
      </c>
    </row>
    <row r="264" spans="1:2">
      <c r="A264" s="149" t="s">
        <v>1545</v>
      </c>
      <c r="B264" s="60" t="s">
        <v>3039</v>
      </c>
    </row>
    <row r="265" spans="1:2">
      <c r="A265" s="149" t="s">
        <v>3070</v>
      </c>
      <c r="B265" s="60" t="s">
        <v>3039</v>
      </c>
    </row>
    <row r="266" spans="1:2">
      <c r="A266" s="149" t="s">
        <v>3071</v>
      </c>
      <c r="B266" s="60" t="s">
        <v>3039</v>
      </c>
    </row>
    <row r="267" spans="1:2">
      <c r="A267" s="149" t="s">
        <v>3072</v>
      </c>
      <c r="B267" s="60" t="s">
        <v>1163</v>
      </c>
    </row>
    <row r="268" spans="1:2">
      <c r="A268" s="149" t="s">
        <v>3073</v>
      </c>
      <c r="B268" s="60" t="s">
        <v>1163</v>
      </c>
    </row>
    <row r="269" spans="1:2">
      <c r="A269" s="149" t="s">
        <v>1809</v>
      </c>
      <c r="B269" s="60" t="s">
        <v>3039</v>
      </c>
    </row>
    <row r="270" spans="1:2">
      <c r="A270" s="192" t="s">
        <v>3074</v>
      </c>
      <c r="B270" s="60" t="s">
        <v>3039</v>
      </c>
    </row>
    <row r="271" spans="1:2">
      <c r="A271" s="192" t="s">
        <v>3075</v>
      </c>
      <c r="B271" s="60" t="s">
        <v>3039</v>
      </c>
    </row>
    <row r="272" spans="1:2">
      <c r="A272" s="192" t="s">
        <v>3076</v>
      </c>
      <c r="B272" s="60" t="s">
        <v>3039</v>
      </c>
    </row>
    <row r="273" spans="1:2">
      <c r="A273" s="192" t="s">
        <v>3077</v>
      </c>
      <c r="B273" s="60" t="s">
        <v>3039</v>
      </c>
    </row>
    <row r="274" spans="1:2">
      <c r="A274" s="192" t="s">
        <v>3078</v>
      </c>
      <c r="B274" s="60" t="s">
        <v>3039</v>
      </c>
    </row>
    <row r="275" spans="1:2">
      <c r="A275" s="192" t="s">
        <v>3079</v>
      </c>
      <c r="B275" s="60" t="s">
        <v>3039</v>
      </c>
    </row>
    <row r="276" spans="1:2">
      <c r="A276" s="192" t="s">
        <v>3080</v>
      </c>
      <c r="B276" s="60" t="s">
        <v>3039</v>
      </c>
    </row>
    <row r="277" spans="1:2">
      <c r="A277" s="192" t="s">
        <v>3081</v>
      </c>
      <c r="B277" s="60" t="s">
        <v>3039</v>
      </c>
    </row>
    <row r="278" spans="1:2">
      <c r="A278" s="192" t="s">
        <v>3082</v>
      </c>
      <c r="B278" s="60" t="s">
        <v>3039</v>
      </c>
    </row>
    <row r="279" spans="1:2">
      <c r="A279" s="192" t="s">
        <v>3083</v>
      </c>
      <c r="B279" s="60" t="s">
        <v>1163</v>
      </c>
    </row>
    <row r="280" spans="1:2">
      <c r="A280" s="269" t="s">
        <v>3084</v>
      </c>
      <c r="B280" s="60" t="s">
        <v>3039</v>
      </c>
    </row>
    <row r="281" spans="1:2">
      <c r="A281" s="192" t="s">
        <v>3085</v>
      </c>
      <c r="B281" s="60" t="s">
        <v>3039</v>
      </c>
    </row>
    <row r="282" spans="1:2">
      <c r="A282" s="192" t="s">
        <v>2798</v>
      </c>
      <c r="B282" s="60" t="s">
        <v>3039</v>
      </c>
    </row>
    <row r="283" spans="1:2">
      <c r="A283" s="192" t="s">
        <v>3086</v>
      </c>
      <c r="B283" s="60" t="s">
        <v>3039</v>
      </c>
    </row>
    <row r="284" spans="1:2">
      <c r="A284" s="192" t="s">
        <v>1989</v>
      </c>
      <c r="B284" s="60" t="s">
        <v>3039</v>
      </c>
    </row>
    <row r="285" spans="1:2">
      <c r="A285" s="192" t="s">
        <v>3087</v>
      </c>
      <c r="B285" s="60" t="s">
        <v>3039</v>
      </c>
    </row>
    <row r="286" spans="1:2">
      <c r="A286" s="192" t="s">
        <v>3088</v>
      </c>
      <c r="B286" s="60" t="s">
        <v>3039</v>
      </c>
    </row>
    <row r="287" spans="1:2">
      <c r="A287" s="192" t="s">
        <v>3089</v>
      </c>
      <c r="B287" s="60" t="s">
        <v>3039</v>
      </c>
    </row>
    <row r="288" spans="1:2">
      <c r="A288" s="192" t="s">
        <v>3090</v>
      </c>
      <c r="B288" s="60" t="s">
        <v>1163</v>
      </c>
    </row>
    <row r="289" spans="1:2">
      <c r="A289" s="192" t="s">
        <v>3091</v>
      </c>
      <c r="B289" s="60" t="s">
        <v>3039</v>
      </c>
    </row>
    <row r="290" spans="1:2">
      <c r="A290" s="192" t="s">
        <v>3092</v>
      </c>
      <c r="B290" s="60" t="s">
        <v>3039</v>
      </c>
    </row>
    <row r="291" spans="1:2" ht="15.75">
      <c r="A291" s="744" t="s">
        <v>3093</v>
      </c>
      <c r="B291" s="60" t="s">
        <v>3039</v>
      </c>
    </row>
    <row r="292" spans="1:2">
      <c r="A292" s="192" t="s">
        <v>3094</v>
      </c>
      <c r="B292" s="60" t="s">
        <v>3039</v>
      </c>
    </row>
    <row r="293" spans="1:2">
      <c r="A293" s="192" t="s">
        <v>3095</v>
      </c>
      <c r="B293" s="60" t="s">
        <v>3039</v>
      </c>
    </row>
    <row r="294" spans="1:2">
      <c r="A294" s="269" t="s">
        <v>3096</v>
      </c>
      <c r="B294" s="60" t="s">
        <v>1163</v>
      </c>
    </row>
    <row r="295" spans="1:2">
      <c r="A295" s="192" t="s">
        <v>3097</v>
      </c>
      <c r="B295" s="60" t="s">
        <v>3098</v>
      </c>
    </row>
    <row r="296" spans="1:2">
      <c r="A296" s="192" t="s">
        <v>3099</v>
      </c>
      <c r="B296" s="60" t="s">
        <v>3098</v>
      </c>
    </row>
    <row r="297" spans="1:2">
      <c r="A297" s="192" t="s">
        <v>3100</v>
      </c>
      <c r="B297" s="60" t="s">
        <v>1163</v>
      </c>
    </row>
    <row r="298" spans="1:2">
      <c r="A298" s="192" t="s">
        <v>3101</v>
      </c>
      <c r="B298" s="60" t="s">
        <v>1163</v>
      </c>
    </row>
    <row r="299" spans="1:2">
      <c r="A299" s="149" t="s">
        <v>3102</v>
      </c>
      <c r="B299" s="60" t="s">
        <v>1163</v>
      </c>
    </row>
    <row r="300" spans="1:2">
      <c r="A300" s="149" t="s">
        <v>3103</v>
      </c>
      <c r="B300" s="60" t="s">
        <v>3098</v>
      </c>
    </row>
    <row r="301" spans="1:2">
      <c r="A301" s="149" t="s">
        <v>3104</v>
      </c>
      <c r="B301" s="60" t="s">
        <v>1163</v>
      </c>
    </row>
    <row r="302" spans="1:2">
      <c r="A302" s="149" t="s">
        <v>3105</v>
      </c>
      <c r="B302" s="60" t="s">
        <v>1163</v>
      </c>
    </row>
    <row r="303" spans="1:2">
      <c r="A303" s="149" t="s">
        <v>3106</v>
      </c>
      <c r="B303" s="60" t="s">
        <v>1163</v>
      </c>
    </row>
    <row r="304" spans="1:2">
      <c r="A304" s="149" t="s">
        <v>3107</v>
      </c>
      <c r="B304" s="60" t="s">
        <v>3098</v>
      </c>
    </row>
    <row r="305" spans="1:2">
      <c r="A305" s="149" t="s">
        <v>3108</v>
      </c>
      <c r="B305" s="60" t="s">
        <v>3109</v>
      </c>
    </row>
    <row r="306" spans="1:2">
      <c r="A306" s="149" t="s">
        <v>3110</v>
      </c>
      <c r="B306" s="60" t="s">
        <v>3098</v>
      </c>
    </row>
    <row r="307" spans="1:2">
      <c r="A307" s="149" t="s">
        <v>3111</v>
      </c>
      <c r="B307" s="60" t="s">
        <v>3112</v>
      </c>
    </row>
    <row r="308" spans="1:2">
      <c r="A308" s="149" t="s">
        <v>3113</v>
      </c>
      <c r="B308" s="60" t="s">
        <v>3112</v>
      </c>
    </row>
    <row r="309" spans="1:2">
      <c r="A309" s="149" t="s">
        <v>3090</v>
      </c>
      <c r="B309" s="60" t="s">
        <v>1163</v>
      </c>
    </row>
    <row r="310" spans="1:2">
      <c r="A310" t="s">
        <v>658</v>
      </c>
      <c r="B310" s="60" t="s">
        <v>1163</v>
      </c>
    </row>
    <row r="311" spans="1:2">
      <c r="A311" s="149" t="s">
        <v>3114</v>
      </c>
      <c r="B311" s="60" t="s">
        <v>1163</v>
      </c>
    </row>
    <row r="312" spans="1:2">
      <c r="A312" s="149" t="s">
        <v>3115</v>
      </c>
      <c r="B312" s="60" t="s">
        <v>3112</v>
      </c>
    </row>
    <row r="313" spans="1:2">
      <c r="A313" s="149" t="s">
        <v>3116</v>
      </c>
      <c r="B313" s="60" t="s">
        <v>3112</v>
      </c>
    </row>
    <row r="314" spans="1:2">
      <c r="A314" s="149" t="s">
        <v>3117</v>
      </c>
      <c r="B314" s="60" t="s">
        <v>1163</v>
      </c>
    </row>
    <row r="315" spans="1:2">
      <c r="A315" s="149" t="s">
        <v>3118</v>
      </c>
      <c r="B315" s="60" t="s">
        <v>3112</v>
      </c>
    </row>
    <row r="316" spans="1:2">
      <c r="A316" s="149" t="s">
        <v>3119</v>
      </c>
      <c r="B316" s="60" t="s">
        <v>3112</v>
      </c>
    </row>
    <row r="317" spans="1:2">
      <c r="A317" s="149" t="s">
        <v>3120</v>
      </c>
      <c r="B317" s="60" t="s">
        <v>3112</v>
      </c>
    </row>
    <row r="318" spans="1:2">
      <c r="A318" s="149" t="s">
        <v>3121</v>
      </c>
      <c r="B318" s="60" t="s">
        <v>3112</v>
      </c>
    </row>
    <row r="319" spans="1:2">
      <c r="A319" s="149" t="s">
        <v>3122</v>
      </c>
      <c r="B319" s="60" t="s">
        <v>3112</v>
      </c>
    </row>
    <row r="320" spans="1:2">
      <c r="A320" s="149" t="s">
        <v>3123</v>
      </c>
      <c r="B320" s="60" t="s">
        <v>1163</v>
      </c>
    </row>
    <row r="321" spans="1:2">
      <c r="A321" s="149" t="s">
        <v>3124</v>
      </c>
      <c r="B321" s="60" t="s">
        <v>3112</v>
      </c>
    </row>
    <row r="322" spans="1:2">
      <c r="A322" t="s">
        <v>3125</v>
      </c>
      <c r="B322" s="60" t="s">
        <v>3112</v>
      </c>
    </row>
    <row r="323" spans="1:2">
      <c r="A323" s="149" t="s">
        <v>3126</v>
      </c>
      <c r="B323" s="60" t="s">
        <v>3112</v>
      </c>
    </row>
    <row r="324" spans="1:2">
      <c r="A324" s="149" t="s">
        <v>3127</v>
      </c>
      <c r="B324" s="60" t="s">
        <v>3112</v>
      </c>
    </row>
    <row r="325" spans="1:2">
      <c r="A325" s="149" t="s">
        <v>3128</v>
      </c>
      <c r="B325" s="60" t="s">
        <v>3112</v>
      </c>
    </row>
    <row r="326" spans="1:2">
      <c r="A326" s="192" t="s">
        <v>3129</v>
      </c>
      <c r="B326" s="60" t="s">
        <v>3112</v>
      </c>
    </row>
    <row r="327" spans="1:2">
      <c r="A327" s="519" t="s">
        <v>3130</v>
      </c>
      <c r="B327" s="60" t="s">
        <v>3112</v>
      </c>
    </row>
    <row r="328" spans="1:2">
      <c r="A328" s="519" t="s">
        <v>3131</v>
      </c>
      <c r="B328" s="60" t="s">
        <v>2983</v>
      </c>
    </row>
    <row r="329" spans="1:2">
      <c r="A329" s="519" t="s">
        <v>3132</v>
      </c>
      <c r="B329" s="60" t="s">
        <v>1163</v>
      </c>
    </row>
    <row r="330" spans="1:2">
      <c r="A330" s="519" t="s">
        <v>3133</v>
      </c>
      <c r="B330" s="60" t="s">
        <v>3109</v>
      </c>
    </row>
    <row r="331" spans="1:2">
      <c r="A331" s="519" t="s">
        <v>3134</v>
      </c>
      <c r="B331" s="60" t="s">
        <v>3112</v>
      </c>
    </row>
    <row r="332" spans="1:2">
      <c r="A332" s="519" t="s">
        <v>3135</v>
      </c>
      <c r="B332" s="60" t="s">
        <v>1163</v>
      </c>
    </row>
    <row r="333" spans="1:2">
      <c r="A333" s="22" t="s">
        <v>2936</v>
      </c>
      <c r="B333" s="60" t="s">
        <v>3112</v>
      </c>
    </row>
    <row r="334" spans="1:2">
      <c r="A334" s="192" t="s">
        <v>3136</v>
      </c>
      <c r="B334" s="60" t="s">
        <v>3112</v>
      </c>
    </row>
    <row r="335" spans="1:2">
      <c r="A335" s="192" t="s">
        <v>3137</v>
      </c>
      <c r="B335" s="60" t="s">
        <v>3112</v>
      </c>
    </row>
    <row r="336" spans="1:2">
      <c r="A336" s="192" t="s">
        <v>3138</v>
      </c>
      <c r="B336" s="60" t="s">
        <v>3112</v>
      </c>
    </row>
    <row r="337" spans="1:2">
      <c r="A337" s="192" t="s">
        <v>3139</v>
      </c>
      <c r="B337" s="60" t="s">
        <v>3112</v>
      </c>
    </row>
    <row r="338" spans="1:2">
      <c r="A338" s="192" t="s">
        <v>3140</v>
      </c>
      <c r="B338" s="60" t="s">
        <v>3112</v>
      </c>
    </row>
    <row r="339" spans="1:2">
      <c r="A339" s="192" t="s">
        <v>3141</v>
      </c>
      <c r="B339" s="60" t="s">
        <v>3112</v>
      </c>
    </row>
    <row r="340" spans="1:2">
      <c r="A340" s="192" t="s">
        <v>3142</v>
      </c>
      <c r="B340" s="60" t="s">
        <v>3112</v>
      </c>
    </row>
    <row r="341" spans="1:2">
      <c r="A341" s="192" t="s">
        <v>3143</v>
      </c>
      <c r="B341" s="60" t="s">
        <v>3112</v>
      </c>
    </row>
    <row r="342" spans="1:2">
      <c r="A342" s="192" t="s">
        <v>3144</v>
      </c>
      <c r="B342" s="60" t="s">
        <v>2844</v>
      </c>
    </row>
    <row r="343" spans="1:2">
      <c r="A343" s="192" t="s">
        <v>3145</v>
      </c>
      <c r="B343" s="60" t="s">
        <v>3112</v>
      </c>
    </row>
    <row r="344" spans="1:2">
      <c r="A344" s="108" t="s">
        <v>3146</v>
      </c>
      <c r="B344" s="579" t="s">
        <v>3112</v>
      </c>
    </row>
    <row r="345" spans="1:2">
      <c r="A345" s="192" t="s">
        <v>3147</v>
      </c>
      <c r="B345" s="60" t="s">
        <v>2844</v>
      </c>
    </row>
    <row r="346" spans="1:2">
      <c r="A346" s="192" t="s">
        <v>3148</v>
      </c>
      <c r="B346" s="60" t="s">
        <v>3112</v>
      </c>
    </row>
    <row r="347" spans="1:2">
      <c r="A347" s="192" t="s">
        <v>3149</v>
      </c>
      <c r="B347" s="60" t="s">
        <v>3112</v>
      </c>
    </row>
    <row r="348" spans="1:2">
      <c r="A348" s="22" t="s">
        <v>3150</v>
      </c>
      <c r="B348" s="60" t="s">
        <v>3112</v>
      </c>
    </row>
    <row r="349" spans="1:2">
      <c r="A349" s="192" t="s">
        <v>3151</v>
      </c>
      <c r="B349" s="60" t="s">
        <v>3112</v>
      </c>
    </row>
    <row r="350" spans="1:2">
      <c r="A350" s="192" t="s">
        <v>3152</v>
      </c>
      <c r="B350" s="60" t="s">
        <v>3112</v>
      </c>
    </row>
    <row r="351" spans="1:2">
      <c r="A351" s="192" t="s">
        <v>3153</v>
      </c>
      <c r="B351" s="60" t="s">
        <v>1163</v>
      </c>
    </row>
    <row r="352" spans="1:2">
      <c r="A352" s="192" t="s">
        <v>3154</v>
      </c>
      <c r="B352" s="60" t="s">
        <v>3112</v>
      </c>
    </row>
    <row r="353" spans="1:2">
      <c r="A353" s="192" t="s">
        <v>3155</v>
      </c>
      <c r="B353" s="60" t="s">
        <v>3156</v>
      </c>
    </row>
    <row r="354" spans="1:2">
      <c r="A354" s="192" t="s">
        <v>1312</v>
      </c>
      <c r="B354" s="60" t="s">
        <v>3112</v>
      </c>
    </row>
    <row r="355" spans="1:2">
      <c r="A355" s="149" t="s">
        <v>3157</v>
      </c>
      <c r="B355" s="60" t="s">
        <v>3158</v>
      </c>
    </row>
    <row r="356" spans="1:2">
      <c r="A356" s="149" t="s">
        <v>3159</v>
      </c>
      <c r="B356" s="60" t="s">
        <v>1163</v>
      </c>
    </row>
    <row r="357" spans="1:2">
      <c r="A357" s="149" t="s">
        <v>3160</v>
      </c>
      <c r="B357" s="60" t="s">
        <v>1163</v>
      </c>
    </row>
    <row r="358" spans="1:2">
      <c r="A358" s="149" t="s">
        <v>3161</v>
      </c>
      <c r="B358" s="60" t="s">
        <v>3158</v>
      </c>
    </row>
    <row r="359" spans="1:2">
      <c r="A359" s="149" t="s">
        <v>3162</v>
      </c>
      <c r="B359" s="60" t="s">
        <v>3158</v>
      </c>
    </row>
    <row r="360" spans="1:2">
      <c r="A360" s="149" t="s">
        <v>3163</v>
      </c>
      <c r="B360" s="60" t="s">
        <v>3158</v>
      </c>
    </row>
    <row r="361" spans="1:2">
      <c r="A361" s="149" t="s">
        <v>3164</v>
      </c>
      <c r="B361" s="60" t="s">
        <v>3158</v>
      </c>
    </row>
    <row r="362" spans="1:2">
      <c r="A362" t="s">
        <v>3159</v>
      </c>
      <c r="B362" s="60" t="s">
        <v>1163</v>
      </c>
    </row>
    <row r="363" spans="1:2">
      <c r="A363" s="149" t="s">
        <v>3165</v>
      </c>
      <c r="B363" s="60" t="s">
        <v>1163</v>
      </c>
    </row>
    <row r="364" spans="1:2">
      <c r="A364" s="149" t="s">
        <v>3166</v>
      </c>
      <c r="B364" s="60" t="s">
        <v>3158</v>
      </c>
    </row>
    <row r="365" spans="1:2">
      <c r="A365" s="149" t="s">
        <v>3167</v>
      </c>
      <c r="B365" s="60" t="s">
        <v>1163</v>
      </c>
    </row>
    <row r="366" spans="1:2">
      <c r="A366" s="149" t="s">
        <v>3168</v>
      </c>
      <c r="B366" s="60" t="s">
        <v>3158</v>
      </c>
    </row>
    <row r="367" spans="1:2">
      <c r="A367" t="s">
        <v>1983</v>
      </c>
      <c r="B367" s="60" t="s">
        <v>3158</v>
      </c>
    </row>
    <row r="368" spans="1:2">
      <c r="A368" s="149" t="s">
        <v>3169</v>
      </c>
      <c r="B368" s="60" t="s">
        <v>3158</v>
      </c>
    </row>
    <row r="369" spans="1:2">
      <c r="A369" s="149" t="s">
        <v>3170</v>
      </c>
      <c r="B369" s="60" t="s">
        <v>3158</v>
      </c>
    </row>
    <row r="370" spans="1:2">
      <c r="A370" s="149" t="s">
        <v>3171</v>
      </c>
      <c r="B370" s="60" t="s">
        <v>1163</v>
      </c>
    </row>
    <row r="371" spans="1:2">
      <c r="A371" s="149" t="s">
        <v>3172</v>
      </c>
      <c r="B371" s="60" t="s">
        <v>1163</v>
      </c>
    </row>
    <row r="372" spans="1:2">
      <c r="A372" s="149" t="s">
        <v>3173</v>
      </c>
      <c r="B372" s="60" t="s">
        <v>1163</v>
      </c>
    </row>
    <row r="373" spans="1:2">
      <c r="A373" s="149" t="s">
        <v>3174</v>
      </c>
      <c r="B373" s="60" t="s">
        <v>3158</v>
      </c>
    </row>
    <row r="374" spans="1:2">
      <c r="A374" s="149" t="s">
        <v>3175</v>
      </c>
      <c r="B374" s="60" t="s">
        <v>3158</v>
      </c>
    </row>
    <row r="375" spans="1:2">
      <c r="A375" s="149" t="s">
        <v>3176</v>
      </c>
      <c r="B375" s="60" t="s">
        <v>3158</v>
      </c>
    </row>
    <row r="376" spans="1:2">
      <c r="A376" s="149" t="s">
        <v>3177</v>
      </c>
      <c r="B376" s="60" t="s">
        <v>3158</v>
      </c>
    </row>
    <row r="377" spans="1:2">
      <c r="A377" s="149" t="s">
        <v>3178</v>
      </c>
      <c r="B377" s="60" t="s">
        <v>3158</v>
      </c>
    </row>
    <row r="378" spans="1:2">
      <c r="A378" s="149" t="s">
        <v>3179</v>
      </c>
      <c r="B378" s="60" t="s">
        <v>3158</v>
      </c>
    </row>
    <row r="379" spans="1:2">
      <c r="A379" s="192" t="s">
        <v>3180</v>
      </c>
      <c r="B379" s="60" t="s">
        <v>3158</v>
      </c>
    </row>
    <row r="380" spans="1:2">
      <c r="A380" s="192" t="s">
        <v>3181</v>
      </c>
      <c r="B380" s="60" t="s">
        <v>3158</v>
      </c>
    </row>
    <row r="381" spans="1:2">
      <c r="A381" s="192" t="s">
        <v>3182</v>
      </c>
      <c r="B381" s="60" t="s">
        <v>3158</v>
      </c>
    </row>
    <row r="382" spans="1:2">
      <c r="A382" s="192" t="s">
        <v>3183</v>
      </c>
      <c r="B382" s="60" t="s">
        <v>3158</v>
      </c>
    </row>
    <row r="383" spans="1:2">
      <c r="A383" s="192" t="s">
        <v>3184</v>
      </c>
      <c r="B383" s="60" t="s">
        <v>1163</v>
      </c>
    </row>
    <row r="384" spans="1:2">
      <c r="A384" s="192" t="s">
        <v>584</v>
      </c>
      <c r="B384" s="60" t="s">
        <v>3158</v>
      </c>
    </row>
    <row r="385" spans="1:2">
      <c r="A385" s="192" t="s">
        <v>3185</v>
      </c>
      <c r="B385" s="60" t="s">
        <v>1163</v>
      </c>
    </row>
    <row r="386" spans="1:2">
      <c r="A386" s="192" t="s">
        <v>3186</v>
      </c>
      <c r="B386" s="60" t="s">
        <v>1163</v>
      </c>
    </row>
    <row r="387" spans="1:2">
      <c r="A387" s="192" t="s">
        <v>3186</v>
      </c>
      <c r="B387" s="60" t="s">
        <v>1163</v>
      </c>
    </row>
    <row r="388" spans="1:2">
      <c r="A388" s="192" t="s">
        <v>3187</v>
      </c>
      <c r="B388" s="60" t="s">
        <v>3158</v>
      </c>
    </row>
    <row r="389" spans="1:2">
      <c r="A389" s="192" t="s">
        <v>3188</v>
      </c>
      <c r="B389" s="60" t="s">
        <v>1163</v>
      </c>
    </row>
    <row r="390" spans="1:2">
      <c r="A390" s="192" t="s">
        <v>3189</v>
      </c>
      <c r="B390" s="60" t="s">
        <v>3158</v>
      </c>
    </row>
    <row r="391" spans="1:2">
      <c r="A391" s="745" t="s">
        <v>3190</v>
      </c>
      <c r="B391" s="60" t="s">
        <v>3158</v>
      </c>
    </row>
    <row r="392" spans="1:2">
      <c r="A392" s="721" t="s">
        <v>3191</v>
      </c>
      <c r="B392" s="60" t="s">
        <v>3158</v>
      </c>
    </row>
    <row r="393" spans="1:2">
      <c r="A393" s="745" t="s">
        <v>3192</v>
      </c>
      <c r="B393" s="60" t="s">
        <v>3158</v>
      </c>
    </row>
    <row r="394" spans="1:2">
      <c r="A394" s="721" t="s">
        <v>3193</v>
      </c>
      <c r="B394" s="60" t="s">
        <v>3158</v>
      </c>
    </row>
    <row r="395" spans="1:2">
      <c r="A395" s="721" t="s">
        <v>3194</v>
      </c>
      <c r="B395" s="60" t="s">
        <v>3158</v>
      </c>
    </row>
    <row r="396" spans="1:2">
      <c r="A396" s="721" t="s">
        <v>3195</v>
      </c>
      <c r="B396" s="60" t="s">
        <v>3158</v>
      </c>
    </row>
    <row r="397" spans="1:2">
      <c r="A397" s="721" t="s">
        <v>3196</v>
      </c>
      <c r="B397" s="60" t="s">
        <v>3158</v>
      </c>
    </row>
    <row r="398" spans="1:2">
      <c r="A398" s="721" t="s">
        <v>3197</v>
      </c>
      <c r="B398" s="60" t="s">
        <v>3158</v>
      </c>
    </row>
    <row r="399" spans="1:2">
      <c r="A399" s="721" t="s">
        <v>3198</v>
      </c>
      <c r="B399" s="60" t="s">
        <v>3158</v>
      </c>
    </row>
    <row r="400" spans="1:2">
      <c r="A400" s="745" t="s">
        <v>3199</v>
      </c>
      <c r="B400" s="60" t="s">
        <v>3158</v>
      </c>
    </row>
    <row r="401" spans="1:12">
      <c r="A401" s="721" t="s">
        <v>3200</v>
      </c>
      <c r="B401" s="60" t="s">
        <v>3158</v>
      </c>
    </row>
    <row r="402" spans="1:12">
      <c r="A402" s="721" t="s">
        <v>3201</v>
      </c>
      <c r="B402" s="60" t="s">
        <v>3158</v>
      </c>
    </row>
    <row r="403" spans="1:12" s="591" customFormat="1">
      <c r="A403" s="341" t="s">
        <v>3202</v>
      </c>
      <c r="B403" s="60" t="s">
        <v>3158</v>
      </c>
      <c r="C403" s="434"/>
      <c r="D403" s="434"/>
      <c r="E403" s="434"/>
      <c r="F403" s="434"/>
      <c r="G403" s="434"/>
      <c r="H403" s="434"/>
      <c r="I403" s="434"/>
      <c r="J403" s="434"/>
      <c r="K403" s="434"/>
      <c r="L403" s="434"/>
    </row>
    <row r="404" spans="1:12">
      <c r="A404" s="746" t="s">
        <v>3203</v>
      </c>
      <c r="B404" s="60" t="s">
        <v>3158</v>
      </c>
    </row>
    <row r="405" spans="1:12">
      <c r="A405" s="747" t="s">
        <v>3204</v>
      </c>
      <c r="B405" s="60" t="s">
        <v>3158</v>
      </c>
    </row>
    <row r="406" spans="1:12">
      <c r="A406" s="748" t="s">
        <v>3205</v>
      </c>
      <c r="B406" s="60" t="s">
        <v>3158</v>
      </c>
    </row>
    <row r="407" spans="1:12">
      <c r="A407" s="747" t="s">
        <v>3206</v>
      </c>
      <c r="B407" s="60" t="s">
        <v>1163</v>
      </c>
    </row>
    <row r="408" spans="1:12">
      <c r="A408" s="747" t="s">
        <v>3207</v>
      </c>
      <c r="B408" s="60" t="s">
        <v>3158</v>
      </c>
    </row>
    <row r="409" spans="1:12">
      <c r="A409" s="747" t="s">
        <v>3208</v>
      </c>
      <c r="B409" s="60" t="s">
        <v>3158</v>
      </c>
    </row>
    <row r="410" spans="1:12">
      <c r="A410" s="747" t="s">
        <v>3209</v>
      </c>
      <c r="B410" s="60" t="s">
        <v>3158</v>
      </c>
    </row>
    <row r="411" spans="1:12">
      <c r="A411" s="747" t="s">
        <v>3210</v>
      </c>
      <c r="B411" s="60" t="s">
        <v>3158</v>
      </c>
    </row>
    <row r="412" spans="1:12">
      <c r="A412" s="747" t="s">
        <v>3210</v>
      </c>
      <c r="B412" s="60" t="s">
        <v>3158</v>
      </c>
    </row>
    <row r="413" spans="1:12">
      <c r="A413" s="746" t="s">
        <v>3211</v>
      </c>
      <c r="B413" s="60" t="s">
        <v>3158</v>
      </c>
    </row>
    <row r="414" spans="1:12">
      <c r="A414" s="747" t="s">
        <v>3212</v>
      </c>
      <c r="B414" s="60" t="s">
        <v>3213</v>
      </c>
    </row>
    <row r="415" spans="1:12">
      <c r="A415" s="746" t="s">
        <v>2153</v>
      </c>
      <c r="B415" s="60" t="s">
        <v>3213</v>
      </c>
    </row>
    <row r="416" spans="1:12">
      <c r="A416" s="192" t="s">
        <v>3214</v>
      </c>
      <c r="B416" s="60" t="s">
        <v>3213</v>
      </c>
    </row>
    <row r="417" spans="1:2">
      <c r="A417" s="192" t="s">
        <v>3215</v>
      </c>
      <c r="B417" s="60" t="s">
        <v>3213</v>
      </c>
    </row>
    <row r="418" spans="1:2">
      <c r="A418" s="192" t="s">
        <v>3216</v>
      </c>
      <c r="B418" s="60" t="s">
        <v>3213</v>
      </c>
    </row>
    <row r="419" spans="1:2">
      <c r="A419" s="192" t="s">
        <v>3217</v>
      </c>
      <c r="B419" s="60" t="s">
        <v>3213</v>
      </c>
    </row>
    <row r="420" spans="1:2">
      <c r="A420" s="192" t="s">
        <v>3217</v>
      </c>
      <c r="B420" s="60" t="s">
        <v>3213</v>
      </c>
    </row>
    <row r="421" spans="1:2">
      <c r="A421" s="269" t="s">
        <v>3218</v>
      </c>
      <c r="B421" s="60" t="s">
        <v>3213</v>
      </c>
    </row>
    <row r="422" spans="1:2">
      <c r="A422" s="22" t="s">
        <v>3219</v>
      </c>
      <c r="B422" s="60" t="s">
        <v>3213</v>
      </c>
    </row>
    <row r="423" spans="1:2">
      <c r="A423" s="149" t="s">
        <v>2189</v>
      </c>
      <c r="B423" s="740" t="s">
        <v>3213</v>
      </c>
    </row>
    <row r="424" spans="1:2">
      <c r="A424" s="149" t="s">
        <v>3220</v>
      </c>
      <c r="B424" s="740" t="s">
        <v>3221</v>
      </c>
    </row>
    <row r="425" spans="1:2">
      <c r="A425" s="149" t="s">
        <v>3222</v>
      </c>
      <c r="B425" s="740" t="s">
        <v>3221</v>
      </c>
    </row>
    <row r="426" spans="1:2">
      <c r="A426" t="s">
        <v>3223</v>
      </c>
      <c r="B426" s="740" t="s">
        <v>3221</v>
      </c>
    </row>
    <row r="427" spans="1:2">
      <c r="A427" s="149" t="s">
        <v>2888</v>
      </c>
      <c r="B427" s="740" t="s">
        <v>3221</v>
      </c>
    </row>
    <row r="428" spans="1:2">
      <c r="A428" s="192" t="s">
        <v>3224</v>
      </c>
      <c r="B428" s="740" t="s">
        <v>3221</v>
      </c>
    </row>
    <row r="429" spans="1:2">
      <c r="A429" s="149" t="s">
        <v>3225</v>
      </c>
      <c r="B429" s="740" t="s">
        <v>3221</v>
      </c>
    </row>
    <row r="430" spans="1:2">
      <c r="A430" s="149" t="s">
        <v>3226</v>
      </c>
      <c r="B430" s="740" t="s">
        <v>3221</v>
      </c>
    </row>
    <row r="431" spans="1:2">
      <c r="A431" s="149" t="s">
        <v>3227</v>
      </c>
      <c r="B431" s="740" t="s">
        <v>1163</v>
      </c>
    </row>
    <row r="432" spans="1:2">
      <c r="A432" s="673" t="s">
        <v>3228</v>
      </c>
      <c r="B432" s="740" t="s">
        <v>3221</v>
      </c>
    </row>
    <row r="433" spans="1:2">
      <c r="A433" s="341" t="s">
        <v>2906</v>
      </c>
      <c r="B433" s="740" t="s">
        <v>3221</v>
      </c>
    </row>
    <row r="434" spans="1:2">
      <c r="A434" s="340" t="s">
        <v>3229</v>
      </c>
      <c r="B434" s="740" t="s">
        <v>3221</v>
      </c>
    </row>
    <row r="435" spans="1:2">
      <c r="A435" s="341" t="s">
        <v>3230</v>
      </c>
      <c r="B435" s="740" t="s">
        <v>3221</v>
      </c>
    </row>
    <row r="436" spans="1:2">
      <c r="A436" s="341" t="s">
        <v>3231</v>
      </c>
      <c r="B436" s="740" t="s">
        <v>3221</v>
      </c>
    </row>
    <row r="437" spans="1:2">
      <c r="A437" s="341" t="s">
        <v>3232</v>
      </c>
      <c r="B437" s="740" t="s">
        <v>3221</v>
      </c>
    </row>
    <row r="438" spans="1:2">
      <c r="A438" s="341" t="s">
        <v>3233</v>
      </c>
      <c r="B438" s="740" t="s">
        <v>3221</v>
      </c>
    </row>
    <row r="439" spans="1:2">
      <c r="A439" s="341" t="s">
        <v>3234</v>
      </c>
      <c r="B439" s="740" t="s">
        <v>1163</v>
      </c>
    </row>
    <row r="440" spans="1:2">
      <c r="A440" s="341" t="s">
        <v>3235</v>
      </c>
      <c r="B440" s="740" t="s">
        <v>3221</v>
      </c>
    </row>
    <row r="441" spans="1:2">
      <c r="A441" s="341" t="s">
        <v>3236</v>
      </c>
      <c r="B441" s="740" t="s">
        <v>3237</v>
      </c>
    </row>
    <row r="442" spans="1:2">
      <c r="A442" s="341" t="s">
        <v>3238</v>
      </c>
      <c r="B442" s="750" t="s">
        <v>3239</v>
      </c>
    </row>
    <row r="443" spans="1:2">
      <c r="A443" s="341" t="s">
        <v>618</v>
      </c>
      <c r="B443" s="750" t="s">
        <v>1163</v>
      </c>
    </row>
    <row r="444" spans="1:2">
      <c r="A444" s="149" t="s">
        <v>3240</v>
      </c>
      <c r="B444" s="750" t="s">
        <v>3239</v>
      </c>
    </row>
    <row r="445" spans="1:2">
      <c r="A445" s="149" t="s">
        <v>3240</v>
      </c>
      <c r="B445" s="750" t="s">
        <v>3239</v>
      </c>
    </row>
    <row r="446" spans="1:2" ht="15.75">
      <c r="A446" s="577" t="s">
        <v>3241</v>
      </c>
      <c r="B446" s="750" t="s">
        <v>3239</v>
      </c>
    </row>
    <row r="447" spans="1:2">
      <c r="A447" s="149" t="s">
        <v>3242</v>
      </c>
      <c r="B447" s="750" t="s">
        <v>3239</v>
      </c>
    </row>
    <row r="448" spans="1:2">
      <c r="A448" s="149" t="s">
        <v>3243</v>
      </c>
      <c r="B448" s="750" t="s">
        <v>3239</v>
      </c>
    </row>
    <row r="449" spans="1:12">
      <c r="A449" s="149" t="s">
        <v>3244</v>
      </c>
      <c r="B449" s="750" t="s">
        <v>3239</v>
      </c>
    </row>
    <row r="450" spans="1:12">
      <c r="A450" s="186" t="s">
        <v>3245</v>
      </c>
      <c r="B450" s="750" t="s">
        <v>3239</v>
      </c>
    </row>
    <row r="451" spans="1:12">
      <c r="A451" s="149" t="s">
        <v>3246</v>
      </c>
      <c r="B451" s="750" t="s">
        <v>3239</v>
      </c>
    </row>
    <row r="452" spans="1:12">
      <c r="A452" s="149" t="s">
        <v>3247</v>
      </c>
      <c r="B452" s="750" t="s">
        <v>3239</v>
      </c>
    </row>
    <row r="453" spans="1:12" ht="15.75">
      <c r="A453" s="580" t="s">
        <v>3248</v>
      </c>
      <c r="B453" s="750" t="s">
        <v>3239</v>
      </c>
    </row>
    <row r="454" spans="1:12" ht="15.75">
      <c r="A454" s="588" t="s">
        <v>3249</v>
      </c>
      <c r="B454" s="750" t="s">
        <v>3239</v>
      </c>
    </row>
    <row r="455" spans="1:12">
      <c r="A455" t="s">
        <v>3250</v>
      </c>
      <c r="B455" s="750" t="s">
        <v>3239</v>
      </c>
    </row>
    <row r="456" spans="1:12">
      <c r="A456" s="149" t="s">
        <v>2846</v>
      </c>
      <c r="B456" s="750" t="s">
        <v>3239</v>
      </c>
    </row>
    <row r="457" spans="1:12">
      <c r="A457" s="149" t="s">
        <v>3251</v>
      </c>
      <c r="B457" s="750" t="s">
        <v>3252</v>
      </c>
    </row>
    <row r="458" spans="1:12">
      <c r="A458" s="149" t="s">
        <v>3086</v>
      </c>
      <c r="B458" s="750" t="s">
        <v>3252</v>
      </c>
    </row>
    <row r="459" spans="1:12">
      <c r="A459" t="s">
        <v>2275</v>
      </c>
      <c r="B459" s="750" t="s">
        <v>3252</v>
      </c>
    </row>
    <row r="460" spans="1:12">
      <c r="A460" s="192" t="s">
        <v>3253</v>
      </c>
      <c r="B460" s="750" t="s">
        <v>3252</v>
      </c>
    </row>
    <row r="461" spans="1:12">
      <c r="A461" s="677" t="s">
        <v>3254</v>
      </c>
      <c r="B461" s="740" t="s">
        <v>1163</v>
      </c>
    </row>
    <row r="462" spans="1:12">
      <c r="A462" s="677" t="s">
        <v>3255</v>
      </c>
      <c r="B462" s="750" t="s">
        <v>3256</v>
      </c>
    </row>
    <row r="463" spans="1:12">
      <c r="A463" s="677" t="s">
        <v>3257</v>
      </c>
      <c r="B463" s="740" t="s">
        <v>3258</v>
      </c>
    </row>
    <row r="464" spans="1:12" s="591" customFormat="1">
      <c r="A464" s="677" t="s">
        <v>3259</v>
      </c>
      <c r="B464" s="750" t="s">
        <v>3256</v>
      </c>
      <c r="C464" s="434"/>
      <c r="D464" s="434"/>
      <c r="E464" s="434"/>
      <c r="F464" s="434"/>
      <c r="G464" s="434"/>
      <c r="H464" s="434"/>
      <c r="I464" s="434"/>
      <c r="J464" s="434"/>
      <c r="K464" s="434"/>
      <c r="L464" s="434"/>
    </row>
    <row r="465" spans="1:2">
      <c r="A465" s="680" t="s">
        <v>3260</v>
      </c>
      <c r="B465" s="750" t="s">
        <v>3256</v>
      </c>
    </row>
    <row r="466" spans="1:2">
      <c r="A466" s="677" t="s">
        <v>3261</v>
      </c>
      <c r="B466" s="750" t="s">
        <v>3256</v>
      </c>
    </row>
    <row r="467" spans="1:2">
      <c r="A467" s="677" t="s">
        <v>3262</v>
      </c>
      <c r="B467" s="750" t="s">
        <v>3263</v>
      </c>
    </row>
    <row r="468" spans="1:2">
      <c r="A468" s="677" t="s">
        <v>3264</v>
      </c>
      <c r="B468" s="750" t="s">
        <v>3263</v>
      </c>
    </row>
    <row r="469" spans="1:2">
      <c r="A469" s="677" t="s">
        <v>3265</v>
      </c>
      <c r="B469" s="740" t="s">
        <v>1163</v>
      </c>
    </row>
    <row r="470" spans="1:2" ht="14.25" customHeight="1">
      <c r="A470" s="677" t="s">
        <v>3266</v>
      </c>
      <c r="B470" s="740" t="s">
        <v>1163</v>
      </c>
    </row>
    <row r="471" spans="1:2">
      <c r="A471" s="677" t="s">
        <v>3267</v>
      </c>
      <c r="B471" s="750" t="s">
        <v>3263</v>
      </c>
    </row>
    <row r="472" spans="1:2">
      <c r="A472" s="677" t="s">
        <v>3268</v>
      </c>
      <c r="B472" s="740" t="s">
        <v>1163</v>
      </c>
    </row>
    <row r="473" spans="1:2">
      <c r="A473" s="677" t="s">
        <v>3269</v>
      </c>
      <c r="B473" s="750" t="s">
        <v>3263</v>
      </c>
    </row>
    <row r="474" spans="1:2">
      <c r="A474" s="677" t="s">
        <v>3270</v>
      </c>
      <c r="B474" s="750" t="s">
        <v>3263</v>
      </c>
    </row>
    <row r="475" spans="1:2">
      <c r="A475" s="677" t="s">
        <v>3271</v>
      </c>
      <c r="B475" s="750" t="s">
        <v>3263</v>
      </c>
    </row>
    <row r="476" spans="1:2" s="22" customFormat="1">
      <c r="A476" s="677" t="s">
        <v>3272</v>
      </c>
      <c r="B476" s="750" t="s">
        <v>3263</v>
      </c>
    </row>
    <row r="477" spans="1:2">
      <c r="A477" s="677" t="s">
        <v>3273</v>
      </c>
      <c r="B477" s="750" t="s">
        <v>3263</v>
      </c>
    </row>
    <row r="478" spans="1:2">
      <c r="A478" s="677" t="s">
        <v>3274</v>
      </c>
      <c r="B478" s="750" t="s">
        <v>3263</v>
      </c>
    </row>
    <row r="479" spans="1:2">
      <c r="A479" s="677" t="s">
        <v>3275</v>
      </c>
      <c r="B479" s="740" t="s">
        <v>1163</v>
      </c>
    </row>
    <row r="480" spans="1:2">
      <c r="A480" s="677" t="s">
        <v>3276</v>
      </c>
      <c r="B480" s="750" t="s">
        <v>3263</v>
      </c>
    </row>
    <row r="481" spans="1:2">
      <c r="A481" s="677" t="s">
        <v>3277</v>
      </c>
      <c r="B481" s="740" t="s">
        <v>1163</v>
      </c>
    </row>
    <row r="482" spans="1:2">
      <c r="A482" s="149" t="s">
        <v>3278</v>
      </c>
      <c r="B482" s="750" t="s">
        <v>3279</v>
      </c>
    </row>
    <row r="483" spans="1:2" s="22" customFormat="1">
      <c r="A483" s="677" t="s">
        <v>3280</v>
      </c>
      <c r="B483" s="740" t="s">
        <v>1163</v>
      </c>
    </row>
    <row r="484" spans="1:2" s="22" customFormat="1">
      <c r="A484" s="677" t="s">
        <v>3281</v>
      </c>
      <c r="B484" s="740" t="s">
        <v>1163</v>
      </c>
    </row>
    <row r="485" spans="1:2" s="22" customFormat="1">
      <c r="A485" s="677" t="s">
        <v>3282</v>
      </c>
      <c r="B485" s="740" t="s">
        <v>1163</v>
      </c>
    </row>
    <row r="486" spans="1:2" s="22" customFormat="1">
      <c r="A486" s="677" t="s">
        <v>3283</v>
      </c>
      <c r="B486" s="740" t="s">
        <v>1163</v>
      </c>
    </row>
    <row r="487" spans="1:2" s="22" customFormat="1">
      <c r="A487" s="677" t="s">
        <v>3284</v>
      </c>
      <c r="B487" s="740" t="s">
        <v>1163</v>
      </c>
    </row>
    <row r="488" spans="1:2">
      <c r="A488" s="677" t="s">
        <v>3285</v>
      </c>
      <c r="B488" s="740"/>
    </row>
    <row r="489" spans="1:2">
      <c r="A489" s="677" t="s">
        <v>3286</v>
      </c>
      <c r="B489" s="750" t="s">
        <v>3279</v>
      </c>
    </row>
    <row r="490" spans="1:2">
      <c r="A490" s="192" t="s">
        <v>3287</v>
      </c>
      <c r="B490" s="750" t="s">
        <v>3279</v>
      </c>
    </row>
    <row r="491" spans="1:2">
      <c r="A491" s="681" t="s">
        <v>3288</v>
      </c>
      <c r="B491" s="750" t="s">
        <v>3279</v>
      </c>
    </row>
    <row r="492" spans="1:2">
      <c r="A492" s="149" t="s">
        <v>3289</v>
      </c>
      <c r="B492" s="750" t="s">
        <v>3279</v>
      </c>
    </row>
    <row r="493" spans="1:2">
      <c r="A493" s="681" t="s">
        <v>3290</v>
      </c>
      <c r="B493" s="740" t="s">
        <v>1163</v>
      </c>
    </row>
    <row r="494" spans="1:2">
      <c r="A494" s="681" t="s">
        <v>3291</v>
      </c>
      <c r="B494" s="750" t="s">
        <v>3279</v>
      </c>
    </row>
    <row r="495" spans="1:2">
      <c r="A495" s="681" t="s">
        <v>3292</v>
      </c>
      <c r="B495" s="750" t="s">
        <v>3279</v>
      </c>
    </row>
    <row r="496" spans="1:2">
      <c r="A496" s="192" t="s">
        <v>3293</v>
      </c>
      <c r="B496" s="750" t="s">
        <v>3279</v>
      </c>
    </row>
    <row r="497" spans="1:2">
      <c r="A497" s="149" t="s">
        <v>1623</v>
      </c>
      <c r="B497" s="750" t="s">
        <v>3279</v>
      </c>
    </row>
    <row r="498" spans="1:2">
      <c r="A498" s="149" t="s">
        <v>3294</v>
      </c>
      <c r="B498" s="750" t="s">
        <v>3279</v>
      </c>
    </row>
    <row r="499" spans="1:2">
      <c r="A499" s="681" t="s">
        <v>3295</v>
      </c>
      <c r="B499" s="750" t="s">
        <v>3279</v>
      </c>
    </row>
    <row r="500" spans="1:2">
      <c r="A500" s="192" t="s">
        <v>3296</v>
      </c>
      <c r="B500" s="740" t="s">
        <v>3297</v>
      </c>
    </row>
    <row r="501" spans="1:2">
      <c r="A501" s="192" t="s">
        <v>3298</v>
      </c>
      <c r="B501" s="750" t="s">
        <v>3279</v>
      </c>
    </row>
    <row r="502" spans="1:2">
      <c r="A502" s="192" t="s">
        <v>3299</v>
      </c>
      <c r="B502" s="750" t="s">
        <v>3279</v>
      </c>
    </row>
    <row r="503" spans="1:2">
      <c r="A503" s="192" t="s">
        <v>3300</v>
      </c>
      <c r="B503" s="750" t="s">
        <v>3279</v>
      </c>
    </row>
    <row r="504" spans="1:2">
      <c r="A504" s="677" t="s">
        <v>3301</v>
      </c>
      <c r="B504" s="750" t="s">
        <v>3279</v>
      </c>
    </row>
    <row r="505" spans="1:2">
      <c r="A505" s="192" t="s">
        <v>3302</v>
      </c>
      <c r="B505" s="750" t="s">
        <v>3279</v>
      </c>
    </row>
    <row r="506" spans="1:2" ht="15.75">
      <c r="A506" s="739" t="s">
        <v>3303</v>
      </c>
      <c r="B506" s="750" t="s">
        <v>3279</v>
      </c>
    </row>
    <row r="507" spans="1:2">
      <c r="A507" s="192" t="s">
        <v>3304</v>
      </c>
      <c r="B507" s="750" t="s">
        <v>3279</v>
      </c>
    </row>
    <row r="508" spans="1:2">
      <c r="A508" s="640" t="s">
        <v>470</v>
      </c>
      <c r="B508" s="750" t="s">
        <v>3279</v>
      </c>
    </row>
    <row r="509" spans="1:2">
      <c r="A509" s="192" t="s">
        <v>3305</v>
      </c>
      <c r="B509" s="750" t="s">
        <v>3279</v>
      </c>
    </row>
    <row r="510" spans="1:2">
      <c r="A510" s="192" t="s">
        <v>3306</v>
      </c>
      <c r="B510" s="740" t="s">
        <v>1163</v>
      </c>
    </row>
    <row r="511" spans="1:2">
      <c r="A511" s="192" t="s">
        <v>3307</v>
      </c>
      <c r="B511" s="750" t="s">
        <v>3279</v>
      </c>
    </row>
    <row r="512" spans="1:2">
      <c r="A512" s="192" t="s">
        <v>3308</v>
      </c>
      <c r="B512" s="750" t="s">
        <v>3279</v>
      </c>
    </row>
    <row r="513" spans="1:2">
      <c r="A513" s="192" t="s">
        <v>3309</v>
      </c>
      <c r="B513" s="750" t="s">
        <v>3279</v>
      </c>
    </row>
    <row r="514" spans="1:2">
      <c r="A514" s="192" t="s">
        <v>3310</v>
      </c>
      <c r="B514" s="750" t="s">
        <v>3279</v>
      </c>
    </row>
    <row r="515" spans="1:2">
      <c r="A515" s="149" t="s">
        <v>3311</v>
      </c>
      <c r="B515" s="750" t="s">
        <v>3279</v>
      </c>
    </row>
    <row r="516" spans="1:2">
      <c r="A516" s="149" t="s">
        <v>3312</v>
      </c>
      <c r="B516" s="750" t="s">
        <v>3279</v>
      </c>
    </row>
    <row r="517" spans="1:2">
      <c r="A517" s="149" t="s">
        <v>3313</v>
      </c>
      <c r="B517" s="750" t="s">
        <v>3279</v>
      </c>
    </row>
    <row r="518" spans="1:2" ht="15.75">
      <c r="A518" s="580" t="s">
        <v>3314</v>
      </c>
      <c r="B518" s="750" t="s">
        <v>3279</v>
      </c>
    </row>
    <row r="519" spans="1:2" ht="15.75">
      <c r="A519" s="580" t="s">
        <v>3315</v>
      </c>
      <c r="B519" s="750" t="s">
        <v>3279</v>
      </c>
    </row>
    <row r="520" spans="1:2">
      <c r="A520" s="149" t="s">
        <v>3316</v>
      </c>
      <c r="B520" s="750" t="s">
        <v>3279</v>
      </c>
    </row>
    <row r="521" spans="1:2">
      <c r="A521" s="149" t="s">
        <v>3317</v>
      </c>
      <c r="B521" s="750" t="s">
        <v>3279</v>
      </c>
    </row>
    <row r="522" spans="1:2">
      <c r="A522" s="149" t="s">
        <v>3318</v>
      </c>
      <c r="B522" s="750" t="s">
        <v>3279</v>
      </c>
    </row>
    <row r="523" spans="1:2">
      <c r="A523" s="149" t="s">
        <v>3319</v>
      </c>
      <c r="B523" s="750" t="s">
        <v>3279</v>
      </c>
    </row>
    <row r="524" spans="1:2">
      <c r="A524" s="149" t="s">
        <v>3320</v>
      </c>
      <c r="B524" s="740" t="s">
        <v>1163</v>
      </c>
    </row>
    <row r="525" spans="1:2">
      <c r="A525" s="149" t="s">
        <v>3321</v>
      </c>
      <c r="B525" s="750" t="s">
        <v>3279</v>
      </c>
    </row>
    <row r="526" spans="1:2">
      <c r="A526" s="192" t="s">
        <v>3322</v>
      </c>
      <c r="B526" s="750" t="s">
        <v>3279</v>
      </c>
    </row>
    <row r="527" spans="1:2">
      <c r="A527" s="192" t="s">
        <v>3323</v>
      </c>
      <c r="B527" s="750" t="s">
        <v>3279</v>
      </c>
    </row>
    <row r="528" spans="1:2">
      <c r="A528" s="192" t="s">
        <v>2722</v>
      </c>
      <c r="B528" s="750" t="s">
        <v>3279</v>
      </c>
    </row>
    <row r="529" spans="1:2">
      <c r="A529" s="192" t="s">
        <v>3324</v>
      </c>
      <c r="B529" s="750" t="s">
        <v>3279</v>
      </c>
    </row>
    <row r="530" spans="1:2">
      <c r="A530" s="192" t="s">
        <v>3325</v>
      </c>
      <c r="B530" s="750" t="s">
        <v>3279</v>
      </c>
    </row>
    <row r="531" spans="1:2">
      <c r="A531" s="192" t="s">
        <v>3326</v>
      </c>
      <c r="B531" s="750" t="s">
        <v>3279</v>
      </c>
    </row>
    <row r="532" spans="1:2">
      <c r="A532" s="192" t="s">
        <v>3327</v>
      </c>
      <c r="B532" s="750" t="s">
        <v>3279</v>
      </c>
    </row>
    <row r="533" spans="1:2">
      <c r="A533" s="192" t="s">
        <v>3328</v>
      </c>
      <c r="B533" s="740" t="s">
        <v>3329</v>
      </c>
    </row>
    <row r="534" spans="1:2">
      <c r="A534" s="192" t="s">
        <v>3330</v>
      </c>
      <c r="B534" s="750" t="s">
        <v>3279</v>
      </c>
    </row>
    <row r="535" spans="1:2" ht="15.75">
      <c r="A535" s="739" t="s">
        <v>3331</v>
      </c>
      <c r="B535" s="750" t="s">
        <v>3279</v>
      </c>
    </row>
    <row r="536" spans="1:2">
      <c r="A536" s="149" t="s">
        <v>3332</v>
      </c>
      <c r="B536" s="750" t="s">
        <v>3279</v>
      </c>
    </row>
    <row r="537" spans="1:2">
      <c r="A537" s="192" t="s">
        <v>3333</v>
      </c>
      <c r="B537" s="750" t="s">
        <v>3279</v>
      </c>
    </row>
    <row r="538" spans="1:2">
      <c r="A538" s="192" t="s">
        <v>3334</v>
      </c>
      <c r="B538" s="740" t="s">
        <v>1163</v>
      </c>
    </row>
    <row r="539" spans="1:2">
      <c r="A539" s="192" t="s">
        <v>3335</v>
      </c>
      <c r="B539" s="740" t="s">
        <v>1163</v>
      </c>
    </row>
    <row r="540" spans="1:2">
      <c r="A540" s="192" t="s">
        <v>3336</v>
      </c>
      <c r="B540" s="750" t="s">
        <v>3337</v>
      </c>
    </row>
    <row r="541" spans="1:2">
      <c r="A541" s="192" t="s">
        <v>3338</v>
      </c>
      <c r="B541" s="740" t="s">
        <v>1163</v>
      </c>
    </row>
    <row r="542" spans="1:2">
      <c r="A542" s="192" t="s">
        <v>3339</v>
      </c>
      <c r="B542" s="750" t="s">
        <v>3337</v>
      </c>
    </row>
    <row r="543" spans="1:2">
      <c r="A543" s="192" t="s">
        <v>3340</v>
      </c>
      <c r="B543" s="750" t="s">
        <v>3337</v>
      </c>
    </row>
    <row r="544" spans="1:2">
      <c r="A544" s="192" t="s">
        <v>3341</v>
      </c>
      <c r="B544" s="750" t="s">
        <v>3337</v>
      </c>
    </row>
    <row r="545" spans="1:2">
      <c r="A545" s="192" t="s">
        <v>3342</v>
      </c>
      <c r="B545" s="740" t="s">
        <v>1163</v>
      </c>
    </row>
    <row r="546" spans="1:2">
      <c r="A546" s="149" t="s">
        <v>3343</v>
      </c>
      <c r="B546" s="750" t="s">
        <v>3337</v>
      </c>
    </row>
    <row r="547" spans="1:2">
      <c r="A547" s="149" t="s">
        <v>3344</v>
      </c>
      <c r="B547" s="750" t="s">
        <v>3337</v>
      </c>
    </row>
    <row r="548" spans="1:2">
      <c r="A548" s="149" t="s">
        <v>3345</v>
      </c>
      <c r="B548" s="750" t="s">
        <v>3337</v>
      </c>
    </row>
    <row r="549" spans="1:2">
      <c r="A549" s="149" t="s">
        <v>3346</v>
      </c>
      <c r="B549" s="750" t="s">
        <v>3337</v>
      </c>
    </row>
    <row r="550" spans="1:2">
      <c r="A550" s="149" t="s">
        <v>3347</v>
      </c>
      <c r="B550" s="740" t="s">
        <v>1163</v>
      </c>
    </row>
    <row r="551" spans="1:2">
      <c r="A551" s="149" t="s">
        <v>3348</v>
      </c>
      <c r="B551" s="750" t="s">
        <v>3337</v>
      </c>
    </row>
    <row r="552" spans="1:2">
      <c r="A552" s="149" t="s">
        <v>3349</v>
      </c>
      <c r="B552" s="740" t="s">
        <v>1163</v>
      </c>
    </row>
    <row r="553" spans="1:2">
      <c r="A553" s="149" t="s">
        <v>3350</v>
      </c>
      <c r="B553" s="750" t="s">
        <v>3337</v>
      </c>
    </row>
    <row r="554" spans="1:2">
      <c r="A554" s="192" t="s">
        <v>3351</v>
      </c>
      <c r="B554" s="750" t="s">
        <v>3337</v>
      </c>
    </row>
    <row r="555" spans="1:2">
      <c r="A555" s="192" t="s">
        <v>3352</v>
      </c>
      <c r="B555" s="750" t="s">
        <v>3337</v>
      </c>
    </row>
    <row r="556" spans="1:2">
      <c r="A556" s="192" t="s">
        <v>3353</v>
      </c>
      <c r="B556" s="750" t="s">
        <v>3337</v>
      </c>
    </row>
    <row r="557" spans="1:2">
      <c r="A557" s="192" t="s">
        <v>3354</v>
      </c>
      <c r="B557" s="750" t="s">
        <v>3337</v>
      </c>
    </row>
    <row r="558" spans="1:2">
      <c r="A558" s="192" t="s">
        <v>3355</v>
      </c>
      <c r="B558" s="750" t="s">
        <v>3337</v>
      </c>
    </row>
    <row r="559" spans="1:2">
      <c r="A559" s="108" t="s">
        <v>3356</v>
      </c>
      <c r="B559" s="750" t="s">
        <v>3337</v>
      </c>
    </row>
    <row r="560" spans="1:2">
      <c r="A560" s="192" t="s">
        <v>3357</v>
      </c>
      <c r="B560" s="740" t="s">
        <v>1163</v>
      </c>
    </row>
    <row r="561" spans="1:2">
      <c r="A561" s="192" t="s">
        <v>3048</v>
      </c>
      <c r="B561" s="740" t="s">
        <v>1163</v>
      </c>
    </row>
    <row r="562" spans="1:2">
      <c r="A562" s="192" t="s">
        <v>3358</v>
      </c>
      <c r="B562" s="750" t="s">
        <v>3337</v>
      </c>
    </row>
    <row r="563" spans="1:2">
      <c r="A563" s="192" t="s">
        <v>3359</v>
      </c>
      <c r="B563" s="740" t="s">
        <v>3360</v>
      </c>
    </row>
    <row r="564" spans="1:2">
      <c r="A564" s="192" t="s">
        <v>3361</v>
      </c>
      <c r="B564" s="740" t="s">
        <v>3360</v>
      </c>
    </row>
    <row r="565" spans="1:2">
      <c r="A565" s="192" t="s">
        <v>3362</v>
      </c>
      <c r="B565" s="740" t="s">
        <v>3360</v>
      </c>
    </row>
    <row r="566" spans="1:2">
      <c r="A566" s="192" t="s">
        <v>3363</v>
      </c>
      <c r="B566" s="740" t="s">
        <v>3364</v>
      </c>
    </row>
    <row r="567" spans="1:2">
      <c r="A567" s="192" t="s">
        <v>3365</v>
      </c>
      <c r="B567" s="740" t="s">
        <v>3360</v>
      </c>
    </row>
    <row r="568" spans="1:2">
      <c r="A568" s="192" t="s">
        <v>3366</v>
      </c>
      <c r="B568" s="750" t="s">
        <v>3337</v>
      </c>
    </row>
    <row r="569" spans="1:2">
      <c r="A569" s="192" t="s">
        <v>3367</v>
      </c>
      <c r="B569" s="740" t="s">
        <v>1163</v>
      </c>
    </row>
    <row r="570" spans="1:2">
      <c r="A570" s="192" t="s">
        <v>3368</v>
      </c>
      <c r="B570" s="740" t="s">
        <v>1163</v>
      </c>
    </row>
    <row r="571" spans="1:2">
      <c r="A571" s="192" t="s">
        <v>3369</v>
      </c>
      <c r="B571" s="750" t="s">
        <v>3337</v>
      </c>
    </row>
    <row r="572" spans="1:2">
      <c r="A572" s="192" t="s">
        <v>3370</v>
      </c>
      <c r="B572" s="740" t="s">
        <v>1163</v>
      </c>
    </row>
    <row r="573" spans="1:2">
      <c r="A573" s="192" t="s">
        <v>3371</v>
      </c>
      <c r="B573" s="750" t="s">
        <v>3337</v>
      </c>
    </row>
    <row r="574" spans="1:2">
      <c r="A574" s="721" t="s">
        <v>3372</v>
      </c>
      <c r="B574" s="750" t="s">
        <v>3337</v>
      </c>
    </row>
    <row r="575" spans="1:2">
      <c r="A575" s="192" t="s">
        <v>3065</v>
      </c>
      <c r="B575" s="740" t="s">
        <v>1163</v>
      </c>
    </row>
    <row r="576" spans="1:2">
      <c r="A576" s="192" t="s">
        <v>3373</v>
      </c>
      <c r="B576" s="740" t="s">
        <v>1163</v>
      </c>
    </row>
    <row r="577" spans="1:2">
      <c r="A577" s="192" t="s">
        <v>3374</v>
      </c>
      <c r="B577" s="750" t="s">
        <v>3337</v>
      </c>
    </row>
    <row r="578" spans="1:2">
      <c r="A578" s="192" t="s">
        <v>3375</v>
      </c>
      <c r="B578" s="750" t="s">
        <v>3337</v>
      </c>
    </row>
    <row r="579" spans="1:2">
      <c r="A579" s="192" t="s">
        <v>3376</v>
      </c>
      <c r="B579" s="740" t="s">
        <v>1163</v>
      </c>
    </row>
    <row r="580" spans="1:2">
      <c r="A580" s="192" t="s">
        <v>3377</v>
      </c>
      <c r="B580" s="750" t="s">
        <v>3337</v>
      </c>
    </row>
    <row r="581" spans="1:2">
      <c r="A581" s="192" t="s">
        <v>3378</v>
      </c>
      <c r="B581" s="740" t="s">
        <v>1163</v>
      </c>
    </row>
    <row r="582" spans="1:2">
      <c r="A582" s="108" t="s">
        <v>3379</v>
      </c>
      <c r="B582" s="750" t="s">
        <v>3337</v>
      </c>
    </row>
    <row r="583" spans="1:2">
      <c r="A583" s="192" t="s">
        <v>3380</v>
      </c>
      <c r="B583" s="750" t="s">
        <v>3337</v>
      </c>
    </row>
    <row r="584" spans="1:2">
      <c r="A584" s="192" t="s">
        <v>3381</v>
      </c>
      <c r="B584" s="750" t="s">
        <v>3337</v>
      </c>
    </row>
    <row r="585" spans="1:2">
      <c r="A585" s="192" t="s">
        <v>3382</v>
      </c>
      <c r="B585" s="750" t="s">
        <v>3337</v>
      </c>
    </row>
    <row r="586" spans="1:2">
      <c r="A586" s="192" t="s">
        <v>3383</v>
      </c>
      <c r="B586" s="750" t="s">
        <v>3337</v>
      </c>
    </row>
    <row r="587" spans="1:2">
      <c r="A587" s="192" t="s">
        <v>3383</v>
      </c>
      <c r="B587" s="750" t="s">
        <v>3337</v>
      </c>
    </row>
    <row r="588" spans="1:2">
      <c r="A588" s="192" t="s">
        <v>3384</v>
      </c>
      <c r="B588" s="740" t="s">
        <v>1163</v>
      </c>
    </row>
    <row r="589" spans="1:2">
      <c r="A589" s="192" t="s">
        <v>2789</v>
      </c>
      <c r="B589" s="750" t="s">
        <v>3337</v>
      </c>
    </row>
    <row r="590" spans="1:2">
      <c r="A590" s="149" t="s">
        <v>1796</v>
      </c>
      <c r="B590" s="740" t="s">
        <v>1163</v>
      </c>
    </row>
    <row r="591" spans="1:2">
      <c r="A591" s="192" t="s">
        <v>3385</v>
      </c>
      <c r="B591" s="750" t="s">
        <v>3337</v>
      </c>
    </row>
    <row r="592" spans="1:2">
      <c r="A592" s="192" t="s">
        <v>3386</v>
      </c>
      <c r="B592" s="750" t="s">
        <v>3337</v>
      </c>
    </row>
    <row r="593" spans="1:2">
      <c r="A593" s="192" t="s">
        <v>3387</v>
      </c>
      <c r="B593" s="750" t="s">
        <v>3388</v>
      </c>
    </row>
    <row r="594" spans="1:2">
      <c r="A594" s="192" t="s">
        <v>3389</v>
      </c>
      <c r="B594" s="750" t="s">
        <v>3388</v>
      </c>
    </row>
    <row r="595" spans="1:2">
      <c r="A595" s="192" t="s">
        <v>3390</v>
      </c>
      <c r="B595" s="740" t="s">
        <v>1163</v>
      </c>
    </row>
    <row r="596" spans="1:2">
      <c r="A596" s="192" t="s">
        <v>3391</v>
      </c>
      <c r="B596" s="750" t="s">
        <v>3388</v>
      </c>
    </row>
    <row r="597" spans="1:2">
      <c r="A597" s="192" t="s">
        <v>3392</v>
      </c>
      <c r="B597" s="750" t="s">
        <v>3388</v>
      </c>
    </row>
    <row r="598" spans="1:2">
      <c r="A598" s="192" t="s">
        <v>3393</v>
      </c>
      <c r="B598" s="740" t="s">
        <v>1163</v>
      </c>
    </row>
    <row r="599" spans="1:2">
      <c r="A599" s="192" t="s">
        <v>3394</v>
      </c>
      <c r="B599" s="750" t="s">
        <v>3388</v>
      </c>
    </row>
    <row r="600" spans="1:2">
      <c r="A600" s="192" t="s">
        <v>3395</v>
      </c>
      <c r="B600" s="750" t="s">
        <v>3388</v>
      </c>
    </row>
    <row r="601" spans="1:2">
      <c r="A601" s="192" t="s">
        <v>3396</v>
      </c>
      <c r="B601" s="740" t="s">
        <v>1163</v>
      </c>
    </row>
    <row r="602" spans="1:2">
      <c r="A602" s="192" t="s">
        <v>3397</v>
      </c>
      <c r="B602" s="750" t="s">
        <v>3388</v>
      </c>
    </row>
    <row r="603" spans="1:2">
      <c r="A603" s="192" t="s">
        <v>3398</v>
      </c>
      <c r="B603" s="750" t="s">
        <v>3388</v>
      </c>
    </row>
    <row r="604" spans="1:2">
      <c r="A604" s="108" t="s">
        <v>3399</v>
      </c>
      <c r="B604" s="740" t="s">
        <v>3400</v>
      </c>
    </row>
    <row r="605" spans="1:2">
      <c r="A605" s="192" t="s">
        <v>3401</v>
      </c>
      <c r="B605" s="750" t="s">
        <v>3388</v>
      </c>
    </row>
    <row r="606" spans="1:2">
      <c r="A606" s="192" t="s">
        <v>3402</v>
      </c>
      <c r="B606" s="750" t="s">
        <v>3388</v>
      </c>
    </row>
    <row r="607" spans="1:2">
      <c r="A607" s="192" t="s">
        <v>3403</v>
      </c>
      <c r="B607" s="750" t="s">
        <v>3388</v>
      </c>
    </row>
    <row r="608" spans="1:2">
      <c r="A608" s="192" t="s">
        <v>3404</v>
      </c>
      <c r="B608" s="750" t="s">
        <v>3388</v>
      </c>
    </row>
    <row r="609" spans="1:2">
      <c r="A609" s="192" t="s">
        <v>3405</v>
      </c>
      <c r="B609" s="750" t="s">
        <v>3388</v>
      </c>
    </row>
    <row r="610" spans="1:2">
      <c r="A610" s="192" t="s">
        <v>3406</v>
      </c>
      <c r="B610" s="750" t="s">
        <v>3388</v>
      </c>
    </row>
    <row r="611" spans="1:2">
      <c r="A611" s="192" t="s">
        <v>3407</v>
      </c>
      <c r="B611" s="740" t="s">
        <v>1163</v>
      </c>
    </row>
    <row r="612" spans="1:2">
      <c r="A612" s="192" t="s">
        <v>3408</v>
      </c>
      <c r="B612" s="740" t="s">
        <v>1163</v>
      </c>
    </row>
    <row r="613" spans="1:2">
      <c r="A613" s="192" t="s">
        <v>3409</v>
      </c>
      <c r="B613" s="750" t="s">
        <v>3388</v>
      </c>
    </row>
    <row r="614" spans="1:2">
      <c r="A614" s="192" t="s">
        <v>3410</v>
      </c>
      <c r="B614" s="750" t="s">
        <v>3388</v>
      </c>
    </row>
    <row r="615" spans="1:2">
      <c r="A615" s="192" t="s">
        <v>3411</v>
      </c>
      <c r="B615" s="740" t="s">
        <v>1163</v>
      </c>
    </row>
    <row r="616" spans="1:2">
      <c r="A616" s="192" t="s">
        <v>3412</v>
      </c>
      <c r="B616" s="750" t="s">
        <v>3388</v>
      </c>
    </row>
    <row r="617" spans="1:2">
      <c r="A617" s="108" t="s">
        <v>3413</v>
      </c>
      <c r="B617" s="740" t="s">
        <v>3414</v>
      </c>
    </row>
    <row r="618" spans="1:2">
      <c r="A618" s="192" t="s">
        <v>3415</v>
      </c>
      <c r="B618" s="750" t="s">
        <v>3416</v>
      </c>
    </row>
    <row r="619" spans="1:2">
      <c r="A619" s="192" t="s">
        <v>3417</v>
      </c>
      <c r="B619" s="750" t="s">
        <v>3416</v>
      </c>
    </row>
    <row r="620" spans="1:2">
      <c r="A620" s="192" t="s">
        <v>3418</v>
      </c>
      <c r="B620" s="750" t="s">
        <v>3416</v>
      </c>
    </row>
    <row r="621" spans="1:2">
      <c r="A621" s="192" t="s">
        <v>3419</v>
      </c>
      <c r="B621" s="750" t="s">
        <v>3416</v>
      </c>
    </row>
    <row r="622" spans="1:2">
      <c r="A622" s="192" t="s">
        <v>3420</v>
      </c>
      <c r="B622" s="750" t="s">
        <v>3416</v>
      </c>
    </row>
    <row r="623" spans="1:2">
      <c r="A623" s="192" t="s">
        <v>3421</v>
      </c>
      <c r="B623" s="750" t="s">
        <v>3416</v>
      </c>
    </row>
    <row r="624" spans="1:2">
      <c r="A624" s="192" t="s">
        <v>3422</v>
      </c>
      <c r="B624" s="750" t="s">
        <v>3416</v>
      </c>
    </row>
    <row r="625" spans="1:2">
      <c r="A625" s="192" t="s">
        <v>3423</v>
      </c>
      <c r="B625" s="750" t="s">
        <v>3416</v>
      </c>
    </row>
    <row r="626" spans="1:2">
      <c r="A626" s="192" t="s">
        <v>3424</v>
      </c>
      <c r="B626" s="740" t="s">
        <v>1163</v>
      </c>
    </row>
    <row r="627" spans="1:2">
      <c r="A627" s="149" t="s">
        <v>3425</v>
      </c>
      <c r="B627" s="750" t="s">
        <v>3416</v>
      </c>
    </row>
    <row r="628" spans="1:2">
      <c r="A628" s="149" t="s">
        <v>3426</v>
      </c>
      <c r="B628" s="750" t="s">
        <v>3416</v>
      </c>
    </row>
    <row r="629" spans="1:2">
      <c r="A629" s="149" t="s">
        <v>3427</v>
      </c>
      <c r="B629" s="740" t="s">
        <v>3428</v>
      </c>
    </row>
    <row r="630" spans="1:2" ht="15.75">
      <c r="A630" s="580" t="s">
        <v>3429</v>
      </c>
      <c r="B630" s="740" t="s">
        <v>2844</v>
      </c>
    </row>
    <row r="631" spans="1:2">
      <c r="A631" s="149" t="s">
        <v>3430</v>
      </c>
      <c r="B631" s="750" t="s">
        <v>3416</v>
      </c>
    </row>
    <row r="632" spans="1:2">
      <c r="A632" s="149" t="s">
        <v>3431</v>
      </c>
      <c r="B632" s="750" t="s">
        <v>3416</v>
      </c>
    </row>
    <row r="633" spans="1:2">
      <c r="A633" s="149" t="s">
        <v>3432</v>
      </c>
      <c r="B633" s="750" t="s">
        <v>3416</v>
      </c>
    </row>
    <row r="634" spans="1:2">
      <c r="A634" s="149" t="s">
        <v>3266</v>
      </c>
      <c r="B634" s="740" t="s">
        <v>2844</v>
      </c>
    </row>
    <row r="635" spans="1:2">
      <c r="A635" s="149" t="s">
        <v>3433</v>
      </c>
      <c r="B635" s="750" t="s">
        <v>3416</v>
      </c>
    </row>
    <row r="636" spans="1:2">
      <c r="A636" s="149" t="s">
        <v>3434</v>
      </c>
      <c r="B636" s="750" t="s">
        <v>3416</v>
      </c>
    </row>
    <row r="637" spans="1:2">
      <c r="A637" s="149" t="s">
        <v>3435</v>
      </c>
      <c r="B637" s="750" t="s">
        <v>3416</v>
      </c>
    </row>
    <row r="638" spans="1:2">
      <c r="A638" s="149" t="s">
        <v>3436</v>
      </c>
      <c r="B638" s="750" t="s">
        <v>3416</v>
      </c>
    </row>
    <row r="639" spans="1:2">
      <c r="A639" s="149" t="s">
        <v>3437</v>
      </c>
      <c r="B639" s="750" t="s">
        <v>3388</v>
      </c>
    </row>
    <row r="640" spans="1:2">
      <c r="A640" s="149" t="s">
        <v>3438</v>
      </c>
      <c r="B640" s="750" t="s">
        <v>3388</v>
      </c>
    </row>
    <row r="641" spans="1:2">
      <c r="A641" s="295" t="s">
        <v>2238</v>
      </c>
      <c r="B641" s="750" t="s">
        <v>3337</v>
      </c>
    </row>
    <row r="642" spans="1:2">
      <c r="A642" s="204"/>
      <c r="B642" s="740"/>
    </row>
    <row r="643" spans="1:2">
      <c r="A643" s="295"/>
      <c r="B643" s="740"/>
    </row>
    <row r="644" spans="1:2">
      <c r="A644" s="295"/>
      <c r="B644" s="740"/>
    </row>
    <row r="645" spans="1:2">
      <c r="A645" s="295"/>
      <c r="B645" s="740"/>
    </row>
    <row r="646" spans="1:2">
      <c r="A646" s="295"/>
      <c r="B646" s="740"/>
    </row>
    <row r="647" spans="1:2">
      <c r="A647" s="295"/>
      <c r="B647" s="740"/>
    </row>
    <row r="648" spans="1:2">
      <c r="A648" s="295"/>
      <c r="B648" s="740"/>
    </row>
  </sheetData>
  <mergeCells count="4">
    <mergeCell ref="A67:B67"/>
    <mergeCell ref="A81:B81"/>
    <mergeCell ref="A122:B122"/>
    <mergeCell ref="A147:B147"/>
  </mergeCell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D0E17-E762-49CB-AA66-D20A20F08AD0}">
  <dimension ref="A1:G1054"/>
  <sheetViews>
    <sheetView topLeftCell="D129" workbookViewId="0">
      <selection activeCell="D221" sqref="D221"/>
    </sheetView>
  </sheetViews>
  <sheetFormatPr defaultRowHeight="15"/>
  <cols>
    <col min="1" max="1" width="8.140625" bestFit="1" customWidth="1"/>
    <col min="2" max="2" width="28.140625" customWidth="1"/>
    <col min="3" max="3" width="15.42578125" style="26" customWidth="1"/>
    <col min="5" max="5" width="15.42578125" bestFit="1" customWidth="1"/>
    <col min="6" max="6" width="36.28515625" bestFit="1" customWidth="1"/>
  </cols>
  <sheetData>
    <row r="1" spans="1:6" ht="23.25">
      <c r="A1" s="440" t="s">
        <v>3439</v>
      </c>
      <c r="B1" s="440" t="s">
        <v>3440</v>
      </c>
      <c r="C1" s="441" t="s">
        <v>3441</v>
      </c>
      <c r="D1" s="446" t="s">
        <v>3442</v>
      </c>
      <c r="E1" s="440" t="s">
        <v>3443</v>
      </c>
      <c r="F1" s="440" t="s">
        <v>3444</v>
      </c>
    </row>
    <row r="2" spans="1:6">
      <c r="A2" s="442">
        <v>1895</v>
      </c>
      <c r="B2" s="442" t="s">
        <v>3445</v>
      </c>
      <c r="C2" s="443">
        <v>1966</v>
      </c>
      <c r="D2" s="447" t="s">
        <v>3446</v>
      </c>
      <c r="E2" s="149"/>
      <c r="F2" s="149" t="s">
        <v>3447</v>
      </c>
    </row>
    <row r="3" spans="1:6">
      <c r="A3" s="450">
        <v>1883</v>
      </c>
      <c r="B3" s="444" t="s">
        <v>3448</v>
      </c>
      <c r="C3" s="445">
        <v>1950</v>
      </c>
      <c r="D3" s="448" t="s">
        <v>3446</v>
      </c>
      <c r="E3" s="149" t="s">
        <v>3449</v>
      </c>
      <c r="F3" s="149" t="s">
        <v>3450</v>
      </c>
    </row>
    <row r="4" spans="1:6">
      <c r="A4" s="451">
        <v>1882</v>
      </c>
      <c r="B4" s="451" t="s">
        <v>3451</v>
      </c>
      <c r="C4" s="452">
        <v>1949</v>
      </c>
      <c r="D4" s="453" t="s">
        <v>3446</v>
      </c>
      <c r="E4" s="457" t="s">
        <v>3452</v>
      </c>
      <c r="F4" s="149"/>
    </row>
    <row r="5" spans="1:6">
      <c r="A5" s="454">
        <v>1881</v>
      </c>
      <c r="B5" s="454" t="s">
        <v>3313</v>
      </c>
      <c r="C5" s="455">
        <v>1948</v>
      </c>
      <c r="D5" s="456" t="s">
        <v>3446</v>
      </c>
      <c r="E5" s="457" t="s">
        <v>3452</v>
      </c>
      <c r="F5" s="149"/>
    </row>
    <row r="6" spans="1:6">
      <c r="A6" s="451">
        <v>1880</v>
      </c>
      <c r="B6" s="451" t="s">
        <v>3453</v>
      </c>
      <c r="C6" s="452">
        <v>1947</v>
      </c>
      <c r="D6" s="453" t="s">
        <v>3446</v>
      </c>
      <c r="E6" s="457" t="s">
        <v>3452</v>
      </c>
      <c r="F6" s="149"/>
    </row>
    <row r="7" spans="1:6">
      <c r="A7" s="449">
        <v>1879</v>
      </c>
      <c r="B7" s="444" t="s">
        <v>3454</v>
      </c>
      <c r="C7" s="445">
        <v>1946</v>
      </c>
      <c r="D7" s="448" t="s">
        <v>3446</v>
      </c>
      <c r="E7" s="149" t="s">
        <v>3449</v>
      </c>
      <c r="F7" s="149" t="s">
        <v>3455</v>
      </c>
    </row>
    <row r="8" spans="1:6">
      <c r="A8" s="442">
        <v>1878</v>
      </c>
      <c r="B8" s="451" t="s">
        <v>3456</v>
      </c>
      <c r="C8" s="452">
        <v>1945</v>
      </c>
      <c r="D8" s="453" t="s">
        <v>3446</v>
      </c>
      <c r="E8" s="457" t="s">
        <v>3452</v>
      </c>
      <c r="F8" s="149"/>
    </row>
    <row r="9" spans="1:6">
      <c r="A9" s="444">
        <v>1877</v>
      </c>
      <c r="B9" s="454" t="s">
        <v>3457</v>
      </c>
      <c r="C9" s="455">
        <v>1944</v>
      </c>
      <c r="D9" s="456" t="s">
        <v>3446</v>
      </c>
      <c r="E9" s="457" t="s">
        <v>3452</v>
      </c>
      <c r="F9" s="149"/>
    </row>
    <row r="10" spans="1:6">
      <c r="A10" s="442">
        <v>1876</v>
      </c>
      <c r="B10" s="451" t="s">
        <v>3458</v>
      </c>
      <c r="C10" s="452">
        <v>1941</v>
      </c>
      <c r="D10" s="453" t="s">
        <v>3446</v>
      </c>
      <c r="E10" s="457" t="s">
        <v>3452</v>
      </c>
      <c r="F10" s="149"/>
    </row>
    <row r="11" spans="1:6">
      <c r="A11" s="444">
        <v>1875</v>
      </c>
      <c r="B11" s="444" t="s">
        <v>3459</v>
      </c>
      <c r="C11" s="445">
        <v>1940</v>
      </c>
      <c r="D11" s="448" t="s">
        <v>3446</v>
      </c>
      <c r="E11" s="149" t="s">
        <v>3460</v>
      </c>
      <c r="F11" s="149"/>
    </row>
    <row r="12" spans="1:6">
      <c r="A12" s="451">
        <v>1873</v>
      </c>
      <c r="B12" s="451" t="s">
        <v>3138</v>
      </c>
      <c r="C12" s="452">
        <v>1939</v>
      </c>
      <c r="D12" s="453" t="s">
        <v>3446</v>
      </c>
      <c r="E12" s="457" t="s">
        <v>3452</v>
      </c>
      <c r="F12" s="149"/>
    </row>
    <row r="13" spans="1:6" ht="23.25">
      <c r="A13" s="454">
        <v>1872</v>
      </c>
      <c r="B13" s="454" t="s">
        <v>3461</v>
      </c>
      <c r="C13" s="455">
        <v>1937</v>
      </c>
      <c r="D13" s="456" t="s">
        <v>3446</v>
      </c>
      <c r="E13" s="457" t="s">
        <v>3452</v>
      </c>
      <c r="F13" s="149"/>
    </row>
    <row r="14" spans="1:6">
      <c r="A14" s="451">
        <v>1871</v>
      </c>
      <c r="B14" s="451" t="s">
        <v>3462</v>
      </c>
      <c r="C14" s="452">
        <v>1936</v>
      </c>
      <c r="D14" s="453" t="s">
        <v>3446</v>
      </c>
      <c r="E14" s="457" t="s">
        <v>3452</v>
      </c>
      <c r="F14" s="149"/>
    </row>
    <row r="15" spans="1:6">
      <c r="A15" s="454">
        <v>1870</v>
      </c>
      <c r="B15" s="454" t="s">
        <v>3463</v>
      </c>
      <c r="C15" s="455">
        <v>1934</v>
      </c>
      <c r="D15" s="456" t="s">
        <v>3446</v>
      </c>
      <c r="E15" s="457" t="s">
        <v>3452</v>
      </c>
      <c r="F15" s="149"/>
    </row>
    <row r="16" spans="1:6">
      <c r="A16" s="451">
        <v>1869</v>
      </c>
      <c r="B16" s="451" t="s">
        <v>3464</v>
      </c>
      <c r="C16" s="452">
        <v>1935</v>
      </c>
      <c r="D16" s="453" t="s">
        <v>3446</v>
      </c>
      <c r="E16" s="457" t="s">
        <v>3452</v>
      </c>
      <c r="F16" s="149"/>
    </row>
    <row r="17" spans="1:7">
      <c r="A17" s="454">
        <v>1868</v>
      </c>
      <c r="B17" s="454" t="s">
        <v>3465</v>
      </c>
      <c r="C17" s="455">
        <v>1931</v>
      </c>
      <c r="D17" s="456" t="s">
        <v>3446</v>
      </c>
      <c r="E17" s="457" t="s">
        <v>3452</v>
      </c>
      <c r="F17" s="149"/>
    </row>
    <row r="18" spans="1:7">
      <c r="A18" s="451">
        <v>1867</v>
      </c>
      <c r="B18" s="451" t="s">
        <v>3466</v>
      </c>
      <c r="C18" s="452">
        <v>1930</v>
      </c>
      <c r="D18" s="453" t="s">
        <v>3446</v>
      </c>
      <c r="E18" s="457" t="s">
        <v>3452</v>
      </c>
      <c r="F18" s="149"/>
    </row>
    <row r="19" spans="1:7">
      <c r="A19" s="454">
        <v>1866</v>
      </c>
      <c r="B19" s="454" t="s">
        <v>3467</v>
      </c>
      <c r="C19" s="455">
        <v>1929</v>
      </c>
      <c r="D19" s="456" t="s">
        <v>3446</v>
      </c>
      <c r="E19" s="457" t="s">
        <v>3452</v>
      </c>
      <c r="F19" s="149"/>
    </row>
    <row r="20" spans="1:7">
      <c r="A20" s="451">
        <v>1865</v>
      </c>
      <c r="B20" s="451" t="s">
        <v>3118</v>
      </c>
      <c r="C20" s="452">
        <v>1928</v>
      </c>
      <c r="D20" s="453" t="s">
        <v>3446</v>
      </c>
      <c r="E20" s="457" t="s">
        <v>3452</v>
      </c>
      <c r="F20" s="149"/>
    </row>
    <row r="21" spans="1:7">
      <c r="A21" s="444">
        <v>1864</v>
      </c>
      <c r="B21" s="444" t="s">
        <v>3468</v>
      </c>
      <c r="C21" s="445">
        <v>1927</v>
      </c>
      <c r="D21" s="448" t="s">
        <v>3446</v>
      </c>
      <c r="E21" s="149" t="s">
        <v>3449</v>
      </c>
      <c r="F21" s="149" t="s">
        <v>3455</v>
      </c>
    </row>
    <row r="22" spans="1:7">
      <c r="A22" s="449">
        <v>1863</v>
      </c>
      <c r="B22" s="442" t="s">
        <v>3469</v>
      </c>
      <c r="C22" s="443">
        <v>1926</v>
      </c>
      <c r="D22" s="447" t="s">
        <v>3446</v>
      </c>
      <c r="E22" s="149" t="s">
        <v>3449</v>
      </c>
      <c r="F22" s="149" t="s">
        <v>3455</v>
      </c>
    </row>
    <row r="23" spans="1:7">
      <c r="A23" s="444">
        <v>1862</v>
      </c>
      <c r="B23" s="444" t="s">
        <v>3470</v>
      </c>
      <c r="C23" s="445">
        <v>1925</v>
      </c>
      <c r="D23" s="448" t="s">
        <v>3446</v>
      </c>
      <c r="E23" s="149" t="s">
        <v>3449</v>
      </c>
      <c r="F23" s="149" t="s">
        <v>3471</v>
      </c>
    </row>
    <row r="24" spans="1:7">
      <c r="A24" s="451">
        <v>1861</v>
      </c>
      <c r="B24" s="451" t="s">
        <v>3472</v>
      </c>
      <c r="C24" s="452">
        <v>1924</v>
      </c>
      <c r="D24" s="453" t="s">
        <v>3446</v>
      </c>
      <c r="E24" s="457" t="s">
        <v>3452</v>
      </c>
      <c r="F24" s="149"/>
    </row>
    <row r="25" spans="1:7">
      <c r="A25" s="454">
        <v>1860</v>
      </c>
      <c r="B25" s="454" t="s">
        <v>3473</v>
      </c>
      <c r="C25" s="455">
        <v>1923</v>
      </c>
      <c r="D25" s="456" t="s">
        <v>3446</v>
      </c>
      <c r="E25" s="457" t="s">
        <v>3452</v>
      </c>
      <c r="F25" s="149"/>
    </row>
    <row r="26" spans="1:7" ht="23.25">
      <c r="A26" s="442">
        <v>1859</v>
      </c>
      <c r="B26" s="442" t="s">
        <v>3427</v>
      </c>
      <c r="C26" s="443">
        <v>1922</v>
      </c>
      <c r="D26" s="447" t="s">
        <v>3446</v>
      </c>
      <c r="E26" s="149" t="s">
        <v>3474</v>
      </c>
      <c r="F26" s="149"/>
    </row>
    <row r="27" spans="1:7">
      <c r="A27" s="444">
        <v>1858</v>
      </c>
      <c r="B27" s="444" t="s">
        <v>3475</v>
      </c>
      <c r="C27" s="445">
        <v>1921</v>
      </c>
      <c r="D27" s="448" t="s">
        <v>3446</v>
      </c>
      <c r="E27" s="149"/>
      <c r="F27" s="149"/>
      <c r="G27" t="s">
        <v>3476</v>
      </c>
    </row>
    <row r="28" spans="1:7">
      <c r="A28" s="451">
        <v>1857</v>
      </c>
      <c r="B28" s="451" t="s">
        <v>3477</v>
      </c>
      <c r="C28" s="452">
        <v>1920</v>
      </c>
      <c r="D28" s="453" t="s">
        <v>3446</v>
      </c>
      <c r="E28" s="457" t="s">
        <v>3452</v>
      </c>
      <c r="F28" s="149"/>
    </row>
    <row r="29" spans="1:7">
      <c r="A29" s="454">
        <v>1856</v>
      </c>
      <c r="B29" s="454" t="s">
        <v>3478</v>
      </c>
      <c r="C29" s="455">
        <v>1919</v>
      </c>
      <c r="D29" s="456" t="s">
        <v>3446</v>
      </c>
      <c r="E29" s="457" t="s">
        <v>3452</v>
      </c>
      <c r="F29" s="149"/>
    </row>
    <row r="30" spans="1:7">
      <c r="A30" s="451">
        <v>1855</v>
      </c>
      <c r="B30" s="451" t="s">
        <v>3479</v>
      </c>
      <c r="C30" s="452">
        <v>1918</v>
      </c>
      <c r="D30" s="453" t="s">
        <v>3446</v>
      </c>
      <c r="E30" s="457" t="s">
        <v>3452</v>
      </c>
      <c r="F30" s="149"/>
    </row>
    <row r="31" spans="1:7">
      <c r="A31" s="454">
        <v>1854</v>
      </c>
      <c r="B31" s="454" t="s">
        <v>3067</v>
      </c>
      <c r="C31" s="455">
        <v>1917</v>
      </c>
      <c r="D31" s="456" t="s">
        <v>3446</v>
      </c>
      <c r="E31" s="457" t="s">
        <v>3452</v>
      </c>
      <c r="F31" s="149"/>
    </row>
    <row r="32" spans="1:7">
      <c r="A32" s="451">
        <v>1853</v>
      </c>
      <c r="B32" s="451" t="s">
        <v>3355</v>
      </c>
      <c r="C32" s="452">
        <v>1915</v>
      </c>
      <c r="D32" s="453" t="s">
        <v>3446</v>
      </c>
      <c r="E32" s="457" t="s">
        <v>3452</v>
      </c>
      <c r="F32" s="149"/>
    </row>
    <row r="33" spans="1:7">
      <c r="A33" s="454">
        <v>1852</v>
      </c>
      <c r="B33" s="454" t="s">
        <v>3480</v>
      </c>
      <c r="C33" s="455">
        <v>1914</v>
      </c>
      <c r="D33" s="456" t="s">
        <v>3446</v>
      </c>
      <c r="E33" s="457" t="s">
        <v>3452</v>
      </c>
      <c r="F33" s="149"/>
    </row>
    <row r="34" spans="1:7">
      <c r="A34" s="451">
        <v>1851</v>
      </c>
      <c r="B34" s="451" t="s">
        <v>3481</v>
      </c>
      <c r="C34" s="452">
        <v>1913</v>
      </c>
      <c r="D34" s="453" t="s">
        <v>3446</v>
      </c>
      <c r="E34" s="457" t="s">
        <v>3452</v>
      </c>
      <c r="F34" s="149"/>
    </row>
    <row r="35" spans="1:7">
      <c r="A35" s="444">
        <v>1850</v>
      </c>
      <c r="B35" s="444" t="s">
        <v>3482</v>
      </c>
      <c r="C35" s="445">
        <v>1912</v>
      </c>
      <c r="D35" s="448" t="s">
        <v>3446</v>
      </c>
      <c r="E35" s="149" t="s">
        <v>3449</v>
      </c>
      <c r="F35" s="149" t="s">
        <v>3455</v>
      </c>
    </row>
    <row r="36" spans="1:7">
      <c r="A36" s="451">
        <v>1849</v>
      </c>
      <c r="B36" s="451" t="s">
        <v>3483</v>
      </c>
      <c r="C36" s="452">
        <v>1911</v>
      </c>
      <c r="D36" s="453" t="s">
        <v>3446</v>
      </c>
      <c r="E36" s="457" t="s">
        <v>3452</v>
      </c>
      <c r="F36" s="149"/>
    </row>
    <row r="37" spans="1:7">
      <c r="A37" s="454">
        <v>1848</v>
      </c>
      <c r="B37" s="454" t="s">
        <v>3484</v>
      </c>
      <c r="C37" s="455">
        <v>1909</v>
      </c>
      <c r="D37" s="456" t="s">
        <v>3446</v>
      </c>
      <c r="E37" s="457" t="s">
        <v>3452</v>
      </c>
      <c r="F37" s="149"/>
    </row>
    <row r="38" spans="1:7">
      <c r="A38" s="451">
        <v>1847</v>
      </c>
      <c r="B38" s="451" t="s">
        <v>3050</v>
      </c>
      <c r="C38" s="452">
        <v>1908</v>
      </c>
      <c r="D38" s="453" t="s">
        <v>3446</v>
      </c>
      <c r="E38" s="457" t="s">
        <v>3452</v>
      </c>
      <c r="F38" s="149"/>
    </row>
    <row r="39" spans="1:7">
      <c r="A39" s="454">
        <v>1846</v>
      </c>
      <c r="B39" s="454" t="s">
        <v>3250</v>
      </c>
      <c r="C39" s="455">
        <v>1907</v>
      </c>
      <c r="D39" s="456" t="s">
        <v>3446</v>
      </c>
      <c r="E39" s="457" t="s">
        <v>3452</v>
      </c>
      <c r="F39" s="149"/>
    </row>
    <row r="40" spans="1:7">
      <c r="A40" s="449">
        <v>1845</v>
      </c>
      <c r="B40" s="442" t="s">
        <v>3485</v>
      </c>
      <c r="C40" s="443">
        <v>1906</v>
      </c>
      <c r="D40" s="447" t="s">
        <v>3446</v>
      </c>
      <c r="E40" s="149" t="s">
        <v>3449</v>
      </c>
      <c r="F40" s="149" t="s">
        <v>3455</v>
      </c>
    </row>
    <row r="41" spans="1:7">
      <c r="A41" s="449">
        <v>1844</v>
      </c>
      <c r="B41" s="444" t="s">
        <v>3486</v>
      </c>
      <c r="C41" s="445">
        <v>1905</v>
      </c>
      <c r="D41" s="448" t="s">
        <v>3446</v>
      </c>
      <c r="E41" s="149" t="s">
        <v>3449</v>
      </c>
      <c r="F41" s="149" t="s">
        <v>3455</v>
      </c>
    </row>
    <row r="42" spans="1:7">
      <c r="A42" s="451">
        <v>1842</v>
      </c>
      <c r="B42" s="451" t="s">
        <v>3487</v>
      </c>
      <c r="C42" s="452">
        <v>1902</v>
      </c>
      <c r="D42" s="453" t="s">
        <v>3446</v>
      </c>
      <c r="E42" s="457" t="s">
        <v>3452</v>
      </c>
      <c r="F42" s="149"/>
    </row>
    <row r="43" spans="1:7">
      <c r="A43" s="449">
        <v>1841</v>
      </c>
      <c r="B43" s="444" t="s">
        <v>3038</v>
      </c>
      <c r="C43" s="445">
        <v>1900</v>
      </c>
      <c r="D43" s="448" t="s">
        <v>3446</v>
      </c>
      <c r="E43" s="149" t="s">
        <v>3449</v>
      </c>
      <c r="F43" s="149" t="s">
        <v>3455</v>
      </c>
    </row>
    <row r="44" spans="1:7">
      <c r="A44" s="442">
        <v>1840</v>
      </c>
      <c r="B44" s="442" t="s">
        <v>3488</v>
      </c>
      <c r="C44" s="443">
        <v>1899</v>
      </c>
      <c r="D44" s="447" t="s">
        <v>3446</v>
      </c>
      <c r="E44" s="149" t="s">
        <v>3449</v>
      </c>
      <c r="F44" s="149" t="s">
        <v>3455</v>
      </c>
    </row>
    <row r="45" spans="1:7">
      <c r="A45" s="454">
        <v>1839</v>
      </c>
      <c r="B45" s="454" t="s">
        <v>3489</v>
      </c>
      <c r="C45" s="455">
        <v>1898</v>
      </c>
      <c r="D45" s="456" t="s">
        <v>3446</v>
      </c>
      <c r="E45" s="457" t="s">
        <v>3452</v>
      </c>
      <c r="F45" s="149"/>
    </row>
    <row r="46" spans="1:7">
      <c r="A46" s="442">
        <v>1838</v>
      </c>
      <c r="B46" s="442" t="s">
        <v>3193</v>
      </c>
      <c r="C46" s="443">
        <v>1897</v>
      </c>
      <c r="D46" s="447" t="s">
        <v>3446</v>
      </c>
      <c r="E46" s="149"/>
      <c r="F46" s="149"/>
      <c r="G46" t="s">
        <v>3476</v>
      </c>
    </row>
    <row r="47" spans="1:7">
      <c r="A47" s="449">
        <v>1836</v>
      </c>
      <c r="B47" s="444" t="s">
        <v>3490</v>
      </c>
      <c r="C47" s="445">
        <v>1895</v>
      </c>
      <c r="D47" s="448" t="s">
        <v>3446</v>
      </c>
      <c r="E47" s="149" t="s">
        <v>3449</v>
      </c>
      <c r="F47" s="149" t="s">
        <v>3455</v>
      </c>
    </row>
    <row r="48" spans="1:7">
      <c r="A48" s="442">
        <v>1835</v>
      </c>
      <c r="B48" s="442" t="s">
        <v>3491</v>
      </c>
      <c r="C48" s="443">
        <v>1893</v>
      </c>
      <c r="D48" s="447" t="s">
        <v>3446</v>
      </c>
      <c r="E48" s="149"/>
      <c r="F48" s="149"/>
      <c r="G48" t="s">
        <v>3476</v>
      </c>
    </row>
    <row r="49" spans="1:7">
      <c r="A49" s="454">
        <v>1834</v>
      </c>
      <c r="B49" s="454" t="s">
        <v>3492</v>
      </c>
      <c r="C49" s="455">
        <v>1892</v>
      </c>
      <c r="D49" s="456" t="s">
        <v>3446</v>
      </c>
      <c r="E49" s="457" t="s">
        <v>3452</v>
      </c>
      <c r="F49" s="149"/>
    </row>
    <row r="50" spans="1:7">
      <c r="A50" s="449">
        <v>1831</v>
      </c>
      <c r="B50" s="442" t="s">
        <v>3493</v>
      </c>
      <c r="C50" s="443">
        <v>1890</v>
      </c>
      <c r="D50" s="447" t="s">
        <v>3446</v>
      </c>
      <c r="E50" s="149" t="s">
        <v>3449</v>
      </c>
      <c r="F50" s="149" t="s">
        <v>3455</v>
      </c>
    </row>
    <row r="51" spans="1:7">
      <c r="A51" s="449">
        <v>1830</v>
      </c>
      <c r="B51" s="444" t="s">
        <v>3054</v>
      </c>
      <c r="C51" s="445">
        <v>1889</v>
      </c>
      <c r="D51" s="448" t="s">
        <v>3446</v>
      </c>
      <c r="E51" s="149" t="s">
        <v>3449</v>
      </c>
      <c r="F51" s="149" t="s">
        <v>3455</v>
      </c>
    </row>
    <row r="52" spans="1:7">
      <c r="A52" s="449">
        <v>1829</v>
      </c>
      <c r="B52" s="442" t="s">
        <v>3104</v>
      </c>
      <c r="C52" s="443">
        <v>1887</v>
      </c>
      <c r="D52" s="447" t="s">
        <v>3446</v>
      </c>
      <c r="E52" s="149" t="s">
        <v>3449</v>
      </c>
      <c r="F52" s="149" t="s">
        <v>3455</v>
      </c>
    </row>
    <row r="53" spans="1:7">
      <c r="A53" s="444">
        <v>1827</v>
      </c>
      <c r="B53" s="444" t="s">
        <v>3043</v>
      </c>
      <c r="C53" s="445">
        <v>1885</v>
      </c>
      <c r="D53" s="448" t="s">
        <v>3446</v>
      </c>
      <c r="E53" s="149"/>
      <c r="F53" s="149"/>
      <c r="G53" t="s">
        <v>3476</v>
      </c>
    </row>
    <row r="54" spans="1:7">
      <c r="A54" s="451">
        <v>1823</v>
      </c>
      <c r="B54" s="451" t="s">
        <v>3494</v>
      </c>
      <c r="C54" s="452">
        <v>1878</v>
      </c>
      <c r="D54" s="453" t="s">
        <v>3446</v>
      </c>
      <c r="E54" s="457" t="s">
        <v>3452</v>
      </c>
      <c r="F54" s="149"/>
    </row>
    <row r="55" spans="1:7">
      <c r="A55" s="454">
        <v>1821</v>
      </c>
      <c r="B55" s="454" t="s">
        <v>3246</v>
      </c>
      <c r="C55" s="455">
        <v>1877</v>
      </c>
      <c r="D55" s="456" t="s">
        <v>3446</v>
      </c>
      <c r="E55" s="457" t="s">
        <v>3452</v>
      </c>
      <c r="F55" s="149"/>
    </row>
    <row r="56" spans="1:7">
      <c r="A56" s="450">
        <v>1819</v>
      </c>
      <c r="B56" s="442" t="s">
        <v>3495</v>
      </c>
      <c r="C56" s="443">
        <v>1874</v>
      </c>
      <c r="D56" s="447" t="s">
        <v>3446</v>
      </c>
      <c r="E56" s="149" t="s">
        <v>3449</v>
      </c>
      <c r="F56" s="149" t="s">
        <v>3450</v>
      </c>
    </row>
    <row r="57" spans="1:7">
      <c r="A57" s="454">
        <v>1818</v>
      </c>
      <c r="B57" s="454" t="s">
        <v>3496</v>
      </c>
      <c r="C57" s="455">
        <v>1873</v>
      </c>
      <c r="D57" s="456" t="s">
        <v>3446</v>
      </c>
      <c r="E57" s="457" t="s">
        <v>3452</v>
      </c>
      <c r="F57" s="149"/>
    </row>
    <row r="58" spans="1:7">
      <c r="A58" s="449">
        <v>1817</v>
      </c>
      <c r="B58" s="442" t="s">
        <v>3497</v>
      </c>
      <c r="C58" s="443">
        <v>1872</v>
      </c>
      <c r="D58" s="447" t="s">
        <v>3446</v>
      </c>
      <c r="E58" s="149" t="s">
        <v>3449</v>
      </c>
      <c r="F58" s="149" t="s">
        <v>3455</v>
      </c>
    </row>
    <row r="59" spans="1:7">
      <c r="A59" s="454">
        <v>1815</v>
      </c>
      <c r="B59" s="454" t="s">
        <v>3498</v>
      </c>
      <c r="C59" s="455">
        <v>1869</v>
      </c>
      <c r="D59" s="456" t="s">
        <v>3446</v>
      </c>
      <c r="E59" s="457" t="s">
        <v>3452</v>
      </c>
      <c r="F59" s="149"/>
    </row>
    <row r="60" spans="1:7" ht="23.25">
      <c r="A60" s="451">
        <v>1813</v>
      </c>
      <c r="B60" s="451" t="s">
        <v>3499</v>
      </c>
      <c r="C60" s="452">
        <v>1865</v>
      </c>
      <c r="D60" s="453" t="s">
        <v>3446</v>
      </c>
      <c r="E60" s="457" t="s">
        <v>3452</v>
      </c>
      <c r="F60" s="149"/>
    </row>
    <row r="61" spans="1:7">
      <c r="A61" s="454">
        <v>1810</v>
      </c>
      <c r="B61" s="454" t="s">
        <v>3500</v>
      </c>
      <c r="C61" s="455">
        <v>1862</v>
      </c>
      <c r="D61" s="456" t="s">
        <v>3446</v>
      </c>
      <c r="E61" s="457" t="s">
        <v>3452</v>
      </c>
      <c r="F61" s="149"/>
    </row>
    <row r="62" spans="1:7" ht="23.25">
      <c r="A62" s="449">
        <v>1809</v>
      </c>
      <c r="B62" s="442" t="s">
        <v>3501</v>
      </c>
      <c r="C62" s="443">
        <v>1861</v>
      </c>
      <c r="D62" s="447" t="s">
        <v>3446</v>
      </c>
      <c r="E62" s="149" t="s">
        <v>3449</v>
      </c>
      <c r="F62" s="149" t="s">
        <v>3455</v>
      </c>
    </row>
    <row r="63" spans="1:7">
      <c r="A63" s="454">
        <v>1808</v>
      </c>
      <c r="B63" s="454" t="s">
        <v>3502</v>
      </c>
      <c r="C63" s="455">
        <v>1860</v>
      </c>
      <c r="D63" s="456" t="s">
        <v>3446</v>
      </c>
      <c r="E63" s="457" t="s">
        <v>3452</v>
      </c>
      <c r="F63" s="149"/>
    </row>
    <row r="64" spans="1:7">
      <c r="A64" s="449">
        <v>1804</v>
      </c>
      <c r="B64" s="442" t="s">
        <v>3503</v>
      </c>
      <c r="C64" s="443">
        <v>1856</v>
      </c>
      <c r="D64" s="447" t="s">
        <v>3446</v>
      </c>
      <c r="E64" s="149" t="s">
        <v>3449</v>
      </c>
      <c r="F64" s="149" t="s">
        <v>3455</v>
      </c>
    </row>
    <row r="65" spans="1:7">
      <c r="A65" s="454">
        <v>1797</v>
      </c>
      <c r="B65" s="454" t="s">
        <v>3504</v>
      </c>
      <c r="C65" s="455">
        <v>1848</v>
      </c>
      <c r="D65" s="456" t="s">
        <v>3446</v>
      </c>
      <c r="E65" s="457" t="s">
        <v>3452</v>
      </c>
      <c r="F65" s="149"/>
    </row>
    <row r="66" spans="1:7">
      <c r="A66" s="442">
        <v>1795</v>
      </c>
      <c r="B66" s="442" t="s">
        <v>3505</v>
      </c>
      <c r="C66" s="443">
        <v>1846</v>
      </c>
      <c r="D66" s="447" t="s">
        <v>3446</v>
      </c>
      <c r="E66" s="149"/>
      <c r="F66" s="149"/>
    </row>
    <row r="67" spans="1:7">
      <c r="A67" s="454">
        <v>1794</v>
      </c>
      <c r="B67" s="454" t="s">
        <v>3212</v>
      </c>
      <c r="C67" s="455">
        <v>1850</v>
      </c>
      <c r="D67" s="456" t="s">
        <v>3446</v>
      </c>
      <c r="E67" s="457" t="s">
        <v>3452</v>
      </c>
      <c r="F67" s="149"/>
    </row>
    <row r="68" spans="1:7">
      <c r="A68" s="442">
        <v>1793</v>
      </c>
      <c r="B68" s="442" t="s">
        <v>3506</v>
      </c>
      <c r="C68" s="443">
        <v>1845</v>
      </c>
      <c r="D68" s="447" t="s">
        <v>3446</v>
      </c>
      <c r="E68" s="149" t="s">
        <v>3449</v>
      </c>
      <c r="F68" s="149"/>
    </row>
    <row r="69" spans="1:7">
      <c r="A69" s="454">
        <v>1792</v>
      </c>
      <c r="B69" s="454" t="s">
        <v>3507</v>
      </c>
      <c r="C69" s="455">
        <v>1844</v>
      </c>
      <c r="D69" s="456" t="s">
        <v>3446</v>
      </c>
      <c r="E69" s="457" t="s">
        <v>3452</v>
      </c>
      <c r="F69" s="149"/>
    </row>
    <row r="70" spans="1:7">
      <c r="A70" s="451">
        <v>1791</v>
      </c>
      <c r="B70" s="451" t="s">
        <v>3200</v>
      </c>
      <c r="C70" s="452">
        <v>1843</v>
      </c>
      <c r="D70" s="453" t="s">
        <v>3446</v>
      </c>
      <c r="E70" s="457" t="s">
        <v>3452</v>
      </c>
      <c r="F70" s="149"/>
    </row>
    <row r="71" spans="1:7">
      <c r="A71" s="449">
        <v>1787</v>
      </c>
      <c r="B71" s="444" t="s">
        <v>3508</v>
      </c>
      <c r="C71" s="445">
        <v>1837</v>
      </c>
      <c r="D71" s="448" t="s">
        <v>3446</v>
      </c>
      <c r="E71" s="149" t="s">
        <v>3449</v>
      </c>
      <c r="F71" s="149" t="s">
        <v>3455</v>
      </c>
    </row>
    <row r="72" spans="1:7">
      <c r="A72" s="449">
        <v>1785</v>
      </c>
      <c r="B72" s="442" t="s">
        <v>3433</v>
      </c>
      <c r="C72" s="443">
        <v>1835</v>
      </c>
      <c r="D72" s="447" t="s">
        <v>3446</v>
      </c>
      <c r="E72" s="149" t="s">
        <v>3449</v>
      </c>
      <c r="F72" s="149" t="s">
        <v>3455</v>
      </c>
    </row>
    <row r="73" spans="1:7">
      <c r="A73" s="444">
        <v>1783</v>
      </c>
      <c r="B73" s="444" t="s">
        <v>3509</v>
      </c>
      <c r="C73" s="445">
        <v>1833</v>
      </c>
      <c r="D73" s="448" t="s">
        <v>3446</v>
      </c>
      <c r="E73" s="149" t="s">
        <v>3449</v>
      </c>
      <c r="F73" s="149" t="s">
        <v>3471</v>
      </c>
    </row>
    <row r="74" spans="1:7">
      <c r="A74" s="449">
        <v>1782</v>
      </c>
      <c r="B74" s="442" t="s">
        <v>3510</v>
      </c>
      <c r="C74" s="443">
        <v>1832</v>
      </c>
      <c r="D74" s="447" t="s">
        <v>3446</v>
      </c>
      <c r="E74" s="149" t="s">
        <v>3449</v>
      </c>
      <c r="F74" s="149" t="s">
        <v>3455</v>
      </c>
    </row>
    <row r="75" spans="1:7">
      <c r="A75" s="454">
        <v>1774</v>
      </c>
      <c r="B75" s="454" t="s">
        <v>3511</v>
      </c>
      <c r="C75" s="455">
        <v>1824</v>
      </c>
      <c r="D75" s="456" t="s">
        <v>3446</v>
      </c>
      <c r="E75" s="457" t="s">
        <v>3452</v>
      </c>
      <c r="F75" s="149"/>
    </row>
    <row r="76" spans="1:7">
      <c r="A76" s="451">
        <v>1773</v>
      </c>
      <c r="B76" s="451" t="s">
        <v>3512</v>
      </c>
      <c r="C76" s="452">
        <v>1823</v>
      </c>
      <c r="D76" s="453" t="s">
        <v>3446</v>
      </c>
      <c r="E76" s="457" t="s">
        <v>3452</v>
      </c>
      <c r="F76" s="149"/>
    </row>
    <row r="77" spans="1:7">
      <c r="A77" s="454">
        <v>1767</v>
      </c>
      <c r="B77" s="454" t="s">
        <v>3185</v>
      </c>
      <c r="C77" s="455">
        <v>1815</v>
      </c>
      <c r="D77" s="456" t="s">
        <v>3446</v>
      </c>
      <c r="E77" s="457" t="s">
        <v>3452</v>
      </c>
      <c r="F77" s="149"/>
    </row>
    <row r="78" spans="1:7">
      <c r="A78" s="451">
        <v>1765</v>
      </c>
      <c r="B78" s="451" t="s">
        <v>3513</v>
      </c>
      <c r="C78" s="452">
        <v>1813</v>
      </c>
      <c r="D78" s="453" t="s">
        <v>3446</v>
      </c>
      <c r="E78" s="457" t="s">
        <v>3452</v>
      </c>
      <c r="F78" s="149"/>
    </row>
    <row r="79" spans="1:7">
      <c r="A79" s="444">
        <v>1764</v>
      </c>
      <c r="B79" s="444" t="s">
        <v>3514</v>
      </c>
      <c r="C79" s="445">
        <v>1812</v>
      </c>
      <c r="D79" s="448" t="s">
        <v>3446</v>
      </c>
      <c r="E79" s="149"/>
      <c r="F79" s="149"/>
      <c r="G79" t="s">
        <v>3476</v>
      </c>
    </row>
    <row r="80" spans="1:7">
      <c r="A80" s="451">
        <v>1762</v>
      </c>
      <c r="B80" s="451" t="s">
        <v>3515</v>
      </c>
      <c r="C80" s="452">
        <v>1807</v>
      </c>
      <c r="D80" s="453" t="s">
        <v>3446</v>
      </c>
      <c r="E80" s="457" t="s">
        <v>3452</v>
      </c>
      <c r="F80" s="149"/>
    </row>
    <row r="81" spans="1:7">
      <c r="A81" s="450">
        <v>1760</v>
      </c>
      <c r="B81" s="444" t="s">
        <v>3516</v>
      </c>
      <c r="C81" s="445">
        <v>1805</v>
      </c>
      <c r="D81" s="448" t="s">
        <v>3446</v>
      </c>
      <c r="E81" s="149" t="s">
        <v>3449</v>
      </c>
      <c r="F81" s="149" t="s">
        <v>3450</v>
      </c>
    </row>
    <row r="82" spans="1:7">
      <c r="A82" s="451">
        <v>1759</v>
      </c>
      <c r="B82" s="451" t="s">
        <v>3517</v>
      </c>
      <c r="C82" s="452">
        <v>1804</v>
      </c>
      <c r="D82" s="453" t="s">
        <v>3446</v>
      </c>
      <c r="E82" s="457" t="s">
        <v>3452</v>
      </c>
      <c r="F82" s="149"/>
    </row>
    <row r="83" spans="1:7">
      <c r="A83" s="449">
        <v>1757</v>
      </c>
      <c r="B83" s="444" t="s">
        <v>3518</v>
      </c>
      <c r="C83" s="445">
        <v>1802</v>
      </c>
      <c r="D83" s="448" t="s">
        <v>3446</v>
      </c>
      <c r="E83" s="149" t="s">
        <v>3449</v>
      </c>
      <c r="F83" s="149" t="s">
        <v>3455</v>
      </c>
    </row>
    <row r="84" spans="1:7">
      <c r="A84" s="449">
        <v>1755</v>
      </c>
      <c r="B84" s="442" t="s">
        <v>3423</v>
      </c>
      <c r="C84" s="443">
        <v>1799</v>
      </c>
      <c r="D84" s="447" t="s">
        <v>3446</v>
      </c>
      <c r="E84" s="149" t="s">
        <v>3449</v>
      </c>
      <c r="F84" s="149" t="s">
        <v>3455</v>
      </c>
    </row>
    <row r="85" spans="1:7">
      <c r="A85" s="444">
        <v>1754</v>
      </c>
      <c r="B85" s="444" t="s">
        <v>3519</v>
      </c>
      <c r="C85" s="445">
        <v>1798</v>
      </c>
      <c r="D85" s="448" t="s">
        <v>3446</v>
      </c>
      <c r="E85" s="149"/>
      <c r="F85" s="149"/>
      <c r="G85" t="s">
        <v>3476</v>
      </c>
    </row>
    <row r="86" spans="1:7">
      <c r="A86" s="451">
        <v>1753</v>
      </c>
      <c r="B86" s="451" t="s">
        <v>3520</v>
      </c>
      <c r="C86" s="452">
        <v>1797</v>
      </c>
      <c r="D86" s="453" t="s">
        <v>3446</v>
      </c>
      <c r="E86" s="457" t="s">
        <v>3452</v>
      </c>
      <c r="F86" s="457"/>
    </row>
    <row r="87" spans="1:7">
      <c r="A87" s="449">
        <v>1752</v>
      </c>
      <c r="B87" s="444" t="s">
        <v>3521</v>
      </c>
      <c r="C87" s="445">
        <v>1796</v>
      </c>
      <c r="D87" s="448" t="s">
        <v>3446</v>
      </c>
      <c r="E87" s="149" t="s">
        <v>3449</v>
      </c>
      <c r="F87" s="149" t="s">
        <v>3455</v>
      </c>
    </row>
    <row r="88" spans="1:7">
      <c r="A88" s="451">
        <v>1751</v>
      </c>
      <c r="B88" s="451" t="s">
        <v>3087</v>
      </c>
      <c r="C88" s="452">
        <v>1795</v>
      </c>
      <c r="D88" s="453" t="s">
        <v>3446</v>
      </c>
      <c r="E88" s="457" t="s">
        <v>3452</v>
      </c>
      <c r="F88" s="149"/>
    </row>
    <row r="89" spans="1:7">
      <c r="A89" s="449">
        <v>1750</v>
      </c>
      <c r="B89" s="444" t="s">
        <v>3522</v>
      </c>
      <c r="C89" s="445">
        <v>1794</v>
      </c>
      <c r="D89" s="448" t="s">
        <v>3446</v>
      </c>
      <c r="E89" s="149" t="s">
        <v>3449</v>
      </c>
      <c r="F89" s="149" t="s">
        <v>3455</v>
      </c>
    </row>
    <row r="90" spans="1:7">
      <c r="A90" s="451">
        <v>1749</v>
      </c>
      <c r="B90" s="451" t="s">
        <v>3076</v>
      </c>
      <c r="C90" s="452">
        <v>1793</v>
      </c>
      <c r="D90" s="453" t="s">
        <v>3446</v>
      </c>
      <c r="E90" s="457" t="s">
        <v>3452</v>
      </c>
      <c r="F90" s="149"/>
    </row>
    <row r="91" spans="1:7">
      <c r="A91" s="449">
        <v>1747</v>
      </c>
      <c r="B91" s="444" t="s">
        <v>3122</v>
      </c>
      <c r="C91" s="445">
        <v>1792</v>
      </c>
      <c r="D91" s="448" t="s">
        <v>3446</v>
      </c>
      <c r="E91" s="149" t="s">
        <v>3449</v>
      </c>
      <c r="F91" s="149" t="s">
        <v>3455</v>
      </c>
    </row>
    <row r="92" spans="1:7">
      <c r="A92" s="449">
        <v>1745</v>
      </c>
      <c r="B92" s="442" t="s">
        <v>3523</v>
      </c>
      <c r="C92" s="443">
        <v>1790</v>
      </c>
      <c r="D92" s="447" t="s">
        <v>3446</v>
      </c>
      <c r="E92" s="149" t="s">
        <v>3449</v>
      </c>
      <c r="F92" s="149" t="s">
        <v>3455</v>
      </c>
    </row>
    <row r="93" spans="1:7">
      <c r="A93" s="444">
        <v>1744</v>
      </c>
      <c r="B93" s="444" t="s">
        <v>3524</v>
      </c>
      <c r="C93" s="445">
        <v>1789</v>
      </c>
      <c r="D93" s="448" t="s">
        <v>3446</v>
      </c>
      <c r="E93" s="149"/>
      <c r="F93" s="149"/>
      <c r="G93" t="s">
        <v>3476</v>
      </c>
    </row>
    <row r="94" spans="1:7">
      <c r="A94" s="450">
        <v>1743</v>
      </c>
      <c r="B94" s="442" t="s">
        <v>3525</v>
      </c>
      <c r="C94" s="443">
        <v>1787</v>
      </c>
      <c r="D94" s="447" t="s">
        <v>3446</v>
      </c>
      <c r="E94" s="149" t="s">
        <v>3449</v>
      </c>
      <c r="F94" s="149" t="s">
        <v>3450</v>
      </c>
    </row>
    <row r="95" spans="1:7">
      <c r="A95" s="450">
        <v>1742</v>
      </c>
      <c r="B95" s="444" t="s">
        <v>3526</v>
      </c>
      <c r="C95" s="445">
        <v>1785</v>
      </c>
      <c r="D95" s="448" t="s">
        <v>3446</v>
      </c>
      <c r="E95" s="149" t="s">
        <v>3449</v>
      </c>
      <c r="F95" s="149" t="s">
        <v>3450</v>
      </c>
    </row>
    <row r="96" spans="1:7">
      <c r="A96" s="450">
        <v>1738</v>
      </c>
      <c r="B96" s="442" t="s">
        <v>3527</v>
      </c>
      <c r="C96" s="443">
        <v>1780</v>
      </c>
      <c r="D96" s="447" t="s">
        <v>3446</v>
      </c>
      <c r="E96" s="149" t="s">
        <v>3449</v>
      </c>
      <c r="F96" s="149" t="s">
        <v>3450</v>
      </c>
    </row>
    <row r="97" spans="1:7">
      <c r="A97" s="444">
        <v>1736</v>
      </c>
      <c r="B97" s="444" t="s">
        <v>3528</v>
      </c>
      <c r="C97" s="445">
        <v>1778</v>
      </c>
      <c r="D97" s="448" t="s">
        <v>3446</v>
      </c>
      <c r="E97" s="149" t="s">
        <v>3449</v>
      </c>
      <c r="F97" s="149" t="s">
        <v>3455</v>
      </c>
    </row>
    <row r="98" spans="1:7">
      <c r="A98" s="451">
        <v>1734</v>
      </c>
      <c r="B98" s="451" t="s">
        <v>3529</v>
      </c>
      <c r="C98" s="452">
        <v>1776</v>
      </c>
      <c r="D98" s="453" t="s">
        <v>3446</v>
      </c>
      <c r="E98" s="457" t="s">
        <v>3452</v>
      </c>
      <c r="F98" s="149"/>
    </row>
    <row r="99" spans="1:7">
      <c r="A99" s="449">
        <v>1727</v>
      </c>
      <c r="B99" s="444" t="s">
        <v>3530</v>
      </c>
      <c r="C99" s="445">
        <v>1768</v>
      </c>
      <c r="D99" s="448" t="s">
        <v>3446</v>
      </c>
      <c r="E99" s="149" t="s">
        <v>3449</v>
      </c>
      <c r="F99" s="149" t="s">
        <v>3455</v>
      </c>
    </row>
    <row r="100" spans="1:7">
      <c r="A100" s="442">
        <v>1714</v>
      </c>
      <c r="B100" s="442" t="s">
        <v>3531</v>
      </c>
      <c r="C100" s="443">
        <v>1753</v>
      </c>
      <c r="D100" s="447" t="s">
        <v>3446</v>
      </c>
      <c r="E100" s="149"/>
      <c r="F100" s="149"/>
      <c r="G100" t="s">
        <v>3476</v>
      </c>
    </row>
    <row r="101" spans="1:7">
      <c r="A101" s="449">
        <v>1712</v>
      </c>
      <c r="B101" s="444" t="s">
        <v>3532</v>
      </c>
      <c r="C101" s="445">
        <v>1751</v>
      </c>
      <c r="D101" s="448" t="s">
        <v>3446</v>
      </c>
      <c r="E101" s="149" t="s">
        <v>3449</v>
      </c>
      <c r="F101" s="149" t="s">
        <v>3455</v>
      </c>
    </row>
    <row r="102" spans="1:7">
      <c r="A102" s="451">
        <v>1710</v>
      </c>
      <c r="B102" s="451" t="s">
        <v>3533</v>
      </c>
      <c r="C102" s="452">
        <v>1749</v>
      </c>
      <c r="D102" s="453" t="s">
        <v>3446</v>
      </c>
      <c r="E102" s="457" t="s">
        <v>3452</v>
      </c>
      <c r="F102" s="149"/>
    </row>
    <row r="103" spans="1:7" ht="23.25">
      <c r="A103" s="449">
        <v>1703</v>
      </c>
      <c r="B103" s="444" t="s">
        <v>3534</v>
      </c>
      <c r="C103" s="445">
        <v>1740</v>
      </c>
      <c r="D103" s="448" t="s">
        <v>3446</v>
      </c>
      <c r="E103" s="149" t="s">
        <v>3449</v>
      </c>
      <c r="F103" s="149" t="s">
        <v>3455</v>
      </c>
    </row>
    <row r="104" spans="1:7">
      <c r="A104" s="454">
        <v>1700</v>
      </c>
      <c r="B104" s="454" t="s">
        <v>3535</v>
      </c>
      <c r="C104" s="455">
        <v>1737</v>
      </c>
      <c r="D104" s="456" t="s">
        <v>3446</v>
      </c>
      <c r="E104" s="457" t="s">
        <v>3452</v>
      </c>
      <c r="F104" s="149"/>
    </row>
    <row r="105" spans="1:7">
      <c r="A105" s="451">
        <v>1695</v>
      </c>
      <c r="B105" s="451" t="s">
        <v>3536</v>
      </c>
      <c r="C105" s="452">
        <v>1731</v>
      </c>
      <c r="D105" s="453" t="s">
        <v>3446</v>
      </c>
      <c r="E105" s="457" t="s">
        <v>3452</v>
      </c>
      <c r="F105" s="149"/>
    </row>
    <row r="106" spans="1:7">
      <c r="A106" s="449">
        <v>1694</v>
      </c>
      <c r="B106" s="444" t="s">
        <v>3537</v>
      </c>
      <c r="C106" s="445">
        <v>1730</v>
      </c>
      <c r="D106" s="448" t="s">
        <v>3446</v>
      </c>
      <c r="E106" s="149" t="s">
        <v>3449</v>
      </c>
      <c r="F106" s="149" t="s">
        <v>3455</v>
      </c>
    </row>
    <row r="107" spans="1:7">
      <c r="A107" s="449">
        <v>1692</v>
      </c>
      <c r="B107" s="442" t="s">
        <v>3538</v>
      </c>
      <c r="C107" s="443">
        <v>1728</v>
      </c>
      <c r="D107" s="447" t="s">
        <v>3446</v>
      </c>
      <c r="E107" s="149" t="s">
        <v>3449</v>
      </c>
      <c r="F107" s="149" t="s">
        <v>3455</v>
      </c>
    </row>
    <row r="108" spans="1:7" ht="23.25">
      <c r="A108" s="444">
        <v>1685</v>
      </c>
      <c r="B108" s="444" t="s">
        <v>3407</v>
      </c>
      <c r="C108" s="445">
        <v>1720</v>
      </c>
      <c r="D108" s="448" t="s">
        <v>3539</v>
      </c>
      <c r="E108" s="149"/>
      <c r="F108" s="149" t="s">
        <v>3540</v>
      </c>
    </row>
    <row r="109" spans="1:7">
      <c r="A109" s="451">
        <v>1682</v>
      </c>
      <c r="B109" s="451" t="s">
        <v>3541</v>
      </c>
      <c r="C109" s="452">
        <v>1717</v>
      </c>
      <c r="D109" s="453" t="s">
        <v>3446</v>
      </c>
      <c r="E109" s="457" t="s">
        <v>3452</v>
      </c>
      <c r="F109" s="149"/>
    </row>
    <row r="110" spans="1:7">
      <c r="A110" s="454">
        <v>1679</v>
      </c>
      <c r="B110" s="454" t="s">
        <v>3542</v>
      </c>
      <c r="C110" s="455">
        <v>1714</v>
      </c>
      <c r="D110" s="456" t="s">
        <v>3446</v>
      </c>
      <c r="E110" s="457" t="s">
        <v>3452</v>
      </c>
      <c r="F110" s="149"/>
    </row>
    <row r="111" spans="1:7">
      <c r="A111" s="449">
        <v>1677</v>
      </c>
      <c r="B111" s="442" t="s">
        <v>3543</v>
      </c>
      <c r="C111" s="443">
        <v>1712</v>
      </c>
      <c r="D111" s="447" t="s">
        <v>3446</v>
      </c>
      <c r="E111" s="149" t="s">
        <v>3449</v>
      </c>
      <c r="F111" s="149" t="s">
        <v>3455</v>
      </c>
    </row>
    <row r="112" spans="1:7">
      <c r="A112" s="444">
        <v>1675</v>
      </c>
      <c r="B112" s="444" t="s">
        <v>3051</v>
      </c>
      <c r="C112" s="445">
        <v>1710</v>
      </c>
      <c r="D112" s="448" t="s">
        <v>3446</v>
      </c>
      <c r="E112" s="149" t="s">
        <v>3544</v>
      </c>
      <c r="F112" s="149" t="s">
        <v>3455</v>
      </c>
    </row>
    <row r="113" spans="1:7">
      <c r="A113" s="451">
        <v>1673</v>
      </c>
      <c r="B113" s="451" t="s">
        <v>3545</v>
      </c>
      <c r="C113" s="452">
        <v>1708</v>
      </c>
      <c r="D113" s="453" t="s">
        <v>3446</v>
      </c>
      <c r="E113" s="457" t="s">
        <v>3452</v>
      </c>
      <c r="F113" s="149"/>
    </row>
    <row r="114" spans="1:7">
      <c r="A114" s="454">
        <v>1672</v>
      </c>
      <c r="B114" s="454" t="s">
        <v>3546</v>
      </c>
      <c r="C114" s="455">
        <v>1707</v>
      </c>
      <c r="D114" s="456" t="s">
        <v>3446</v>
      </c>
      <c r="E114" s="457" t="s">
        <v>3452</v>
      </c>
      <c r="F114" s="149"/>
    </row>
    <row r="115" spans="1:7">
      <c r="A115" s="442">
        <v>1671</v>
      </c>
      <c r="B115" s="442" t="s">
        <v>3044</v>
      </c>
      <c r="C115" s="443">
        <v>1840</v>
      </c>
      <c r="D115" s="447" t="s">
        <v>3446</v>
      </c>
      <c r="E115" s="149"/>
      <c r="F115" s="149"/>
      <c r="G115" t="s">
        <v>3476</v>
      </c>
    </row>
    <row r="116" spans="1:7">
      <c r="A116" s="444">
        <v>1668</v>
      </c>
      <c r="B116" s="454" t="s">
        <v>3547</v>
      </c>
      <c r="C116" s="455">
        <v>1704</v>
      </c>
      <c r="D116" s="456" t="s">
        <v>3446</v>
      </c>
      <c r="E116" s="457" t="s">
        <v>3452</v>
      </c>
      <c r="F116" s="149"/>
    </row>
    <row r="117" spans="1:7">
      <c r="A117" s="442">
        <v>1666</v>
      </c>
      <c r="B117" s="451" t="s">
        <v>3548</v>
      </c>
      <c r="C117" s="452">
        <v>1701</v>
      </c>
      <c r="D117" s="453" t="s">
        <v>3446</v>
      </c>
      <c r="E117" s="457" t="s">
        <v>3452</v>
      </c>
      <c r="F117" s="149"/>
    </row>
    <row r="118" spans="1:7">
      <c r="A118" s="449">
        <v>1665</v>
      </c>
      <c r="B118" s="444" t="s">
        <v>3549</v>
      </c>
      <c r="C118" s="445">
        <v>1700</v>
      </c>
      <c r="D118" s="448" t="s">
        <v>3446</v>
      </c>
      <c r="E118" s="149" t="s">
        <v>3449</v>
      </c>
      <c r="F118" s="149" t="s">
        <v>3455</v>
      </c>
    </row>
    <row r="119" spans="1:7">
      <c r="A119" s="442">
        <v>1662</v>
      </c>
      <c r="B119" s="442" t="s">
        <v>3550</v>
      </c>
      <c r="C119" s="443">
        <v>1697</v>
      </c>
      <c r="D119" s="447" t="s">
        <v>3446</v>
      </c>
      <c r="E119" s="149" t="s">
        <v>3449</v>
      </c>
      <c r="F119" s="149" t="s">
        <v>3455</v>
      </c>
    </row>
    <row r="120" spans="1:7">
      <c r="A120" s="444">
        <v>1661</v>
      </c>
      <c r="B120" s="444" t="s">
        <v>3551</v>
      </c>
      <c r="C120" s="445">
        <v>1696</v>
      </c>
      <c r="D120" s="448" t="s">
        <v>3446</v>
      </c>
      <c r="E120" s="149" t="s">
        <v>3449</v>
      </c>
      <c r="F120" s="149" t="s">
        <v>3552</v>
      </c>
    </row>
    <row r="121" spans="1:7">
      <c r="A121" s="451">
        <v>1661</v>
      </c>
      <c r="B121" s="451" t="s">
        <v>3551</v>
      </c>
      <c r="C121" s="452">
        <v>1734</v>
      </c>
      <c r="D121" s="453" t="s">
        <v>3446</v>
      </c>
      <c r="E121" s="457" t="s">
        <v>3452</v>
      </c>
      <c r="F121" s="149"/>
    </row>
    <row r="122" spans="1:7">
      <c r="A122" s="454">
        <v>1658</v>
      </c>
      <c r="B122" s="454" t="s">
        <v>3553</v>
      </c>
      <c r="C122" s="455">
        <v>1692</v>
      </c>
      <c r="D122" s="456" t="s">
        <v>3446</v>
      </c>
      <c r="E122" s="457" t="s">
        <v>3452</v>
      </c>
      <c r="F122" s="149"/>
    </row>
    <row r="123" spans="1:7">
      <c r="A123" s="450">
        <v>1656</v>
      </c>
      <c r="B123" s="442" t="s">
        <v>3080</v>
      </c>
      <c r="C123" s="443">
        <v>1690</v>
      </c>
      <c r="D123" s="447" t="s">
        <v>3446</v>
      </c>
      <c r="E123" s="149" t="s">
        <v>3449</v>
      </c>
      <c r="F123" s="149" t="s">
        <v>3450</v>
      </c>
    </row>
    <row r="124" spans="1:7">
      <c r="A124" s="454">
        <v>1655</v>
      </c>
      <c r="B124" s="454" t="s">
        <v>3554</v>
      </c>
      <c r="C124" s="455">
        <v>1689</v>
      </c>
      <c r="D124" s="456" t="s">
        <v>3446</v>
      </c>
      <c r="E124" s="457" t="s">
        <v>3555</v>
      </c>
      <c r="F124" s="149" t="s">
        <v>3556</v>
      </c>
    </row>
    <row r="125" spans="1:7">
      <c r="A125" s="451">
        <v>1654</v>
      </c>
      <c r="B125" s="451" t="s">
        <v>3557</v>
      </c>
      <c r="C125" s="452">
        <v>1688</v>
      </c>
      <c r="D125" s="453" t="s">
        <v>3446</v>
      </c>
      <c r="E125" s="457" t="s">
        <v>3452</v>
      </c>
      <c r="F125" s="149"/>
    </row>
    <row r="126" spans="1:7">
      <c r="A126" s="454">
        <v>1649</v>
      </c>
      <c r="B126" s="454" t="s">
        <v>3558</v>
      </c>
      <c r="C126" s="455">
        <v>1684</v>
      </c>
      <c r="D126" s="456" t="s">
        <v>3446</v>
      </c>
      <c r="E126" s="457" t="s">
        <v>3452</v>
      </c>
      <c r="F126" s="149"/>
    </row>
    <row r="127" spans="1:7">
      <c r="A127" s="451">
        <v>1648</v>
      </c>
      <c r="B127" s="451" t="s">
        <v>3559</v>
      </c>
      <c r="C127" s="452">
        <v>1683</v>
      </c>
      <c r="D127" s="453" t="s">
        <v>3446</v>
      </c>
      <c r="E127" s="457" t="s">
        <v>3452</v>
      </c>
      <c r="F127" s="149"/>
    </row>
    <row r="128" spans="1:7">
      <c r="A128" s="454">
        <v>1646</v>
      </c>
      <c r="B128" s="454" t="s">
        <v>3560</v>
      </c>
      <c r="C128" s="455">
        <v>1681</v>
      </c>
      <c r="D128" s="456" t="s">
        <v>3446</v>
      </c>
      <c r="E128" s="457" t="s">
        <v>3452</v>
      </c>
      <c r="F128" s="149"/>
    </row>
    <row r="129" spans="1:6">
      <c r="A129" s="450">
        <v>1645</v>
      </c>
      <c r="B129" s="442" t="s">
        <v>3561</v>
      </c>
      <c r="C129" s="443">
        <v>1680</v>
      </c>
      <c r="D129" s="447" t="s">
        <v>3446</v>
      </c>
      <c r="E129" s="149" t="s">
        <v>3449</v>
      </c>
      <c r="F129" s="149" t="s">
        <v>3450</v>
      </c>
    </row>
    <row r="130" spans="1:6">
      <c r="A130" s="444">
        <v>1644</v>
      </c>
      <c r="B130" s="444" t="s">
        <v>3562</v>
      </c>
      <c r="C130" s="445">
        <v>1679</v>
      </c>
      <c r="D130" s="448" t="s">
        <v>3446</v>
      </c>
      <c r="E130" s="457" t="s">
        <v>3452</v>
      </c>
      <c r="F130" s="149"/>
    </row>
    <row r="131" spans="1:6">
      <c r="A131" s="442">
        <v>1643</v>
      </c>
      <c r="B131" s="442" t="s">
        <v>3563</v>
      </c>
      <c r="C131" s="443">
        <v>1678</v>
      </c>
      <c r="D131" s="447" t="s">
        <v>3446</v>
      </c>
      <c r="E131" s="149" t="s">
        <v>3449</v>
      </c>
      <c r="F131" s="149" t="s">
        <v>3455</v>
      </c>
    </row>
    <row r="132" spans="1:6" ht="23.25">
      <c r="A132" s="444">
        <v>1638</v>
      </c>
      <c r="B132" s="444" t="s">
        <v>3564</v>
      </c>
      <c r="C132" s="445">
        <v>1673</v>
      </c>
      <c r="D132" s="448" t="s">
        <v>3446</v>
      </c>
      <c r="E132" s="149" t="s">
        <v>3556</v>
      </c>
      <c r="F132" s="149"/>
    </row>
    <row r="133" spans="1:6">
      <c r="A133" s="442">
        <v>1637</v>
      </c>
      <c r="B133" s="442" t="s">
        <v>3565</v>
      </c>
      <c r="C133" s="443">
        <v>1672</v>
      </c>
      <c r="D133" s="447" t="s">
        <v>3446</v>
      </c>
      <c r="E133" s="149" t="s">
        <v>3449</v>
      </c>
      <c r="F133" s="149" t="s">
        <v>3471</v>
      </c>
    </row>
    <row r="134" spans="1:6">
      <c r="A134" s="444">
        <v>1635</v>
      </c>
      <c r="B134" s="444" t="s">
        <v>3566</v>
      </c>
      <c r="C134" s="445">
        <v>1670</v>
      </c>
      <c r="D134" s="448" t="s">
        <v>3446</v>
      </c>
      <c r="E134" s="149" t="s">
        <v>3449</v>
      </c>
      <c r="F134" s="149" t="s">
        <v>3455</v>
      </c>
    </row>
    <row r="135" spans="1:6" ht="23.25">
      <c r="A135" s="442">
        <v>1632</v>
      </c>
      <c r="B135" s="442" t="s">
        <v>3424</v>
      </c>
      <c r="C135" s="443">
        <v>1667</v>
      </c>
      <c r="D135" s="447" t="s">
        <v>3539</v>
      </c>
      <c r="E135" s="149"/>
      <c r="F135" s="149"/>
    </row>
    <row r="136" spans="1:6">
      <c r="A136" s="444">
        <v>1621</v>
      </c>
      <c r="B136" s="444" t="s">
        <v>3567</v>
      </c>
      <c r="C136" s="445">
        <v>1810</v>
      </c>
      <c r="D136" s="448" t="s">
        <v>3446</v>
      </c>
      <c r="E136" s="149" t="s">
        <v>3449</v>
      </c>
      <c r="F136" s="149" t="s">
        <v>3455</v>
      </c>
    </row>
    <row r="137" spans="1:6" ht="23.25">
      <c r="A137" s="442">
        <v>1619</v>
      </c>
      <c r="B137" s="442" t="s">
        <v>3568</v>
      </c>
      <c r="C137" s="443">
        <v>1651</v>
      </c>
      <c r="D137" s="447" t="s">
        <v>3446</v>
      </c>
      <c r="E137" s="149"/>
      <c r="F137" s="149"/>
    </row>
    <row r="138" spans="1:6">
      <c r="A138" s="444">
        <v>1597</v>
      </c>
      <c r="B138" s="444" t="s">
        <v>3438</v>
      </c>
      <c r="C138" s="445">
        <v>1622</v>
      </c>
      <c r="D138" s="448" t="s">
        <v>3446</v>
      </c>
      <c r="E138" s="149"/>
      <c r="F138" s="149"/>
    </row>
    <row r="139" spans="1:6">
      <c r="A139" s="442">
        <v>1559</v>
      </c>
      <c r="B139" s="442" t="s">
        <v>3569</v>
      </c>
      <c r="C139" s="443">
        <v>1590</v>
      </c>
      <c r="D139" s="447" t="s">
        <v>3446</v>
      </c>
      <c r="E139" s="149" t="s">
        <v>3449</v>
      </c>
      <c r="F139" s="149" t="s">
        <v>3455</v>
      </c>
    </row>
    <row r="140" spans="1:6">
      <c r="A140" s="444">
        <v>1550</v>
      </c>
      <c r="B140" s="444" t="s">
        <v>2975</v>
      </c>
      <c r="C140" s="445">
        <v>1784</v>
      </c>
      <c r="D140" s="448" t="s">
        <v>3446</v>
      </c>
      <c r="E140" s="149" t="s">
        <v>3449</v>
      </c>
      <c r="F140" s="149" t="s">
        <v>3455</v>
      </c>
    </row>
    <row r="141" spans="1:6">
      <c r="A141" s="442">
        <v>1535</v>
      </c>
      <c r="B141" s="442" t="s">
        <v>3570</v>
      </c>
      <c r="C141" s="443">
        <v>1554</v>
      </c>
      <c r="D141" s="447" t="s">
        <v>3446</v>
      </c>
      <c r="E141" s="457" t="s">
        <v>3452</v>
      </c>
      <c r="F141" s="149"/>
    </row>
    <row r="142" spans="1:6">
      <c r="A142" s="444">
        <v>1531</v>
      </c>
      <c r="B142" s="444" t="s">
        <v>3571</v>
      </c>
      <c r="C142" s="445">
        <v>1550</v>
      </c>
      <c r="D142" s="448" t="s">
        <v>3446</v>
      </c>
      <c r="E142" s="149"/>
      <c r="F142" s="149"/>
    </row>
    <row r="143" spans="1:6">
      <c r="A143" s="442">
        <v>1510</v>
      </c>
      <c r="B143" s="442" t="s">
        <v>3572</v>
      </c>
      <c r="C143" s="443">
        <v>1522</v>
      </c>
      <c r="D143" s="447" t="s">
        <v>3446</v>
      </c>
      <c r="E143" s="149"/>
      <c r="F143" s="149" t="s">
        <v>2983</v>
      </c>
    </row>
    <row r="144" spans="1:6">
      <c r="A144" s="449">
        <v>1509</v>
      </c>
      <c r="B144" s="444" t="s">
        <v>3573</v>
      </c>
      <c r="C144" s="445">
        <v>1521</v>
      </c>
      <c r="D144" s="448" t="s">
        <v>3446</v>
      </c>
      <c r="E144" s="149" t="s">
        <v>3449</v>
      </c>
      <c r="F144" s="149" t="s">
        <v>3455</v>
      </c>
    </row>
    <row r="145" spans="1:6">
      <c r="A145" s="450">
        <v>1505</v>
      </c>
      <c r="B145" s="442" t="s">
        <v>3574</v>
      </c>
      <c r="C145" s="443">
        <v>1514</v>
      </c>
      <c r="D145" s="447" t="s">
        <v>3446</v>
      </c>
      <c r="E145" s="149" t="s">
        <v>3449</v>
      </c>
      <c r="F145" s="149" t="s">
        <v>3450</v>
      </c>
    </row>
    <row r="146" spans="1:6">
      <c r="A146" s="444">
        <v>1476</v>
      </c>
      <c r="B146" s="444" t="s">
        <v>3575</v>
      </c>
      <c r="C146" s="445">
        <v>1484</v>
      </c>
      <c r="D146" s="448" t="s">
        <v>3446</v>
      </c>
      <c r="E146" s="149"/>
      <c r="F146" s="149"/>
    </row>
    <row r="147" spans="1:6">
      <c r="A147" s="442">
        <v>1476</v>
      </c>
      <c r="B147" s="442" t="s">
        <v>3575</v>
      </c>
      <c r="C147" s="443">
        <v>1482</v>
      </c>
      <c r="D147" s="447" t="s">
        <v>3446</v>
      </c>
      <c r="E147" s="149"/>
      <c r="F147" s="149"/>
    </row>
    <row r="148" spans="1:6" ht="23.25">
      <c r="A148" s="444">
        <v>1454</v>
      </c>
      <c r="B148" s="444" t="s">
        <v>3576</v>
      </c>
      <c r="C148" s="445">
        <v>1459</v>
      </c>
      <c r="D148" s="448" t="s">
        <v>3446</v>
      </c>
      <c r="E148" s="457" t="s">
        <v>3452</v>
      </c>
      <c r="F148" s="149"/>
    </row>
    <row r="149" spans="1:6" ht="23.25">
      <c r="A149" s="442">
        <v>1451</v>
      </c>
      <c r="B149" s="442" t="s">
        <v>3577</v>
      </c>
      <c r="C149" s="443">
        <v>1808</v>
      </c>
      <c r="D149" s="447" t="s">
        <v>3539</v>
      </c>
      <c r="E149" s="149" t="s">
        <v>3449</v>
      </c>
      <c r="F149" s="149" t="s">
        <v>3455</v>
      </c>
    </row>
    <row r="150" spans="1:6">
      <c r="A150" s="444">
        <v>1436</v>
      </c>
      <c r="B150" s="444" t="s">
        <v>3042</v>
      </c>
      <c r="C150" s="445">
        <v>1933</v>
      </c>
      <c r="D150" s="448" t="s">
        <v>3446</v>
      </c>
      <c r="E150" s="149"/>
      <c r="F150" s="149"/>
    </row>
    <row r="151" spans="1:6">
      <c r="A151" s="442">
        <v>1427</v>
      </c>
      <c r="B151" s="442" t="s">
        <v>3578</v>
      </c>
      <c r="C151" s="443">
        <v>1428</v>
      </c>
      <c r="D151" s="447" t="s">
        <v>3446</v>
      </c>
      <c r="E151" s="457" t="s">
        <v>3452</v>
      </c>
      <c r="F151" s="149"/>
    </row>
    <row r="152" spans="1:6">
      <c r="A152" s="449">
        <v>1399</v>
      </c>
      <c r="B152" s="444" t="s">
        <v>3579</v>
      </c>
      <c r="C152" s="445">
        <v>1401</v>
      </c>
      <c r="D152" s="448" t="s">
        <v>3446</v>
      </c>
      <c r="E152" s="149" t="s">
        <v>3449</v>
      </c>
      <c r="F152" s="149" t="s">
        <v>3455</v>
      </c>
    </row>
    <row r="153" spans="1:6">
      <c r="A153" s="442">
        <v>1379</v>
      </c>
      <c r="B153" s="442" t="s">
        <v>3580</v>
      </c>
      <c r="C153" s="443">
        <v>1363</v>
      </c>
      <c r="D153" s="447" t="s">
        <v>3446</v>
      </c>
      <c r="E153" s="149" t="s">
        <v>3581</v>
      </c>
      <c r="F153" s="149"/>
    </row>
    <row r="154" spans="1:6">
      <c r="A154" s="444">
        <v>1377</v>
      </c>
      <c r="B154" s="444" t="s">
        <v>3330</v>
      </c>
      <c r="C154" s="445">
        <v>1361</v>
      </c>
      <c r="D154" s="448" t="s">
        <v>3446</v>
      </c>
      <c r="E154" s="149" t="s">
        <v>3581</v>
      </c>
      <c r="F154" s="149"/>
    </row>
    <row r="155" spans="1:6">
      <c r="A155" s="442">
        <v>1376</v>
      </c>
      <c r="B155" s="442" t="s">
        <v>3582</v>
      </c>
      <c r="C155" s="443">
        <v>1360</v>
      </c>
      <c r="D155" s="447" t="s">
        <v>3446</v>
      </c>
      <c r="E155" s="149"/>
      <c r="F155" s="149"/>
    </row>
    <row r="156" spans="1:6">
      <c r="A156" s="444">
        <v>1375</v>
      </c>
      <c r="B156" s="444" t="s">
        <v>3583</v>
      </c>
      <c r="C156" s="445">
        <v>1359</v>
      </c>
      <c r="D156" s="448" t="s">
        <v>3446</v>
      </c>
      <c r="E156" s="149"/>
      <c r="F156" s="149"/>
    </row>
    <row r="157" spans="1:6">
      <c r="A157" s="442">
        <v>1374</v>
      </c>
      <c r="B157" s="442" t="s">
        <v>3584</v>
      </c>
      <c r="C157" s="443">
        <v>1357</v>
      </c>
      <c r="D157" s="447" t="s">
        <v>3446</v>
      </c>
      <c r="E157" s="457" t="s">
        <v>3452</v>
      </c>
      <c r="F157" s="149"/>
    </row>
    <row r="158" spans="1:6">
      <c r="A158" s="444">
        <v>1373</v>
      </c>
      <c r="B158" s="444" t="s">
        <v>3052</v>
      </c>
      <c r="C158" s="445">
        <v>1358</v>
      </c>
      <c r="D158" s="448" t="s">
        <v>3446</v>
      </c>
      <c r="E158" s="457" t="s">
        <v>3452</v>
      </c>
      <c r="F158" s="149"/>
    </row>
    <row r="159" spans="1:6">
      <c r="A159" s="442">
        <v>1372</v>
      </c>
      <c r="B159" s="442" t="s">
        <v>3585</v>
      </c>
      <c r="C159" s="443">
        <v>1356</v>
      </c>
      <c r="D159" s="447" t="s">
        <v>3446</v>
      </c>
      <c r="E159" s="457" t="s">
        <v>3452</v>
      </c>
      <c r="F159" s="149"/>
    </row>
    <row r="160" spans="1:6">
      <c r="A160" s="444">
        <v>1371</v>
      </c>
      <c r="B160" s="444" t="s">
        <v>3586</v>
      </c>
      <c r="C160" s="445">
        <v>1943</v>
      </c>
      <c r="D160" s="448" t="s">
        <v>3446</v>
      </c>
      <c r="E160" s="149" t="s">
        <v>3449</v>
      </c>
      <c r="F160" s="149" t="s">
        <v>3455</v>
      </c>
    </row>
    <row r="161" spans="1:6">
      <c r="A161" s="449">
        <v>1371</v>
      </c>
      <c r="B161" s="442" t="s">
        <v>3586</v>
      </c>
      <c r="C161" s="443">
        <v>1652</v>
      </c>
      <c r="D161" s="447" t="s">
        <v>3446</v>
      </c>
      <c r="E161" s="149" t="s">
        <v>3449</v>
      </c>
      <c r="F161" s="149" t="s">
        <v>3455</v>
      </c>
    </row>
    <row r="162" spans="1:6">
      <c r="A162" s="444">
        <v>1370</v>
      </c>
      <c r="B162" s="444" t="s">
        <v>3587</v>
      </c>
      <c r="C162" s="445">
        <v>1353</v>
      </c>
      <c r="D162" s="448" t="s">
        <v>3446</v>
      </c>
      <c r="E162" s="457" t="s">
        <v>3452</v>
      </c>
      <c r="F162" s="149"/>
    </row>
    <row r="163" spans="1:6">
      <c r="A163" s="442">
        <v>1370</v>
      </c>
      <c r="B163" s="442" t="s">
        <v>3587</v>
      </c>
      <c r="C163" s="443">
        <v>1354</v>
      </c>
      <c r="D163" s="447" t="s">
        <v>3446</v>
      </c>
      <c r="E163" s="457" t="s">
        <v>3452</v>
      </c>
      <c r="F163" s="149"/>
    </row>
    <row r="164" spans="1:6">
      <c r="A164" s="444">
        <v>1369</v>
      </c>
      <c r="B164" s="444" t="s">
        <v>3588</v>
      </c>
      <c r="C164" s="445">
        <v>1352</v>
      </c>
      <c r="D164" s="448" t="s">
        <v>3446</v>
      </c>
      <c r="E164" s="457" t="s">
        <v>3452</v>
      </c>
      <c r="F164" s="149"/>
    </row>
    <row r="165" spans="1:6">
      <c r="A165" s="442">
        <v>1368</v>
      </c>
      <c r="B165" s="442" t="s">
        <v>3589</v>
      </c>
      <c r="C165" s="443">
        <v>1351</v>
      </c>
      <c r="D165" s="447" t="s">
        <v>3446</v>
      </c>
      <c r="E165" s="457" t="s">
        <v>3452</v>
      </c>
      <c r="F165" s="149"/>
    </row>
    <row r="166" spans="1:6">
      <c r="A166" s="444">
        <v>1363</v>
      </c>
      <c r="B166" s="444" t="s">
        <v>2821</v>
      </c>
      <c r="C166" s="445">
        <v>1344</v>
      </c>
      <c r="D166" s="448" t="s">
        <v>3446</v>
      </c>
      <c r="E166" s="457" t="s">
        <v>3452</v>
      </c>
      <c r="F166" s="149"/>
    </row>
    <row r="167" spans="1:6">
      <c r="A167" s="442">
        <v>1362</v>
      </c>
      <c r="B167" s="442" t="s">
        <v>2822</v>
      </c>
      <c r="C167" s="443">
        <v>1343</v>
      </c>
      <c r="D167" s="447" t="s">
        <v>3446</v>
      </c>
      <c r="E167" s="457" t="s">
        <v>3452</v>
      </c>
      <c r="F167" s="149"/>
    </row>
    <row r="168" spans="1:6">
      <c r="A168" s="444">
        <v>1361</v>
      </c>
      <c r="B168" s="444" t="s">
        <v>2820</v>
      </c>
      <c r="C168" s="445">
        <v>1341</v>
      </c>
      <c r="D168" s="448" t="s">
        <v>3446</v>
      </c>
      <c r="E168" s="149" t="s">
        <v>3590</v>
      </c>
      <c r="F168" s="149"/>
    </row>
    <row r="169" spans="1:6">
      <c r="A169" s="442">
        <v>1361</v>
      </c>
      <c r="B169" s="442" t="s">
        <v>2820</v>
      </c>
      <c r="C169" s="443">
        <v>1342</v>
      </c>
      <c r="D169" s="447" t="s">
        <v>3446</v>
      </c>
      <c r="E169" s="457" t="s">
        <v>3452</v>
      </c>
      <c r="F169" s="149"/>
    </row>
    <row r="170" spans="1:6">
      <c r="A170" s="444">
        <v>1359</v>
      </c>
      <c r="B170" s="444" t="s">
        <v>3591</v>
      </c>
      <c r="C170" s="445">
        <v>1345</v>
      </c>
      <c r="D170" s="448" t="s">
        <v>3446</v>
      </c>
      <c r="E170" s="149" t="s">
        <v>3449</v>
      </c>
      <c r="F170" s="149" t="s">
        <v>3455</v>
      </c>
    </row>
    <row r="171" spans="1:6">
      <c r="A171" s="442">
        <v>1358</v>
      </c>
      <c r="B171" s="442" t="s">
        <v>3592</v>
      </c>
      <c r="C171" s="443">
        <v>1349</v>
      </c>
      <c r="D171" s="447" t="s">
        <v>3446</v>
      </c>
      <c r="E171" s="149" t="s">
        <v>3544</v>
      </c>
      <c r="F171" s="149"/>
    </row>
    <row r="172" spans="1:6">
      <c r="A172" s="444">
        <v>1356</v>
      </c>
      <c r="B172" s="444" t="s">
        <v>2818</v>
      </c>
      <c r="C172" s="445">
        <v>1338</v>
      </c>
      <c r="D172" s="448" t="s">
        <v>3446</v>
      </c>
      <c r="E172" s="457" t="s">
        <v>3452</v>
      </c>
      <c r="F172" s="149"/>
    </row>
    <row r="173" spans="1:6">
      <c r="A173" s="442">
        <v>1355</v>
      </c>
      <c r="B173" s="442" t="s">
        <v>3593</v>
      </c>
      <c r="C173" s="443">
        <v>1339</v>
      </c>
      <c r="D173" s="447" t="s">
        <v>3446</v>
      </c>
      <c r="E173" s="457" t="s">
        <v>3452</v>
      </c>
      <c r="F173" s="149"/>
    </row>
    <row r="174" spans="1:6">
      <c r="A174" s="444">
        <v>1348</v>
      </c>
      <c r="B174" s="444" t="s">
        <v>2811</v>
      </c>
      <c r="C174" s="445">
        <v>1331</v>
      </c>
      <c r="D174" s="448" t="s">
        <v>3446</v>
      </c>
      <c r="E174" s="457" t="s">
        <v>3452</v>
      </c>
      <c r="F174" s="149"/>
    </row>
    <row r="175" spans="1:6">
      <c r="A175" s="442">
        <v>1347</v>
      </c>
      <c r="B175" s="442" t="s">
        <v>2812</v>
      </c>
      <c r="C175" s="443">
        <v>1330</v>
      </c>
      <c r="D175" s="447" t="s">
        <v>3446</v>
      </c>
      <c r="E175" s="457" t="s">
        <v>3452</v>
      </c>
      <c r="F175" s="149"/>
    </row>
    <row r="176" spans="1:6">
      <c r="A176" s="444">
        <v>1346</v>
      </c>
      <c r="B176" s="444" t="s">
        <v>2815</v>
      </c>
      <c r="C176" s="445">
        <v>1327</v>
      </c>
      <c r="D176" s="448" t="s">
        <v>3446</v>
      </c>
      <c r="E176" s="457" t="s">
        <v>3452</v>
      </c>
      <c r="F176" s="149"/>
    </row>
    <row r="177" spans="1:6">
      <c r="A177" s="442">
        <v>1345</v>
      </c>
      <c r="B177" s="442" t="s">
        <v>2810</v>
      </c>
      <c r="C177" s="443">
        <v>1326</v>
      </c>
      <c r="D177" s="447" t="s">
        <v>3446</v>
      </c>
      <c r="E177" s="457" t="s">
        <v>3452</v>
      </c>
      <c r="F177" s="149"/>
    </row>
    <row r="178" spans="1:6">
      <c r="A178" s="444">
        <v>1344</v>
      </c>
      <c r="B178" s="444" t="s">
        <v>3159</v>
      </c>
      <c r="C178" s="445">
        <v>1329</v>
      </c>
      <c r="D178" s="448" t="s">
        <v>3446</v>
      </c>
      <c r="E178" s="457" t="s">
        <v>3452</v>
      </c>
      <c r="F178" s="149"/>
    </row>
    <row r="179" spans="1:6">
      <c r="A179" s="442">
        <v>1343</v>
      </c>
      <c r="B179" s="442" t="s">
        <v>3421</v>
      </c>
      <c r="C179" s="443">
        <v>1328</v>
      </c>
      <c r="D179" s="447" t="s">
        <v>3446</v>
      </c>
      <c r="E179" s="457" t="s">
        <v>3452</v>
      </c>
      <c r="F179" s="149"/>
    </row>
    <row r="180" spans="1:6">
      <c r="A180" s="444">
        <v>1342</v>
      </c>
      <c r="B180" s="444" t="s">
        <v>2809</v>
      </c>
      <c r="C180" s="445">
        <v>1325</v>
      </c>
      <c r="D180" s="448" t="s">
        <v>3446</v>
      </c>
      <c r="E180" s="457" t="s">
        <v>3452</v>
      </c>
      <c r="F180" s="149"/>
    </row>
    <row r="181" spans="1:6">
      <c r="A181" s="442">
        <v>1341</v>
      </c>
      <c r="B181" s="442" t="s">
        <v>3594</v>
      </c>
      <c r="C181" s="443">
        <v>1324</v>
      </c>
      <c r="D181" s="447" t="s">
        <v>3446</v>
      </c>
      <c r="E181" s="457" t="s">
        <v>3452</v>
      </c>
      <c r="F181" s="149"/>
    </row>
    <row r="182" spans="1:6">
      <c r="A182" s="444">
        <v>1340</v>
      </c>
      <c r="B182" s="444" t="s">
        <v>2789</v>
      </c>
      <c r="C182" s="445">
        <v>1322</v>
      </c>
      <c r="D182" s="448" t="s">
        <v>3446</v>
      </c>
      <c r="E182" s="457" t="s">
        <v>3452</v>
      </c>
      <c r="F182" s="149"/>
    </row>
    <row r="183" spans="1:6">
      <c r="A183" s="442">
        <v>1337</v>
      </c>
      <c r="B183" s="442" t="s">
        <v>3595</v>
      </c>
      <c r="C183" s="443">
        <v>1319</v>
      </c>
      <c r="D183" s="447" t="s">
        <v>3446</v>
      </c>
      <c r="E183" s="457" t="s">
        <v>3452</v>
      </c>
      <c r="F183" s="149"/>
    </row>
    <row r="184" spans="1:6">
      <c r="A184" s="444">
        <v>1336</v>
      </c>
      <c r="B184" s="444" t="s">
        <v>3596</v>
      </c>
      <c r="C184" s="445">
        <v>1318</v>
      </c>
      <c r="D184" s="448" t="s">
        <v>3446</v>
      </c>
      <c r="E184" s="457" t="s">
        <v>3452</v>
      </c>
      <c r="F184" s="149"/>
    </row>
    <row r="185" spans="1:6">
      <c r="A185" s="442">
        <v>1335</v>
      </c>
      <c r="B185" s="442" t="s">
        <v>3597</v>
      </c>
      <c r="C185" s="443">
        <v>1317</v>
      </c>
      <c r="D185" s="447" t="s">
        <v>3446</v>
      </c>
      <c r="E185" s="457" t="s">
        <v>3452</v>
      </c>
      <c r="F185" s="149"/>
    </row>
    <row r="186" spans="1:6">
      <c r="A186" s="444">
        <v>1334</v>
      </c>
      <c r="B186" s="444" t="s">
        <v>2791</v>
      </c>
      <c r="C186" s="445">
        <v>1315</v>
      </c>
      <c r="D186" s="448" t="s">
        <v>3446</v>
      </c>
      <c r="E186" s="457" t="s">
        <v>3452</v>
      </c>
      <c r="F186" s="149"/>
    </row>
    <row r="187" spans="1:6">
      <c r="A187" s="450">
        <v>1334</v>
      </c>
      <c r="B187" s="442" t="s">
        <v>2791</v>
      </c>
      <c r="C187" s="443">
        <v>1316</v>
      </c>
      <c r="D187" s="447" t="s">
        <v>3446</v>
      </c>
      <c r="E187" s="149" t="s">
        <v>3449</v>
      </c>
      <c r="F187" s="149" t="s">
        <v>3450</v>
      </c>
    </row>
    <row r="188" spans="1:6">
      <c r="A188" s="444">
        <v>1332</v>
      </c>
      <c r="B188" s="444" t="s">
        <v>3598</v>
      </c>
      <c r="C188" s="445">
        <v>1313</v>
      </c>
      <c r="D188" s="448" t="s">
        <v>3446</v>
      </c>
      <c r="E188" s="457" t="s">
        <v>3452</v>
      </c>
      <c r="F188" s="149"/>
    </row>
    <row r="189" spans="1:6">
      <c r="A189" s="442">
        <v>1330</v>
      </c>
      <c r="B189" s="442" t="s">
        <v>3599</v>
      </c>
      <c r="C189" s="443">
        <v>1311</v>
      </c>
      <c r="D189" s="447" t="s">
        <v>3446</v>
      </c>
      <c r="E189" s="457" t="s">
        <v>3452</v>
      </c>
      <c r="F189" s="149"/>
    </row>
    <row r="190" spans="1:6">
      <c r="A190" s="444">
        <v>1329</v>
      </c>
      <c r="B190" s="444" t="s">
        <v>2803</v>
      </c>
      <c r="C190" s="445">
        <v>1310</v>
      </c>
      <c r="D190" s="448" t="s">
        <v>3446</v>
      </c>
      <c r="E190" s="149" t="s">
        <v>3449</v>
      </c>
      <c r="F190" s="149" t="s">
        <v>3455</v>
      </c>
    </row>
    <row r="191" spans="1:6">
      <c r="A191" s="442">
        <v>1328</v>
      </c>
      <c r="B191" s="442" t="s">
        <v>2784</v>
      </c>
      <c r="C191" s="443">
        <v>1309</v>
      </c>
      <c r="D191" s="447" t="s">
        <v>3446</v>
      </c>
      <c r="E191" s="457" t="s">
        <v>3452</v>
      </c>
      <c r="F191" s="149"/>
    </row>
    <row r="192" spans="1:6">
      <c r="A192" s="444">
        <v>1327</v>
      </c>
      <c r="B192" s="444" t="s">
        <v>3600</v>
      </c>
      <c r="C192" s="445">
        <v>1323</v>
      </c>
      <c r="D192" s="448" t="s">
        <v>3446</v>
      </c>
      <c r="E192" s="457" t="s">
        <v>3452</v>
      </c>
      <c r="F192" s="149"/>
    </row>
    <row r="193" spans="1:6">
      <c r="A193" s="442">
        <v>1326</v>
      </c>
      <c r="B193" s="442" t="s">
        <v>3601</v>
      </c>
      <c r="C193" s="443">
        <v>1308</v>
      </c>
      <c r="D193" s="447" t="s">
        <v>3446</v>
      </c>
      <c r="E193" s="149"/>
      <c r="F193" s="149"/>
    </row>
    <row r="194" spans="1:6" ht="23.25">
      <c r="A194" s="444">
        <v>1324</v>
      </c>
      <c r="B194" s="444" t="s">
        <v>2802</v>
      </c>
      <c r="C194" s="445">
        <v>1306</v>
      </c>
      <c r="D194" s="448" t="s">
        <v>3446</v>
      </c>
      <c r="E194" s="149"/>
      <c r="F194" s="149"/>
    </row>
    <row r="195" spans="1:6">
      <c r="A195" s="442">
        <v>1323</v>
      </c>
      <c r="B195" s="442" t="s">
        <v>2801</v>
      </c>
      <c r="C195" s="443">
        <v>1305</v>
      </c>
      <c r="D195" s="447" t="s">
        <v>3446</v>
      </c>
      <c r="E195" s="457" t="s">
        <v>3452</v>
      </c>
      <c r="F195" s="149"/>
    </row>
    <row r="196" spans="1:6">
      <c r="A196" s="444">
        <v>1322</v>
      </c>
      <c r="B196" s="444" t="s">
        <v>2783</v>
      </c>
      <c r="C196" s="445">
        <v>1304</v>
      </c>
      <c r="D196" s="448" t="s">
        <v>3446</v>
      </c>
      <c r="E196" s="457" t="s">
        <v>3452</v>
      </c>
      <c r="F196" s="149"/>
    </row>
    <row r="197" spans="1:6">
      <c r="A197" s="442">
        <v>1321</v>
      </c>
      <c r="B197" s="442" t="s">
        <v>2782</v>
      </c>
      <c r="C197" s="443">
        <v>1303</v>
      </c>
      <c r="D197" s="447" t="s">
        <v>3446</v>
      </c>
      <c r="E197" s="457" t="s">
        <v>3452</v>
      </c>
      <c r="F197" s="149"/>
    </row>
    <row r="198" spans="1:6">
      <c r="A198" s="444">
        <v>1318</v>
      </c>
      <c r="B198" s="444" t="s">
        <v>3602</v>
      </c>
      <c r="C198" s="445">
        <v>1300</v>
      </c>
      <c r="D198" s="448" t="s">
        <v>3446</v>
      </c>
      <c r="E198" s="457" t="s">
        <v>3452</v>
      </c>
      <c r="F198" s="149"/>
    </row>
    <row r="199" spans="1:6">
      <c r="A199" s="442">
        <v>1317</v>
      </c>
      <c r="B199" s="442" t="s">
        <v>2798</v>
      </c>
      <c r="C199" s="443">
        <v>1299</v>
      </c>
      <c r="D199" s="447" t="s">
        <v>3446</v>
      </c>
      <c r="E199" s="457" t="s">
        <v>3452</v>
      </c>
      <c r="F199" s="149"/>
    </row>
    <row r="200" spans="1:6">
      <c r="A200" s="442">
        <v>1316</v>
      </c>
      <c r="B200" s="442" t="s">
        <v>3603</v>
      </c>
      <c r="C200" s="443">
        <v>1739</v>
      </c>
      <c r="D200" s="447" t="s">
        <v>3446</v>
      </c>
      <c r="E200" s="457" t="s">
        <v>3452</v>
      </c>
      <c r="F200" s="149"/>
    </row>
    <row r="201" spans="1:6">
      <c r="A201" s="444">
        <v>1316</v>
      </c>
      <c r="B201" s="444" t="s">
        <v>3603</v>
      </c>
      <c r="C201" s="445">
        <v>1298</v>
      </c>
      <c r="D201" s="448" t="s">
        <v>3446</v>
      </c>
      <c r="E201" s="457" t="s">
        <v>3452</v>
      </c>
      <c r="F201" s="149"/>
    </row>
    <row r="202" spans="1:6">
      <c r="A202" s="442">
        <v>1315</v>
      </c>
      <c r="B202" s="442" t="s">
        <v>3604</v>
      </c>
      <c r="C202" s="443">
        <v>1296</v>
      </c>
      <c r="D202" s="447" t="s">
        <v>3446</v>
      </c>
      <c r="E202" s="457" t="s">
        <v>3452</v>
      </c>
      <c r="F202" s="149"/>
    </row>
    <row r="203" spans="1:6">
      <c r="A203" s="444">
        <v>1314</v>
      </c>
      <c r="B203" s="444" t="s">
        <v>2817</v>
      </c>
      <c r="C203" s="445">
        <v>1295</v>
      </c>
      <c r="D203" s="448" t="s">
        <v>3446</v>
      </c>
      <c r="E203" s="457" t="s">
        <v>3452</v>
      </c>
      <c r="F203" s="149"/>
    </row>
    <row r="204" spans="1:6">
      <c r="A204" s="442">
        <v>1313</v>
      </c>
      <c r="B204" s="442" t="s">
        <v>2797</v>
      </c>
      <c r="C204" s="443">
        <v>1294</v>
      </c>
      <c r="D204" s="447" t="s">
        <v>3446</v>
      </c>
      <c r="E204" s="457" t="s">
        <v>3452</v>
      </c>
      <c r="F204" s="149"/>
    </row>
    <row r="205" spans="1:6">
      <c r="A205" s="444">
        <v>1310</v>
      </c>
      <c r="B205" s="444" t="s">
        <v>3605</v>
      </c>
      <c r="C205" s="445">
        <v>1292</v>
      </c>
      <c r="D205" s="448" t="s">
        <v>3446</v>
      </c>
      <c r="E205" s="457" t="s">
        <v>3452</v>
      </c>
      <c r="F205" s="149"/>
    </row>
    <row r="206" spans="1:6">
      <c r="A206" s="442">
        <v>1309</v>
      </c>
      <c r="B206" s="442" t="s">
        <v>3606</v>
      </c>
      <c r="C206" s="443">
        <v>1291</v>
      </c>
      <c r="D206" s="447" t="s">
        <v>3446</v>
      </c>
      <c r="E206" s="457" t="s">
        <v>3452</v>
      </c>
      <c r="F206" s="149"/>
    </row>
    <row r="207" spans="1:6">
      <c r="A207" s="444">
        <v>1307</v>
      </c>
      <c r="B207" s="444" t="s">
        <v>2796</v>
      </c>
      <c r="C207" s="445">
        <v>1289</v>
      </c>
      <c r="D207" s="448" t="s">
        <v>3446</v>
      </c>
      <c r="E207" s="457" t="s">
        <v>3452</v>
      </c>
      <c r="F207" s="149"/>
    </row>
    <row r="208" spans="1:6">
      <c r="A208" s="442">
        <v>1306</v>
      </c>
      <c r="B208" s="442" t="s">
        <v>3607</v>
      </c>
      <c r="C208" s="443">
        <v>1288</v>
      </c>
      <c r="D208" s="447" t="s">
        <v>3446</v>
      </c>
      <c r="E208" s="457" t="s">
        <v>3452</v>
      </c>
      <c r="F208" s="149"/>
    </row>
    <row r="209" spans="1:6" ht="23.25">
      <c r="A209" s="444">
        <v>1305</v>
      </c>
      <c r="B209" s="444" t="s">
        <v>3140</v>
      </c>
      <c r="C209" s="445">
        <v>1287</v>
      </c>
      <c r="D209" s="448" t="s">
        <v>3446</v>
      </c>
      <c r="E209" s="457" t="s">
        <v>3452</v>
      </c>
      <c r="F209" s="149"/>
    </row>
    <row r="210" spans="1:6">
      <c r="A210" s="442">
        <v>1303</v>
      </c>
      <c r="B210" s="442" t="s">
        <v>3608</v>
      </c>
      <c r="C210" s="443">
        <v>1285</v>
      </c>
      <c r="D210" s="447" t="s">
        <v>3446</v>
      </c>
      <c r="E210" s="457" t="s">
        <v>3452</v>
      </c>
      <c r="F210" s="149"/>
    </row>
    <row r="211" spans="1:6">
      <c r="A211" s="444">
        <v>1302</v>
      </c>
      <c r="B211" s="444" t="s">
        <v>2792</v>
      </c>
      <c r="C211" s="445">
        <v>1284</v>
      </c>
      <c r="D211" s="448" t="s">
        <v>3446</v>
      </c>
      <c r="E211" s="457" t="s">
        <v>3452</v>
      </c>
      <c r="F211" s="149"/>
    </row>
    <row r="212" spans="1:6">
      <c r="A212" s="442">
        <v>1301</v>
      </c>
      <c r="B212" s="442" t="s">
        <v>2781</v>
      </c>
      <c r="C212" s="443">
        <v>1283</v>
      </c>
      <c r="D212" s="447" t="s">
        <v>3446</v>
      </c>
      <c r="E212" s="457" t="s">
        <v>3452</v>
      </c>
      <c r="F212" s="149"/>
    </row>
    <row r="213" spans="1:6">
      <c r="A213" s="444">
        <v>1300</v>
      </c>
      <c r="B213" s="444" t="s">
        <v>3609</v>
      </c>
      <c r="C213" s="445">
        <v>1281</v>
      </c>
      <c r="D213" s="448" t="s">
        <v>3446</v>
      </c>
      <c r="E213" s="149" t="s">
        <v>3610</v>
      </c>
      <c r="F213" s="149"/>
    </row>
    <row r="214" spans="1:6">
      <c r="A214" s="442">
        <v>1299</v>
      </c>
      <c r="B214" s="442" t="s">
        <v>3611</v>
      </c>
      <c r="C214" s="443">
        <v>1279</v>
      </c>
      <c r="D214" s="447" t="s">
        <v>3446</v>
      </c>
      <c r="E214" s="457" t="s">
        <v>3452</v>
      </c>
      <c r="F214" s="149"/>
    </row>
    <row r="215" spans="1:6">
      <c r="A215" s="444">
        <v>1297</v>
      </c>
      <c r="B215" s="444" t="s">
        <v>3612</v>
      </c>
      <c r="C215" s="445">
        <v>1277</v>
      </c>
      <c r="D215" s="448" t="s">
        <v>3446</v>
      </c>
      <c r="E215" s="457" t="s">
        <v>3452</v>
      </c>
      <c r="F215" s="149"/>
    </row>
    <row r="216" spans="1:6">
      <c r="A216" s="442">
        <v>1296</v>
      </c>
      <c r="B216" s="442" t="s">
        <v>3613</v>
      </c>
      <c r="C216" s="443">
        <v>1276</v>
      </c>
      <c r="D216" s="447" t="s">
        <v>3446</v>
      </c>
      <c r="E216" s="149" t="s">
        <v>3449</v>
      </c>
      <c r="F216" s="149" t="s">
        <v>3455</v>
      </c>
    </row>
    <row r="217" spans="1:6">
      <c r="A217" s="444">
        <v>1295</v>
      </c>
      <c r="B217" s="444" t="s">
        <v>3614</v>
      </c>
      <c r="C217" s="445">
        <v>1275</v>
      </c>
      <c r="D217" s="448" t="s">
        <v>3446</v>
      </c>
      <c r="E217" s="457" t="s">
        <v>3452</v>
      </c>
      <c r="F217" s="149"/>
    </row>
    <row r="218" spans="1:6">
      <c r="A218" s="458">
        <v>1294</v>
      </c>
      <c r="B218" s="442" t="s">
        <v>2767</v>
      </c>
      <c r="C218" s="443">
        <v>1274</v>
      </c>
      <c r="D218" s="447" t="s">
        <v>3446</v>
      </c>
      <c r="E218" s="107" t="s">
        <v>3449</v>
      </c>
      <c r="F218" s="107" t="s">
        <v>3450</v>
      </c>
    </row>
    <row r="219" spans="1:6">
      <c r="A219" s="444">
        <v>1292</v>
      </c>
      <c r="B219" s="444" t="s">
        <v>3434</v>
      </c>
      <c r="C219" s="445">
        <v>1271</v>
      </c>
      <c r="D219" s="448" t="s">
        <v>3446</v>
      </c>
      <c r="E219" s="457" t="s">
        <v>3452</v>
      </c>
      <c r="F219" s="149"/>
    </row>
    <row r="220" spans="1:6">
      <c r="A220" s="442">
        <v>1290</v>
      </c>
      <c r="B220" s="442" t="s">
        <v>3615</v>
      </c>
      <c r="C220" s="443">
        <v>1269</v>
      </c>
      <c r="D220" s="447" t="s">
        <v>3446</v>
      </c>
      <c r="E220" s="107" t="s">
        <v>3452</v>
      </c>
      <c r="F220" s="149"/>
    </row>
    <row r="221" spans="1:6">
      <c r="A221" s="444">
        <v>1289</v>
      </c>
      <c r="B221" s="444" t="s">
        <v>3616</v>
      </c>
      <c r="C221" s="445">
        <v>1268</v>
      </c>
      <c r="D221" s="448" t="s">
        <v>3446</v>
      </c>
      <c r="E221" s="107" t="s">
        <v>3452</v>
      </c>
      <c r="F221" s="149"/>
    </row>
    <row r="222" spans="1:6">
      <c r="A222" s="442">
        <v>1288</v>
      </c>
      <c r="B222" s="442" t="s">
        <v>3617</v>
      </c>
      <c r="C222" s="443">
        <v>1267</v>
      </c>
      <c r="D222" s="447" t="s">
        <v>3446</v>
      </c>
      <c r="E222" s="107" t="s">
        <v>3452</v>
      </c>
      <c r="F222" s="149"/>
    </row>
    <row r="223" spans="1:6">
      <c r="A223" s="450">
        <v>1285</v>
      </c>
      <c r="B223" s="444" t="s">
        <v>2768</v>
      </c>
      <c r="C223" s="445">
        <v>1264</v>
      </c>
      <c r="D223" s="448" t="s">
        <v>3446</v>
      </c>
      <c r="E223" s="107" t="s">
        <v>3449</v>
      </c>
      <c r="F223" s="107" t="s">
        <v>3450</v>
      </c>
    </row>
    <row r="224" spans="1:6" ht="23.25">
      <c r="A224" s="442">
        <v>1283</v>
      </c>
      <c r="B224" s="442" t="s">
        <v>3618</v>
      </c>
      <c r="C224" s="443">
        <v>1262</v>
      </c>
      <c r="D224" s="447" t="s">
        <v>3539</v>
      </c>
      <c r="E224" s="149"/>
      <c r="F224" s="149"/>
    </row>
    <row r="225" spans="1:6">
      <c r="A225" s="444">
        <v>1281</v>
      </c>
      <c r="B225" s="444" t="s">
        <v>3619</v>
      </c>
      <c r="C225" s="445">
        <v>1260</v>
      </c>
      <c r="D225" s="448" t="s">
        <v>3446</v>
      </c>
      <c r="E225" s="149"/>
      <c r="F225" s="149"/>
    </row>
    <row r="226" spans="1:6">
      <c r="A226" s="442">
        <v>1278</v>
      </c>
      <c r="B226" s="442" t="s">
        <v>2764</v>
      </c>
      <c r="C226" s="443">
        <v>1257</v>
      </c>
      <c r="D226" s="447" t="s">
        <v>3446</v>
      </c>
      <c r="E226" s="149"/>
      <c r="F226" s="149"/>
    </row>
    <row r="227" spans="1:6">
      <c r="A227" s="444">
        <v>1277</v>
      </c>
      <c r="B227" s="444" t="s">
        <v>2762</v>
      </c>
      <c r="C227" s="445">
        <v>1888</v>
      </c>
      <c r="D227" s="448" t="s">
        <v>3446</v>
      </c>
      <c r="E227" s="149"/>
      <c r="F227" s="149"/>
    </row>
    <row r="228" spans="1:6">
      <c r="A228" s="442">
        <v>1276</v>
      </c>
      <c r="B228" s="442" t="s">
        <v>3040</v>
      </c>
      <c r="C228" s="443">
        <v>1261</v>
      </c>
      <c r="D228" s="447" t="s">
        <v>3446</v>
      </c>
      <c r="E228" s="149"/>
      <c r="F228" s="149"/>
    </row>
    <row r="229" spans="1:6">
      <c r="A229" s="444">
        <v>1274</v>
      </c>
      <c r="B229" s="444" t="s">
        <v>2760</v>
      </c>
      <c r="C229" s="445">
        <v>1252</v>
      </c>
      <c r="D229" s="448" t="s">
        <v>3446</v>
      </c>
      <c r="E229" s="149"/>
      <c r="F229" s="149"/>
    </row>
    <row r="230" spans="1:6">
      <c r="A230" s="442">
        <v>1271</v>
      </c>
      <c r="B230" s="442" t="s">
        <v>3620</v>
      </c>
      <c r="C230" s="443">
        <v>1248</v>
      </c>
      <c r="D230" s="447" t="s">
        <v>3446</v>
      </c>
      <c r="E230" s="149"/>
      <c r="F230" s="149"/>
    </row>
    <row r="231" spans="1:6">
      <c r="A231" s="444">
        <v>1269</v>
      </c>
      <c r="B231" s="444" t="s">
        <v>3186</v>
      </c>
      <c r="C231" s="445">
        <v>1246</v>
      </c>
      <c r="D231" s="448" t="s">
        <v>3446</v>
      </c>
      <c r="E231" s="149"/>
      <c r="F231" s="149"/>
    </row>
    <row r="232" spans="1:6">
      <c r="A232" s="442">
        <v>1268</v>
      </c>
      <c r="B232" s="442" t="s">
        <v>3621</v>
      </c>
      <c r="C232" s="443">
        <v>1245</v>
      </c>
      <c r="D232" s="447" t="s">
        <v>3446</v>
      </c>
      <c r="E232" s="149"/>
      <c r="F232" s="149"/>
    </row>
    <row r="233" spans="1:6">
      <c r="A233" s="444">
        <v>1266</v>
      </c>
      <c r="B233" s="444" t="s">
        <v>3622</v>
      </c>
      <c r="C233" s="445">
        <v>1243</v>
      </c>
      <c r="D233" s="448" t="s">
        <v>3446</v>
      </c>
      <c r="E233" s="149"/>
      <c r="F233" s="149"/>
    </row>
    <row r="234" spans="1:6">
      <c r="A234" s="442">
        <v>1265</v>
      </c>
      <c r="B234" s="442" t="s">
        <v>3041</v>
      </c>
      <c r="C234" s="443">
        <v>1242</v>
      </c>
      <c r="D234" s="447" t="s">
        <v>3446</v>
      </c>
      <c r="E234" s="149"/>
      <c r="F234" s="149"/>
    </row>
    <row r="235" spans="1:6">
      <c r="A235" s="444">
        <v>1264</v>
      </c>
      <c r="B235" s="444" t="s">
        <v>3623</v>
      </c>
      <c r="C235" s="445">
        <v>1241</v>
      </c>
      <c r="D235" s="448" t="s">
        <v>3446</v>
      </c>
      <c r="E235" s="149"/>
      <c r="F235" s="149"/>
    </row>
    <row r="236" spans="1:6">
      <c r="A236" s="442">
        <v>1263</v>
      </c>
      <c r="B236" s="442" t="s">
        <v>3624</v>
      </c>
      <c r="C236" s="443">
        <v>1240</v>
      </c>
      <c r="D236" s="447" t="s">
        <v>3446</v>
      </c>
      <c r="E236" s="149"/>
      <c r="F236" s="149"/>
    </row>
    <row r="237" spans="1:6">
      <c r="A237" s="444">
        <v>1262</v>
      </c>
      <c r="B237" s="444" t="s">
        <v>3625</v>
      </c>
      <c r="C237" s="445">
        <v>1239</v>
      </c>
      <c r="D237" s="448" t="s">
        <v>3446</v>
      </c>
      <c r="E237" s="149"/>
      <c r="F237" s="149"/>
    </row>
    <row r="238" spans="1:6">
      <c r="A238" s="442">
        <v>1260</v>
      </c>
      <c r="B238" s="442" t="s">
        <v>3626</v>
      </c>
      <c r="C238" s="443">
        <v>1237</v>
      </c>
      <c r="D238" s="447" t="s">
        <v>3446</v>
      </c>
      <c r="E238" s="149"/>
      <c r="F238" s="149"/>
    </row>
    <row r="239" spans="1:6">
      <c r="A239" s="444">
        <v>1258</v>
      </c>
      <c r="B239" s="444" t="s">
        <v>3627</v>
      </c>
      <c r="C239" s="445">
        <v>1235</v>
      </c>
      <c r="D239" s="448" t="s">
        <v>3446</v>
      </c>
      <c r="E239" s="149"/>
      <c r="F239" s="149"/>
    </row>
    <row r="240" spans="1:6" ht="23.25">
      <c r="A240" s="442">
        <v>1255</v>
      </c>
      <c r="B240" s="442" t="s">
        <v>3628</v>
      </c>
      <c r="C240" s="443">
        <v>1232</v>
      </c>
      <c r="D240" s="447" t="s">
        <v>3539</v>
      </c>
      <c r="E240" s="149"/>
      <c r="F240" s="149"/>
    </row>
    <row r="241" spans="1:6">
      <c r="A241" s="444">
        <v>1251</v>
      </c>
      <c r="B241" s="444" t="s">
        <v>3629</v>
      </c>
      <c r="C241" s="445">
        <v>1228</v>
      </c>
      <c r="D241" s="448" t="s">
        <v>3446</v>
      </c>
      <c r="E241" s="149"/>
      <c r="F241" s="149"/>
    </row>
    <row r="242" spans="1:6">
      <c r="A242" s="442">
        <v>1249</v>
      </c>
      <c r="B242" s="442" t="s">
        <v>3310</v>
      </c>
      <c r="C242" s="443">
        <v>1226</v>
      </c>
      <c r="D242" s="447" t="s">
        <v>3446</v>
      </c>
      <c r="E242" s="149"/>
      <c r="F242" s="149"/>
    </row>
    <row r="243" spans="1:6" ht="23.25">
      <c r="A243" s="444">
        <v>1248</v>
      </c>
      <c r="B243" s="444" t="s">
        <v>3630</v>
      </c>
      <c r="C243" s="445">
        <v>1227</v>
      </c>
      <c r="D243" s="448" t="s">
        <v>3539</v>
      </c>
      <c r="E243" s="149"/>
      <c r="F243" s="149"/>
    </row>
    <row r="244" spans="1:6" ht="23.25">
      <c r="A244" s="442">
        <v>1247</v>
      </c>
      <c r="B244" s="442" t="s">
        <v>3631</v>
      </c>
      <c r="C244" s="443">
        <v>1224</v>
      </c>
      <c r="D244" s="447" t="s">
        <v>3539</v>
      </c>
      <c r="E244" s="149"/>
      <c r="F244" s="149"/>
    </row>
    <row r="245" spans="1:6">
      <c r="A245" s="444">
        <v>1246</v>
      </c>
      <c r="B245" s="444" t="s">
        <v>3632</v>
      </c>
      <c r="C245" s="445">
        <v>1225</v>
      </c>
      <c r="D245" s="448" t="s">
        <v>3446</v>
      </c>
      <c r="E245" s="149"/>
      <c r="F245" s="149"/>
    </row>
    <row r="246" spans="1:6">
      <c r="A246" s="442">
        <v>1245</v>
      </c>
      <c r="B246" s="442" t="s">
        <v>3633</v>
      </c>
      <c r="C246" s="443">
        <v>1223</v>
      </c>
      <c r="D246" s="447" t="s">
        <v>3446</v>
      </c>
      <c r="E246" s="149"/>
      <c r="F246" s="149"/>
    </row>
    <row r="247" spans="1:6">
      <c r="A247" s="444">
        <v>1243</v>
      </c>
      <c r="B247" s="444" t="s">
        <v>3634</v>
      </c>
      <c r="C247" s="445">
        <v>1220</v>
      </c>
      <c r="D247" s="448" t="s">
        <v>3446</v>
      </c>
      <c r="E247" s="149"/>
      <c r="F247" s="149"/>
    </row>
    <row r="248" spans="1:6">
      <c r="A248" s="442">
        <v>1241</v>
      </c>
      <c r="B248" s="442" t="s">
        <v>3635</v>
      </c>
      <c r="C248" s="443">
        <v>1374</v>
      </c>
      <c r="D248" s="447" t="s">
        <v>3446</v>
      </c>
      <c r="E248" s="149"/>
      <c r="F248" s="149"/>
    </row>
    <row r="249" spans="1:6">
      <c r="A249" s="444">
        <v>1241</v>
      </c>
      <c r="B249" s="444" t="s">
        <v>3635</v>
      </c>
      <c r="C249" s="445">
        <v>1962</v>
      </c>
      <c r="D249" s="448" t="s">
        <v>3446</v>
      </c>
      <c r="E249" s="149"/>
      <c r="F249" s="149"/>
    </row>
    <row r="250" spans="1:6">
      <c r="A250" s="442">
        <v>1241</v>
      </c>
      <c r="B250" s="442" t="s">
        <v>3635</v>
      </c>
      <c r="C250" s="443">
        <v>1375</v>
      </c>
      <c r="D250" s="447" t="s">
        <v>3446</v>
      </c>
      <c r="E250" s="149"/>
      <c r="F250" s="149"/>
    </row>
    <row r="251" spans="1:6">
      <c r="A251" s="444">
        <v>1241</v>
      </c>
      <c r="B251" s="444" t="s">
        <v>3635</v>
      </c>
      <c r="C251" s="445">
        <v>1372</v>
      </c>
      <c r="D251" s="448" t="s">
        <v>3446</v>
      </c>
      <c r="E251" s="149"/>
      <c r="F251" s="149"/>
    </row>
    <row r="252" spans="1:6">
      <c r="A252" s="442">
        <v>1241</v>
      </c>
      <c r="B252" s="442" t="s">
        <v>3635</v>
      </c>
      <c r="C252" s="443">
        <v>1370</v>
      </c>
      <c r="D252" s="447" t="s">
        <v>3446</v>
      </c>
      <c r="E252" s="149"/>
      <c r="F252" s="149"/>
    </row>
    <row r="253" spans="1:6">
      <c r="A253" s="444">
        <v>1241</v>
      </c>
      <c r="B253" s="444" t="s">
        <v>3635</v>
      </c>
      <c r="C253" s="445">
        <v>1773</v>
      </c>
      <c r="D253" s="448" t="s">
        <v>3446</v>
      </c>
      <c r="E253" s="149"/>
      <c r="F253" s="149"/>
    </row>
    <row r="254" spans="1:6">
      <c r="A254" s="442">
        <v>1241</v>
      </c>
      <c r="B254" s="442" t="s">
        <v>3635</v>
      </c>
      <c r="C254" s="443">
        <v>1366</v>
      </c>
      <c r="D254" s="447" t="s">
        <v>3446</v>
      </c>
      <c r="E254" s="149"/>
      <c r="F254" s="149"/>
    </row>
    <row r="255" spans="1:6">
      <c r="A255" s="444">
        <v>1241</v>
      </c>
      <c r="B255" s="444" t="s">
        <v>3635</v>
      </c>
      <c r="C255" s="445">
        <v>1371</v>
      </c>
      <c r="D255" s="448" t="s">
        <v>3446</v>
      </c>
      <c r="E255" s="149"/>
      <c r="F255" s="149"/>
    </row>
    <row r="256" spans="1:6">
      <c r="A256" s="442">
        <v>1241</v>
      </c>
      <c r="B256" s="442" t="s">
        <v>3635</v>
      </c>
      <c r="C256" s="443">
        <v>1376</v>
      </c>
      <c r="D256" s="447" t="s">
        <v>3446</v>
      </c>
      <c r="E256" s="149"/>
      <c r="F256" s="149"/>
    </row>
    <row r="257" spans="1:6">
      <c r="A257" s="444">
        <v>1241</v>
      </c>
      <c r="B257" s="444" t="s">
        <v>3635</v>
      </c>
      <c r="C257" s="445">
        <v>1367</v>
      </c>
      <c r="D257" s="448" t="s">
        <v>3446</v>
      </c>
      <c r="E257" s="149"/>
      <c r="F257" s="149"/>
    </row>
    <row r="258" spans="1:6">
      <c r="A258" s="442">
        <v>1241</v>
      </c>
      <c r="B258" s="442" t="s">
        <v>3635</v>
      </c>
      <c r="C258" s="443">
        <v>1378</v>
      </c>
      <c r="D258" s="447" t="s">
        <v>3446</v>
      </c>
      <c r="E258" s="149"/>
      <c r="F258" s="149"/>
    </row>
    <row r="259" spans="1:6">
      <c r="A259" s="444">
        <v>1241</v>
      </c>
      <c r="B259" s="444" t="s">
        <v>3635</v>
      </c>
      <c r="C259" s="445">
        <v>1388</v>
      </c>
      <c r="D259" s="448" t="s">
        <v>3446</v>
      </c>
      <c r="E259" s="149"/>
      <c r="F259" s="149"/>
    </row>
    <row r="260" spans="1:6">
      <c r="A260" s="442">
        <v>1241</v>
      </c>
      <c r="B260" s="442" t="s">
        <v>3635</v>
      </c>
      <c r="C260" s="443">
        <v>1373</v>
      </c>
      <c r="D260" s="447" t="s">
        <v>3446</v>
      </c>
      <c r="E260" s="149"/>
      <c r="F260" s="149"/>
    </row>
    <row r="261" spans="1:6">
      <c r="A261" s="444">
        <v>1241</v>
      </c>
      <c r="B261" s="444" t="s">
        <v>3635</v>
      </c>
      <c r="C261" s="445">
        <v>1377</v>
      </c>
      <c r="D261" s="448" t="s">
        <v>3446</v>
      </c>
      <c r="E261" s="149"/>
      <c r="F261" s="149"/>
    </row>
    <row r="262" spans="1:6">
      <c r="A262" s="442">
        <v>1241</v>
      </c>
      <c r="B262" s="442" t="s">
        <v>3635</v>
      </c>
      <c r="C262" s="443">
        <v>1368</v>
      </c>
      <c r="D262" s="447" t="s">
        <v>3446</v>
      </c>
      <c r="E262" s="149"/>
      <c r="F262" s="149"/>
    </row>
    <row r="263" spans="1:6">
      <c r="A263" s="444">
        <v>1241</v>
      </c>
      <c r="B263" s="444" t="s">
        <v>3635</v>
      </c>
      <c r="C263" s="445">
        <v>1369</v>
      </c>
      <c r="D263" s="448" t="s">
        <v>3446</v>
      </c>
      <c r="E263" s="149"/>
      <c r="F263" s="149"/>
    </row>
    <row r="264" spans="1:6">
      <c r="A264" s="442">
        <v>1239</v>
      </c>
      <c r="B264" s="442" t="s">
        <v>3636</v>
      </c>
      <c r="C264" s="443">
        <v>1217</v>
      </c>
      <c r="D264" s="447" t="s">
        <v>3446</v>
      </c>
      <c r="E264" s="149"/>
      <c r="F264" s="149"/>
    </row>
    <row r="265" spans="1:6">
      <c r="A265" s="444">
        <v>1238</v>
      </c>
      <c r="B265" s="444" t="s">
        <v>3637</v>
      </c>
      <c r="C265" s="445">
        <v>1216</v>
      </c>
      <c r="D265" s="448" t="s">
        <v>3446</v>
      </c>
      <c r="E265" s="149"/>
      <c r="F265" s="149"/>
    </row>
    <row r="266" spans="1:6">
      <c r="A266" s="442">
        <v>1237</v>
      </c>
      <c r="B266" s="442" t="s">
        <v>2750</v>
      </c>
      <c r="C266" s="443">
        <v>1215</v>
      </c>
      <c r="D266" s="447" t="s">
        <v>3446</v>
      </c>
      <c r="E266" s="149"/>
      <c r="F266" s="149"/>
    </row>
    <row r="267" spans="1:6">
      <c r="A267" s="444">
        <v>1235</v>
      </c>
      <c r="B267" s="444" t="s">
        <v>3091</v>
      </c>
      <c r="C267" s="445">
        <v>1213</v>
      </c>
      <c r="D267" s="448" t="s">
        <v>3446</v>
      </c>
      <c r="E267" s="149"/>
      <c r="F267" s="149"/>
    </row>
    <row r="268" spans="1:6">
      <c r="A268" s="442">
        <v>1233</v>
      </c>
      <c r="B268" s="442" t="s">
        <v>3638</v>
      </c>
      <c r="C268" s="443">
        <v>1210</v>
      </c>
      <c r="D268" s="447" t="s">
        <v>3446</v>
      </c>
      <c r="E268" s="149"/>
      <c r="F268" s="149"/>
    </row>
    <row r="269" spans="1:6">
      <c r="A269" s="444">
        <v>1232</v>
      </c>
      <c r="B269" s="444" t="s">
        <v>3056</v>
      </c>
      <c r="C269" s="445">
        <v>1209</v>
      </c>
      <c r="D269" s="448" t="s">
        <v>3446</v>
      </c>
      <c r="E269" s="149"/>
      <c r="F269" s="149"/>
    </row>
    <row r="270" spans="1:6">
      <c r="A270" s="442">
        <v>1231</v>
      </c>
      <c r="B270" s="442" t="s">
        <v>3639</v>
      </c>
      <c r="C270" s="443">
        <v>1207</v>
      </c>
      <c r="D270" s="447" t="s">
        <v>3446</v>
      </c>
      <c r="E270" s="149"/>
      <c r="F270" s="149"/>
    </row>
    <row r="271" spans="1:6">
      <c r="A271" s="444">
        <v>1229</v>
      </c>
      <c r="B271" s="444" t="s">
        <v>3640</v>
      </c>
      <c r="C271" s="445">
        <v>1205</v>
      </c>
      <c r="D271" s="448" t="s">
        <v>3446</v>
      </c>
      <c r="E271" s="149"/>
      <c r="F271" s="149"/>
    </row>
    <row r="272" spans="1:6">
      <c r="A272" s="442">
        <v>1228</v>
      </c>
      <c r="B272" s="442" t="s">
        <v>3641</v>
      </c>
      <c r="C272" s="443">
        <v>1204</v>
      </c>
      <c r="D272" s="447" t="s">
        <v>3446</v>
      </c>
      <c r="E272" s="149"/>
      <c r="F272" s="149"/>
    </row>
    <row r="273" spans="1:6">
      <c r="A273" s="444">
        <v>1227</v>
      </c>
      <c r="B273" s="444" t="s">
        <v>2748</v>
      </c>
      <c r="C273" s="445">
        <v>1203</v>
      </c>
      <c r="D273" s="448" t="s">
        <v>3446</v>
      </c>
      <c r="E273" s="149"/>
      <c r="F273" s="149"/>
    </row>
    <row r="274" spans="1:6">
      <c r="A274" s="442">
        <v>1226</v>
      </c>
      <c r="B274" s="442" t="s">
        <v>2746</v>
      </c>
      <c r="C274" s="443">
        <v>1202</v>
      </c>
      <c r="D274" s="447" t="s">
        <v>3446</v>
      </c>
      <c r="E274" s="149"/>
      <c r="F274" s="149"/>
    </row>
    <row r="275" spans="1:6">
      <c r="A275" s="444">
        <v>1224</v>
      </c>
      <c r="B275" s="444" t="s">
        <v>3642</v>
      </c>
      <c r="C275" s="445">
        <v>1199</v>
      </c>
      <c r="D275" s="448" t="s">
        <v>3446</v>
      </c>
      <c r="E275" s="149"/>
      <c r="F275" s="149"/>
    </row>
    <row r="276" spans="1:6">
      <c r="A276" s="442">
        <v>1223</v>
      </c>
      <c r="B276" s="442" t="s">
        <v>3643</v>
      </c>
      <c r="C276" s="443">
        <v>1200</v>
      </c>
      <c r="D276" s="447" t="s">
        <v>3446</v>
      </c>
      <c r="E276" s="149"/>
      <c r="F276" s="149"/>
    </row>
    <row r="277" spans="1:6">
      <c r="A277" s="444">
        <v>1222</v>
      </c>
      <c r="B277" s="444" t="s">
        <v>3644</v>
      </c>
      <c r="C277" s="445">
        <v>1196</v>
      </c>
      <c r="D277" s="448" t="s">
        <v>3446</v>
      </c>
      <c r="E277" s="149"/>
      <c r="F277" s="149"/>
    </row>
    <row r="278" spans="1:6">
      <c r="A278" s="442">
        <v>1221</v>
      </c>
      <c r="B278" s="442" t="s">
        <v>3645</v>
      </c>
      <c r="C278" s="443">
        <v>1195</v>
      </c>
      <c r="D278" s="447" t="s">
        <v>3446</v>
      </c>
      <c r="E278" s="149"/>
      <c r="F278" s="149"/>
    </row>
    <row r="279" spans="1:6">
      <c r="A279" s="444">
        <v>1219</v>
      </c>
      <c r="B279" s="444" t="s">
        <v>3646</v>
      </c>
      <c r="C279" s="445">
        <v>1193</v>
      </c>
      <c r="D279" s="448" t="s">
        <v>3446</v>
      </c>
      <c r="E279" s="149"/>
      <c r="F279" s="149"/>
    </row>
    <row r="280" spans="1:6">
      <c r="A280" s="442">
        <v>1218</v>
      </c>
      <c r="B280" s="442" t="s">
        <v>3374</v>
      </c>
      <c r="C280" s="443">
        <v>1192</v>
      </c>
      <c r="D280" s="447" t="s">
        <v>3446</v>
      </c>
      <c r="E280" s="149"/>
      <c r="F280" s="149"/>
    </row>
    <row r="281" spans="1:6">
      <c r="A281" s="444">
        <v>1215</v>
      </c>
      <c r="B281" s="444" t="s">
        <v>3647</v>
      </c>
      <c r="C281" s="445">
        <v>1198</v>
      </c>
      <c r="D281" s="448" t="s">
        <v>3446</v>
      </c>
      <c r="E281" s="149"/>
      <c r="F281" s="149"/>
    </row>
    <row r="282" spans="1:6">
      <c r="A282" s="442">
        <v>1214</v>
      </c>
      <c r="B282" s="442" t="s">
        <v>3648</v>
      </c>
      <c r="C282" s="443">
        <v>1189</v>
      </c>
      <c r="D282" s="447" t="s">
        <v>3446</v>
      </c>
      <c r="E282" s="149"/>
      <c r="F282" s="149"/>
    </row>
    <row r="283" spans="1:6">
      <c r="A283" s="444">
        <v>1213</v>
      </c>
      <c r="B283" s="444" t="s">
        <v>3649</v>
      </c>
      <c r="C283" s="445">
        <v>1187</v>
      </c>
      <c r="D283" s="448" t="s">
        <v>3446</v>
      </c>
      <c r="E283" s="149"/>
      <c r="F283" s="149"/>
    </row>
    <row r="284" spans="1:6">
      <c r="A284" s="442">
        <v>1211</v>
      </c>
      <c r="B284" s="442" t="s">
        <v>2747</v>
      </c>
      <c r="C284" s="443">
        <v>1186</v>
      </c>
      <c r="D284" s="447" t="s">
        <v>3446</v>
      </c>
      <c r="E284" s="149"/>
      <c r="F284" s="149"/>
    </row>
    <row r="285" spans="1:6">
      <c r="A285" s="444">
        <v>1210</v>
      </c>
      <c r="B285" s="444" t="s">
        <v>2777</v>
      </c>
      <c r="C285" s="445">
        <v>1190</v>
      </c>
      <c r="D285" s="448" t="s">
        <v>3446</v>
      </c>
      <c r="E285" s="149"/>
      <c r="F285" s="149"/>
    </row>
    <row r="286" spans="1:6">
      <c r="A286" s="442">
        <v>1209</v>
      </c>
      <c r="B286" s="442" t="s">
        <v>3304</v>
      </c>
      <c r="C286" s="443">
        <v>1183</v>
      </c>
      <c r="D286" s="447" t="s">
        <v>3446</v>
      </c>
      <c r="E286" s="149"/>
      <c r="F286" s="149"/>
    </row>
    <row r="287" spans="1:6">
      <c r="A287" s="444">
        <v>1206</v>
      </c>
      <c r="B287" s="444" t="s">
        <v>2744</v>
      </c>
      <c r="C287" s="445">
        <v>1180</v>
      </c>
      <c r="D287" s="448" t="s">
        <v>3446</v>
      </c>
      <c r="E287" s="149"/>
      <c r="F287" s="149"/>
    </row>
    <row r="288" spans="1:6" ht="23.25">
      <c r="A288" s="442">
        <v>1205</v>
      </c>
      <c r="B288" s="442" t="s">
        <v>3650</v>
      </c>
      <c r="C288" s="443">
        <v>1179</v>
      </c>
      <c r="D288" s="447" t="s">
        <v>3446</v>
      </c>
      <c r="E288" s="149"/>
      <c r="F288" s="149"/>
    </row>
    <row r="289" spans="1:6">
      <c r="A289" s="444">
        <v>1204</v>
      </c>
      <c r="B289" s="444" t="s">
        <v>3651</v>
      </c>
      <c r="C289" s="445">
        <v>1867</v>
      </c>
      <c r="D289" s="448" t="s">
        <v>3446</v>
      </c>
      <c r="E289" s="149"/>
      <c r="F289" s="149"/>
    </row>
    <row r="290" spans="1:6">
      <c r="A290" s="442">
        <v>1201</v>
      </c>
      <c r="B290" s="442" t="s">
        <v>2743</v>
      </c>
      <c r="C290" s="443">
        <v>1174</v>
      </c>
      <c r="D290" s="447" t="s">
        <v>3446</v>
      </c>
      <c r="E290" s="149"/>
      <c r="F290" s="149"/>
    </row>
    <row r="291" spans="1:6">
      <c r="A291" s="444">
        <v>1200</v>
      </c>
      <c r="B291" s="444" t="s">
        <v>3049</v>
      </c>
      <c r="C291" s="445">
        <v>1172</v>
      </c>
      <c r="D291" s="448" t="s">
        <v>3446</v>
      </c>
      <c r="E291" s="149"/>
      <c r="F291" s="149"/>
    </row>
    <row r="292" spans="1:6">
      <c r="A292" s="442">
        <v>1199</v>
      </c>
      <c r="B292" s="442" t="s">
        <v>3652</v>
      </c>
      <c r="C292" s="443">
        <v>1171</v>
      </c>
      <c r="D292" s="447" t="s">
        <v>3446</v>
      </c>
      <c r="E292" s="149"/>
      <c r="F292" s="149"/>
    </row>
    <row r="293" spans="1:6">
      <c r="A293" s="444">
        <v>1198</v>
      </c>
      <c r="B293" s="444" t="s">
        <v>3653</v>
      </c>
      <c r="C293" s="445">
        <v>1173</v>
      </c>
      <c r="D293" s="448" t="s">
        <v>3446</v>
      </c>
      <c r="E293" s="149"/>
      <c r="F293" s="149"/>
    </row>
    <row r="294" spans="1:6">
      <c r="A294" s="442">
        <v>1197</v>
      </c>
      <c r="B294" s="442" t="s">
        <v>3097</v>
      </c>
      <c r="C294" s="443">
        <v>1177</v>
      </c>
      <c r="D294" s="447" t="s">
        <v>3446</v>
      </c>
      <c r="E294" s="149"/>
      <c r="F294" s="149"/>
    </row>
    <row r="295" spans="1:6">
      <c r="A295" s="444">
        <v>1194</v>
      </c>
      <c r="B295" s="444" t="s">
        <v>3654</v>
      </c>
      <c r="C295" s="445">
        <v>1166</v>
      </c>
      <c r="D295" s="448" t="s">
        <v>3446</v>
      </c>
      <c r="E295" s="149"/>
      <c r="F295" s="149"/>
    </row>
    <row r="296" spans="1:6">
      <c r="A296" s="442">
        <v>1193</v>
      </c>
      <c r="B296" s="442" t="s">
        <v>2740</v>
      </c>
      <c r="C296" s="443">
        <v>1165</v>
      </c>
      <c r="D296" s="447" t="s">
        <v>3446</v>
      </c>
      <c r="E296" s="149"/>
      <c r="F296" s="149"/>
    </row>
    <row r="297" spans="1:6">
      <c r="A297" s="444">
        <v>1192</v>
      </c>
      <c r="B297" s="444" t="s">
        <v>3655</v>
      </c>
      <c r="C297" s="445">
        <v>1164</v>
      </c>
      <c r="D297" s="448" t="s">
        <v>3446</v>
      </c>
      <c r="E297" s="149"/>
      <c r="F297" s="149"/>
    </row>
    <row r="298" spans="1:6">
      <c r="A298" s="442">
        <v>1191</v>
      </c>
      <c r="B298" s="442" t="s">
        <v>3656</v>
      </c>
      <c r="C298" s="443">
        <v>1184</v>
      </c>
      <c r="D298" s="447" t="s">
        <v>3446</v>
      </c>
      <c r="E298" s="149"/>
      <c r="F298" s="149"/>
    </row>
    <row r="299" spans="1:6" ht="23.25">
      <c r="A299" s="444">
        <v>1189</v>
      </c>
      <c r="B299" s="444" t="s">
        <v>3657</v>
      </c>
      <c r="C299" s="445">
        <v>1161</v>
      </c>
      <c r="D299" s="448" t="s">
        <v>3446</v>
      </c>
      <c r="E299" s="149"/>
      <c r="F299" s="149"/>
    </row>
    <row r="300" spans="1:6">
      <c r="A300" s="442">
        <v>1188</v>
      </c>
      <c r="B300" s="442" t="s">
        <v>2739</v>
      </c>
      <c r="C300" s="443">
        <v>1158</v>
      </c>
      <c r="D300" s="447" t="s">
        <v>3446</v>
      </c>
      <c r="E300" s="149"/>
      <c r="F300" s="149"/>
    </row>
    <row r="301" spans="1:6">
      <c r="A301" s="444">
        <v>1187</v>
      </c>
      <c r="B301" s="444" t="s">
        <v>3658</v>
      </c>
      <c r="C301" s="445">
        <v>1157</v>
      </c>
      <c r="D301" s="448" t="s">
        <v>3446</v>
      </c>
      <c r="E301" s="149"/>
      <c r="F301" s="149"/>
    </row>
    <row r="302" spans="1:6">
      <c r="A302" s="442">
        <v>1185</v>
      </c>
      <c r="B302" s="442" t="s">
        <v>3659</v>
      </c>
      <c r="C302" s="443">
        <v>1154</v>
      </c>
      <c r="D302" s="447" t="s">
        <v>3446</v>
      </c>
      <c r="E302" s="149"/>
      <c r="F302" s="149"/>
    </row>
    <row r="303" spans="1:6">
      <c r="A303" s="444">
        <v>1184</v>
      </c>
      <c r="B303" s="444" t="s">
        <v>3660</v>
      </c>
      <c r="C303" s="445">
        <v>1152</v>
      </c>
      <c r="D303" s="448" t="s">
        <v>3446</v>
      </c>
      <c r="E303" s="149"/>
      <c r="F303" s="149"/>
    </row>
    <row r="304" spans="1:6">
      <c r="A304" s="442">
        <v>1183</v>
      </c>
      <c r="B304" s="442" t="s">
        <v>3661</v>
      </c>
      <c r="C304" s="443">
        <v>1155</v>
      </c>
      <c r="D304" s="447" t="s">
        <v>3446</v>
      </c>
      <c r="E304" s="149"/>
      <c r="F304" s="149"/>
    </row>
    <row r="305" spans="1:6">
      <c r="A305" s="444">
        <v>1182</v>
      </c>
      <c r="B305" s="444" t="s">
        <v>2732</v>
      </c>
      <c r="C305" s="445">
        <v>1151</v>
      </c>
      <c r="D305" s="448" t="s">
        <v>3446</v>
      </c>
      <c r="E305" s="149"/>
      <c r="F305" s="149"/>
    </row>
    <row r="306" spans="1:6">
      <c r="A306" s="442">
        <v>1181</v>
      </c>
      <c r="B306" s="442" t="s">
        <v>3662</v>
      </c>
      <c r="C306" s="443">
        <v>1153</v>
      </c>
      <c r="D306" s="447" t="s">
        <v>3446</v>
      </c>
      <c r="E306" s="149"/>
      <c r="F306" s="149"/>
    </row>
    <row r="307" spans="1:6">
      <c r="A307" s="444">
        <v>1180</v>
      </c>
      <c r="B307" s="444" t="s">
        <v>3663</v>
      </c>
      <c r="C307" s="445">
        <v>1149</v>
      </c>
      <c r="D307" s="448" t="s">
        <v>3446</v>
      </c>
      <c r="E307" s="149"/>
      <c r="F307" s="149"/>
    </row>
    <row r="308" spans="1:6">
      <c r="A308" s="442">
        <v>1179</v>
      </c>
      <c r="B308" s="442" t="s">
        <v>3100</v>
      </c>
      <c r="C308" s="443">
        <v>1148</v>
      </c>
      <c r="D308" s="447" t="s">
        <v>3446</v>
      </c>
      <c r="E308" s="149"/>
      <c r="F308" s="149"/>
    </row>
    <row r="309" spans="1:6">
      <c r="A309" s="444">
        <v>1178</v>
      </c>
      <c r="B309" s="444" t="s">
        <v>3266</v>
      </c>
      <c r="C309" s="445">
        <v>1147</v>
      </c>
      <c r="D309" s="448" t="s">
        <v>3446</v>
      </c>
      <c r="E309" s="149"/>
      <c r="F309" s="149"/>
    </row>
    <row r="310" spans="1:6">
      <c r="A310" s="442">
        <v>1177</v>
      </c>
      <c r="B310" s="442" t="s">
        <v>3664</v>
      </c>
      <c r="C310" s="443">
        <v>1146</v>
      </c>
      <c r="D310" s="447" t="s">
        <v>3446</v>
      </c>
      <c r="E310" s="149"/>
      <c r="F310" s="149"/>
    </row>
    <row r="311" spans="1:6">
      <c r="A311" s="444">
        <v>1176</v>
      </c>
      <c r="B311" s="444" t="s">
        <v>2730</v>
      </c>
      <c r="C311" s="445">
        <v>1145</v>
      </c>
      <c r="D311" s="448" t="s">
        <v>3446</v>
      </c>
      <c r="E311" s="149"/>
      <c r="F311" s="149"/>
    </row>
    <row r="312" spans="1:6">
      <c r="A312" s="442">
        <v>1175</v>
      </c>
      <c r="B312" s="442" t="s">
        <v>3665</v>
      </c>
      <c r="C312" s="443">
        <v>1143</v>
      </c>
      <c r="D312" s="447" t="s">
        <v>3446</v>
      </c>
      <c r="E312" s="149"/>
      <c r="F312" s="149"/>
    </row>
    <row r="313" spans="1:6">
      <c r="A313" s="444">
        <v>1174</v>
      </c>
      <c r="B313" s="444" t="s">
        <v>2737</v>
      </c>
      <c r="C313" s="445">
        <v>1140</v>
      </c>
      <c r="D313" s="448" t="s">
        <v>3446</v>
      </c>
      <c r="E313" s="149"/>
      <c r="F313" s="149"/>
    </row>
    <row r="314" spans="1:6">
      <c r="A314" s="442">
        <v>1173</v>
      </c>
      <c r="B314" s="442" t="s">
        <v>3666</v>
      </c>
      <c r="C314" s="443">
        <v>1144</v>
      </c>
      <c r="D314" s="447" t="s">
        <v>3446</v>
      </c>
      <c r="E314" s="149"/>
      <c r="F314" s="149"/>
    </row>
    <row r="315" spans="1:6">
      <c r="A315" s="444">
        <v>1170</v>
      </c>
      <c r="B315" s="444" t="s">
        <v>3667</v>
      </c>
      <c r="C315" s="445">
        <v>1137</v>
      </c>
      <c r="D315" s="448" t="s">
        <v>3446</v>
      </c>
      <c r="E315" s="149"/>
      <c r="F315" s="149"/>
    </row>
    <row r="316" spans="1:6">
      <c r="A316" s="442">
        <v>1169</v>
      </c>
      <c r="B316" s="442" t="s">
        <v>2729</v>
      </c>
      <c r="C316" s="443">
        <v>1136</v>
      </c>
      <c r="D316" s="447" t="s">
        <v>3446</v>
      </c>
      <c r="E316" s="149"/>
      <c r="F316" s="149"/>
    </row>
    <row r="317" spans="1:6">
      <c r="A317" s="444">
        <v>1168</v>
      </c>
      <c r="B317" s="444" t="s">
        <v>3668</v>
      </c>
      <c r="C317" s="445">
        <v>1135</v>
      </c>
      <c r="D317" s="448" t="s">
        <v>3446</v>
      </c>
      <c r="E317" s="149"/>
      <c r="F317" s="149"/>
    </row>
    <row r="318" spans="1:6">
      <c r="A318" s="442">
        <v>1167</v>
      </c>
      <c r="B318" s="442" t="s">
        <v>3669</v>
      </c>
      <c r="C318" s="443">
        <v>1141</v>
      </c>
      <c r="D318" s="447" t="s">
        <v>3446</v>
      </c>
      <c r="E318" s="149"/>
      <c r="F318" s="149"/>
    </row>
    <row r="319" spans="1:6">
      <c r="A319" s="444">
        <v>1165</v>
      </c>
      <c r="B319" s="444" t="s">
        <v>3670</v>
      </c>
      <c r="C319" s="445">
        <v>1131</v>
      </c>
      <c r="D319" s="448" t="s">
        <v>3446</v>
      </c>
      <c r="E319" s="149"/>
      <c r="F319" s="149"/>
    </row>
    <row r="320" spans="1:6">
      <c r="A320" s="442">
        <v>1164</v>
      </c>
      <c r="B320" s="442" t="s">
        <v>3671</v>
      </c>
      <c r="C320" s="443">
        <v>1132</v>
      </c>
      <c r="D320" s="447" t="s">
        <v>3446</v>
      </c>
      <c r="E320" s="149"/>
      <c r="F320" s="149"/>
    </row>
    <row r="321" spans="1:6">
      <c r="A321" s="444">
        <v>1163</v>
      </c>
      <c r="B321" s="444" t="s">
        <v>2727</v>
      </c>
      <c r="C321" s="445">
        <v>1130</v>
      </c>
      <c r="D321" s="448" t="s">
        <v>3446</v>
      </c>
      <c r="E321" s="149"/>
      <c r="F321" s="149"/>
    </row>
    <row r="322" spans="1:6">
      <c r="A322" s="442">
        <v>1162</v>
      </c>
      <c r="B322" s="442" t="s">
        <v>3672</v>
      </c>
      <c r="C322" s="443">
        <v>1129</v>
      </c>
      <c r="D322" s="447" t="s">
        <v>3446</v>
      </c>
      <c r="E322" s="149"/>
      <c r="F322" s="149"/>
    </row>
    <row r="323" spans="1:6">
      <c r="A323" s="444">
        <v>1161</v>
      </c>
      <c r="B323" s="444" t="s">
        <v>2725</v>
      </c>
      <c r="C323" s="445">
        <v>1127</v>
      </c>
      <c r="D323" s="448" t="s">
        <v>3446</v>
      </c>
      <c r="E323" s="149"/>
      <c r="F323" s="149"/>
    </row>
    <row r="324" spans="1:6">
      <c r="A324" s="442">
        <v>1160</v>
      </c>
      <c r="B324" s="442" t="s">
        <v>3673</v>
      </c>
      <c r="C324" s="443">
        <v>1128</v>
      </c>
      <c r="D324" s="447" t="s">
        <v>3446</v>
      </c>
      <c r="E324" s="149"/>
      <c r="F324" s="149"/>
    </row>
    <row r="325" spans="1:6">
      <c r="A325" s="444">
        <v>1159</v>
      </c>
      <c r="B325" s="444" t="s">
        <v>2726</v>
      </c>
      <c r="C325" s="445">
        <v>1126</v>
      </c>
      <c r="D325" s="448" t="s">
        <v>3446</v>
      </c>
      <c r="E325" s="149"/>
      <c r="F325" s="149"/>
    </row>
    <row r="326" spans="1:6">
      <c r="A326" s="442">
        <v>1158</v>
      </c>
      <c r="B326" s="442" t="s">
        <v>2724</v>
      </c>
      <c r="C326" s="443">
        <v>1125</v>
      </c>
      <c r="D326" s="447" t="s">
        <v>3446</v>
      </c>
      <c r="E326" s="149"/>
      <c r="F326" s="149"/>
    </row>
    <row r="327" spans="1:6">
      <c r="A327" s="444">
        <v>1157</v>
      </c>
      <c r="B327" s="444" t="s">
        <v>2723</v>
      </c>
      <c r="C327" s="445">
        <v>1124</v>
      </c>
      <c r="D327" s="448" t="s">
        <v>3446</v>
      </c>
      <c r="E327" s="149"/>
      <c r="F327" s="149"/>
    </row>
    <row r="328" spans="1:6">
      <c r="A328" s="442">
        <v>1156</v>
      </c>
      <c r="B328" s="442" t="s">
        <v>3674</v>
      </c>
      <c r="C328" s="443">
        <v>1123</v>
      </c>
      <c r="D328" s="447" t="s">
        <v>3446</v>
      </c>
      <c r="E328" s="149"/>
      <c r="F328" s="149"/>
    </row>
    <row r="329" spans="1:6">
      <c r="A329" s="444">
        <v>1155</v>
      </c>
      <c r="B329" s="444" t="s">
        <v>3675</v>
      </c>
      <c r="C329" s="445">
        <v>1122</v>
      </c>
      <c r="D329" s="448" t="s">
        <v>3446</v>
      </c>
      <c r="E329" s="149"/>
      <c r="F329" s="149"/>
    </row>
    <row r="330" spans="1:6">
      <c r="A330" s="442">
        <v>1154</v>
      </c>
      <c r="B330" s="442" t="s">
        <v>3676</v>
      </c>
      <c r="C330" s="443">
        <v>1121</v>
      </c>
      <c r="D330" s="447" t="s">
        <v>3446</v>
      </c>
      <c r="E330" s="149"/>
      <c r="F330" s="149"/>
    </row>
    <row r="331" spans="1:6">
      <c r="A331" s="444">
        <v>1153</v>
      </c>
      <c r="B331" s="444" t="s">
        <v>2722</v>
      </c>
      <c r="C331" s="445">
        <v>1120</v>
      </c>
      <c r="D331" s="448" t="s">
        <v>3446</v>
      </c>
      <c r="E331" s="149"/>
      <c r="F331" s="149"/>
    </row>
    <row r="332" spans="1:6">
      <c r="A332" s="442">
        <v>1152</v>
      </c>
      <c r="B332" s="442" t="s">
        <v>2721</v>
      </c>
      <c r="C332" s="443">
        <v>1119</v>
      </c>
      <c r="D332" s="447" t="s">
        <v>3446</v>
      </c>
      <c r="E332" s="149"/>
      <c r="F332" s="149"/>
    </row>
    <row r="333" spans="1:6">
      <c r="A333" s="444">
        <v>1150</v>
      </c>
      <c r="B333" s="444" t="s">
        <v>2717</v>
      </c>
      <c r="C333" s="445">
        <v>1116</v>
      </c>
      <c r="D333" s="448" t="s">
        <v>3446</v>
      </c>
      <c r="E333" s="149"/>
      <c r="F333" s="149"/>
    </row>
    <row r="334" spans="1:6">
      <c r="A334" s="442">
        <v>1148</v>
      </c>
      <c r="B334" s="442" t="s">
        <v>3031</v>
      </c>
      <c r="C334" s="443">
        <v>1114</v>
      </c>
      <c r="D334" s="447" t="s">
        <v>3446</v>
      </c>
      <c r="E334" s="149"/>
      <c r="F334" s="149"/>
    </row>
    <row r="335" spans="1:6">
      <c r="A335" s="444">
        <v>1148</v>
      </c>
      <c r="B335" s="444" t="s">
        <v>3031</v>
      </c>
      <c r="C335" s="445">
        <v>1255</v>
      </c>
      <c r="D335" s="448" t="s">
        <v>3446</v>
      </c>
      <c r="E335" s="149"/>
      <c r="F335" s="149"/>
    </row>
    <row r="336" spans="1:6">
      <c r="A336" s="442">
        <v>1147</v>
      </c>
      <c r="B336" s="442" t="s">
        <v>3677</v>
      </c>
      <c r="C336" s="443">
        <v>1113</v>
      </c>
      <c r="D336" s="447" t="s">
        <v>3446</v>
      </c>
      <c r="E336" s="149"/>
      <c r="F336" s="149"/>
    </row>
    <row r="337" spans="1:6">
      <c r="A337" s="444">
        <v>1146</v>
      </c>
      <c r="B337" s="444" t="s">
        <v>3678</v>
      </c>
      <c r="C337" s="445">
        <v>1112</v>
      </c>
      <c r="D337" s="448" t="s">
        <v>3446</v>
      </c>
      <c r="E337" s="149"/>
      <c r="F337" s="149"/>
    </row>
    <row r="338" spans="1:6" ht="23.25">
      <c r="A338" s="442">
        <v>1145</v>
      </c>
      <c r="B338" s="442" t="s">
        <v>3679</v>
      </c>
      <c r="C338" s="443">
        <v>1111</v>
      </c>
      <c r="D338" s="447" t="s">
        <v>3446</v>
      </c>
      <c r="E338" s="149"/>
      <c r="F338" s="149"/>
    </row>
    <row r="339" spans="1:6">
      <c r="A339" s="444">
        <v>1143</v>
      </c>
      <c r="B339" s="444" t="s">
        <v>3680</v>
      </c>
      <c r="C339" s="445">
        <v>1110</v>
      </c>
      <c r="D339" s="448" t="s">
        <v>3446</v>
      </c>
      <c r="E339" s="149"/>
      <c r="F339" s="149"/>
    </row>
    <row r="340" spans="1:6">
      <c r="A340" s="442">
        <v>1142</v>
      </c>
      <c r="B340" s="442" t="s">
        <v>3681</v>
      </c>
      <c r="C340" s="443">
        <v>1109</v>
      </c>
      <c r="D340" s="447" t="s">
        <v>3446</v>
      </c>
      <c r="E340" s="149"/>
      <c r="F340" s="149"/>
    </row>
    <row r="341" spans="1:6">
      <c r="A341" s="444">
        <v>1141</v>
      </c>
      <c r="B341" s="444" t="s">
        <v>3682</v>
      </c>
      <c r="C341" s="445">
        <v>1108</v>
      </c>
      <c r="D341" s="448" t="s">
        <v>3446</v>
      </c>
      <c r="E341" s="149"/>
      <c r="F341" s="149"/>
    </row>
    <row r="342" spans="1:6">
      <c r="A342" s="442">
        <v>1140</v>
      </c>
      <c r="B342" s="442" t="s">
        <v>3683</v>
      </c>
      <c r="C342" s="443">
        <v>1107</v>
      </c>
      <c r="D342" s="447" t="s">
        <v>3446</v>
      </c>
      <c r="E342" s="149"/>
      <c r="F342" s="149"/>
    </row>
    <row r="343" spans="1:6">
      <c r="A343" s="444">
        <v>1137</v>
      </c>
      <c r="B343" s="444" t="s">
        <v>3684</v>
      </c>
      <c r="C343" s="445">
        <v>1103</v>
      </c>
      <c r="D343" s="448" t="s">
        <v>3446</v>
      </c>
      <c r="E343" s="149"/>
      <c r="F343" s="149"/>
    </row>
    <row r="344" spans="1:6">
      <c r="A344" s="442">
        <v>1136</v>
      </c>
      <c r="B344" s="442" t="s">
        <v>3245</v>
      </c>
      <c r="C344" s="443">
        <v>1102</v>
      </c>
      <c r="D344" s="447" t="s">
        <v>3446</v>
      </c>
      <c r="E344" s="149"/>
      <c r="F344" s="149"/>
    </row>
    <row r="345" spans="1:6">
      <c r="A345" s="444">
        <v>1135</v>
      </c>
      <c r="B345" s="444" t="s">
        <v>3685</v>
      </c>
      <c r="C345" s="445">
        <v>1101</v>
      </c>
      <c r="D345" s="448" t="s">
        <v>3446</v>
      </c>
      <c r="E345" s="149"/>
      <c r="F345" s="149"/>
    </row>
    <row r="346" spans="1:6">
      <c r="A346" s="442">
        <v>1133</v>
      </c>
      <c r="B346" s="442" t="s">
        <v>3686</v>
      </c>
      <c r="C346" s="443">
        <v>1099</v>
      </c>
      <c r="D346" s="447" t="s">
        <v>3446</v>
      </c>
      <c r="E346" s="149"/>
      <c r="F346" s="149"/>
    </row>
    <row r="347" spans="1:6">
      <c r="A347" s="444">
        <v>1132</v>
      </c>
      <c r="B347" s="444" t="s">
        <v>3687</v>
      </c>
      <c r="C347" s="445">
        <v>1096</v>
      </c>
      <c r="D347" s="448" t="s">
        <v>3446</v>
      </c>
      <c r="E347" s="149"/>
      <c r="F347" s="149"/>
    </row>
    <row r="348" spans="1:6">
      <c r="A348" s="442">
        <v>1132</v>
      </c>
      <c r="B348" s="442" t="s">
        <v>3687</v>
      </c>
      <c r="C348" s="443">
        <v>1280</v>
      </c>
      <c r="D348" s="447" t="s">
        <v>3446</v>
      </c>
      <c r="E348" s="149"/>
      <c r="F348" s="149"/>
    </row>
    <row r="349" spans="1:6">
      <c r="A349" s="444">
        <v>1131</v>
      </c>
      <c r="B349" s="444" t="s">
        <v>3688</v>
      </c>
      <c r="C349" s="445">
        <v>1095</v>
      </c>
      <c r="D349" s="448" t="s">
        <v>3446</v>
      </c>
      <c r="E349" s="149"/>
      <c r="F349" s="149"/>
    </row>
    <row r="350" spans="1:6">
      <c r="A350" s="442">
        <v>1130</v>
      </c>
      <c r="B350" s="442" t="s">
        <v>3334</v>
      </c>
      <c r="C350" s="443">
        <v>1094</v>
      </c>
      <c r="D350" s="447" t="s">
        <v>3446</v>
      </c>
      <c r="E350" s="149"/>
      <c r="F350" s="149"/>
    </row>
    <row r="351" spans="1:6">
      <c r="A351" s="444">
        <v>1129</v>
      </c>
      <c r="B351" s="444" t="s">
        <v>3689</v>
      </c>
      <c r="C351" s="445">
        <v>1092</v>
      </c>
      <c r="D351" s="448" t="s">
        <v>3446</v>
      </c>
      <c r="E351" s="149"/>
      <c r="F351" s="149"/>
    </row>
    <row r="352" spans="1:6">
      <c r="A352" s="442">
        <v>1126</v>
      </c>
      <c r="B352" s="442" t="s">
        <v>3220</v>
      </c>
      <c r="C352" s="443">
        <v>1089</v>
      </c>
      <c r="D352" s="447" t="s">
        <v>3446</v>
      </c>
      <c r="E352" s="149"/>
      <c r="F352" s="149"/>
    </row>
    <row r="353" spans="1:6">
      <c r="A353" s="444">
        <v>1125</v>
      </c>
      <c r="B353" s="444" t="s">
        <v>3690</v>
      </c>
      <c r="C353" s="445">
        <v>1087</v>
      </c>
      <c r="D353" s="448" t="s">
        <v>3446</v>
      </c>
      <c r="E353" s="149"/>
      <c r="F353" s="149"/>
    </row>
    <row r="354" spans="1:6">
      <c r="A354" s="442">
        <v>1124</v>
      </c>
      <c r="B354" s="442" t="s">
        <v>3691</v>
      </c>
      <c r="C354" s="443">
        <v>1085</v>
      </c>
      <c r="D354" s="447" t="s">
        <v>3446</v>
      </c>
      <c r="E354" s="149"/>
      <c r="F354" s="149"/>
    </row>
    <row r="355" spans="1:6">
      <c r="A355" s="444">
        <v>1121</v>
      </c>
      <c r="B355" s="444" t="s">
        <v>3692</v>
      </c>
      <c r="C355" s="445">
        <v>1081</v>
      </c>
      <c r="D355" s="448" t="s">
        <v>3446</v>
      </c>
      <c r="E355" s="149"/>
      <c r="F355" s="149"/>
    </row>
    <row r="356" spans="1:6">
      <c r="A356" s="442">
        <v>1120</v>
      </c>
      <c r="B356" s="442" t="s">
        <v>3693</v>
      </c>
      <c r="C356" s="443">
        <v>1080</v>
      </c>
      <c r="D356" s="447" t="s">
        <v>3446</v>
      </c>
      <c r="E356" s="149"/>
      <c r="F356" s="149"/>
    </row>
    <row r="357" spans="1:6">
      <c r="A357" s="444">
        <v>1118</v>
      </c>
      <c r="B357" s="444" t="s">
        <v>3694</v>
      </c>
      <c r="C357" s="445">
        <v>1077</v>
      </c>
      <c r="D357" s="448" t="s">
        <v>3446</v>
      </c>
      <c r="E357" s="149"/>
      <c r="F357" s="149"/>
    </row>
    <row r="358" spans="1:6">
      <c r="A358" s="442">
        <v>1117</v>
      </c>
      <c r="B358" s="442" t="s">
        <v>2882</v>
      </c>
      <c r="C358" s="443">
        <v>1702</v>
      </c>
      <c r="D358" s="447" t="s">
        <v>3446</v>
      </c>
      <c r="E358" s="149"/>
      <c r="F358" s="149"/>
    </row>
    <row r="359" spans="1:6">
      <c r="A359" s="444">
        <v>1116</v>
      </c>
      <c r="B359" s="444" t="s">
        <v>3695</v>
      </c>
      <c r="C359" s="445">
        <v>1075</v>
      </c>
      <c r="D359" s="448" t="s">
        <v>3446</v>
      </c>
      <c r="E359" s="149"/>
      <c r="F359" s="149"/>
    </row>
    <row r="360" spans="1:6">
      <c r="A360" s="442">
        <v>1115</v>
      </c>
      <c r="B360" s="442" t="s">
        <v>3696</v>
      </c>
      <c r="C360" s="443">
        <v>1078</v>
      </c>
      <c r="D360" s="447" t="s">
        <v>3446</v>
      </c>
      <c r="E360" s="149"/>
      <c r="F360" s="149"/>
    </row>
    <row r="361" spans="1:6">
      <c r="A361" s="444">
        <v>1114</v>
      </c>
      <c r="B361" s="444" t="s">
        <v>3697</v>
      </c>
      <c r="C361" s="445">
        <v>1074</v>
      </c>
      <c r="D361" s="448" t="s">
        <v>3446</v>
      </c>
      <c r="E361" s="149"/>
      <c r="F361" s="149"/>
    </row>
    <row r="362" spans="1:6">
      <c r="A362" s="442">
        <v>1112</v>
      </c>
      <c r="B362" s="442" t="s">
        <v>3698</v>
      </c>
      <c r="C362" s="443">
        <v>1072</v>
      </c>
      <c r="D362" s="447" t="s">
        <v>3446</v>
      </c>
      <c r="E362" s="149"/>
      <c r="F362" s="149"/>
    </row>
    <row r="363" spans="1:6">
      <c r="A363" s="444">
        <v>1111</v>
      </c>
      <c r="B363" s="444" t="s">
        <v>3699</v>
      </c>
      <c r="C363" s="445">
        <v>1071</v>
      </c>
      <c r="D363" s="448" t="s">
        <v>3446</v>
      </c>
      <c r="E363" s="149"/>
      <c r="F363" s="149"/>
    </row>
    <row r="364" spans="1:6">
      <c r="A364" s="442">
        <v>1110</v>
      </c>
      <c r="B364" s="442" t="s">
        <v>3062</v>
      </c>
      <c r="C364" s="443">
        <v>1070</v>
      </c>
      <c r="D364" s="447" t="s">
        <v>3446</v>
      </c>
      <c r="E364" s="149"/>
      <c r="F364" s="149"/>
    </row>
    <row r="365" spans="1:6">
      <c r="A365" s="444">
        <v>1109</v>
      </c>
      <c r="B365" s="444" t="s">
        <v>3700</v>
      </c>
      <c r="C365" s="445">
        <v>1068</v>
      </c>
      <c r="D365" s="448" t="s">
        <v>3446</v>
      </c>
      <c r="E365" s="149"/>
      <c r="F365" s="149"/>
    </row>
    <row r="366" spans="1:6">
      <c r="A366" s="442">
        <v>1108</v>
      </c>
      <c r="B366" s="442" t="s">
        <v>3701</v>
      </c>
      <c r="C366" s="443">
        <v>1067</v>
      </c>
      <c r="D366" s="447" t="s">
        <v>3446</v>
      </c>
      <c r="E366" s="149"/>
      <c r="F366" s="149"/>
    </row>
    <row r="367" spans="1:6">
      <c r="A367" s="444">
        <v>1107</v>
      </c>
      <c r="B367" s="444" t="s">
        <v>3702</v>
      </c>
      <c r="C367" s="445">
        <v>1065</v>
      </c>
      <c r="D367" s="448" t="s">
        <v>3446</v>
      </c>
      <c r="E367" s="149"/>
      <c r="F367" s="149"/>
    </row>
    <row r="368" spans="1:6">
      <c r="A368" s="442">
        <v>1105</v>
      </c>
      <c r="B368" s="442" t="s">
        <v>3703</v>
      </c>
      <c r="C368" s="443">
        <v>1063</v>
      </c>
      <c r="D368" s="447" t="s">
        <v>3446</v>
      </c>
      <c r="E368" s="149"/>
      <c r="F368" s="149"/>
    </row>
    <row r="369" spans="1:6">
      <c r="A369" s="444">
        <v>1104</v>
      </c>
      <c r="B369" s="444" t="s">
        <v>3704</v>
      </c>
      <c r="C369" s="445">
        <v>1064</v>
      </c>
      <c r="D369" s="448" t="s">
        <v>3446</v>
      </c>
      <c r="E369" s="149"/>
      <c r="F369" s="149"/>
    </row>
    <row r="370" spans="1:6">
      <c r="A370" s="442">
        <v>1103</v>
      </c>
      <c r="B370" s="442" t="s">
        <v>3705</v>
      </c>
      <c r="C370" s="443">
        <v>1062</v>
      </c>
      <c r="D370" s="447" t="s">
        <v>3446</v>
      </c>
      <c r="E370" s="149"/>
      <c r="F370" s="149"/>
    </row>
    <row r="371" spans="1:6">
      <c r="A371" s="444">
        <v>1102</v>
      </c>
      <c r="B371" s="444" t="s">
        <v>3706</v>
      </c>
      <c r="C371" s="445">
        <v>1061</v>
      </c>
      <c r="D371" s="448" t="s">
        <v>3446</v>
      </c>
      <c r="E371" s="149"/>
      <c r="F371" s="149"/>
    </row>
    <row r="372" spans="1:6">
      <c r="A372" s="442">
        <v>1101</v>
      </c>
      <c r="B372" s="442" t="s">
        <v>3707</v>
      </c>
      <c r="C372" s="443">
        <v>1059</v>
      </c>
      <c r="D372" s="447" t="s">
        <v>3446</v>
      </c>
      <c r="E372" s="149"/>
      <c r="F372" s="149"/>
    </row>
    <row r="373" spans="1:6">
      <c r="A373" s="444">
        <v>1099</v>
      </c>
      <c r="B373" s="444" t="s">
        <v>3708</v>
      </c>
      <c r="C373" s="445">
        <v>1056</v>
      </c>
      <c r="D373" s="448" t="s">
        <v>3446</v>
      </c>
      <c r="E373" s="149"/>
      <c r="F373" s="149"/>
    </row>
    <row r="374" spans="1:6">
      <c r="A374" s="442">
        <v>1098</v>
      </c>
      <c r="B374" s="442" t="s">
        <v>3709</v>
      </c>
      <c r="C374" s="443">
        <v>1054</v>
      </c>
      <c r="D374" s="447" t="s">
        <v>3446</v>
      </c>
      <c r="E374" s="149"/>
      <c r="F374" s="149"/>
    </row>
    <row r="375" spans="1:6">
      <c r="A375" s="444">
        <v>1097</v>
      </c>
      <c r="B375" s="444" t="s">
        <v>3710</v>
      </c>
      <c r="C375" s="445">
        <v>1052</v>
      </c>
      <c r="D375" s="448" t="s">
        <v>3446</v>
      </c>
      <c r="E375" s="149"/>
      <c r="F375" s="149"/>
    </row>
    <row r="376" spans="1:6">
      <c r="A376" s="442">
        <v>1096</v>
      </c>
      <c r="B376" s="442" t="s">
        <v>3318</v>
      </c>
      <c r="C376" s="443">
        <v>1055</v>
      </c>
      <c r="D376" s="447" t="s">
        <v>3446</v>
      </c>
      <c r="E376" s="149"/>
      <c r="F376" s="149"/>
    </row>
    <row r="377" spans="1:6">
      <c r="A377" s="444">
        <v>1094</v>
      </c>
      <c r="B377" s="444" t="s">
        <v>3711</v>
      </c>
      <c r="C377" s="445">
        <v>1060</v>
      </c>
      <c r="D377" s="448" t="s">
        <v>3446</v>
      </c>
      <c r="E377" s="149"/>
      <c r="F377" s="149"/>
    </row>
    <row r="378" spans="1:6">
      <c r="A378" s="442">
        <v>1093</v>
      </c>
      <c r="B378" s="442" t="s">
        <v>3712</v>
      </c>
      <c r="C378" s="443">
        <v>1050</v>
      </c>
      <c r="D378" s="447" t="s">
        <v>3446</v>
      </c>
      <c r="E378" s="149"/>
      <c r="F378" s="149"/>
    </row>
    <row r="379" spans="1:6">
      <c r="A379" s="444">
        <v>1090</v>
      </c>
      <c r="B379" s="444" t="s">
        <v>3713</v>
      </c>
      <c r="C379" s="445">
        <v>1047</v>
      </c>
      <c r="D379" s="448" t="s">
        <v>3446</v>
      </c>
      <c r="E379" s="149"/>
      <c r="F379" s="149"/>
    </row>
    <row r="380" spans="1:6">
      <c r="A380" s="442">
        <v>1089</v>
      </c>
      <c r="B380" s="442" t="s">
        <v>3714</v>
      </c>
      <c r="C380" s="443">
        <v>1046</v>
      </c>
      <c r="D380" s="447" t="s">
        <v>3446</v>
      </c>
      <c r="E380" s="149"/>
      <c r="F380" s="149"/>
    </row>
    <row r="381" spans="1:6">
      <c r="A381" s="444">
        <v>1088</v>
      </c>
      <c r="B381" s="444" t="s">
        <v>3715</v>
      </c>
      <c r="C381" s="445">
        <v>1045</v>
      </c>
      <c r="D381" s="448" t="s">
        <v>3446</v>
      </c>
      <c r="E381" s="149"/>
      <c r="F381" s="149"/>
    </row>
    <row r="382" spans="1:6">
      <c r="A382" s="442">
        <v>1087</v>
      </c>
      <c r="B382" s="442" t="s">
        <v>3716</v>
      </c>
      <c r="C382" s="443">
        <v>1051</v>
      </c>
      <c r="D382" s="447" t="s">
        <v>3446</v>
      </c>
      <c r="E382" s="149"/>
      <c r="F382" s="149"/>
    </row>
    <row r="383" spans="1:6">
      <c r="A383" s="444">
        <v>1086</v>
      </c>
      <c r="B383" s="444" t="s">
        <v>3717</v>
      </c>
      <c r="C383" s="445">
        <v>1197</v>
      </c>
      <c r="D383" s="448" t="s">
        <v>3446</v>
      </c>
      <c r="E383" s="149"/>
      <c r="F383" s="149"/>
    </row>
    <row r="384" spans="1:6">
      <c r="A384" s="442">
        <v>1084</v>
      </c>
      <c r="B384" s="442" t="s">
        <v>3718</v>
      </c>
      <c r="C384" s="443">
        <v>1043</v>
      </c>
      <c r="D384" s="447" t="s">
        <v>3446</v>
      </c>
      <c r="E384" s="149"/>
      <c r="F384" s="149"/>
    </row>
    <row r="385" spans="1:6">
      <c r="A385" s="444">
        <v>1081</v>
      </c>
      <c r="B385" s="444" t="s">
        <v>3719</v>
      </c>
      <c r="C385" s="445">
        <v>1041</v>
      </c>
      <c r="D385" s="448" t="s">
        <v>3446</v>
      </c>
      <c r="E385" s="149"/>
      <c r="F385" s="149"/>
    </row>
    <row r="386" spans="1:6">
      <c r="A386" s="442">
        <v>1080</v>
      </c>
      <c r="B386" s="442" t="s">
        <v>3720</v>
      </c>
      <c r="C386" s="443">
        <v>1040</v>
      </c>
      <c r="D386" s="447" t="s">
        <v>3446</v>
      </c>
      <c r="E386" s="149"/>
      <c r="F386" s="149"/>
    </row>
    <row r="387" spans="1:6">
      <c r="A387" s="444">
        <v>1079</v>
      </c>
      <c r="B387" s="444" t="s">
        <v>3721</v>
      </c>
      <c r="C387" s="445">
        <v>1039</v>
      </c>
      <c r="D387" s="448" t="s">
        <v>3446</v>
      </c>
      <c r="E387" s="149"/>
      <c r="F387" s="149"/>
    </row>
    <row r="388" spans="1:6">
      <c r="A388" s="442">
        <v>1078</v>
      </c>
      <c r="B388" s="442" t="s">
        <v>3722</v>
      </c>
      <c r="C388" s="443">
        <v>1037</v>
      </c>
      <c r="D388" s="447" t="s">
        <v>3446</v>
      </c>
      <c r="E388" s="149"/>
      <c r="F388" s="149"/>
    </row>
    <row r="389" spans="1:6">
      <c r="A389" s="444">
        <v>1077</v>
      </c>
      <c r="B389" s="444" t="s">
        <v>3723</v>
      </c>
      <c r="C389" s="445">
        <v>1035</v>
      </c>
      <c r="D389" s="448" t="s">
        <v>3446</v>
      </c>
      <c r="E389" s="149"/>
      <c r="F389" s="149"/>
    </row>
    <row r="390" spans="1:6">
      <c r="A390" s="442">
        <v>1075</v>
      </c>
      <c r="B390" s="442" t="s">
        <v>3724</v>
      </c>
      <c r="C390" s="443">
        <v>1033</v>
      </c>
      <c r="D390" s="447" t="s">
        <v>3446</v>
      </c>
      <c r="E390" s="149"/>
      <c r="F390" s="149"/>
    </row>
    <row r="391" spans="1:6">
      <c r="A391" s="444">
        <v>1074</v>
      </c>
      <c r="B391" s="444" t="s">
        <v>3725</v>
      </c>
      <c r="C391" s="445">
        <v>1034</v>
      </c>
      <c r="D391" s="448" t="s">
        <v>3446</v>
      </c>
      <c r="E391" s="149"/>
      <c r="F391" s="149"/>
    </row>
    <row r="392" spans="1:6">
      <c r="A392" s="442">
        <v>1073</v>
      </c>
      <c r="B392" s="442" t="s">
        <v>3726</v>
      </c>
      <c r="C392" s="443">
        <v>1032</v>
      </c>
      <c r="D392" s="447" t="s">
        <v>3446</v>
      </c>
      <c r="E392" s="149"/>
      <c r="F392" s="149"/>
    </row>
    <row r="393" spans="1:6">
      <c r="A393" s="444">
        <v>1072</v>
      </c>
      <c r="B393" s="444" t="s">
        <v>3727</v>
      </c>
      <c r="C393" s="445">
        <v>1031</v>
      </c>
      <c r="D393" s="448" t="s">
        <v>3446</v>
      </c>
      <c r="E393" s="149"/>
      <c r="F393" s="149"/>
    </row>
    <row r="394" spans="1:6">
      <c r="A394" s="442">
        <v>1071</v>
      </c>
      <c r="B394" s="442" t="s">
        <v>3728</v>
      </c>
      <c r="C394" s="443">
        <v>1029</v>
      </c>
      <c r="D394" s="447" t="s">
        <v>3446</v>
      </c>
      <c r="E394" s="149"/>
      <c r="F394" s="149"/>
    </row>
    <row r="395" spans="1:6">
      <c r="A395" s="444">
        <v>1070</v>
      </c>
      <c r="B395" s="444" t="s">
        <v>3729</v>
      </c>
      <c r="C395" s="445">
        <v>1028</v>
      </c>
      <c r="D395" s="448" t="s">
        <v>3446</v>
      </c>
      <c r="E395" s="149"/>
      <c r="F395" s="149"/>
    </row>
    <row r="396" spans="1:6">
      <c r="A396" s="442">
        <v>1069</v>
      </c>
      <c r="B396" s="442" t="s">
        <v>3730</v>
      </c>
      <c r="C396" s="443">
        <v>1027</v>
      </c>
      <c r="D396" s="447" t="s">
        <v>3446</v>
      </c>
      <c r="E396" s="149"/>
      <c r="F396" s="149"/>
    </row>
    <row r="397" spans="1:6">
      <c r="A397" s="444">
        <v>1068</v>
      </c>
      <c r="B397" s="444" t="s">
        <v>3731</v>
      </c>
      <c r="C397" s="445">
        <v>1026</v>
      </c>
      <c r="D397" s="448" t="s">
        <v>3446</v>
      </c>
      <c r="E397" s="149"/>
      <c r="F397" s="149"/>
    </row>
    <row r="398" spans="1:6">
      <c r="A398" s="442">
        <v>1067</v>
      </c>
      <c r="B398" s="442" t="s">
        <v>3732</v>
      </c>
      <c r="C398" s="443">
        <v>1030</v>
      </c>
      <c r="D398" s="447" t="s">
        <v>3446</v>
      </c>
      <c r="E398" s="149"/>
      <c r="F398" s="149"/>
    </row>
    <row r="399" spans="1:6">
      <c r="A399" s="444">
        <v>1066</v>
      </c>
      <c r="B399" s="444" t="s">
        <v>3733</v>
      </c>
      <c r="C399" s="445">
        <v>1024</v>
      </c>
      <c r="D399" s="448" t="s">
        <v>3446</v>
      </c>
      <c r="E399" s="149"/>
      <c r="F399" s="149"/>
    </row>
    <row r="400" spans="1:6">
      <c r="A400" s="442">
        <v>1062</v>
      </c>
      <c r="B400" s="442" t="s">
        <v>3734</v>
      </c>
      <c r="C400" s="443">
        <v>1020</v>
      </c>
      <c r="D400" s="447" t="s">
        <v>3446</v>
      </c>
      <c r="E400" s="149"/>
      <c r="F400" s="149"/>
    </row>
    <row r="401" spans="1:6">
      <c r="A401" s="444">
        <v>1061</v>
      </c>
      <c r="B401" s="444" t="s">
        <v>3735</v>
      </c>
      <c r="C401" s="445">
        <v>1019</v>
      </c>
      <c r="D401" s="448" t="s">
        <v>3446</v>
      </c>
      <c r="E401" s="149"/>
      <c r="F401" s="149"/>
    </row>
    <row r="402" spans="1:6">
      <c r="A402" s="442">
        <v>1059</v>
      </c>
      <c r="B402" s="442" t="s">
        <v>3736</v>
      </c>
      <c r="C402" s="443">
        <v>1017</v>
      </c>
      <c r="D402" s="447" t="s">
        <v>3446</v>
      </c>
      <c r="E402" s="149"/>
      <c r="F402" s="149"/>
    </row>
    <row r="403" spans="1:6">
      <c r="A403" s="444">
        <v>1058</v>
      </c>
      <c r="B403" s="444" t="s">
        <v>3737</v>
      </c>
      <c r="C403" s="445">
        <v>1016</v>
      </c>
      <c r="D403" s="448" t="s">
        <v>3446</v>
      </c>
      <c r="E403" s="149"/>
      <c r="F403" s="149"/>
    </row>
    <row r="404" spans="1:6">
      <c r="A404" s="442">
        <v>1056</v>
      </c>
      <c r="B404" s="442" t="s">
        <v>3738</v>
      </c>
      <c r="C404" s="443">
        <v>1025</v>
      </c>
      <c r="D404" s="447" t="s">
        <v>3446</v>
      </c>
      <c r="E404" s="149"/>
      <c r="F404" s="149"/>
    </row>
    <row r="405" spans="1:6">
      <c r="A405" s="444">
        <v>1055</v>
      </c>
      <c r="B405" s="444" t="s">
        <v>3739</v>
      </c>
      <c r="C405" s="445">
        <v>1014</v>
      </c>
      <c r="D405" s="448" t="s">
        <v>3446</v>
      </c>
      <c r="E405" s="149"/>
      <c r="F405" s="149"/>
    </row>
    <row r="406" spans="1:6">
      <c r="A406" s="442">
        <v>1054</v>
      </c>
      <c r="B406" s="442" t="s">
        <v>3740</v>
      </c>
      <c r="C406" s="443">
        <v>1013</v>
      </c>
      <c r="D406" s="447" t="s">
        <v>3446</v>
      </c>
      <c r="E406" s="149"/>
      <c r="F406" s="149"/>
    </row>
    <row r="407" spans="1:6">
      <c r="A407" s="444">
        <v>1053</v>
      </c>
      <c r="B407" s="444" t="s">
        <v>3741</v>
      </c>
      <c r="C407" s="445">
        <v>1011</v>
      </c>
      <c r="D407" s="448" t="s">
        <v>3446</v>
      </c>
      <c r="E407" s="149"/>
      <c r="F407" s="149"/>
    </row>
    <row r="408" spans="1:6">
      <c r="A408" s="442">
        <v>1052</v>
      </c>
      <c r="B408" s="442" t="s">
        <v>3742</v>
      </c>
      <c r="C408" s="443">
        <v>1010</v>
      </c>
      <c r="D408" s="447" t="s">
        <v>3446</v>
      </c>
      <c r="E408" s="149"/>
      <c r="F408" s="149"/>
    </row>
    <row r="409" spans="1:6">
      <c r="A409" s="444">
        <v>1050</v>
      </c>
      <c r="B409" s="444" t="s">
        <v>3743</v>
      </c>
      <c r="C409" s="445">
        <v>1012</v>
      </c>
      <c r="D409" s="448" t="s">
        <v>3446</v>
      </c>
      <c r="E409" s="149"/>
      <c r="F409" s="149"/>
    </row>
    <row r="410" spans="1:6">
      <c r="A410" s="442">
        <v>1049</v>
      </c>
      <c r="B410" s="442" t="s">
        <v>3744</v>
      </c>
      <c r="C410" s="443">
        <v>1005</v>
      </c>
      <c r="D410" s="447" t="s">
        <v>3446</v>
      </c>
      <c r="E410" s="149"/>
      <c r="F410" s="149"/>
    </row>
    <row r="411" spans="1:6">
      <c r="A411" s="444">
        <v>1047</v>
      </c>
      <c r="B411" s="444" t="s">
        <v>3745</v>
      </c>
      <c r="C411" s="445">
        <v>1002</v>
      </c>
      <c r="D411" s="448" t="s">
        <v>3446</v>
      </c>
      <c r="E411" s="149"/>
      <c r="F411" s="149"/>
    </row>
    <row r="412" spans="1:6">
      <c r="A412" s="442">
        <v>1046</v>
      </c>
      <c r="B412" s="442" t="s">
        <v>3746</v>
      </c>
      <c r="C412" s="443">
        <v>999</v>
      </c>
      <c r="D412" s="447" t="s">
        <v>3446</v>
      </c>
      <c r="E412" s="149"/>
      <c r="F412" s="149"/>
    </row>
    <row r="413" spans="1:6">
      <c r="A413" s="444">
        <v>1044</v>
      </c>
      <c r="B413" s="444" t="s">
        <v>3747</v>
      </c>
      <c r="C413" s="445">
        <v>1006</v>
      </c>
      <c r="D413" s="448" t="s">
        <v>3446</v>
      </c>
      <c r="E413" s="149"/>
      <c r="F413" s="149"/>
    </row>
    <row r="414" spans="1:6">
      <c r="A414" s="442">
        <v>1042</v>
      </c>
      <c r="B414" s="442" t="s">
        <v>3748</v>
      </c>
      <c r="C414" s="443">
        <v>1004</v>
      </c>
      <c r="D414" s="447" t="s">
        <v>3446</v>
      </c>
      <c r="E414" s="149"/>
      <c r="F414" s="149"/>
    </row>
    <row r="415" spans="1:6">
      <c r="A415" s="444">
        <v>1041</v>
      </c>
      <c r="B415" s="444" t="s">
        <v>3749</v>
      </c>
      <c r="C415" s="445">
        <v>997</v>
      </c>
      <c r="D415" s="448" t="s">
        <v>3446</v>
      </c>
      <c r="E415" s="149"/>
      <c r="F415" s="149"/>
    </row>
    <row r="416" spans="1:6">
      <c r="A416" s="442">
        <v>1040</v>
      </c>
      <c r="B416" s="442" t="s">
        <v>3750</v>
      </c>
      <c r="C416" s="443">
        <v>1879</v>
      </c>
      <c r="D416" s="447" t="s">
        <v>3446</v>
      </c>
      <c r="E416" s="149"/>
      <c r="F416" s="149"/>
    </row>
    <row r="417" spans="1:6">
      <c r="A417" s="444">
        <v>1039</v>
      </c>
      <c r="B417" s="444" t="s">
        <v>3751</v>
      </c>
      <c r="C417" s="445">
        <v>995</v>
      </c>
      <c r="D417" s="448" t="s">
        <v>3446</v>
      </c>
      <c r="E417" s="149"/>
      <c r="F417" s="149"/>
    </row>
    <row r="418" spans="1:6">
      <c r="A418" s="442">
        <v>1038</v>
      </c>
      <c r="B418" s="442" t="s">
        <v>3752</v>
      </c>
      <c r="C418" s="443">
        <v>994</v>
      </c>
      <c r="D418" s="447" t="s">
        <v>3446</v>
      </c>
      <c r="E418" s="149"/>
      <c r="F418" s="149"/>
    </row>
    <row r="419" spans="1:6">
      <c r="A419" s="444">
        <v>1037</v>
      </c>
      <c r="B419" s="444" t="s">
        <v>3753</v>
      </c>
      <c r="C419" s="445">
        <v>992</v>
      </c>
      <c r="D419" s="448" t="s">
        <v>3446</v>
      </c>
      <c r="E419" s="149"/>
      <c r="F419" s="149"/>
    </row>
    <row r="420" spans="1:6">
      <c r="A420" s="442">
        <v>1036</v>
      </c>
      <c r="B420" s="442" t="s">
        <v>3754</v>
      </c>
      <c r="C420" s="443">
        <v>998</v>
      </c>
      <c r="D420" s="447" t="s">
        <v>3446</v>
      </c>
      <c r="E420" s="149"/>
      <c r="F420" s="149"/>
    </row>
    <row r="421" spans="1:6">
      <c r="A421" s="444">
        <v>1032</v>
      </c>
      <c r="B421" s="444" t="s">
        <v>3755</v>
      </c>
      <c r="C421" s="445">
        <v>988</v>
      </c>
      <c r="D421" s="448" t="s">
        <v>3446</v>
      </c>
      <c r="E421" s="149"/>
      <c r="F421" s="149"/>
    </row>
    <row r="422" spans="1:6">
      <c r="A422" s="442">
        <v>1031</v>
      </c>
      <c r="B422" s="442" t="s">
        <v>3756</v>
      </c>
      <c r="C422" s="443">
        <v>986</v>
      </c>
      <c r="D422" s="447" t="s">
        <v>3446</v>
      </c>
      <c r="E422" s="149"/>
      <c r="F422" s="149"/>
    </row>
    <row r="423" spans="1:6">
      <c r="A423" s="444">
        <v>1028</v>
      </c>
      <c r="B423" s="444" t="s">
        <v>3757</v>
      </c>
      <c r="C423" s="445">
        <v>987</v>
      </c>
      <c r="D423" s="448" t="s">
        <v>3446</v>
      </c>
      <c r="E423" s="149"/>
      <c r="F423" s="149"/>
    </row>
    <row r="424" spans="1:6">
      <c r="A424" s="442">
        <v>1025</v>
      </c>
      <c r="B424" s="442" t="s">
        <v>3758</v>
      </c>
      <c r="C424" s="443">
        <v>981</v>
      </c>
      <c r="D424" s="447" t="s">
        <v>3446</v>
      </c>
      <c r="E424" s="149"/>
      <c r="F424" s="149"/>
    </row>
    <row r="425" spans="1:6">
      <c r="A425" s="444">
        <v>1024</v>
      </c>
      <c r="B425" s="444" t="s">
        <v>3759</v>
      </c>
      <c r="C425" s="445">
        <v>979</v>
      </c>
      <c r="D425" s="448" t="s">
        <v>3446</v>
      </c>
      <c r="E425" s="149"/>
      <c r="F425" s="149"/>
    </row>
    <row r="426" spans="1:6">
      <c r="A426" s="442">
        <v>1023</v>
      </c>
      <c r="B426" s="442" t="s">
        <v>3760</v>
      </c>
      <c r="C426" s="443">
        <v>978</v>
      </c>
      <c r="D426" s="447" t="s">
        <v>3446</v>
      </c>
      <c r="E426" s="149"/>
      <c r="F426" s="149"/>
    </row>
    <row r="427" spans="1:6">
      <c r="A427" s="444">
        <v>1021</v>
      </c>
      <c r="B427" s="444" t="s">
        <v>3761</v>
      </c>
      <c r="C427" s="445">
        <v>977</v>
      </c>
      <c r="D427" s="448" t="s">
        <v>3446</v>
      </c>
      <c r="E427" s="149"/>
      <c r="F427" s="149"/>
    </row>
    <row r="428" spans="1:6">
      <c r="A428" s="442">
        <v>1020</v>
      </c>
      <c r="B428" s="442" t="s">
        <v>3762</v>
      </c>
      <c r="C428" s="443">
        <v>976</v>
      </c>
      <c r="D428" s="447" t="s">
        <v>3446</v>
      </c>
      <c r="E428" s="149"/>
      <c r="F428" s="149"/>
    </row>
    <row r="429" spans="1:6">
      <c r="A429" s="444">
        <v>1018</v>
      </c>
      <c r="B429" s="444" t="s">
        <v>2925</v>
      </c>
      <c r="C429" s="445">
        <v>1188</v>
      </c>
      <c r="D429" s="448" t="s">
        <v>3446</v>
      </c>
      <c r="E429" s="149"/>
      <c r="F429" s="149"/>
    </row>
    <row r="430" spans="1:6">
      <c r="A430" s="442">
        <v>1018</v>
      </c>
      <c r="B430" s="442" t="s">
        <v>2925</v>
      </c>
      <c r="C430" s="443">
        <v>972</v>
      </c>
      <c r="D430" s="447" t="s">
        <v>3446</v>
      </c>
      <c r="E430" s="149"/>
      <c r="F430" s="149"/>
    </row>
    <row r="431" spans="1:6">
      <c r="A431" s="444">
        <v>1016</v>
      </c>
      <c r="B431" s="444" t="s">
        <v>3057</v>
      </c>
      <c r="C431" s="445">
        <v>971</v>
      </c>
      <c r="D431" s="448" t="s">
        <v>3446</v>
      </c>
      <c r="E431" s="149"/>
      <c r="F431" s="149"/>
    </row>
    <row r="432" spans="1:6">
      <c r="A432" s="442">
        <v>1014</v>
      </c>
      <c r="B432" s="442" t="s">
        <v>3763</v>
      </c>
      <c r="C432" s="443">
        <v>969</v>
      </c>
      <c r="D432" s="447" t="s">
        <v>3446</v>
      </c>
      <c r="E432" s="149"/>
      <c r="F432" s="149"/>
    </row>
    <row r="433" spans="1:6">
      <c r="A433" s="444">
        <v>1013</v>
      </c>
      <c r="B433" s="444" t="s">
        <v>3764</v>
      </c>
      <c r="C433" s="445">
        <v>968</v>
      </c>
      <c r="D433" s="448" t="s">
        <v>3446</v>
      </c>
      <c r="E433" s="149"/>
      <c r="F433" s="149"/>
    </row>
    <row r="434" spans="1:6" ht="23.25">
      <c r="A434" s="442">
        <v>1010</v>
      </c>
      <c r="B434" s="442" t="s">
        <v>3765</v>
      </c>
      <c r="C434" s="443">
        <v>964</v>
      </c>
      <c r="D434" s="447" t="s">
        <v>3446</v>
      </c>
      <c r="E434" s="149"/>
      <c r="F434" s="149"/>
    </row>
    <row r="435" spans="1:6">
      <c r="A435" s="444">
        <v>1008</v>
      </c>
      <c r="B435" s="444" t="s">
        <v>3766</v>
      </c>
      <c r="C435" s="445">
        <v>962</v>
      </c>
      <c r="D435" s="448" t="s">
        <v>3446</v>
      </c>
      <c r="E435" s="149"/>
      <c r="F435" s="149"/>
    </row>
    <row r="436" spans="1:6">
      <c r="A436" s="442">
        <v>1007</v>
      </c>
      <c r="B436" s="442" t="s">
        <v>3767</v>
      </c>
      <c r="C436" s="443">
        <v>961</v>
      </c>
      <c r="D436" s="447" t="s">
        <v>3446</v>
      </c>
      <c r="E436" s="149"/>
      <c r="F436" s="149"/>
    </row>
    <row r="437" spans="1:6">
      <c r="A437" s="444">
        <v>1006</v>
      </c>
      <c r="B437" s="444" t="s">
        <v>3768</v>
      </c>
      <c r="C437" s="445">
        <v>959</v>
      </c>
      <c r="D437" s="448" t="s">
        <v>3446</v>
      </c>
      <c r="E437" s="149"/>
      <c r="F437" s="149"/>
    </row>
    <row r="438" spans="1:6">
      <c r="A438" s="442">
        <v>1005</v>
      </c>
      <c r="B438" s="442" t="s">
        <v>3769</v>
      </c>
      <c r="C438" s="443">
        <v>958</v>
      </c>
      <c r="D438" s="447" t="s">
        <v>3446</v>
      </c>
      <c r="E438" s="149"/>
      <c r="F438" s="149"/>
    </row>
    <row r="439" spans="1:6">
      <c r="A439" s="444">
        <v>1004</v>
      </c>
      <c r="B439" s="444" t="s">
        <v>3770</v>
      </c>
      <c r="C439" s="445">
        <v>957</v>
      </c>
      <c r="D439" s="448" t="s">
        <v>3446</v>
      </c>
      <c r="E439" s="149"/>
      <c r="F439" s="149"/>
    </row>
    <row r="440" spans="1:6">
      <c r="A440" s="442">
        <v>1003</v>
      </c>
      <c r="B440" s="442" t="s">
        <v>3771</v>
      </c>
      <c r="C440" s="443">
        <v>956</v>
      </c>
      <c r="D440" s="447" t="s">
        <v>3446</v>
      </c>
      <c r="E440" s="149"/>
      <c r="F440" s="149"/>
    </row>
    <row r="441" spans="1:6">
      <c r="A441" s="444">
        <v>1001</v>
      </c>
      <c r="B441" s="444" t="s">
        <v>3772</v>
      </c>
      <c r="C441" s="445">
        <v>954</v>
      </c>
      <c r="D441" s="448" t="s">
        <v>3446</v>
      </c>
      <c r="E441" s="149"/>
      <c r="F441" s="149"/>
    </row>
    <row r="442" spans="1:6">
      <c r="A442" s="442">
        <v>1000</v>
      </c>
      <c r="B442" s="442" t="s">
        <v>3773</v>
      </c>
      <c r="C442" s="443">
        <v>953</v>
      </c>
      <c r="D442" s="447" t="s">
        <v>3446</v>
      </c>
      <c r="E442" s="149"/>
      <c r="F442" s="149"/>
    </row>
    <row r="443" spans="1:6">
      <c r="A443" s="444">
        <v>1000</v>
      </c>
      <c r="B443" s="444" t="s">
        <v>3773</v>
      </c>
      <c r="C443" s="445">
        <v>1901</v>
      </c>
      <c r="D443" s="448" t="s">
        <v>3446</v>
      </c>
      <c r="E443" s="149"/>
      <c r="F443" s="149"/>
    </row>
    <row r="444" spans="1:6">
      <c r="A444" s="442">
        <v>999</v>
      </c>
      <c r="B444" s="442" t="s">
        <v>3774</v>
      </c>
      <c r="C444" s="443">
        <v>952</v>
      </c>
      <c r="D444" s="447" t="s">
        <v>3446</v>
      </c>
      <c r="E444" s="149"/>
      <c r="F444" s="149"/>
    </row>
    <row r="445" spans="1:6">
      <c r="A445" s="444">
        <v>998</v>
      </c>
      <c r="B445" s="444" t="s">
        <v>3775</v>
      </c>
      <c r="C445" s="445">
        <v>951</v>
      </c>
      <c r="D445" s="448" t="s">
        <v>3446</v>
      </c>
      <c r="E445" s="149"/>
      <c r="F445" s="149"/>
    </row>
    <row r="446" spans="1:6" ht="23.25">
      <c r="A446" s="442">
        <v>997</v>
      </c>
      <c r="B446" s="442" t="s">
        <v>3776</v>
      </c>
      <c r="C446" s="443">
        <v>950</v>
      </c>
      <c r="D446" s="447" t="s">
        <v>3446</v>
      </c>
      <c r="E446" s="149"/>
      <c r="F446" s="149"/>
    </row>
    <row r="447" spans="1:6">
      <c r="A447" s="444">
        <v>996</v>
      </c>
      <c r="B447" s="444" t="s">
        <v>2936</v>
      </c>
      <c r="C447" s="445">
        <v>949</v>
      </c>
      <c r="D447" s="448" t="s">
        <v>3446</v>
      </c>
      <c r="E447" s="149"/>
      <c r="F447" s="149"/>
    </row>
    <row r="448" spans="1:6">
      <c r="A448" s="442">
        <v>995</v>
      </c>
      <c r="B448" s="442" t="s">
        <v>3777</v>
      </c>
      <c r="C448" s="443">
        <v>948</v>
      </c>
      <c r="D448" s="447" t="s">
        <v>3446</v>
      </c>
      <c r="E448" s="149"/>
      <c r="F448" s="149"/>
    </row>
    <row r="449" spans="1:6">
      <c r="A449" s="444">
        <v>993</v>
      </c>
      <c r="B449" s="444" t="s">
        <v>3778</v>
      </c>
      <c r="C449" s="445">
        <v>946</v>
      </c>
      <c r="D449" s="448" t="s">
        <v>3446</v>
      </c>
      <c r="E449" s="149"/>
      <c r="F449" s="149"/>
    </row>
    <row r="450" spans="1:6">
      <c r="A450" s="442">
        <v>992</v>
      </c>
      <c r="B450" s="442" t="s">
        <v>3779</v>
      </c>
      <c r="C450" s="443">
        <v>944</v>
      </c>
      <c r="D450" s="447" t="s">
        <v>3446</v>
      </c>
      <c r="E450" s="149"/>
      <c r="F450" s="149"/>
    </row>
    <row r="451" spans="1:6">
      <c r="A451" s="444">
        <v>991</v>
      </c>
      <c r="B451" s="444" t="s">
        <v>3780</v>
      </c>
      <c r="C451" s="445">
        <v>943</v>
      </c>
      <c r="D451" s="448" t="s">
        <v>3446</v>
      </c>
      <c r="E451" s="149"/>
      <c r="F451" s="149"/>
    </row>
    <row r="452" spans="1:6">
      <c r="A452" s="442">
        <v>990</v>
      </c>
      <c r="B452" s="442" t="s">
        <v>3781</v>
      </c>
      <c r="C452" s="443">
        <v>942</v>
      </c>
      <c r="D452" s="447" t="s">
        <v>3446</v>
      </c>
      <c r="E452" s="149"/>
      <c r="F452" s="149"/>
    </row>
    <row r="453" spans="1:6">
      <c r="A453" s="444">
        <v>989</v>
      </c>
      <c r="B453" s="444" t="s">
        <v>3782</v>
      </c>
      <c r="C453" s="445">
        <v>941</v>
      </c>
      <c r="D453" s="448" t="s">
        <v>3446</v>
      </c>
      <c r="E453" s="149"/>
      <c r="F453" s="149"/>
    </row>
    <row r="454" spans="1:6">
      <c r="A454" s="442">
        <v>988</v>
      </c>
      <c r="B454" s="442" t="s">
        <v>3783</v>
      </c>
      <c r="C454" s="443">
        <v>940</v>
      </c>
      <c r="D454" s="447" t="s">
        <v>3446</v>
      </c>
      <c r="E454" s="149"/>
      <c r="F454" s="149"/>
    </row>
    <row r="455" spans="1:6">
      <c r="A455" s="444">
        <v>986</v>
      </c>
      <c r="B455" s="444" t="s">
        <v>3784</v>
      </c>
      <c r="C455" s="445">
        <v>938</v>
      </c>
      <c r="D455" s="448" t="s">
        <v>3446</v>
      </c>
      <c r="E455" s="149"/>
      <c r="F455" s="149"/>
    </row>
    <row r="456" spans="1:6">
      <c r="A456" s="442">
        <v>985</v>
      </c>
      <c r="B456" s="442" t="s">
        <v>3785</v>
      </c>
      <c r="C456" s="443">
        <v>937</v>
      </c>
      <c r="D456" s="447" t="s">
        <v>3446</v>
      </c>
      <c r="E456" s="149"/>
      <c r="F456" s="149"/>
    </row>
    <row r="457" spans="1:6">
      <c r="A457" s="444">
        <v>984</v>
      </c>
      <c r="B457" s="444" t="s">
        <v>3201</v>
      </c>
      <c r="C457" s="445">
        <v>935</v>
      </c>
      <c r="D457" s="448" t="s">
        <v>3446</v>
      </c>
      <c r="E457" s="149"/>
      <c r="F457" s="149"/>
    </row>
    <row r="458" spans="1:6">
      <c r="A458" s="442">
        <v>983</v>
      </c>
      <c r="B458" s="442" t="s">
        <v>3786</v>
      </c>
      <c r="C458" s="443">
        <v>934</v>
      </c>
      <c r="D458" s="447" t="s">
        <v>3446</v>
      </c>
      <c r="E458" s="149"/>
      <c r="F458" s="149"/>
    </row>
    <row r="459" spans="1:6">
      <c r="A459" s="444">
        <v>978</v>
      </c>
      <c r="B459" s="444" t="s">
        <v>3787</v>
      </c>
      <c r="C459" s="445">
        <v>928</v>
      </c>
      <c r="D459" s="448" t="s">
        <v>3446</v>
      </c>
      <c r="E459" s="149"/>
      <c r="F459" s="149"/>
    </row>
    <row r="460" spans="1:6" ht="23.25">
      <c r="A460" s="442">
        <v>977</v>
      </c>
      <c r="B460" s="442" t="s">
        <v>3788</v>
      </c>
      <c r="C460" s="443">
        <v>936</v>
      </c>
      <c r="D460" s="447" t="s">
        <v>3446</v>
      </c>
      <c r="E460" s="149"/>
      <c r="F460" s="149"/>
    </row>
    <row r="461" spans="1:6">
      <c r="A461" s="444">
        <v>976</v>
      </c>
      <c r="B461" s="444" t="s">
        <v>3789</v>
      </c>
      <c r="C461" s="445">
        <v>926</v>
      </c>
      <c r="D461" s="448" t="s">
        <v>3446</v>
      </c>
      <c r="E461" s="149"/>
      <c r="F461" s="149"/>
    </row>
    <row r="462" spans="1:6">
      <c r="A462" s="442">
        <v>975</v>
      </c>
      <c r="B462" s="442" t="s">
        <v>3790</v>
      </c>
      <c r="C462" s="443">
        <v>925</v>
      </c>
      <c r="D462" s="447" t="s">
        <v>3446</v>
      </c>
      <c r="E462" s="149"/>
      <c r="F462" s="149"/>
    </row>
    <row r="463" spans="1:6">
      <c r="A463" s="444">
        <v>974</v>
      </c>
      <c r="B463" s="444" t="s">
        <v>3791</v>
      </c>
      <c r="C463" s="445">
        <v>927</v>
      </c>
      <c r="D463" s="448" t="s">
        <v>3446</v>
      </c>
      <c r="E463" s="149"/>
      <c r="F463" s="149"/>
    </row>
    <row r="464" spans="1:6">
      <c r="A464" s="442">
        <v>972</v>
      </c>
      <c r="B464" s="442" t="s">
        <v>3792</v>
      </c>
      <c r="C464" s="443">
        <v>923</v>
      </c>
      <c r="D464" s="447" t="s">
        <v>3446</v>
      </c>
      <c r="E464" s="149"/>
      <c r="F464" s="149"/>
    </row>
    <row r="465" spans="1:6">
      <c r="A465" s="444">
        <v>971</v>
      </c>
      <c r="B465" s="444" t="s">
        <v>3793</v>
      </c>
      <c r="C465" s="445">
        <v>922</v>
      </c>
      <c r="D465" s="448" t="s">
        <v>3446</v>
      </c>
      <c r="E465" s="149"/>
      <c r="F465" s="149"/>
    </row>
    <row r="466" spans="1:6" ht="23.25">
      <c r="A466" s="442">
        <v>968</v>
      </c>
      <c r="B466" s="442" t="s">
        <v>3794</v>
      </c>
      <c r="C466" s="443">
        <v>1755</v>
      </c>
      <c r="D466" s="447" t="s">
        <v>3446</v>
      </c>
      <c r="E466" s="149"/>
      <c r="F466" s="149"/>
    </row>
    <row r="467" spans="1:6">
      <c r="A467" s="444">
        <v>967</v>
      </c>
      <c r="B467" s="444" t="s">
        <v>3795</v>
      </c>
      <c r="C467" s="445">
        <v>917</v>
      </c>
      <c r="D467" s="448" t="s">
        <v>3446</v>
      </c>
      <c r="E467" s="149"/>
      <c r="F467" s="149"/>
    </row>
    <row r="468" spans="1:6" ht="23.25">
      <c r="A468" s="442">
        <v>964</v>
      </c>
      <c r="B468" s="442" t="s">
        <v>3796</v>
      </c>
      <c r="C468" s="443">
        <v>914</v>
      </c>
      <c r="D468" s="447" t="s">
        <v>3446</v>
      </c>
      <c r="E468" s="149"/>
      <c r="F468" s="149"/>
    </row>
    <row r="469" spans="1:6">
      <c r="A469" s="444">
        <v>963</v>
      </c>
      <c r="B469" s="444" t="s">
        <v>3797</v>
      </c>
      <c r="C469" s="445">
        <v>913</v>
      </c>
      <c r="D469" s="448" t="s">
        <v>3446</v>
      </c>
      <c r="E469" s="149"/>
      <c r="F469" s="149"/>
    </row>
    <row r="470" spans="1:6">
      <c r="A470" s="442">
        <v>961</v>
      </c>
      <c r="B470" s="442" t="s">
        <v>3798</v>
      </c>
      <c r="C470" s="443">
        <v>1007</v>
      </c>
      <c r="D470" s="447" t="s">
        <v>3446</v>
      </c>
      <c r="E470" s="149"/>
      <c r="F470" s="149"/>
    </row>
    <row r="471" spans="1:6">
      <c r="A471" s="444">
        <v>961</v>
      </c>
      <c r="B471" s="444" t="s">
        <v>3798</v>
      </c>
      <c r="C471" s="445">
        <v>911</v>
      </c>
      <c r="D471" s="448" t="s">
        <v>3446</v>
      </c>
      <c r="E471" s="149"/>
      <c r="F471" s="149"/>
    </row>
    <row r="472" spans="1:6">
      <c r="A472" s="442">
        <v>959</v>
      </c>
      <c r="B472" s="442" t="s">
        <v>3799</v>
      </c>
      <c r="C472" s="443">
        <v>908</v>
      </c>
      <c r="D472" s="447" t="s">
        <v>3446</v>
      </c>
      <c r="E472" s="149"/>
      <c r="F472" s="149"/>
    </row>
    <row r="473" spans="1:6">
      <c r="A473" s="444">
        <v>958</v>
      </c>
      <c r="B473" s="444" t="s">
        <v>3800</v>
      </c>
      <c r="C473" s="445">
        <v>907</v>
      </c>
      <c r="D473" s="448" t="s">
        <v>3446</v>
      </c>
      <c r="E473" s="149"/>
      <c r="F473" s="149"/>
    </row>
    <row r="474" spans="1:6">
      <c r="A474" s="442">
        <v>956</v>
      </c>
      <c r="B474" s="442" t="s">
        <v>3053</v>
      </c>
      <c r="C474" s="443">
        <v>905</v>
      </c>
      <c r="D474" s="447" t="s">
        <v>3446</v>
      </c>
      <c r="E474" s="149"/>
      <c r="F474" s="149"/>
    </row>
    <row r="475" spans="1:6">
      <c r="A475" s="444">
        <v>952</v>
      </c>
      <c r="B475" s="444" t="s">
        <v>3801</v>
      </c>
      <c r="C475" s="445">
        <v>899</v>
      </c>
      <c r="D475" s="448" t="s">
        <v>3446</v>
      </c>
      <c r="E475" s="149"/>
      <c r="F475" s="149"/>
    </row>
    <row r="476" spans="1:6">
      <c r="A476" s="442">
        <v>951</v>
      </c>
      <c r="B476" s="442" t="s">
        <v>3802</v>
      </c>
      <c r="C476" s="443">
        <v>898</v>
      </c>
      <c r="D476" s="447" t="s">
        <v>3446</v>
      </c>
      <c r="E476" s="149"/>
      <c r="F476" s="149"/>
    </row>
    <row r="477" spans="1:6">
      <c r="A477" s="444">
        <v>950</v>
      </c>
      <c r="B477" s="444" t="s">
        <v>3803</v>
      </c>
      <c r="C477" s="445">
        <v>897</v>
      </c>
      <c r="D477" s="448" t="s">
        <v>3446</v>
      </c>
      <c r="E477" s="149"/>
      <c r="F477" s="149"/>
    </row>
    <row r="478" spans="1:6">
      <c r="A478" s="442">
        <v>949</v>
      </c>
      <c r="B478" s="442" t="s">
        <v>3804</v>
      </c>
      <c r="C478" s="443">
        <v>895</v>
      </c>
      <c r="D478" s="447" t="s">
        <v>3446</v>
      </c>
      <c r="E478" s="149"/>
      <c r="F478" s="149"/>
    </row>
    <row r="479" spans="1:6">
      <c r="A479" s="444">
        <v>947</v>
      </c>
      <c r="B479" s="444" t="s">
        <v>2720</v>
      </c>
      <c r="C479" s="445">
        <v>893</v>
      </c>
      <c r="D479" s="448" t="s">
        <v>3446</v>
      </c>
      <c r="E479" s="149"/>
      <c r="F479" s="149"/>
    </row>
    <row r="480" spans="1:6">
      <c r="A480" s="442">
        <v>946</v>
      </c>
      <c r="B480" s="442" t="s">
        <v>1223</v>
      </c>
      <c r="C480" s="443">
        <v>892</v>
      </c>
      <c r="D480" s="447" t="s">
        <v>3446</v>
      </c>
      <c r="E480" s="149"/>
      <c r="F480" s="149"/>
    </row>
    <row r="481" spans="1:6">
      <c r="A481" s="444">
        <v>945</v>
      </c>
      <c r="B481" s="444" t="s">
        <v>3805</v>
      </c>
      <c r="C481" s="445">
        <v>891</v>
      </c>
      <c r="D481" s="448" t="s">
        <v>3446</v>
      </c>
      <c r="E481" s="149"/>
      <c r="F481" s="149"/>
    </row>
    <row r="482" spans="1:6">
      <c r="A482" s="442">
        <v>944</v>
      </c>
      <c r="B482" s="442" t="s">
        <v>3806</v>
      </c>
      <c r="C482" s="443">
        <v>890</v>
      </c>
      <c r="D482" s="447" t="s">
        <v>3446</v>
      </c>
      <c r="E482" s="149"/>
      <c r="F482" s="149"/>
    </row>
    <row r="483" spans="1:6">
      <c r="A483" s="444">
        <v>943</v>
      </c>
      <c r="B483" s="444" t="s">
        <v>3422</v>
      </c>
      <c r="C483" s="445">
        <v>889</v>
      </c>
      <c r="D483" s="448" t="s">
        <v>3446</v>
      </c>
      <c r="E483" s="149"/>
      <c r="F483" s="149"/>
    </row>
    <row r="484" spans="1:6">
      <c r="A484" s="442">
        <v>942</v>
      </c>
      <c r="B484" s="442" t="s">
        <v>3807</v>
      </c>
      <c r="C484" s="443">
        <v>888</v>
      </c>
      <c r="D484" s="447" t="s">
        <v>3446</v>
      </c>
      <c r="E484" s="149"/>
      <c r="F484" s="149"/>
    </row>
    <row r="485" spans="1:6">
      <c r="A485" s="444">
        <v>941</v>
      </c>
      <c r="B485" s="444" t="s">
        <v>3344</v>
      </c>
      <c r="C485" s="445">
        <v>887</v>
      </c>
      <c r="D485" s="448" t="s">
        <v>3446</v>
      </c>
      <c r="E485" s="149"/>
      <c r="F485" s="149"/>
    </row>
    <row r="486" spans="1:6">
      <c r="A486" s="442">
        <v>940</v>
      </c>
      <c r="B486" s="442" t="s">
        <v>3808</v>
      </c>
      <c r="C486" s="443">
        <v>886</v>
      </c>
      <c r="D486" s="447" t="s">
        <v>3446</v>
      </c>
      <c r="E486" s="149"/>
      <c r="F486" s="149"/>
    </row>
    <row r="487" spans="1:6">
      <c r="A487" s="444">
        <v>939</v>
      </c>
      <c r="B487" s="444" t="s">
        <v>3809</v>
      </c>
      <c r="C487" s="445">
        <v>885</v>
      </c>
      <c r="D487" s="448" t="s">
        <v>3446</v>
      </c>
      <c r="E487" s="149"/>
      <c r="F487" s="149"/>
    </row>
    <row r="488" spans="1:6">
      <c r="A488" s="442">
        <v>938</v>
      </c>
      <c r="B488" s="442" t="s">
        <v>3810</v>
      </c>
      <c r="C488" s="443">
        <v>861</v>
      </c>
      <c r="D488" s="447" t="s">
        <v>3446</v>
      </c>
      <c r="E488" s="149"/>
      <c r="F488" s="149"/>
    </row>
    <row r="489" spans="1:6">
      <c r="A489" s="444">
        <v>937</v>
      </c>
      <c r="B489" s="444" t="s">
        <v>3811</v>
      </c>
      <c r="C489" s="445">
        <v>859</v>
      </c>
      <c r="D489" s="448" t="s">
        <v>3446</v>
      </c>
      <c r="E489" s="149"/>
      <c r="F489" s="149"/>
    </row>
    <row r="490" spans="1:6">
      <c r="A490" s="442">
        <v>936</v>
      </c>
      <c r="B490" s="442" t="s">
        <v>3812</v>
      </c>
      <c r="C490" s="443">
        <v>858</v>
      </c>
      <c r="D490" s="447" t="s">
        <v>3446</v>
      </c>
      <c r="E490" s="149"/>
      <c r="F490" s="149"/>
    </row>
    <row r="491" spans="1:6">
      <c r="A491" s="444">
        <v>935</v>
      </c>
      <c r="B491" s="444" t="s">
        <v>3018</v>
      </c>
      <c r="C491" s="445">
        <v>849</v>
      </c>
      <c r="D491" s="448" t="s">
        <v>3446</v>
      </c>
      <c r="E491" s="149"/>
      <c r="F491" s="149"/>
    </row>
    <row r="492" spans="1:6">
      <c r="A492" s="442">
        <v>934</v>
      </c>
      <c r="B492" s="442" t="s">
        <v>3813</v>
      </c>
      <c r="C492" s="443">
        <v>1538</v>
      </c>
      <c r="D492" s="447" t="s">
        <v>3446</v>
      </c>
      <c r="E492" s="149"/>
      <c r="F492" s="149"/>
    </row>
    <row r="493" spans="1:6">
      <c r="A493" s="444">
        <v>934</v>
      </c>
      <c r="B493" s="444" t="s">
        <v>3813</v>
      </c>
      <c r="C493" s="445">
        <v>845</v>
      </c>
      <c r="D493" s="448" t="s">
        <v>3446</v>
      </c>
      <c r="E493" s="149"/>
      <c r="F493" s="149"/>
    </row>
    <row r="494" spans="1:6">
      <c r="A494" s="442">
        <v>932</v>
      </c>
      <c r="B494" s="442" t="s">
        <v>3814</v>
      </c>
      <c r="C494" s="443">
        <v>823</v>
      </c>
      <c r="D494" s="447" t="s">
        <v>3446</v>
      </c>
      <c r="E494" s="149"/>
      <c r="F494" s="149"/>
    </row>
    <row r="495" spans="1:6">
      <c r="A495" s="444">
        <v>930</v>
      </c>
      <c r="B495" s="444" t="s">
        <v>3815</v>
      </c>
      <c r="C495" s="445">
        <v>787</v>
      </c>
      <c r="D495" s="448" t="s">
        <v>3446</v>
      </c>
      <c r="E495" s="149"/>
      <c r="F495" s="149"/>
    </row>
    <row r="496" spans="1:6">
      <c r="A496" s="442">
        <v>928</v>
      </c>
      <c r="B496" s="442" t="s">
        <v>3816</v>
      </c>
      <c r="C496" s="443">
        <v>785</v>
      </c>
      <c r="D496" s="447" t="s">
        <v>3446</v>
      </c>
      <c r="E496" s="149"/>
      <c r="F496" s="149"/>
    </row>
    <row r="497" spans="1:6">
      <c r="A497" s="444">
        <v>927</v>
      </c>
      <c r="B497" s="444" t="s">
        <v>3817</v>
      </c>
      <c r="C497" s="445">
        <v>751</v>
      </c>
      <c r="D497" s="448" t="s">
        <v>3446</v>
      </c>
      <c r="E497" s="149"/>
      <c r="F497" s="149"/>
    </row>
    <row r="498" spans="1:6">
      <c r="A498" s="442">
        <v>926</v>
      </c>
      <c r="B498" s="442" t="s">
        <v>3818</v>
      </c>
      <c r="C498" s="443">
        <v>749</v>
      </c>
      <c r="D498" s="447" t="s">
        <v>3446</v>
      </c>
      <c r="E498" s="149"/>
      <c r="F498" s="149"/>
    </row>
    <row r="499" spans="1:6">
      <c r="A499" s="444">
        <v>923</v>
      </c>
      <c r="B499" s="444" t="s">
        <v>3819</v>
      </c>
      <c r="C499" s="445">
        <v>695</v>
      </c>
      <c r="D499" s="448" t="s">
        <v>3446</v>
      </c>
      <c r="E499" s="149"/>
      <c r="F499" s="149"/>
    </row>
    <row r="500" spans="1:6">
      <c r="A500" s="442">
        <v>921</v>
      </c>
      <c r="B500" s="442" t="s">
        <v>3820</v>
      </c>
      <c r="C500" s="443">
        <v>656</v>
      </c>
      <c r="D500" s="447" t="s">
        <v>3446</v>
      </c>
      <c r="E500" s="149"/>
      <c r="F500" s="149"/>
    </row>
    <row r="501" spans="1:6">
      <c r="A501" s="444">
        <v>918</v>
      </c>
      <c r="B501" s="444" t="s">
        <v>3821</v>
      </c>
      <c r="C501" s="445">
        <v>651</v>
      </c>
      <c r="D501" s="448" t="s">
        <v>3446</v>
      </c>
      <c r="E501" s="149"/>
      <c r="F501" s="149"/>
    </row>
    <row r="502" spans="1:6">
      <c r="A502" s="442">
        <v>917</v>
      </c>
      <c r="B502" s="442" t="s">
        <v>3822</v>
      </c>
      <c r="C502" s="443">
        <v>648</v>
      </c>
      <c r="D502" s="447" t="s">
        <v>3446</v>
      </c>
      <c r="E502" s="149"/>
      <c r="F502" s="149"/>
    </row>
    <row r="503" spans="1:6">
      <c r="A503" s="444">
        <v>915</v>
      </c>
      <c r="B503" s="444" t="s">
        <v>3823</v>
      </c>
      <c r="C503" s="445">
        <v>646</v>
      </c>
      <c r="D503" s="448" t="s">
        <v>3446</v>
      </c>
      <c r="E503" s="149"/>
      <c r="F503" s="149"/>
    </row>
    <row r="504" spans="1:6">
      <c r="A504" s="442">
        <v>914</v>
      </c>
      <c r="B504" s="442" t="s">
        <v>3824</v>
      </c>
      <c r="C504" s="443">
        <v>1786</v>
      </c>
      <c r="D504" s="447" t="s">
        <v>3446</v>
      </c>
      <c r="E504" s="149"/>
      <c r="F504" s="149"/>
    </row>
    <row r="505" spans="1:6">
      <c r="A505" s="444">
        <v>914</v>
      </c>
      <c r="B505" s="444" t="s">
        <v>3824</v>
      </c>
      <c r="C505" s="445">
        <v>645</v>
      </c>
      <c r="D505" s="448" t="s">
        <v>3446</v>
      </c>
      <c r="E505" s="149"/>
      <c r="F505" s="149"/>
    </row>
    <row r="506" spans="1:6">
      <c r="A506" s="442">
        <v>912</v>
      </c>
      <c r="B506" s="442" t="s">
        <v>3825</v>
      </c>
      <c r="C506" s="443">
        <v>603</v>
      </c>
      <c r="D506" s="447" t="s">
        <v>3446</v>
      </c>
      <c r="E506" s="149"/>
      <c r="F506" s="149"/>
    </row>
    <row r="507" spans="1:6">
      <c r="A507" s="444">
        <v>911</v>
      </c>
      <c r="B507" s="444" t="s">
        <v>3826</v>
      </c>
      <c r="C507" s="445">
        <v>602</v>
      </c>
      <c r="D507" s="448" t="s">
        <v>3446</v>
      </c>
      <c r="E507" s="149"/>
      <c r="F507" s="149"/>
    </row>
    <row r="508" spans="1:6">
      <c r="A508" s="442">
        <v>908</v>
      </c>
      <c r="B508" s="442" t="s">
        <v>3827</v>
      </c>
      <c r="C508" s="443">
        <v>486</v>
      </c>
      <c r="D508" s="447" t="s">
        <v>3446</v>
      </c>
      <c r="E508" s="149"/>
      <c r="F508" s="149"/>
    </row>
    <row r="509" spans="1:6">
      <c r="A509" s="444">
        <v>906</v>
      </c>
      <c r="B509" s="444" t="s">
        <v>3828</v>
      </c>
      <c r="C509" s="445">
        <v>481</v>
      </c>
      <c r="D509" s="448" t="s">
        <v>3446</v>
      </c>
      <c r="E509" s="149"/>
      <c r="F509" s="149"/>
    </row>
    <row r="510" spans="1:6">
      <c r="A510" s="442">
        <v>905</v>
      </c>
      <c r="B510" s="442" t="s">
        <v>3829</v>
      </c>
      <c r="C510" s="443">
        <v>476</v>
      </c>
      <c r="D510" s="447" t="s">
        <v>3446</v>
      </c>
      <c r="E510" s="149"/>
      <c r="F510" s="149"/>
    </row>
    <row r="511" spans="1:6">
      <c r="A511" s="444">
        <v>904</v>
      </c>
      <c r="B511" s="444" t="s">
        <v>3830</v>
      </c>
      <c r="C511" s="445">
        <v>475</v>
      </c>
      <c r="D511" s="448" t="s">
        <v>3446</v>
      </c>
      <c r="E511" s="149"/>
      <c r="F511" s="149"/>
    </row>
    <row r="512" spans="1:6">
      <c r="A512" s="442">
        <v>903</v>
      </c>
      <c r="B512" s="442" t="s">
        <v>3831</v>
      </c>
      <c r="C512" s="443">
        <v>473</v>
      </c>
      <c r="D512" s="447" t="s">
        <v>3446</v>
      </c>
      <c r="E512" s="149"/>
      <c r="F512" s="149"/>
    </row>
    <row r="513" spans="1:6">
      <c r="A513" s="444">
        <v>901</v>
      </c>
      <c r="B513" s="444" t="s">
        <v>3832</v>
      </c>
      <c r="C513" s="445">
        <v>449</v>
      </c>
      <c r="D513" s="448" t="s">
        <v>3446</v>
      </c>
      <c r="E513" s="149"/>
      <c r="F513" s="149"/>
    </row>
    <row r="514" spans="1:6">
      <c r="A514" s="442">
        <v>900</v>
      </c>
      <c r="B514" s="442" t="s">
        <v>3833</v>
      </c>
      <c r="C514" s="443">
        <v>429</v>
      </c>
      <c r="D514" s="447" t="s">
        <v>3446</v>
      </c>
      <c r="E514" s="149"/>
      <c r="F514" s="149"/>
    </row>
    <row r="515" spans="1:6">
      <c r="A515" s="444">
        <v>899</v>
      </c>
      <c r="B515" s="444" t="s">
        <v>3834</v>
      </c>
      <c r="C515" s="445">
        <v>427</v>
      </c>
      <c r="D515" s="448" t="s">
        <v>3446</v>
      </c>
      <c r="E515" s="149"/>
      <c r="F515" s="149"/>
    </row>
    <row r="516" spans="1:6">
      <c r="A516" s="442">
        <v>897</v>
      </c>
      <c r="B516" s="442" t="s">
        <v>3835</v>
      </c>
      <c r="C516" s="443">
        <v>423</v>
      </c>
      <c r="D516" s="447" t="s">
        <v>3446</v>
      </c>
      <c r="E516" s="149"/>
      <c r="F516" s="149"/>
    </row>
    <row r="517" spans="1:6">
      <c r="A517" s="444">
        <v>896</v>
      </c>
      <c r="B517" s="444" t="s">
        <v>3124</v>
      </c>
      <c r="C517" s="445">
        <v>395</v>
      </c>
      <c r="D517" s="448" t="s">
        <v>3446</v>
      </c>
      <c r="E517" s="149"/>
      <c r="F517" s="149"/>
    </row>
    <row r="518" spans="1:6" ht="23.25">
      <c r="A518" s="442">
        <v>895</v>
      </c>
      <c r="B518" s="442" t="s">
        <v>3836</v>
      </c>
      <c r="C518" s="443">
        <v>392</v>
      </c>
      <c r="D518" s="447" t="s">
        <v>3446</v>
      </c>
      <c r="E518" s="149"/>
      <c r="F518" s="149"/>
    </row>
    <row r="519" spans="1:6">
      <c r="A519" s="444">
        <v>894</v>
      </c>
      <c r="B519" s="444" t="s">
        <v>3837</v>
      </c>
      <c r="C519" s="445">
        <v>391</v>
      </c>
      <c r="D519" s="448" t="s">
        <v>3446</v>
      </c>
      <c r="E519" s="149"/>
      <c r="F519" s="149"/>
    </row>
    <row r="520" spans="1:6">
      <c r="A520" s="442">
        <v>893</v>
      </c>
      <c r="B520" s="442" t="s">
        <v>3838</v>
      </c>
      <c r="C520" s="443">
        <v>387</v>
      </c>
      <c r="D520" s="447" t="s">
        <v>3446</v>
      </c>
      <c r="E520" s="149"/>
      <c r="F520" s="149"/>
    </row>
    <row r="521" spans="1:6">
      <c r="A521" s="444">
        <v>892</v>
      </c>
      <c r="B521" s="444" t="s">
        <v>3839</v>
      </c>
      <c r="C521" s="445">
        <v>385</v>
      </c>
      <c r="D521" s="448" t="s">
        <v>3446</v>
      </c>
      <c r="E521" s="149"/>
      <c r="F521" s="149"/>
    </row>
    <row r="522" spans="1:6">
      <c r="A522" s="442">
        <v>891</v>
      </c>
      <c r="B522" s="442" t="s">
        <v>3840</v>
      </c>
      <c r="C522" s="443">
        <v>384</v>
      </c>
      <c r="D522" s="447" t="s">
        <v>3446</v>
      </c>
      <c r="E522" s="149"/>
      <c r="F522" s="149"/>
    </row>
    <row r="523" spans="1:6" ht="23.25">
      <c r="A523" s="444">
        <v>890</v>
      </c>
      <c r="B523" s="444" t="s">
        <v>3841</v>
      </c>
      <c r="C523" s="445">
        <v>380</v>
      </c>
      <c r="D523" s="448" t="s">
        <v>3446</v>
      </c>
      <c r="E523" s="149"/>
      <c r="F523" s="149"/>
    </row>
    <row r="524" spans="1:6">
      <c r="A524" s="442">
        <v>886</v>
      </c>
      <c r="B524" s="442" t="s">
        <v>78</v>
      </c>
      <c r="C524" s="443">
        <v>691</v>
      </c>
      <c r="D524" s="447" t="s">
        <v>3446</v>
      </c>
      <c r="E524" s="149"/>
      <c r="F524" s="149"/>
    </row>
    <row r="525" spans="1:6">
      <c r="A525" s="444">
        <v>885</v>
      </c>
      <c r="B525" s="444" t="s">
        <v>2275</v>
      </c>
      <c r="C525" s="445">
        <v>499</v>
      </c>
      <c r="D525" s="448" t="s">
        <v>3446</v>
      </c>
      <c r="E525" s="149"/>
      <c r="F525" s="149"/>
    </row>
    <row r="526" spans="1:6" ht="23.25">
      <c r="A526" s="442">
        <v>884</v>
      </c>
      <c r="B526" s="442" t="s">
        <v>1252</v>
      </c>
      <c r="C526" s="443">
        <v>474</v>
      </c>
      <c r="D526" s="447" t="s">
        <v>3446</v>
      </c>
      <c r="E526" s="149"/>
      <c r="F526" s="149"/>
    </row>
    <row r="527" spans="1:6">
      <c r="A527" s="444">
        <v>880</v>
      </c>
      <c r="B527" s="444" t="s">
        <v>2096</v>
      </c>
      <c r="C527" s="445">
        <v>875</v>
      </c>
      <c r="D527" s="448" t="s">
        <v>3446</v>
      </c>
      <c r="E527" s="149"/>
      <c r="F527" s="149"/>
    </row>
    <row r="528" spans="1:6">
      <c r="A528" s="442">
        <v>879</v>
      </c>
      <c r="B528" s="442" t="s">
        <v>156</v>
      </c>
      <c r="C528" s="443">
        <v>401</v>
      </c>
      <c r="D528" s="447" t="s">
        <v>3446</v>
      </c>
      <c r="E528" s="149"/>
      <c r="F528" s="149"/>
    </row>
    <row r="529" spans="1:6">
      <c r="A529" s="444">
        <v>878</v>
      </c>
      <c r="B529" s="444" t="s">
        <v>1108</v>
      </c>
      <c r="C529" s="445">
        <v>635</v>
      </c>
      <c r="D529" s="448" t="s">
        <v>3446</v>
      </c>
      <c r="E529" s="149"/>
      <c r="F529" s="149"/>
    </row>
    <row r="530" spans="1:6">
      <c r="A530" s="442">
        <v>875</v>
      </c>
      <c r="B530" s="442" t="s">
        <v>905</v>
      </c>
      <c r="C530" s="443">
        <v>426</v>
      </c>
      <c r="D530" s="447" t="s">
        <v>3446</v>
      </c>
      <c r="E530" s="149"/>
      <c r="F530" s="149"/>
    </row>
    <row r="531" spans="1:6">
      <c r="A531" s="444">
        <v>874</v>
      </c>
      <c r="B531" s="444" t="s">
        <v>1679</v>
      </c>
      <c r="C531" s="445">
        <v>698</v>
      </c>
      <c r="D531" s="448" t="s">
        <v>3446</v>
      </c>
      <c r="E531" s="149"/>
      <c r="F531" s="149"/>
    </row>
    <row r="532" spans="1:6">
      <c r="A532" s="442">
        <v>873</v>
      </c>
      <c r="B532" s="442" t="s">
        <v>3136</v>
      </c>
      <c r="C532" s="443">
        <v>390</v>
      </c>
      <c r="D532" s="447" t="s">
        <v>3446</v>
      </c>
      <c r="E532" s="149"/>
      <c r="F532" s="149"/>
    </row>
    <row r="533" spans="1:6">
      <c r="A533" s="444">
        <v>872</v>
      </c>
      <c r="B533" s="444" t="s">
        <v>1925</v>
      </c>
      <c r="C533" s="445">
        <v>518</v>
      </c>
      <c r="D533" s="448" t="s">
        <v>3446</v>
      </c>
      <c r="E533" s="149"/>
      <c r="F533" s="149"/>
    </row>
    <row r="534" spans="1:6">
      <c r="A534" s="442">
        <v>866</v>
      </c>
      <c r="B534" s="442" t="s">
        <v>3842</v>
      </c>
      <c r="C534" s="443">
        <v>1788</v>
      </c>
      <c r="D534" s="447" t="s">
        <v>3446</v>
      </c>
      <c r="E534" s="149"/>
      <c r="F534" s="149"/>
    </row>
    <row r="535" spans="1:6">
      <c r="A535" s="444">
        <v>865</v>
      </c>
      <c r="B535" s="444" t="s">
        <v>1092</v>
      </c>
      <c r="C535" s="445">
        <v>661</v>
      </c>
      <c r="D535" s="448" t="s">
        <v>3446</v>
      </c>
      <c r="E535" s="149"/>
      <c r="F535" s="149"/>
    </row>
    <row r="536" spans="1:6" ht="23.25">
      <c r="A536" s="442">
        <v>864</v>
      </c>
      <c r="B536" s="442" t="s">
        <v>989</v>
      </c>
      <c r="C536" s="443">
        <v>825</v>
      </c>
      <c r="D536" s="447" t="s">
        <v>3446</v>
      </c>
      <c r="E536" s="149"/>
      <c r="F536" s="149"/>
    </row>
    <row r="537" spans="1:6" ht="23.25">
      <c r="A537" s="444">
        <v>864</v>
      </c>
      <c r="B537" s="444" t="s">
        <v>989</v>
      </c>
      <c r="C537" s="445">
        <v>1282</v>
      </c>
      <c r="D537" s="448" t="s">
        <v>3446</v>
      </c>
      <c r="E537" s="149"/>
      <c r="F537" s="149"/>
    </row>
    <row r="538" spans="1:6">
      <c r="A538" s="442">
        <v>858</v>
      </c>
      <c r="B538" s="442" t="s">
        <v>608</v>
      </c>
      <c r="C538" s="443">
        <v>414</v>
      </c>
      <c r="D538" s="447" t="s">
        <v>3446</v>
      </c>
      <c r="E538" s="149"/>
      <c r="F538" s="149"/>
    </row>
    <row r="539" spans="1:6">
      <c r="A539" s="444">
        <v>855</v>
      </c>
      <c r="B539" s="444" t="s">
        <v>407</v>
      </c>
      <c r="C539" s="445">
        <v>572</v>
      </c>
      <c r="D539" s="448" t="s">
        <v>3446</v>
      </c>
      <c r="E539" s="149"/>
      <c r="F539" s="149"/>
    </row>
    <row r="540" spans="1:6" ht="23.25">
      <c r="A540" s="442">
        <v>849</v>
      </c>
      <c r="B540" s="442" t="s">
        <v>1512</v>
      </c>
      <c r="C540" s="443">
        <v>411</v>
      </c>
      <c r="D540" s="447" t="s">
        <v>3446</v>
      </c>
      <c r="E540" s="149"/>
      <c r="F540" s="149"/>
    </row>
    <row r="541" spans="1:6">
      <c r="A541" s="444">
        <v>848</v>
      </c>
      <c r="B541" s="444" t="s">
        <v>1358</v>
      </c>
      <c r="C541" s="445">
        <v>673</v>
      </c>
      <c r="D541" s="448" t="s">
        <v>3446</v>
      </c>
      <c r="E541" s="149"/>
      <c r="F541" s="149"/>
    </row>
    <row r="542" spans="1:6">
      <c r="A542" s="442">
        <v>847</v>
      </c>
      <c r="B542" s="442" t="s">
        <v>1906</v>
      </c>
      <c r="C542" s="443">
        <v>686</v>
      </c>
      <c r="D542" s="447" t="s">
        <v>3446</v>
      </c>
      <c r="E542" s="149"/>
      <c r="F542" s="149"/>
    </row>
    <row r="543" spans="1:6">
      <c r="A543" s="444">
        <v>846</v>
      </c>
      <c r="B543" s="444" t="s">
        <v>2139</v>
      </c>
      <c r="C543" s="445">
        <v>641</v>
      </c>
      <c r="D543" s="448" t="s">
        <v>3446</v>
      </c>
      <c r="E543" s="149"/>
      <c r="F543" s="149"/>
    </row>
    <row r="544" spans="1:6">
      <c r="A544" s="442">
        <v>844</v>
      </c>
      <c r="B544" s="442" t="s">
        <v>2186</v>
      </c>
      <c r="C544" s="443">
        <v>525</v>
      </c>
      <c r="D544" s="447" t="s">
        <v>3446</v>
      </c>
      <c r="E544" s="149"/>
      <c r="F544" s="149"/>
    </row>
    <row r="545" spans="1:6">
      <c r="A545" s="444">
        <v>838</v>
      </c>
      <c r="B545" s="444" t="s">
        <v>994</v>
      </c>
      <c r="C545" s="445">
        <v>634</v>
      </c>
      <c r="D545" s="448" t="s">
        <v>3446</v>
      </c>
      <c r="E545" s="149"/>
      <c r="F545" s="149"/>
    </row>
    <row r="546" spans="1:6" ht="23.25">
      <c r="A546" s="442">
        <v>837</v>
      </c>
      <c r="B546" s="442" t="s">
        <v>3843</v>
      </c>
      <c r="C546" s="443">
        <v>555</v>
      </c>
      <c r="D546" s="447" t="s">
        <v>3446</v>
      </c>
      <c r="E546" s="149"/>
      <c r="F546" s="149"/>
    </row>
    <row r="547" spans="1:6">
      <c r="A547" s="444">
        <v>834</v>
      </c>
      <c r="B547" s="444" t="s">
        <v>36</v>
      </c>
      <c r="C547" s="445">
        <v>446</v>
      </c>
      <c r="D547" s="448" t="s">
        <v>3446</v>
      </c>
      <c r="E547" s="149"/>
      <c r="F547" s="149"/>
    </row>
    <row r="548" spans="1:6">
      <c r="A548" s="442">
        <v>833</v>
      </c>
      <c r="B548" s="442" t="s">
        <v>1259</v>
      </c>
      <c r="C548" s="443">
        <v>734</v>
      </c>
      <c r="D548" s="447" t="s">
        <v>3446</v>
      </c>
      <c r="E548" s="149"/>
      <c r="F548" s="149"/>
    </row>
    <row r="549" spans="1:6">
      <c r="A549" s="444">
        <v>832</v>
      </c>
      <c r="B549" s="444" t="s">
        <v>1150</v>
      </c>
      <c r="C549" s="445">
        <v>498</v>
      </c>
      <c r="D549" s="448" t="s">
        <v>3446</v>
      </c>
      <c r="E549" s="149"/>
      <c r="F549" s="149"/>
    </row>
    <row r="550" spans="1:6">
      <c r="A550" s="442">
        <v>829</v>
      </c>
      <c r="B550" s="442" t="s">
        <v>384</v>
      </c>
      <c r="C550" s="443">
        <v>376</v>
      </c>
      <c r="D550" s="447" t="s">
        <v>3446</v>
      </c>
      <c r="E550" s="149"/>
      <c r="F550" s="149"/>
    </row>
    <row r="551" spans="1:6">
      <c r="A551" s="444">
        <v>828</v>
      </c>
      <c r="B551" s="444" t="s">
        <v>253</v>
      </c>
      <c r="C551" s="445">
        <v>775</v>
      </c>
      <c r="D551" s="448" t="s">
        <v>3446</v>
      </c>
      <c r="E551" s="149"/>
      <c r="F551" s="149"/>
    </row>
    <row r="552" spans="1:6">
      <c r="A552" s="442">
        <v>824</v>
      </c>
      <c r="B552" s="442" t="s">
        <v>2158</v>
      </c>
      <c r="C552" s="443">
        <v>623</v>
      </c>
      <c r="D552" s="447" t="s">
        <v>3446</v>
      </c>
      <c r="E552" s="149"/>
      <c r="F552" s="149"/>
    </row>
    <row r="553" spans="1:6">
      <c r="A553" s="444">
        <v>821</v>
      </c>
      <c r="B553" s="444" t="s">
        <v>648</v>
      </c>
      <c r="C553" s="445">
        <v>776</v>
      </c>
      <c r="D553" s="448" t="s">
        <v>3446</v>
      </c>
      <c r="E553" s="149"/>
      <c r="F553" s="149"/>
    </row>
    <row r="554" spans="1:6">
      <c r="A554" s="442">
        <v>815</v>
      </c>
      <c r="B554" s="442" t="s">
        <v>2110</v>
      </c>
      <c r="C554" s="443">
        <v>521</v>
      </c>
      <c r="D554" s="447" t="s">
        <v>3446</v>
      </c>
      <c r="E554" s="149"/>
      <c r="F554" s="149"/>
    </row>
    <row r="555" spans="1:6">
      <c r="A555" s="444">
        <v>813</v>
      </c>
      <c r="B555" s="444" t="s">
        <v>1294</v>
      </c>
      <c r="C555" s="445">
        <v>483</v>
      </c>
      <c r="D555" s="448" t="s">
        <v>3446</v>
      </c>
      <c r="E555" s="149"/>
      <c r="F555" s="149"/>
    </row>
    <row r="556" spans="1:6">
      <c r="A556" s="442">
        <v>812</v>
      </c>
      <c r="B556" s="442" t="s">
        <v>1321</v>
      </c>
      <c r="C556" s="443">
        <v>728</v>
      </c>
      <c r="D556" s="447" t="s">
        <v>3446</v>
      </c>
      <c r="E556" s="149"/>
      <c r="F556" s="149"/>
    </row>
    <row r="557" spans="1:6">
      <c r="A557" s="444">
        <v>805</v>
      </c>
      <c r="B557" s="444" t="s">
        <v>486</v>
      </c>
      <c r="C557" s="445">
        <v>394</v>
      </c>
      <c r="D557" s="448" t="s">
        <v>3446</v>
      </c>
      <c r="E557" s="149"/>
      <c r="F557" s="149"/>
    </row>
    <row r="558" spans="1:6">
      <c r="A558" s="442">
        <v>803</v>
      </c>
      <c r="B558" s="442" t="s">
        <v>1837</v>
      </c>
      <c r="C558" s="443">
        <v>435</v>
      </c>
      <c r="D558" s="447" t="s">
        <v>3446</v>
      </c>
      <c r="E558" s="149"/>
      <c r="F558" s="149"/>
    </row>
    <row r="559" spans="1:6">
      <c r="A559" s="444">
        <v>803</v>
      </c>
      <c r="B559" s="444" t="s">
        <v>1837</v>
      </c>
      <c r="C559" s="445">
        <v>1150</v>
      </c>
      <c r="D559" s="448" t="s">
        <v>3446</v>
      </c>
      <c r="E559" s="149"/>
      <c r="F559" s="149"/>
    </row>
    <row r="560" spans="1:6">
      <c r="A560" s="442">
        <v>802</v>
      </c>
      <c r="B560" s="442" t="s">
        <v>312</v>
      </c>
      <c r="C560" s="443">
        <v>552</v>
      </c>
      <c r="D560" s="447" t="s">
        <v>3446</v>
      </c>
      <c r="E560" s="149"/>
      <c r="F560" s="149"/>
    </row>
    <row r="561" spans="1:6">
      <c r="A561" s="444">
        <v>798</v>
      </c>
      <c r="B561" s="444" t="s">
        <v>735</v>
      </c>
      <c r="C561" s="445">
        <v>832</v>
      </c>
      <c r="D561" s="448" t="s">
        <v>3446</v>
      </c>
      <c r="E561" s="149"/>
      <c r="F561" s="149"/>
    </row>
    <row r="562" spans="1:6">
      <c r="A562" s="442">
        <v>796</v>
      </c>
      <c r="B562" s="442" t="s">
        <v>1407</v>
      </c>
      <c r="C562" s="443">
        <v>506</v>
      </c>
      <c r="D562" s="447" t="s">
        <v>3446</v>
      </c>
      <c r="E562" s="149"/>
      <c r="F562" s="149"/>
    </row>
    <row r="563" spans="1:6">
      <c r="A563" s="444">
        <v>792</v>
      </c>
      <c r="B563" s="444" t="s">
        <v>41</v>
      </c>
      <c r="C563" s="445">
        <v>397</v>
      </c>
      <c r="D563" s="448" t="s">
        <v>3446</v>
      </c>
      <c r="E563" s="149"/>
      <c r="F563" s="149"/>
    </row>
    <row r="564" spans="1:6">
      <c r="A564" s="442">
        <v>791</v>
      </c>
      <c r="B564" s="442" t="s">
        <v>41</v>
      </c>
      <c r="C564" s="443">
        <v>1038</v>
      </c>
      <c r="D564" s="447" t="s">
        <v>3446</v>
      </c>
      <c r="E564" s="149"/>
      <c r="F564" s="149"/>
    </row>
    <row r="565" spans="1:6">
      <c r="A565" s="444">
        <v>790</v>
      </c>
      <c r="B565" s="444" t="s">
        <v>2071</v>
      </c>
      <c r="C565" s="445">
        <v>779</v>
      </c>
      <c r="D565" s="448" t="s">
        <v>3446</v>
      </c>
      <c r="E565" s="149"/>
      <c r="F565" s="149"/>
    </row>
    <row r="566" spans="1:6">
      <c r="A566" s="442">
        <v>780</v>
      </c>
      <c r="B566" s="442" t="s">
        <v>360</v>
      </c>
      <c r="C566" s="443">
        <v>389</v>
      </c>
      <c r="D566" s="447" t="s">
        <v>3446</v>
      </c>
      <c r="E566" s="149"/>
      <c r="F566" s="149"/>
    </row>
    <row r="567" spans="1:6">
      <c r="A567" s="444">
        <v>779</v>
      </c>
      <c r="B567" s="444" t="s">
        <v>1065</v>
      </c>
      <c r="C567" s="445">
        <v>462</v>
      </c>
      <c r="D567" s="448" t="s">
        <v>3446</v>
      </c>
      <c r="E567" s="149"/>
      <c r="F567" s="149"/>
    </row>
    <row r="568" spans="1:6">
      <c r="A568" s="442">
        <v>778</v>
      </c>
      <c r="B568" s="442" t="s">
        <v>1169</v>
      </c>
      <c r="C568" s="443">
        <v>566</v>
      </c>
      <c r="D568" s="447" t="s">
        <v>3446</v>
      </c>
      <c r="E568" s="149"/>
      <c r="F568" s="149"/>
    </row>
    <row r="569" spans="1:6">
      <c r="A569" s="444">
        <v>776</v>
      </c>
      <c r="B569" s="444" t="s">
        <v>1671</v>
      </c>
      <c r="C569" s="445">
        <v>710</v>
      </c>
      <c r="D569" s="448" t="s">
        <v>3446</v>
      </c>
      <c r="E569" s="149"/>
      <c r="F569" s="149"/>
    </row>
    <row r="570" spans="1:6">
      <c r="A570" s="442">
        <v>771</v>
      </c>
      <c r="B570" s="442" t="s">
        <v>1362</v>
      </c>
      <c r="C570" s="443">
        <v>1385</v>
      </c>
      <c r="D570" s="447" t="s">
        <v>3446</v>
      </c>
      <c r="E570" s="149"/>
      <c r="F570" s="149"/>
    </row>
    <row r="571" spans="1:6">
      <c r="A571" s="444">
        <v>769</v>
      </c>
      <c r="B571" s="444" t="s">
        <v>1956</v>
      </c>
      <c r="C571" s="445">
        <v>882</v>
      </c>
      <c r="D571" s="448" t="s">
        <v>3446</v>
      </c>
      <c r="E571" s="149"/>
      <c r="F571" s="149"/>
    </row>
    <row r="572" spans="1:6">
      <c r="A572" s="442">
        <v>768</v>
      </c>
      <c r="B572" s="442" t="s">
        <v>1390</v>
      </c>
      <c r="C572" s="443">
        <v>508</v>
      </c>
      <c r="D572" s="447" t="s">
        <v>3446</v>
      </c>
      <c r="E572" s="149"/>
      <c r="F572" s="149"/>
    </row>
    <row r="573" spans="1:6">
      <c r="A573" s="444">
        <v>767</v>
      </c>
      <c r="B573" s="444" t="s">
        <v>1248</v>
      </c>
      <c r="C573" s="445">
        <v>855</v>
      </c>
      <c r="D573" s="448" t="s">
        <v>3446</v>
      </c>
      <c r="E573" s="149"/>
      <c r="F573" s="149"/>
    </row>
    <row r="574" spans="1:6">
      <c r="A574" s="442">
        <v>766</v>
      </c>
      <c r="B574" s="442" t="s">
        <v>1865</v>
      </c>
      <c r="C574" s="443">
        <v>678</v>
      </c>
      <c r="D574" s="447" t="s">
        <v>3446</v>
      </c>
      <c r="E574" s="149"/>
      <c r="F574" s="149"/>
    </row>
    <row r="575" spans="1:6" ht="23.25">
      <c r="A575" s="444">
        <v>765</v>
      </c>
      <c r="B575" s="444" t="s">
        <v>3844</v>
      </c>
      <c r="C575" s="445">
        <v>693</v>
      </c>
      <c r="D575" s="448" t="s">
        <v>3446</v>
      </c>
      <c r="E575" s="149"/>
      <c r="F575" s="149"/>
    </row>
    <row r="576" spans="1:6">
      <c r="A576" s="442">
        <v>763</v>
      </c>
      <c r="B576" s="442" t="s">
        <v>3845</v>
      </c>
      <c r="C576" s="443">
        <v>547</v>
      </c>
      <c r="D576" s="447" t="s">
        <v>3446</v>
      </c>
      <c r="E576" s="149"/>
      <c r="F576" s="149"/>
    </row>
    <row r="577" spans="1:6">
      <c r="A577" s="444">
        <v>762</v>
      </c>
      <c r="B577" s="444" t="s">
        <v>1412</v>
      </c>
      <c r="C577" s="445">
        <v>863</v>
      </c>
      <c r="D577" s="448" t="s">
        <v>3446</v>
      </c>
      <c r="E577" s="149"/>
      <c r="F577" s="149"/>
    </row>
    <row r="578" spans="1:6">
      <c r="A578" s="442">
        <v>761</v>
      </c>
      <c r="B578" s="442" t="s">
        <v>294</v>
      </c>
      <c r="C578" s="443">
        <v>404</v>
      </c>
      <c r="D578" s="447" t="s">
        <v>3446</v>
      </c>
      <c r="E578" s="149"/>
      <c r="F578" s="149"/>
    </row>
    <row r="579" spans="1:6" ht="23.25">
      <c r="A579" s="444">
        <v>760</v>
      </c>
      <c r="B579" s="444" t="s">
        <v>2238</v>
      </c>
      <c r="C579" s="445">
        <v>750</v>
      </c>
      <c r="D579" s="448" t="s">
        <v>3446</v>
      </c>
      <c r="E579" s="149"/>
      <c r="F579" s="149"/>
    </row>
    <row r="580" spans="1:6">
      <c r="A580" s="442">
        <v>758</v>
      </c>
      <c r="B580" s="442" t="s">
        <v>2189</v>
      </c>
      <c r="C580" s="443">
        <v>876</v>
      </c>
      <c r="D580" s="447" t="s">
        <v>3446</v>
      </c>
      <c r="E580" s="149"/>
      <c r="F580" s="149"/>
    </row>
    <row r="581" spans="1:6">
      <c r="A581" s="444">
        <v>756</v>
      </c>
      <c r="B581" s="444" t="s">
        <v>46</v>
      </c>
      <c r="C581" s="445">
        <v>675</v>
      </c>
      <c r="D581" s="448" t="s">
        <v>3446</v>
      </c>
      <c r="E581" s="149"/>
      <c r="F581" s="149"/>
    </row>
    <row r="582" spans="1:6">
      <c r="A582" s="442">
        <v>755</v>
      </c>
      <c r="B582" s="442" t="s">
        <v>1725</v>
      </c>
      <c r="C582" s="443">
        <v>655</v>
      </c>
      <c r="D582" s="447" t="s">
        <v>3446</v>
      </c>
      <c r="E582" s="149"/>
      <c r="F582" s="149"/>
    </row>
    <row r="583" spans="1:6">
      <c r="A583" s="444">
        <v>752</v>
      </c>
      <c r="B583" s="444" t="s">
        <v>761</v>
      </c>
      <c r="C583" s="445">
        <v>408</v>
      </c>
      <c r="D583" s="448" t="s">
        <v>3446</v>
      </c>
      <c r="E583" s="149"/>
      <c r="F583" s="149"/>
    </row>
    <row r="584" spans="1:6">
      <c r="A584" s="442">
        <v>746</v>
      </c>
      <c r="B584" s="442" t="s">
        <v>830</v>
      </c>
      <c r="C584" s="443">
        <v>883</v>
      </c>
      <c r="D584" s="447" t="s">
        <v>3446</v>
      </c>
      <c r="E584" s="149"/>
      <c r="F584" s="149"/>
    </row>
    <row r="585" spans="1:6">
      <c r="A585" s="444">
        <v>745</v>
      </c>
      <c r="B585" s="444" t="s">
        <v>1016</v>
      </c>
      <c r="C585" s="445">
        <v>496</v>
      </c>
      <c r="D585" s="448" t="s">
        <v>3446</v>
      </c>
      <c r="E585" s="149"/>
      <c r="F585" s="149"/>
    </row>
    <row r="586" spans="1:6">
      <c r="A586" s="442">
        <v>740</v>
      </c>
      <c r="B586" s="442" t="s">
        <v>1849</v>
      </c>
      <c r="C586" s="443">
        <v>618</v>
      </c>
      <c r="D586" s="447" t="s">
        <v>3446</v>
      </c>
      <c r="E586" s="149"/>
      <c r="F586" s="149"/>
    </row>
    <row r="587" spans="1:6">
      <c r="A587" s="444">
        <v>739</v>
      </c>
      <c r="B587" s="444" t="s">
        <v>1738</v>
      </c>
      <c r="C587" s="445">
        <v>550</v>
      </c>
      <c r="D587" s="448" t="s">
        <v>3446</v>
      </c>
      <c r="E587" s="149"/>
      <c r="F587" s="149"/>
    </row>
    <row r="588" spans="1:6" ht="23.25">
      <c r="A588" s="442">
        <v>738</v>
      </c>
      <c r="B588" s="442" t="s">
        <v>1550</v>
      </c>
      <c r="C588" s="443">
        <v>464</v>
      </c>
      <c r="D588" s="447" t="s">
        <v>3446</v>
      </c>
      <c r="E588" s="149"/>
      <c r="F588" s="149"/>
    </row>
    <row r="589" spans="1:6">
      <c r="A589" s="444">
        <v>737</v>
      </c>
      <c r="B589" s="444" t="s">
        <v>3846</v>
      </c>
      <c r="C589" s="445">
        <v>742</v>
      </c>
      <c r="D589" s="448" t="s">
        <v>3446</v>
      </c>
      <c r="E589" s="149"/>
      <c r="F589" s="149"/>
    </row>
    <row r="590" spans="1:6" ht="23.25">
      <c r="A590" s="442">
        <v>733</v>
      </c>
      <c r="B590" s="442" t="s">
        <v>274</v>
      </c>
      <c r="C590" s="443">
        <v>405</v>
      </c>
      <c r="D590" s="447" t="s">
        <v>3446</v>
      </c>
      <c r="E590" s="149"/>
      <c r="F590" s="149"/>
    </row>
    <row r="591" spans="1:6">
      <c r="A591" s="444">
        <v>732</v>
      </c>
      <c r="B591" s="444" t="s">
        <v>876</v>
      </c>
      <c r="C591" s="445">
        <v>492</v>
      </c>
      <c r="D591" s="448" t="s">
        <v>3446</v>
      </c>
      <c r="E591" s="149"/>
      <c r="F591" s="149"/>
    </row>
    <row r="592" spans="1:6">
      <c r="A592" s="442">
        <v>730</v>
      </c>
      <c r="B592" s="442" t="s">
        <v>1057</v>
      </c>
      <c r="C592" s="443">
        <v>1273</v>
      </c>
      <c r="D592" s="447" t="s">
        <v>3446</v>
      </c>
      <c r="E592" s="149"/>
      <c r="F592" s="149"/>
    </row>
    <row r="593" spans="1:6">
      <c r="A593" s="444">
        <v>730</v>
      </c>
      <c r="B593" s="444" t="s">
        <v>1057</v>
      </c>
      <c r="C593" s="445">
        <v>705</v>
      </c>
      <c r="D593" s="448" t="s">
        <v>3446</v>
      </c>
      <c r="E593" s="149"/>
      <c r="F593" s="149"/>
    </row>
    <row r="594" spans="1:6">
      <c r="A594" s="442">
        <v>729</v>
      </c>
      <c r="B594" s="442" t="s">
        <v>1304</v>
      </c>
      <c r="C594" s="443">
        <v>838</v>
      </c>
      <c r="D594" s="447" t="s">
        <v>3446</v>
      </c>
      <c r="E594" s="149"/>
      <c r="F594" s="149"/>
    </row>
    <row r="595" spans="1:6">
      <c r="A595" s="444">
        <v>728</v>
      </c>
      <c r="B595" s="444" t="s">
        <v>98</v>
      </c>
      <c r="C595" s="445">
        <v>398</v>
      </c>
      <c r="D595" s="448" t="s">
        <v>3446</v>
      </c>
      <c r="E595" s="149"/>
      <c r="F595" s="149"/>
    </row>
    <row r="596" spans="1:6">
      <c r="A596" s="442">
        <v>727</v>
      </c>
      <c r="B596" s="442" t="s">
        <v>1118</v>
      </c>
      <c r="C596" s="443">
        <v>689</v>
      </c>
      <c r="D596" s="447" t="s">
        <v>3446</v>
      </c>
      <c r="E596" s="149"/>
      <c r="F596" s="149"/>
    </row>
    <row r="597" spans="1:6">
      <c r="A597" s="444">
        <v>725</v>
      </c>
      <c r="B597" s="444" t="s">
        <v>1078</v>
      </c>
      <c r="C597" s="445">
        <v>406</v>
      </c>
      <c r="D597" s="448" t="s">
        <v>3446</v>
      </c>
      <c r="E597" s="149"/>
      <c r="F597" s="149"/>
    </row>
    <row r="598" spans="1:6" ht="23.25">
      <c r="A598" s="442">
        <v>724</v>
      </c>
      <c r="B598" s="442" t="s">
        <v>824</v>
      </c>
      <c r="C598" s="443">
        <v>725</v>
      </c>
      <c r="D598" s="447" t="s">
        <v>3446</v>
      </c>
      <c r="E598" s="149"/>
      <c r="F598" s="149"/>
    </row>
    <row r="599" spans="1:6" ht="23.25">
      <c r="A599" s="444">
        <v>723</v>
      </c>
      <c r="B599" s="444" t="s">
        <v>2022</v>
      </c>
      <c r="C599" s="445">
        <v>594</v>
      </c>
      <c r="D599" s="448" t="s">
        <v>3446</v>
      </c>
      <c r="E599" s="149"/>
      <c r="F599" s="149"/>
    </row>
    <row r="600" spans="1:6">
      <c r="A600" s="442">
        <v>721</v>
      </c>
      <c r="B600" s="442" t="s">
        <v>905</v>
      </c>
      <c r="C600" s="443">
        <v>682</v>
      </c>
      <c r="D600" s="447" t="s">
        <v>3446</v>
      </c>
      <c r="E600" s="149"/>
      <c r="F600" s="149"/>
    </row>
    <row r="601" spans="1:6">
      <c r="A601" s="444">
        <v>720</v>
      </c>
      <c r="B601" s="444" t="s">
        <v>1576</v>
      </c>
      <c r="C601" s="445">
        <v>571</v>
      </c>
      <c r="D601" s="448" t="s">
        <v>3446</v>
      </c>
      <c r="E601" s="149"/>
      <c r="F601" s="149"/>
    </row>
    <row r="602" spans="1:6" ht="23.25">
      <c r="A602" s="442">
        <v>718</v>
      </c>
      <c r="B602" s="442" t="s">
        <v>2163</v>
      </c>
      <c r="C602" s="443">
        <v>591</v>
      </c>
      <c r="D602" s="447" t="s">
        <v>3446</v>
      </c>
      <c r="E602" s="149"/>
      <c r="F602" s="149"/>
    </row>
    <row r="603" spans="1:6">
      <c r="A603" s="444">
        <v>715</v>
      </c>
      <c r="B603" s="444" t="s">
        <v>2212</v>
      </c>
      <c r="C603" s="445">
        <v>1942</v>
      </c>
      <c r="D603" s="448" t="s">
        <v>3446</v>
      </c>
      <c r="E603" s="149"/>
      <c r="F603" s="149"/>
    </row>
    <row r="604" spans="1:6">
      <c r="A604" s="442">
        <v>714</v>
      </c>
      <c r="B604" s="442" t="s">
        <v>1983</v>
      </c>
      <c r="C604" s="443">
        <v>640</v>
      </c>
      <c r="D604" s="447" t="s">
        <v>3446</v>
      </c>
      <c r="E604" s="149"/>
      <c r="F604" s="149"/>
    </row>
    <row r="605" spans="1:6">
      <c r="A605" s="444">
        <v>713</v>
      </c>
      <c r="B605" s="444" t="s">
        <v>1430</v>
      </c>
      <c r="C605" s="445">
        <v>500</v>
      </c>
      <c r="D605" s="448" t="s">
        <v>3446</v>
      </c>
      <c r="E605" s="149"/>
      <c r="F605" s="149"/>
    </row>
    <row r="606" spans="1:6">
      <c r="A606" s="442">
        <v>711</v>
      </c>
      <c r="B606" s="442" t="s">
        <v>1517</v>
      </c>
      <c r="C606" s="443">
        <v>434</v>
      </c>
      <c r="D606" s="447" t="s">
        <v>3446</v>
      </c>
      <c r="E606" s="149"/>
      <c r="F606" s="149"/>
    </row>
    <row r="607" spans="1:6" ht="23.25">
      <c r="A607" s="444">
        <v>710</v>
      </c>
      <c r="B607" s="444" t="s">
        <v>93</v>
      </c>
      <c r="C607" s="445">
        <v>451</v>
      </c>
      <c r="D607" s="448" t="s">
        <v>3446</v>
      </c>
      <c r="E607" s="149"/>
      <c r="F607" s="149"/>
    </row>
    <row r="608" spans="1:6">
      <c r="A608" s="442">
        <v>709</v>
      </c>
      <c r="B608" s="442" t="s">
        <v>921</v>
      </c>
      <c r="C608" s="443">
        <v>562</v>
      </c>
      <c r="D608" s="447" t="s">
        <v>3446</v>
      </c>
      <c r="E608" s="149"/>
      <c r="F608" s="149"/>
    </row>
    <row r="609" spans="1:6">
      <c r="A609" s="444">
        <v>708</v>
      </c>
      <c r="B609" s="444" t="s">
        <v>3847</v>
      </c>
      <c r="C609" s="445">
        <v>837</v>
      </c>
      <c r="D609" s="448" t="s">
        <v>3446</v>
      </c>
      <c r="E609" s="149"/>
      <c r="F609" s="149"/>
    </row>
    <row r="610" spans="1:6">
      <c r="A610" s="442">
        <v>706</v>
      </c>
      <c r="B610" s="442" t="s">
        <v>663</v>
      </c>
      <c r="C610" s="443">
        <v>377</v>
      </c>
      <c r="D610" s="447" t="s">
        <v>3446</v>
      </c>
      <c r="E610" s="149"/>
      <c r="F610" s="149"/>
    </row>
    <row r="611" spans="1:6">
      <c r="A611" s="444">
        <v>701</v>
      </c>
      <c r="B611" s="444" t="s">
        <v>613</v>
      </c>
      <c r="C611" s="445">
        <v>470</v>
      </c>
      <c r="D611" s="448" t="s">
        <v>3446</v>
      </c>
      <c r="E611" s="149"/>
      <c r="F611" s="149"/>
    </row>
    <row r="612" spans="1:6">
      <c r="A612" s="442">
        <v>701</v>
      </c>
      <c r="B612" s="442" t="s">
        <v>613</v>
      </c>
      <c r="C612" s="443">
        <v>1134</v>
      </c>
      <c r="D612" s="447" t="s">
        <v>3446</v>
      </c>
      <c r="E612" s="149"/>
      <c r="F612" s="149"/>
    </row>
    <row r="613" spans="1:6">
      <c r="A613" s="444">
        <v>699</v>
      </c>
      <c r="B613" s="444" t="s">
        <v>1104</v>
      </c>
      <c r="C613" s="445">
        <v>564</v>
      </c>
      <c r="D613" s="448" t="s">
        <v>3446</v>
      </c>
      <c r="E613" s="149"/>
      <c r="F613" s="149"/>
    </row>
    <row r="614" spans="1:6">
      <c r="A614" s="442">
        <v>698</v>
      </c>
      <c r="B614" s="442" t="s">
        <v>1099</v>
      </c>
      <c r="C614" s="443">
        <v>628</v>
      </c>
      <c r="D614" s="447" t="s">
        <v>3446</v>
      </c>
      <c r="E614" s="149"/>
      <c r="F614" s="149"/>
    </row>
    <row r="615" spans="1:6">
      <c r="A615" s="444">
        <v>697</v>
      </c>
      <c r="B615" s="444" t="s">
        <v>166</v>
      </c>
      <c r="C615" s="445">
        <v>457</v>
      </c>
      <c r="D615" s="448" t="s">
        <v>3446</v>
      </c>
      <c r="E615" s="149"/>
      <c r="F615" s="149"/>
    </row>
    <row r="616" spans="1:6">
      <c r="A616" s="442">
        <v>696</v>
      </c>
      <c r="B616" s="442" t="s">
        <v>576</v>
      </c>
      <c r="C616" s="443">
        <v>557</v>
      </c>
      <c r="D616" s="447" t="s">
        <v>3446</v>
      </c>
      <c r="E616" s="149"/>
      <c r="F616" s="149"/>
    </row>
    <row r="617" spans="1:6">
      <c r="A617" s="444">
        <v>693</v>
      </c>
      <c r="B617" s="444" t="s">
        <v>268</v>
      </c>
      <c r="C617" s="445">
        <v>422</v>
      </c>
      <c r="D617" s="448" t="s">
        <v>3446</v>
      </c>
      <c r="E617" s="149"/>
      <c r="F617" s="149"/>
    </row>
    <row r="618" spans="1:6">
      <c r="A618" s="442">
        <v>692</v>
      </c>
      <c r="B618" s="442" t="s">
        <v>3848</v>
      </c>
      <c r="C618" s="443">
        <v>713</v>
      </c>
      <c r="D618" s="447" t="s">
        <v>3446</v>
      </c>
      <c r="E618" s="149"/>
      <c r="F618" s="149"/>
    </row>
    <row r="619" spans="1:6">
      <c r="A619" s="444">
        <v>691</v>
      </c>
      <c r="B619" s="444" t="s">
        <v>2302</v>
      </c>
      <c r="C619" s="445">
        <v>830</v>
      </c>
      <c r="D619" s="448" t="s">
        <v>3446</v>
      </c>
      <c r="E619" s="149"/>
      <c r="F619" s="149"/>
    </row>
    <row r="620" spans="1:6">
      <c r="A620" s="442">
        <v>686</v>
      </c>
      <c r="B620" s="442" t="s">
        <v>1299</v>
      </c>
      <c r="C620" s="443">
        <v>615</v>
      </c>
      <c r="D620" s="447" t="s">
        <v>3446</v>
      </c>
      <c r="E620" s="149"/>
      <c r="F620" s="149"/>
    </row>
    <row r="621" spans="1:6">
      <c r="A621" s="444">
        <v>685</v>
      </c>
      <c r="B621" s="444" t="s">
        <v>1894</v>
      </c>
      <c r="C621" s="445">
        <v>827</v>
      </c>
      <c r="D621" s="448" t="s">
        <v>3446</v>
      </c>
      <c r="E621" s="149"/>
      <c r="F621" s="149"/>
    </row>
    <row r="622" spans="1:6">
      <c r="A622" s="442">
        <v>684</v>
      </c>
      <c r="B622" s="442" t="s">
        <v>979</v>
      </c>
      <c r="C622" s="443">
        <v>373</v>
      </c>
      <c r="D622" s="447" t="s">
        <v>3446</v>
      </c>
      <c r="E622" s="149"/>
      <c r="F622" s="149"/>
    </row>
    <row r="623" spans="1:6">
      <c r="A623" s="444">
        <v>679</v>
      </c>
      <c r="B623" s="444" t="s">
        <v>202</v>
      </c>
      <c r="C623" s="445">
        <v>625</v>
      </c>
      <c r="D623" s="448" t="s">
        <v>3446</v>
      </c>
      <c r="E623" s="149"/>
      <c r="F623" s="149"/>
    </row>
    <row r="624" spans="1:6">
      <c r="A624" s="442">
        <v>677</v>
      </c>
      <c r="B624" s="442" t="s">
        <v>1131</v>
      </c>
      <c r="C624" s="443">
        <v>407</v>
      </c>
      <c r="D624" s="447" t="s">
        <v>3446</v>
      </c>
      <c r="E624" s="149"/>
      <c r="F624" s="149"/>
    </row>
    <row r="625" spans="1:6">
      <c r="A625" s="444">
        <v>673</v>
      </c>
      <c r="B625" s="444" t="s">
        <v>1915</v>
      </c>
      <c r="C625" s="445">
        <v>479</v>
      </c>
      <c r="D625" s="448" t="s">
        <v>3446</v>
      </c>
      <c r="E625" s="149"/>
      <c r="F625" s="149"/>
    </row>
    <row r="626" spans="1:6">
      <c r="A626" s="442">
        <v>668</v>
      </c>
      <c r="B626" s="442" t="s">
        <v>1229</v>
      </c>
      <c r="C626" s="443">
        <v>441</v>
      </c>
      <c r="D626" s="447" t="s">
        <v>3446</v>
      </c>
      <c r="E626" s="149"/>
      <c r="F626" s="149"/>
    </row>
    <row r="627" spans="1:6" ht="23.25">
      <c r="A627" s="444">
        <v>666</v>
      </c>
      <c r="B627" s="444" t="s">
        <v>1684</v>
      </c>
      <c r="C627" s="445">
        <v>821</v>
      </c>
      <c r="D627" s="448" t="s">
        <v>3446</v>
      </c>
      <c r="E627" s="149"/>
      <c r="F627" s="149"/>
    </row>
    <row r="628" spans="1:6">
      <c r="A628" s="442">
        <v>662</v>
      </c>
      <c r="B628" s="442" t="s">
        <v>3849</v>
      </c>
      <c r="C628" s="443">
        <v>690</v>
      </c>
      <c r="D628" s="447" t="s">
        <v>3446</v>
      </c>
      <c r="E628" s="149"/>
      <c r="F628" s="149"/>
    </row>
    <row r="629" spans="1:6">
      <c r="A629" s="444">
        <v>661</v>
      </c>
      <c r="B629" s="444" t="s">
        <v>388</v>
      </c>
      <c r="C629" s="445">
        <v>854</v>
      </c>
      <c r="D629" s="448" t="s">
        <v>3446</v>
      </c>
      <c r="E629" s="149"/>
      <c r="F629" s="149"/>
    </row>
    <row r="630" spans="1:6">
      <c r="A630" s="442">
        <v>659</v>
      </c>
      <c r="B630" s="442" t="s">
        <v>567</v>
      </c>
      <c r="C630" s="443">
        <v>413</v>
      </c>
      <c r="D630" s="447" t="s">
        <v>3446</v>
      </c>
      <c r="E630" s="149"/>
      <c r="F630" s="149"/>
    </row>
    <row r="631" spans="1:6">
      <c r="A631" s="444">
        <v>656</v>
      </c>
      <c r="B631" s="444" t="s">
        <v>3850</v>
      </c>
      <c r="C631" s="445">
        <v>383</v>
      </c>
      <c r="D631" s="448" t="s">
        <v>3446</v>
      </c>
      <c r="E631" s="149"/>
      <c r="F631" s="149"/>
    </row>
    <row r="632" spans="1:6">
      <c r="A632" s="442">
        <v>652</v>
      </c>
      <c r="B632" s="442" t="s">
        <v>805</v>
      </c>
      <c r="C632" s="443">
        <v>632</v>
      </c>
      <c r="D632" s="447" t="s">
        <v>3446</v>
      </c>
      <c r="E632" s="149"/>
      <c r="F632" s="149"/>
    </row>
    <row r="633" spans="1:6">
      <c r="A633" s="444">
        <v>651</v>
      </c>
      <c r="B633" s="444" t="s">
        <v>618</v>
      </c>
      <c r="C633" s="445">
        <v>813</v>
      </c>
      <c r="D633" s="448" t="s">
        <v>3446</v>
      </c>
      <c r="E633" s="149"/>
      <c r="F633" s="149"/>
    </row>
    <row r="634" spans="1:6">
      <c r="A634" s="442">
        <v>650</v>
      </c>
      <c r="B634" s="442" t="s">
        <v>1730</v>
      </c>
      <c r="C634" s="443">
        <v>513</v>
      </c>
      <c r="D634" s="447" t="s">
        <v>3446</v>
      </c>
      <c r="E634" s="149"/>
      <c r="F634" s="149"/>
    </row>
    <row r="635" spans="1:6">
      <c r="A635" s="444">
        <v>649</v>
      </c>
      <c r="B635" s="444" t="s">
        <v>1796</v>
      </c>
      <c r="C635" s="445">
        <v>692</v>
      </c>
      <c r="D635" s="448" t="s">
        <v>3446</v>
      </c>
      <c r="E635" s="149"/>
      <c r="F635" s="149"/>
    </row>
    <row r="636" spans="1:6">
      <c r="A636" s="442">
        <v>647</v>
      </c>
      <c r="B636" s="442" t="s">
        <v>2230</v>
      </c>
      <c r="C636" s="443">
        <v>597</v>
      </c>
      <c r="D636" s="447" t="s">
        <v>3446</v>
      </c>
      <c r="E636" s="149"/>
      <c r="F636" s="149"/>
    </row>
    <row r="637" spans="1:6">
      <c r="A637" s="444">
        <v>645</v>
      </c>
      <c r="B637" s="444" t="s">
        <v>1558</v>
      </c>
      <c r="C637" s="445">
        <v>676</v>
      </c>
      <c r="D637" s="448" t="s">
        <v>3446</v>
      </c>
      <c r="E637" s="149"/>
      <c r="F637" s="149"/>
    </row>
    <row r="638" spans="1:6">
      <c r="A638" s="442">
        <v>643</v>
      </c>
      <c r="B638" s="442" t="s">
        <v>2055</v>
      </c>
      <c r="C638" s="443">
        <v>784</v>
      </c>
      <c r="D638" s="447" t="s">
        <v>3446</v>
      </c>
      <c r="E638" s="149"/>
      <c r="F638" s="149"/>
    </row>
    <row r="639" spans="1:6">
      <c r="A639" s="444">
        <v>641</v>
      </c>
      <c r="B639" s="444" t="s">
        <v>1824</v>
      </c>
      <c r="C639" s="445">
        <v>1083</v>
      </c>
      <c r="D639" s="448" t="s">
        <v>3446</v>
      </c>
      <c r="E639" s="149"/>
      <c r="F639" s="149"/>
    </row>
    <row r="640" spans="1:6">
      <c r="A640" s="442">
        <v>640</v>
      </c>
      <c r="B640" s="442" t="s">
        <v>1967</v>
      </c>
      <c r="C640" s="443">
        <v>679</v>
      </c>
      <c r="D640" s="447" t="s">
        <v>3446</v>
      </c>
      <c r="E640" s="149"/>
      <c r="F640" s="149"/>
    </row>
    <row r="641" spans="1:6">
      <c r="A641" s="444">
        <v>639</v>
      </c>
      <c r="B641" s="444" t="s">
        <v>1029</v>
      </c>
      <c r="C641" s="445">
        <v>638</v>
      </c>
      <c r="D641" s="448" t="s">
        <v>3446</v>
      </c>
      <c r="E641" s="149"/>
      <c r="F641" s="149"/>
    </row>
    <row r="642" spans="1:6">
      <c r="A642" s="442">
        <v>637</v>
      </c>
      <c r="B642" s="442" t="s">
        <v>2120</v>
      </c>
      <c r="C642" s="443">
        <v>436</v>
      </c>
      <c r="D642" s="447" t="s">
        <v>3446</v>
      </c>
      <c r="E642" s="149"/>
      <c r="F642" s="149"/>
    </row>
    <row r="643" spans="1:6">
      <c r="A643" s="444">
        <v>635</v>
      </c>
      <c r="B643" s="444" t="s">
        <v>1013</v>
      </c>
      <c r="C643" s="445">
        <v>850</v>
      </c>
      <c r="D643" s="448" t="s">
        <v>3446</v>
      </c>
      <c r="E643" s="149"/>
      <c r="F643" s="149"/>
    </row>
    <row r="644" spans="1:6">
      <c r="A644" s="442">
        <v>634</v>
      </c>
      <c r="B644" s="442" t="s">
        <v>3851</v>
      </c>
      <c r="C644" s="443">
        <v>1451</v>
      </c>
      <c r="D644" s="447" t="s">
        <v>3446</v>
      </c>
      <c r="E644" s="149"/>
      <c r="F644" s="149"/>
    </row>
    <row r="645" spans="1:6">
      <c r="A645" s="444">
        <v>634</v>
      </c>
      <c r="B645" s="444" t="s">
        <v>3851</v>
      </c>
      <c r="C645" s="445">
        <v>1097</v>
      </c>
      <c r="D645" s="448" t="s">
        <v>3446</v>
      </c>
      <c r="E645" s="149"/>
      <c r="F645" s="149"/>
    </row>
    <row r="646" spans="1:6">
      <c r="A646" s="442">
        <v>633</v>
      </c>
      <c r="B646" s="442" t="s">
        <v>1160</v>
      </c>
      <c r="C646" s="443">
        <v>504</v>
      </c>
      <c r="D646" s="447" t="s">
        <v>3446</v>
      </c>
      <c r="E646" s="149"/>
      <c r="F646" s="149"/>
    </row>
    <row r="647" spans="1:6">
      <c r="A647" s="444">
        <v>632</v>
      </c>
      <c r="B647" s="444" t="s">
        <v>1618</v>
      </c>
      <c r="C647" s="445">
        <v>766</v>
      </c>
      <c r="D647" s="448" t="s">
        <v>3446</v>
      </c>
      <c r="E647" s="149"/>
      <c r="F647" s="149"/>
    </row>
    <row r="648" spans="1:6">
      <c r="A648" s="442">
        <v>629</v>
      </c>
      <c r="B648" s="442" t="s">
        <v>3081</v>
      </c>
      <c r="C648" s="443">
        <v>835</v>
      </c>
      <c r="D648" s="447" t="s">
        <v>3446</v>
      </c>
      <c r="E648" s="149"/>
      <c r="F648" s="149"/>
    </row>
    <row r="649" spans="1:6" ht="23.25">
      <c r="A649" s="444">
        <v>627</v>
      </c>
      <c r="B649" s="444" t="s">
        <v>1052</v>
      </c>
      <c r="C649" s="445">
        <v>590</v>
      </c>
      <c r="D649" s="448" t="s">
        <v>3446</v>
      </c>
      <c r="E649" s="149"/>
      <c r="F649" s="149"/>
    </row>
    <row r="650" spans="1:6">
      <c r="A650" s="442">
        <v>625</v>
      </c>
      <c r="B650" s="442" t="s">
        <v>1475</v>
      </c>
      <c r="C650" s="443">
        <v>857</v>
      </c>
      <c r="D650" s="447" t="s">
        <v>3446</v>
      </c>
      <c r="E650" s="149"/>
      <c r="F650" s="149"/>
    </row>
    <row r="651" spans="1:6">
      <c r="A651" s="444">
        <v>624</v>
      </c>
      <c r="B651" s="444" t="s">
        <v>1879</v>
      </c>
      <c r="C651" s="445">
        <v>639</v>
      </c>
      <c r="D651" s="448" t="s">
        <v>3446</v>
      </c>
      <c r="E651" s="149"/>
      <c r="F651" s="149"/>
    </row>
    <row r="652" spans="1:6">
      <c r="A652" s="442">
        <v>623</v>
      </c>
      <c r="B652" s="442" t="s">
        <v>674</v>
      </c>
      <c r="C652" s="443">
        <v>630</v>
      </c>
      <c r="D652" s="447" t="s">
        <v>3446</v>
      </c>
      <c r="E652" s="149"/>
      <c r="F652" s="149"/>
    </row>
    <row r="653" spans="1:6">
      <c r="A653" s="444">
        <v>621</v>
      </c>
      <c r="B653" s="444" t="s">
        <v>437</v>
      </c>
      <c r="C653" s="445">
        <v>668</v>
      </c>
      <c r="D653" s="448" t="s">
        <v>3446</v>
      </c>
      <c r="E653" s="149"/>
      <c r="F653" s="149"/>
    </row>
    <row r="654" spans="1:6" ht="23.25">
      <c r="A654" s="442">
        <v>620</v>
      </c>
      <c r="B654" s="442" t="s">
        <v>1019</v>
      </c>
      <c r="C654" s="443">
        <v>631</v>
      </c>
      <c r="D654" s="447" t="s">
        <v>3446</v>
      </c>
      <c r="E654" s="149"/>
      <c r="F654" s="149"/>
    </row>
    <row r="655" spans="1:6">
      <c r="A655" s="444">
        <v>619</v>
      </c>
      <c r="B655" s="444" t="s">
        <v>393</v>
      </c>
      <c r="C655" s="445">
        <v>1066</v>
      </c>
      <c r="D655" s="448" t="s">
        <v>3446</v>
      </c>
      <c r="E655" s="149"/>
      <c r="F655" s="149"/>
    </row>
    <row r="656" spans="1:6">
      <c r="A656" s="442">
        <v>619</v>
      </c>
      <c r="B656" s="442" t="s">
        <v>393</v>
      </c>
      <c r="C656" s="443">
        <v>582</v>
      </c>
      <c r="D656" s="447" t="s">
        <v>3446</v>
      </c>
      <c r="E656" s="149"/>
      <c r="F656" s="149"/>
    </row>
    <row r="657" spans="1:6">
      <c r="A657" s="444">
        <v>618</v>
      </c>
      <c r="B657" s="444" t="s">
        <v>192</v>
      </c>
      <c r="C657" s="445">
        <v>666</v>
      </c>
      <c r="D657" s="448" t="s">
        <v>3446</v>
      </c>
      <c r="E657" s="149"/>
      <c r="F657" s="149"/>
    </row>
    <row r="658" spans="1:6">
      <c r="A658" s="442">
        <v>617</v>
      </c>
      <c r="B658" s="442" t="s">
        <v>1194</v>
      </c>
      <c r="C658" s="443">
        <v>921</v>
      </c>
      <c r="D658" s="447" t="s">
        <v>3446</v>
      </c>
      <c r="E658" s="149"/>
      <c r="F658" s="149"/>
    </row>
    <row r="659" spans="1:6">
      <c r="A659" s="444">
        <v>616</v>
      </c>
      <c r="B659" s="444" t="s">
        <v>29</v>
      </c>
      <c r="C659" s="445">
        <v>445</v>
      </c>
      <c r="D659" s="448" t="s">
        <v>3446</v>
      </c>
      <c r="E659" s="149"/>
      <c r="F659" s="149"/>
    </row>
    <row r="660" spans="1:6">
      <c r="A660" s="442">
        <v>613</v>
      </c>
      <c r="B660" s="442" t="s">
        <v>810</v>
      </c>
      <c r="C660" s="443">
        <v>815</v>
      </c>
      <c r="D660" s="447" t="s">
        <v>3446</v>
      </c>
      <c r="E660" s="149"/>
      <c r="F660" s="149"/>
    </row>
    <row r="661" spans="1:6">
      <c r="A661" s="444">
        <v>611</v>
      </c>
      <c r="B661" s="444" t="s">
        <v>534</v>
      </c>
      <c r="C661" s="445">
        <v>629</v>
      </c>
      <c r="D661" s="448" t="s">
        <v>3446</v>
      </c>
      <c r="E661" s="149"/>
      <c r="F661" s="149"/>
    </row>
    <row r="662" spans="1:6" ht="23.25">
      <c r="A662" s="442">
        <v>610</v>
      </c>
      <c r="B662" s="442" t="s">
        <v>859</v>
      </c>
      <c r="C662" s="443">
        <v>419</v>
      </c>
      <c r="D662" s="447" t="s">
        <v>3446</v>
      </c>
      <c r="E662" s="149"/>
      <c r="F662" s="149"/>
    </row>
    <row r="663" spans="1:6">
      <c r="A663" s="444">
        <v>608</v>
      </c>
      <c r="B663" s="444" t="s">
        <v>428</v>
      </c>
      <c r="C663" s="445">
        <v>667</v>
      </c>
      <c r="D663" s="448" t="s">
        <v>3446</v>
      </c>
      <c r="E663" s="149"/>
      <c r="F663" s="149"/>
    </row>
    <row r="664" spans="1:6">
      <c r="A664" s="442">
        <v>607</v>
      </c>
      <c r="B664" s="442" t="s">
        <v>3852</v>
      </c>
      <c r="C664" s="443">
        <v>879</v>
      </c>
      <c r="D664" s="447" t="s">
        <v>3446</v>
      </c>
      <c r="E664" s="149"/>
      <c r="F664" s="149"/>
    </row>
    <row r="665" spans="1:6">
      <c r="A665" s="444">
        <v>606</v>
      </c>
      <c r="B665" s="444" t="s">
        <v>1766</v>
      </c>
      <c r="C665" s="445">
        <v>375</v>
      </c>
      <c r="D665" s="448" t="s">
        <v>3446</v>
      </c>
      <c r="E665" s="149"/>
      <c r="F665" s="149"/>
    </row>
    <row r="666" spans="1:6">
      <c r="A666" s="442">
        <v>600</v>
      </c>
      <c r="B666" s="442" t="s">
        <v>1587</v>
      </c>
      <c r="C666" s="443">
        <v>685</v>
      </c>
      <c r="D666" s="447" t="s">
        <v>3446</v>
      </c>
      <c r="E666" s="149"/>
      <c r="F666" s="149"/>
    </row>
    <row r="667" spans="1:6">
      <c r="A667" s="444">
        <v>599</v>
      </c>
      <c r="B667" s="444" t="s">
        <v>3853</v>
      </c>
      <c r="C667" s="445">
        <v>721</v>
      </c>
      <c r="D667" s="448" t="s">
        <v>3446</v>
      </c>
      <c r="E667" s="149"/>
      <c r="F667" s="149"/>
    </row>
    <row r="668" spans="1:6">
      <c r="A668" s="442">
        <v>595</v>
      </c>
      <c r="B668" s="442" t="s">
        <v>1141</v>
      </c>
      <c r="C668" s="443">
        <v>718</v>
      </c>
      <c r="D668" s="447" t="s">
        <v>3446</v>
      </c>
      <c r="E668" s="149"/>
      <c r="F668" s="149"/>
    </row>
    <row r="669" spans="1:6">
      <c r="A669" s="444">
        <v>590</v>
      </c>
      <c r="B669" s="444" t="s">
        <v>307</v>
      </c>
      <c r="C669" s="445">
        <v>659</v>
      </c>
      <c r="D669" s="448" t="s">
        <v>3446</v>
      </c>
      <c r="E669" s="149"/>
      <c r="F669" s="149"/>
    </row>
    <row r="670" spans="1:6">
      <c r="A670" s="442">
        <v>587</v>
      </c>
      <c r="B670" s="442" t="s">
        <v>3854</v>
      </c>
      <c r="C670" s="443">
        <v>844</v>
      </c>
      <c r="D670" s="447" t="s">
        <v>3446</v>
      </c>
      <c r="E670" s="149"/>
      <c r="F670" s="149"/>
    </row>
    <row r="671" spans="1:6">
      <c r="A671" s="444">
        <v>586</v>
      </c>
      <c r="B671" s="444" t="s">
        <v>1385</v>
      </c>
      <c r="C671" s="445">
        <v>684</v>
      </c>
      <c r="D671" s="448" t="s">
        <v>3446</v>
      </c>
      <c r="E671" s="149"/>
      <c r="F671" s="149"/>
    </row>
    <row r="672" spans="1:6">
      <c r="A672" s="442">
        <v>585</v>
      </c>
      <c r="B672" s="442" t="s">
        <v>1809</v>
      </c>
      <c r="C672" s="443">
        <v>480</v>
      </c>
      <c r="D672" s="447" t="s">
        <v>3446</v>
      </c>
      <c r="E672" s="149"/>
      <c r="F672" s="149"/>
    </row>
    <row r="673" spans="1:6">
      <c r="A673" s="444">
        <v>584</v>
      </c>
      <c r="B673" s="444" t="s">
        <v>1539</v>
      </c>
      <c r="C673" s="445">
        <v>510</v>
      </c>
      <c r="D673" s="448" t="s">
        <v>3446</v>
      </c>
      <c r="E673" s="149"/>
      <c r="F673" s="149"/>
    </row>
    <row r="674" spans="1:6">
      <c r="A674" s="442">
        <v>580</v>
      </c>
      <c r="B674" s="442" t="s">
        <v>2149</v>
      </c>
      <c r="C674" s="443">
        <v>576</v>
      </c>
      <c r="D674" s="447" t="s">
        <v>3446</v>
      </c>
      <c r="E674" s="149"/>
      <c r="F674" s="149"/>
    </row>
    <row r="675" spans="1:6">
      <c r="A675" s="444">
        <v>579</v>
      </c>
      <c r="B675" s="444" t="s">
        <v>1377</v>
      </c>
      <c r="C675" s="445">
        <v>432</v>
      </c>
      <c r="D675" s="448" t="s">
        <v>3446</v>
      </c>
      <c r="E675" s="149"/>
      <c r="F675" s="149"/>
    </row>
    <row r="676" spans="1:6">
      <c r="A676" s="442">
        <v>578</v>
      </c>
      <c r="B676" s="442" t="s">
        <v>3855</v>
      </c>
      <c r="C676" s="443">
        <v>386</v>
      </c>
      <c r="D676" s="447" t="s">
        <v>3446</v>
      </c>
      <c r="E676" s="149"/>
      <c r="F676" s="149"/>
    </row>
    <row r="677" spans="1:6">
      <c r="A677" s="444">
        <v>576</v>
      </c>
      <c r="B677" s="444" t="s">
        <v>2008</v>
      </c>
      <c r="C677" s="445">
        <v>574</v>
      </c>
      <c r="D677" s="448" t="s">
        <v>3446</v>
      </c>
      <c r="E677" s="149"/>
      <c r="F677" s="149"/>
    </row>
    <row r="678" spans="1:6">
      <c r="A678" s="442">
        <v>575</v>
      </c>
      <c r="B678" s="442" t="s">
        <v>418</v>
      </c>
      <c r="C678" s="443">
        <v>485</v>
      </c>
      <c r="D678" s="447" t="s">
        <v>3446</v>
      </c>
      <c r="E678" s="149"/>
      <c r="F678" s="149"/>
    </row>
    <row r="679" spans="1:6">
      <c r="A679" s="444">
        <v>573</v>
      </c>
      <c r="B679" s="444" t="s">
        <v>307</v>
      </c>
      <c r="C679" s="445">
        <v>614</v>
      </c>
      <c r="D679" s="448" t="s">
        <v>3446</v>
      </c>
      <c r="E679" s="149"/>
      <c r="F679" s="149"/>
    </row>
    <row r="680" spans="1:6">
      <c r="A680" s="442">
        <v>572</v>
      </c>
      <c r="B680" s="442" t="s">
        <v>1592</v>
      </c>
      <c r="C680" s="443">
        <v>604</v>
      </c>
      <c r="D680" s="447" t="s">
        <v>3446</v>
      </c>
      <c r="E680" s="149"/>
      <c r="F680" s="149"/>
    </row>
    <row r="681" spans="1:6" ht="23.25">
      <c r="A681" s="444">
        <v>569</v>
      </c>
      <c r="B681" s="444" t="s">
        <v>715</v>
      </c>
      <c r="C681" s="445">
        <v>842</v>
      </c>
      <c r="D681" s="448" t="s">
        <v>3446</v>
      </c>
      <c r="E681" s="149"/>
      <c r="F681" s="149"/>
    </row>
    <row r="682" spans="1:6">
      <c r="A682" s="442">
        <v>568</v>
      </c>
      <c r="B682" s="442" t="s">
        <v>2264</v>
      </c>
      <c r="C682" s="443">
        <v>416</v>
      </c>
      <c r="D682" s="447" t="s">
        <v>3446</v>
      </c>
      <c r="E682" s="149"/>
      <c r="F682" s="149"/>
    </row>
    <row r="683" spans="1:6">
      <c r="A683" s="444">
        <v>567</v>
      </c>
      <c r="B683" s="444" t="s">
        <v>1074</v>
      </c>
      <c r="C683" s="445">
        <v>421</v>
      </c>
      <c r="D683" s="448" t="s">
        <v>3446</v>
      </c>
      <c r="E683" s="149"/>
      <c r="F683" s="149"/>
    </row>
    <row r="684" spans="1:6" ht="23.25">
      <c r="A684" s="442">
        <v>564</v>
      </c>
      <c r="B684" s="442" t="s">
        <v>375</v>
      </c>
      <c r="C684" s="443">
        <v>846</v>
      </c>
      <c r="D684" s="447" t="s">
        <v>3446</v>
      </c>
      <c r="E684" s="149"/>
      <c r="F684" s="149"/>
    </row>
    <row r="685" spans="1:6">
      <c r="A685" s="444">
        <v>563</v>
      </c>
      <c r="B685" s="444" t="s">
        <v>3856</v>
      </c>
      <c r="C685" s="445">
        <v>372</v>
      </c>
      <c r="D685" s="448" t="s">
        <v>3446</v>
      </c>
      <c r="E685" s="149"/>
      <c r="F685" s="149"/>
    </row>
    <row r="686" spans="1:6">
      <c r="A686" s="442">
        <v>559</v>
      </c>
      <c r="B686" s="442" t="s">
        <v>1601</v>
      </c>
      <c r="C686" s="443">
        <v>733</v>
      </c>
      <c r="D686" s="447" t="s">
        <v>3446</v>
      </c>
      <c r="E686" s="149"/>
      <c r="F686" s="149"/>
    </row>
    <row r="687" spans="1:6" ht="23.25">
      <c r="A687" s="444">
        <v>558</v>
      </c>
      <c r="B687" s="444" t="s">
        <v>125</v>
      </c>
      <c r="C687" s="445">
        <v>624</v>
      </c>
      <c r="D687" s="448" t="s">
        <v>3446</v>
      </c>
      <c r="E687" s="149"/>
      <c r="F687" s="149"/>
    </row>
    <row r="688" spans="1:6">
      <c r="A688" s="442">
        <v>552</v>
      </c>
      <c r="B688" s="442" t="s">
        <v>3857</v>
      </c>
      <c r="C688" s="443">
        <v>674</v>
      </c>
      <c r="D688" s="447" t="s">
        <v>3446</v>
      </c>
      <c r="E688" s="149"/>
      <c r="F688" s="149"/>
    </row>
    <row r="689" spans="1:6">
      <c r="A689" s="444">
        <v>551</v>
      </c>
      <c r="B689" s="444" t="s">
        <v>1083</v>
      </c>
      <c r="C689" s="445">
        <v>714</v>
      </c>
      <c r="D689" s="448" t="s">
        <v>3446</v>
      </c>
      <c r="E689" s="149"/>
      <c r="F689" s="149"/>
    </row>
    <row r="690" spans="1:6">
      <c r="A690" s="442">
        <v>546</v>
      </c>
      <c r="B690" s="442" t="s">
        <v>598</v>
      </c>
      <c r="C690" s="443">
        <v>783</v>
      </c>
      <c r="D690" s="447" t="s">
        <v>3446</v>
      </c>
      <c r="E690" s="149"/>
      <c r="F690" s="149"/>
    </row>
    <row r="691" spans="1:6">
      <c r="A691" s="444">
        <v>544</v>
      </c>
      <c r="B691" s="444" t="s">
        <v>1325</v>
      </c>
      <c r="C691" s="445">
        <v>768</v>
      </c>
      <c r="D691" s="448" t="s">
        <v>3446</v>
      </c>
      <c r="E691" s="149"/>
      <c r="F691" s="149"/>
    </row>
    <row r="692" spans="1:6">
      <c r="A692" s="442">
        <v>543</v>
      </c>
      <c r="B692" s="442" t="s">
        <v>520</v>
      </c>
      <c r="C692" s="443">
        <v>532</v>
      </c>
      <c r="D692" s="447" t="s">
        <v>3446</v>
      </c>
      <c r="E692" s="149"/>
      <c r="F692" s="149"/>
    </row>
    <row r="693" spans="1:6">
      <c r="A693" s="444">
        <v>541</v>
      </c>
      <c r="B693" s="444" t="s">
        <v>1571</v>
      </c>
      <c r="C693" s="445">
        <v>535</v>
      </c>
      <c r="D693" s="448" t="s">
        <v>3446</v>
      </c>
      <c r="E693" s="149"/>
      <c r="F693" s="149"/>
    </row>
    <row r="694" spans="1:6">
      <c r="A694" s="442">
        <v>539</v>
      </c>
      <c r="B694" s="442" t="s">
        <v>854</v>
      </c>
      <c r="C694" s="443">
        <v>417</v>
      </c>
      <c r="D694" s="447" t="s">
        <v>3446</v>
      </c>
      <c r="E694" s="149"/>
      <c r="F694" s="149"/>
    </row>
    <row r="695" spans="1:6" ht="23.25">
      <c r="A695" s="444">
        <v>529</v>
      </c>
      <c r="B695" s="444" t="s">
        <v>1425</v>
      </c>
      <c r="C695" s="445">
        <v>801</v>
      </c>
      <c r="D695" s="448" t="s">
        <v>3446</v>
      </c>
      <c r="E695" s="149"/>
      <c r="F695" s="149"/>
    </row>
    <row r="696" spans="1:6" ht="23.25">
      <c r="A696" s="442">
        <v>525</v>
      </c>
      <c r="B696" s="442" t="s">
        <v>1155</v>
      </c>
      <c r="C696" s="443">
        <v>538</v>
      </c>
      <c r="D696" s="447" t="s">
        <v>3446</v>
      </c>
      <c r="E696" s="149"/>
      <c r="F696" s="149"/>
    </row>
    <row r="697" spans="1:6">
      <c r="A697" s="444">
        <v>524</v>
      </c>
      <c r="B697" s="444" t="s">
        <v>1507</v>
      </c>
      <c r="C697" s="445">
        <v>868</v>
      </c>
      <c r="D697" s="448" t="s">
        <v>3446</v>
      </c>
      <c r="E697" s="149"/>
      <c r="F697" s="149"/>
    </row>
    <row r="698" spans="1:6">
      <c r="A698" s="442">
        <v>523</v>
      </c>
      <c r="B698" s="442" t="s">
        <v>1828</v>
      </c>
      <c r="C698" s="443">
        <v>1809</v>
      </c>
      <c r="D698" s="447" t="s">
        <v>3446</v>
      </c>
      <c r="E698" s="149"/>
      <c r="F698" s="149"/>
    </row>
    <row r="699" spans="1:6" ht="23.25">
      <c r="A699" s="444">
        <v>522</v>
      </c>
      <c r="B699" s="444" t="s">
        <v>3858</v>
      </c>
      <c r="C699" s="445">
        <v>430</v>
      </c>
      <c r="D699" s="448" t="s">
        <v>3446</v>
      </c>
      <c r="E699" s="149"/>
      <c r="F699" s="149"/>
    </row>
    <row r="700" spans="1:6">
      <c r="A700" s="442">
        <v>521</v>
      </c>
      <c r="B700" s="442" t="s">
        <v>1256</v>
      </c>
      <c r="C700" s="443">
        <v>707</v>
      </c>
      <c r="D700" s="447" t="s">
        <v>3446</v>
      </c>
      <c r="E700" s="149"/>
      <c r="F700" s="149"/>
    </row>
    <row r="701" spans="1:6">
      <c r="A701" s="444">
        <v>518</v>
      </c>
      <c r="B701" s="444" t="s">
        <v>370</v>
      </c>
      <c r="C701" s="445">
        <v>701</v>
      </c>
      <c r="D701" s="448" t="s">
        <v>3446</v>
      </c>
      <c r="E701" s="149"/>
      <c r="F701" s="149"/>
    </row>
    <row r="702" spans="1:6" ht="23.25">
      <c r="A702" s="442">
        <v>514</v>
      </c>
      <c r="B702" s="442" t="s">
        <v>280</v>
      </c>
      <c r="C702" s="443">
        <v>459</v>
      </c>
      <c r="D702" s="447" t="s">
        <v>3446</v>
      </c>
      <c r="E702" s="149"/>
      <c r="F702" s="149"/>
    </row>
    <row r="703" spans="1:6">
      <c r="A703" s="444">
        <v>513</v>
      </c>
      <c r="B703" s="444" t="s">
        <v>773</v>
      </c>
      <c r="C703" s="445">
        <v>546</v>
      </c>
      <c r="D703" s="448" t="s">
        <v>3446</v>
      </c>
      <c r="E703" s="149"/>
      <c r="F703" s="149"/>
    </row>
    <row r="704" spans="1:6">
      <c r="A704" s="442">
        <v>512</v>
      </c>
      <c r="B704" s="442" t="s">
        <v>1239</v>
      </c>
      <c r="C704" s="443">
        <v>683</v>
      </c>
      <c r="D704" s="447" t="s">
        <v>3446</v>
      </c>
      <c r="E704" s="149"/>
      <c r="F704" s="149"/>
    </row>
    <row r="705" spans="1:6">
      <c r="A705" s="444">
        <v>511</v>
      </c>
      <c r="B705" s="444" t="s">
        <v>1278</v>
      </c>
      <c r="C705" s="445">
        <v>660</v>
      </c>
      <c r="D705" s="448" t="s">
        <v>3446</v>
      </c>
      <c r="E705" s="149"/>
      <c r="F705" s="149"/>
    </row>
    <row r="706" spans="1:6">
      <c r="A706" s="442">
        <v>510</v>
      </c>
      <c r="B706" s="442" t="s">
        <v>470</v>
      </c>
      <c r="C706" s="443">
        <v>437</v>
      </c>
      <c r="D706" s="447" t="s">
        <v>3446</v>
      </c>
      <c r="E706" s="149"/>
      <c r="F706" s="149"/>
    </row>
    <row r="707" spans="1:6">
      <c r="A707" s="444">
        <v>509</v>
      </c>
      <c r="B707" s="444" t="s">
        <v>887</v>
      </c>
      <c r="C707" s="445">
        <v>534</v>
      </c>
      <c r="D707" s="448" t="s">
        <v>3446</v>
      </c>
      <c r="E707" s="149"/>
      <c r="F707" s="149"/>
    </row>
    <row r="708" spans="1:6">
      <c r="A708" s="442">
        <v>508</v>
      </c>
      <c r="B708" s="442" t="s">
        <v>816</v>
      </c>
      <c r="C708" s="443">
        <v>792</v>
      </c>
      <c r="D708" s="447" t="s">
        <v>3446</v>
      </c>
      <c r="E708" s="149"/>
      <c r="F708" s="149"/>
    </row>
    <row r="709" spans="1:6">
      <c r="A709" s="444">
        <v>506</v>
      </c>
      <c r="B709" s="444" t="s">
        <v>2181</v>
      </c>
      <c r="C709" s="445">
        <v>456</v>
      </c>
      <c r="D709" s="448" t="s">
        <v>3446</v>
      </c>
      <c r="E709" s="149"/>
      <c r="F709" s="149"/>
    </row>
    <row r="710" spans="1:6">
      <c r="A710" s="442">
        <v>505</v>
      </c>
      <c r="B710" s="442" t="s">
        <v>140</v>
      </c>
      <c r="C710" s="443">
        <v>455</v>
      </c>
      <c r="D710" s="447" t="s">
        <v>3446</v>
      </c>
      <c r="E710" s="149"/>
      <c r="F710" s="149"/>
    </row>
    <row r="711" spans="1:6">
      <c r="A711" s="444">
        <v>504</v>
      </c>
      <c r="B711" s="444" t="s">
        <v>707</v>
      </c>
      <c r="C711" s="445">
        <v>703</v>
      </c>
      <c r="D711" s="448" t="s">
        <v>3446</v>
      </c>
      <c r="E711" s="149"/>
      <c r="F711" s="149"/>
    </row>
    <row r="712" spans="1:6">
      <c r="A712" s="442">
        <v>503</v>
      </c>
      <c r="B712" s="442" t="s">
        <v>810</v>
      </c>
      <c r="C712" s="443">
        <v>759</v>
      </c>
      <c r="D712" s="447" t="s">
        <v>3446</v>
      </c>
      <c r="E712" s="149"/>
      <c r="F712" s="149"/>
    </row>
    <row r="713" spans="1:6">
      <c r="A713" s="444">
        <v>502</v>
      </c>
      <c r="B713" s="444" t="s">
        <v>3859</v>
      </c>
      <c r="C713" s="445">
        <v>761</v>
      </c>
      <c r="D713" s="448" t="s">
        <v>3446</v>
      </c>
      <c r="E713" s="149"/>
      <c r="F713" s="149"/>
    </row>
    <row r="714" spans="1:6" ht="23.25">
      <c r="A714" s="442">
        <v>499</v>
      </c>
      <c r="B714" s="442" t="s">
        <v>900</v>
      </c>
      <c r="C714" s="443">
        <v>802</v>
      </c>
      <c r="D714" s="447" t="s">
        <v>3446</v>
      </c>
      <c r="E714" s="149"/>
      <c r="F714" s="149"/>
    </row>
    <row r="715" spans="1:6">
      <c r="A715" s="444">
        <v>498</v>
      </c>
      <c r="B715" s="444" t="s">
        <v>862</v>
      </c>
      <c r="C715" s="445">
        <v>482</v>
      </c>
      <c r="D715" s="448" t="s">
        <v>3446</v>
      </c>
      <c r="E715" s="149"/>
      <c r="F715" s="149"/>
    </row>
    <row r="716" spans="1:6">
      <c r="A716" s="442">
        <v>496</v>
      </c>
      <c r="B716" s="442" t="s">
        <v>882</v>
      </c>
      <c r="C716" s="443">
        <v>836</v>
      </c>
      <c r="D716" s="447" t="s">
        <v>3446</v>
      </c>
      <c r="E716" s="149"/>
      <c r="F716" s="149"/>
    </row>
    <row r="717" spans="1:6">
      <c r="A717" s="444">
        <v>494</v>
      </c>
      <c r="B717" s="444" t="s">
        <v>692</v>
      </c>
      <c r="C717" s="445">
        <v>393</v>
      </c>
      <c r="D717" s="448" t="s">
        <v>3446</v>
      </c>
      <c r="E717" s="149"/>
      <c r="F717" s="149"/>
    </row>
    <row r="718" spans="1:6">
      <c r="A718" s="442">
        <v>492</v>
      </c>
      <c r="B718" s="442" t="s">
        <v>1630</v>
      </c>
      <c r="C718" s="443">
        <v>805</v>
      </c>
      <c r="D718" s="447" t="s">
        <v>3446</v>
      </c>
      <c r="E718" s="149"/>
      <c r="F718" s="149"/>
    </row>
    <row r="719" spans="1:6">
      <c r="A719" s="444">
        <v>489</v>
      </c>
      <c r="B719" s="444" t="s">
        <v>1911</v>
      </c>
      <c r="C719" s="445">
        <v>806</v>
      </c>
      <c r="D719" s="448" t="s">
        <v>3446</v>
      </c>
      <c r="E719" s="149"/>
      <c r="F719" s="149"/>
    </row>
    <row r="720" spans="1:6">
      <c r="A720" s="442">
        <v>488</v>
      </c>
      <c r="B720" s="442" t="s">
        <v>302</v>
      </c>
      <c r="C720" s="443">
        <v>453</v>
      </c>
      <c r="D720" s="447" t="s">
        <v>3446</v>
      </c>
      <c r="E720" s="149"/>
      <c r="F720" s="149"/>
    </row>
    <row r="721" spans="1:6">
      <c r="A721" s="444">
        <v>486</v>
      </c>
      <c r="B721" s="444" t="s">
        <v>2260</v>
      </c>
      <c r="C721" s="445">
        <v>808</v>
      </c>
      <c r="D721" s="448" t="s">
        <v>3446</v>
      </c>
      <c r="E721" s="149"/>
      <c r="F721" s="149"/>
    </row>
    <row r="722" spans="1:6">
      <c r="A722" s="442">
        <v>485</v>
      </c>
      <c r="B722" s="442" t="s">
        <v>1663</v>
      </c>
      <c r="C722" s="443">
        <v>807</v>
      </c>
      <c r="D722" s="447" t="s">
        <v>3446</v>
      </c>
      <c r="E722" s="149"/>
      <c r="F722" s="149"/>
    </row>
    <row r="723" spans="1:6">
      <c r="A723" s="444">
        <v>484</v>
      </c>
      <c r="B723" s="444" t="s">
        <v>1197</v>
      </c>
      <c r="C723" s="445">
        <v>636</v>
      </c>
      <c r="D723" s="448" t="s">
        <v>3446</v>
      </c>
      <c r="E723" s="149"/>
      <c r="F723" s="149"/>
    </row>
    <row r="724" spans="1:6" ht="23.25">
      <c r="A724" s="442">
        <v>483</v>
      </c>
      <c r="B724" s="442" t="s">
        <v>3860</v>
      </c>
      <c r="C724" s="443">
        <v>1208</v>
      </c>
      <c r="D724" s="447" t="s">
        <v>3446</v>
      </c>
      <c r="E724" s="149"/>
      <c r="F724" s="149"/>
    </row>
    <row r="725" spans="1:6">
      <c r="A725" s="444">
        <v>482</v>
      </c>
      <c r="B725" s="444" t="s">
        <v>1983</v>
      </c>
      <c r="C725" s="445">
        <v>852</v>
      </c>
      <c r="D725" s="448" t="s">
        <v>3446</v>
      </c>
      <c r="E725" s="149"/>
      <c r="F725" s="149"/>
    </row>
    <row r="726" spans="1:6">
      <c r="A726" s="442">
        <v>479</v>
      </c>
      <c r="B726" s="442" t="s">
        <v>3861</v>
      </c>
      <c r="C726" s="443">
        <v>1806</v>
      </c>
      <c r="D726" s="447" t="s">
        <v>3446</v>
      </c>
      <c r="E726" s="149"/>
      <c r="F726" s="149"/>
    </row>
    <row r="727" spans="1:6" ht="23.25">
      <c r="A727" s="444">
        <v>475</v>
      </c>
      <c r="B727" s="444" t="s">
        <v>3862</v>
      </c>
      <c r="C727" s="445">
        <v>577</v>
      </c>
      <c r="D727" s="448" t="s">
        <v>3446</v>
      </c>
      <c r="E727" s="149"/>
      <c r="F727" s="149"/>
    </row>
    <row r="728" spans="1:6">
      <c r="A728" s="442">
        <v>474</v>
      </c>
      <c r="B728" s="442" t="s">
        <v>396</v>
      </c>
      <c r="C728" s="443">
        <v>440</v>
      </c>
      <c r="D728" s="447" t="s">
        <v>3446</v>
      </c>
      <c r="E728" s="149"/>
      <c r="F728" s="149"/>
    </row>
    <row r="729" spans="1:6">
      <c r="A729" s="444">
        <v>474</v>
      </c>
      <c r="B729" s="444" t="s">
        <v>396</v>
      </c>
      <c r="C729" s="445">
        <v>974</v>
      </c>
      <c r="D729" s="448" t="s">
        <v>3446</v>
      </c>
      <c r="E729" s="149"/>
      <c r="F729" s="149"/>
    </row>
    <row r="730" spans="1:6">
      <c r="A730" s="442">
        <v>473</v>
      </c>
      <c r="B730" s="442" t="s">
        <v>960</v>
      </c>
      <c r="C730" s="443">
        <v>796</v>
      </c>
      <c r="D730" s="447" t="s">
        <v>3446</v>
      </c>
      <c r="E730" s="149"/>
      <c r="F730" s="149"/>
    </row>
    <row r="731" spans="1:6">
      <c r="A731" s="444">
        <v>470</v>
      </c>
      <c r="B731" s="444" t="s">
        <v>233</v>
      </c>
      <c r="C731" s="445">
        <v>809</v>
      </c>
      <c r="D731" s="448" t="s">
        <v>3446</v>
      </c>
      <c r="E731" s="149"/>
      <c r="F731" s="149"/>
    </row>
    <row r="732" spans="1:6">
      <c r="A732" s="442">
        <v>468</v>
      </c>
      <c r="B732" s="442" t="s">
        <v>3347</v>
      </c>
      <c r="C732" s="443">
        <v>778</v>
      </c>
      <c r="D732" s="447" t="s">
        <v>3446</v>
      </c>
      <c r="E732" s="149"/>
      <c r="F732" s="149"/>
    </row>
    <row r="733" spans="1:6" ht="23.25">
      <c r="A733" s="444">
        <v>467</v>
      </c>
      <c r="B733" s="444" t="s">
        <v>824</v>
      </c>
      <c r="C733" s="445">
        <v>793</v>
      </c>
      <c r="D733" s="448" t="s">
        <v>3446</v>
      </c>
      <c r="E733" s="149"/>
      <c r="F733" s="149"/>
    </row>
    <row r="734" spans="1:6">
      <c r="A734" s="442">
        <v>464</v>
      </c>
      <c r="B734" s="442" t="s">
        <v>103</v>
      </c>
      <c r="C734" s="443">
        <v>681</v>
      </c>
      <c r="D734" s="447" t="s">
        <v>3446</v>
      </c>
      <c r="E734" s="149"/>
      <c r="F734" s="149"/>
    </row>
    <row r="735" spans="1:6">
      <c r="A735" s="444">
        <v>461</v>
      </c>
      <c r="B735" s="444" t="s">
        <v>263</v>
      </c>
      <c r="C735" s="445">
        <v>531</v>
      </c>
      <c r="D735" s="448" t="s">
        <v>3446</v>
      </c>
      <c r="E735" s="149"/>
      <c r="F735" s="149"/>
    </row>
    <row r="736" spans="1:6">
      <c r="A736" s="442">
        <v>458</v>
      </c>
      <c r="B736" s="442" t="s">
        <v>1703</v>
      </c>
      <c r="C736" s="443">
        <v>544</v>
      </c>
      <c r="D736" s="447" t="s">
        <v>3446</v>
      </c>
      <c r="E736" s="149"/>
      <c r="F736" s="149"/>
    </row>
    <row r="737" spans="1:6">
      <c r="A737" s="444">
        <v>455</v>
      </c>
      <c r="B737" s="444" t="s">
        <v>1290</v>
      </c>
      <c r="C737" s="445">
        <v>798</v>
      </c>
      <c r="D737" s="448" t="s">
        <v>3446</v>
      </c>
      <c r="E737" s="149"/>
      <c r="F737" s="149"/>
    </row>
    <row r="738" spans="1:6">
      <c r="A738" s="442">
        <v>454</v>
      </c>
      <c r="B738" s="442" t="s">
        <v>1608</v>
      </c>
      <c r="C738" s="443">
        <v>790</v>
      </c>
      <c r="D738" s="447" t="s">
        <v>3446</v>
      </c>
      <c r="E738" s="149"/>
      <c r="F738" s="149"/>
    </row>
    <row r="739" spans="1:6">
      <c r="A739" s="444">
        <v>453</v>
      </c>
      <c r="B739" s="444" t="s">
        <v>1977</v>
      </c>
      <c r="C739" s="445">
        <v>517</v>
      </c>
      <c r="D739" s="448" t="s">
        <v>3446</v>
      </c>
      <c r="E739" s="149"/>
      <c r="F739" s="149"/>
    </row>
    <row r="740" spans="1:6">
      <c r="A740" s="442">
        <v>452</v>
      </c>
      <c r="B740" s="442" t="s">
        <v>88</v>
      </c>
      <c r="C740" s="443">
        <v>642</v>
      </c>
      <c r="D740" s="447" t="s">
        <v>3446</v>
      </c>
      <c r="E740" s="149"/>
      <c r="F740" s="149"/>
    </row>
    <row r="741" spans="1:6">
      <c r="A741" s="444">
        <v>446</v>
      </c>
      <c r="B741" s="444" t="s">
        <v>1833</v>
      </c>
      <c r="C741" s="445">
        <v>545</v>
      </c>
      <c r="D741" s="448" t="s">
        <v>3446</v>
      </c>
      <c r="E741" s="149"/>
      <c r="F741" s="149"/>
    </row>
    <row r="742" spans="1:6">
      <c r="A742" s="442">
        <v>446</v>
      </c>
      <c r="B742" s="442" t="s">
        <v>1833</v>
      </c>
      <c r="C742" s="443">
        <v>1001</v>
      </c>
      <c r="D742" s="447" t="s">
        <v>3446</v>
      </c>
      <c r="E742" s="149"/>
      <c r="F742" s="149"/>
    </row>
    <row r="743" spans="1:6">
      <c r="A743" s="444">
        <v>445</v>
      </c>
      <c r="B743" s="444" t="s">
        <v>730</v>
      </c>
      <c r="C743" s="445">
        <v>770</v>
      </c>
      <c r="D743" s="448" t="s">
        <v>3446</v>
      </c>
      <c r="E743" s="149"/>
      <c r="F743" s="149"/>
    </row>
    <row r="744" spans="1:6" ht="23.25">
      <c r="A744" s="442">
        <v>442</v>
      </c>
      <c r="B744" s="442" t="s">
        <v>1179</v>
      </c>
      <c r="C744" s="443">
        <v>817</v>
      </c>
      <c r="D744" s="447" t="s">
        <v>3446</v>
      </c>
      <c r="E744" s="149"/>
      <c r="F744" s="149"/>
    </row>
    <row r="745" spans="1:6">
      <c r="A745" s="444">
        <v>433</v>
      </c>
      <c r="B745" s="444" t="s">
        <v>1447</v>
      </c>
      <c r="C745" s="445">
        <v>803</v>
      </c>
      <c r="D745" s="448" t="s">
        <v>3446</v>
      </c>
      <c r="E745" s="149"/>
      <c r="F745" s="149"/>
    </row>
    <row r="746" spans="1:6">
      <c r="A746" s="442">
        <v>432</v>
      </c>
      <c r="B746" s="442" t="s">
        <v>1800</v>
      </c>
      <c r="C746" s="443">
        <v>780</v>
      </c>
      <c r="D746" s="447" t="s">
        <v>3446</v>
      </c>
      <c r="E746" s="149"/>
      <c r="F746" s="149"/>
    </row>
    <row r="747" spans="1:6">
      <c r="A747" s="444">
        <v>431</v>
      </c>
      <c r="B747" s="444" t="s">
        <v>2234</v>
      </c>
      <c r="C747" s="445">
        <v>579</v>
      </c>
      <c r="D747" s="448" t="s">
        <v>3446</v>
      </c>
      <c r="E747" s="149"/>
      <c r="F747" s="149"/>
    </row>
    <row r="748" spans="1:6">
      <c r="A748" s="442">
        <v>429</v>
      </c>
      <c r="B748" s="442" t="s">
        <v>840</v>
      </c>
      <c r="C748" s="443">
        <v>794</v>
      </c>
      <c r="D748" s="447" t="s">
        <v>3446</v>
      </c>
      <c r="E748" s="149"/>
      <c r="F748" s="149"/>
    </row>
    <row r="749" spans="1:6">
      <c r="A749" s="444">
        <v>428</v>
      </c>
      <c r="B749" s="444" t="s">
        <v>186</v>
      </c>
      <c r="C749" s="445">
        <v>530</v>
      </c>
      <c r="D749" s="448" t="s">
        <v>3446</v>
      </c>
      <c r="E749" s="149"/>
      <c r="F749" s="149"/>
    </row>
    <row r="750" spans="1:6">
      <c r="A750" s="442">
        <v>427</v>
      </c>
      <c r="B750" s="442" t="s">
        <v>1805</v>
      </c>
      <c r="C750" s="443">
        <v>607</v>
      </c>
      <c r="D750" s="447" t="s">
        <v>3446</v>
      </c>
      <c r="E750" s="149"/>
      <c r="F750" s="149"/>
    </row>
    <row r="751" spans="1:6">
      <c r="A751" s="444">
        <v>426</v>
      </c>
      <c r="B751" s="444" t="s">
        <v>768</v>
      </c>
      <c r="C751" s="445">
        <v>542</v>
      </c>
      <c r="D751" s="448" t="s">
        <v>3446</v>
      </c>
      <c r="E751" s="149"/>
      <c r="F751" s="149"/>
    </row>
    <row r="752" spans="1:6">
      <c r="A752" s="442">
        <v>425</v>
      </c>
      <c r="B752" s="442" t="s">
        <v>228</v>
      </c>
      <c r="C752" s="443">
        <v>773</v>
      </c>
      <c r="D752" s="447" t="s">
        <v>3446</v>
      </c>
      <c r="E752" s="149"/>
      <c r="F752" s="149"/>
    </row>
    <row r="753" spans="1:6">
      <c r="A753" s="444">
        <v>423</v>
      </c>
      <c r="B753" s="444" t="s">
        <v>1580</v>
      </c>
      <c r="C753" s="445">
        <v>536</v>
      </c>
      <c r="D753" s="448" t="s">
        <v>3446</v>
      </c>
      <c r="E753" s="149"/>
      <c r="F753" s="149"/>
    </row>
    <row r="754" spans="1:6" ht="23.25">
      <c r="A754" s="442">
        <v>422</v>
      </c>
      <c r="B754" s="442" t="s">
        <v>984</v>
      </c>
      <c r="C754" s="443">
        <v>586</v>
      </c>
      <c r="D754" s="447" t="s">
        <v>3446</v>
      </c>
      <c r="E754" s="149"/>
      <c r="F754" s="149"/>
    </row>
    <row r="755" spans="1:6">
      <c r="A755" s="444">
        <v>411</v>
      </c>
      <c r="B755" s="444" t="s">
        <v>1675</v>
      </c>
      <c r="C755" s="445">
        <v>804</v>
      </c>
      <c r="D755" s="448" t="s">
        <v>3446</v>
      </c>
      <c r="E755" s="149"/>
      <c r="F755" s="149"/>
    </row>
    <row r="756" spans="1:6">
      <c r="A756" s="442">
        <v>410</v>
      </c>
      <c r="B756" s="442" t="s">
        <v>524</v>
      </c>
      <c r="C756" s="443">
        <v>528</v>
      </c>
      <c r="D756" s="447" t="s">
        <v>3446</v>
      </c>
      <c r="E756" s="149"/>
      <c r="F756" s="149"/>
    </row>
    <row r="757" spans="1:6">
      <c r="A757" s="444">
        <v>409</v>
      </c>
      <c r="B757" s="444" t="s">
        <v>1146</v>
      </c>
      <c r="C757" s="445">
        <v>724</v>
      </c>
      <c r="D757" s="448" t="s">
        <v>3446</v>
      </c>
      <c r="E757" s="149"/>
      <c r="F757" s="149"/>
    </row>
    <row r="758" spans="1:6">
      <c r="A758" s="442">
        <v>408</v>
      </c>
      <c r="B758" s="442" t="s">
        <v>1461</v>
      </c>
      <c r="C758" s="443">
        <v>662</v>
      </c>
      <c r="D758" s="447" t="s">
        <v>3446</v>
      </c>
      <c r="E758" s="149"/>
      <c r="F758" s="149"/>
    </row>
    <row r="759" spans="1:6" ht="23.25">
      <c r="A759" s="444">
        <v>407</v>
      </c>
      <c r="B759" s="444" t="s">
        <v>1545</v>
      </c>
      <c r="C759" s="445">
        <v>774</v>
      </c>
      <c r="D759" s="448" t="s">
        <v>3446</v>
      </c>
      <c r="E759" s="149"/>
      <c r="F759" s="149"/>
    </row>
    <row r="760" spans="1:6">
      <c r="A760" s="442">
        <v>405</v>
      </c>
      <c r="B760" s="442" t="s">
        <v>3863</v>
      </c>
      <c r="C760" s="443">
        <v>853</v>
      </c>
      <c r="D760" s="447" t="s">
        <v>3446</v>
      </c>
      <c r="E760" s="149"/>
      <c r="F760" s="149"/>
    </row>
    <row r="761" spans="1:6">
      <c r="A761" s="444">
        <v>404</v>
      </c>
      <c r="B761" s="444" t="s">
        <v>151</v>
      </c>
      <c r="C761" s="445">
        <v>529</v>
      </c>
      <c r="D761" s="448" t="s">
        <v>3446</v>
      </c>
      <c r="E761" s="149"/>
      <c r="F761" s="149"/>
    </row>
    <row r="762" spans="1:6" ht="23.25">
      <c r="A762" s="442">
        <v>396</v>
      </c>
      <c r="B762" s="442" t="s">
        <v>1563</v>
      </c>
      <c r="C762" s="443">
        <v>732</v>
      </c>
      <c r="D762" s="447" t="s">
        <v>3446</v>
      </c>
      <c r="E762" s="149"/>
      <c r="F762" s="149"/>
    </row>
    <row r="763" spans="1:6">
      <c r="A763" s="444">
        <v>395</v>
      </c>
      <c r="B763" s="444" t="s">
        <v>2153</v>
      </c>
      <c r="C763" s="445">
        <v>523</v>
      </c>
      <c r="D763" s="448" t="s">
        <v>3446</v>
      </c>
      <c r="E763" s="149"/>
      <c r="F763" s="149"/>
    </row>
    <row r="764" spans="1:6">
      <c r="A764" s="442">
        <v>392</v>
      </c>
      <c r="B764" s="442" t="s">
        <v>1202</v>
      </c>
      <c r="C764" s="443">
        <v>730</v>
      </c>
      <c r="D764" s="447" t="s">
        <v>3446</v>
      </c>
      <c r="E764" s="149"/>
      <c r="F764" s="149"/>
    </row>
    <row r="765" spans="1:6">
      <c r="A765" s="444">
        <v>390</v>
      </c>
      <c r="B765" s="444" t="s">
        <v>2033</v>
      </c>
      <c r="C765" s="445">
        <v>548</v>
      </c>
      <c r="D765" s="448" t="s">
        <v>3446</v>
      </c>
      <c r="E765" s="149"/>
      <c r="F765" s="149"/>
    </row>
    <row r="766" spans="1:6">
      <c r="A766" s="442">
        <v>389</v>
      </c>
      <c r="B766" s="442" t="s">
        <v>1087</v>
      </c>
      <c r="C766" s="443">
        <v>580</v>
      </c>
      <c r="D766" s="447" t="s">
        <v>3446</v>
      </c>
      <c r="E766" s="149"/>
      <c r="F766" s="149"/>
    </row>
    <row r="767" spans="1:6" ht="23.25">
      <c r="A767" s="444">
        <v>387</v>
      </c>
      <c r="B767" s="444" t="s">
        <v>335</v>
      </c>
      <c r="C767" s="445">
        <v>973</v>
      </c>
      <c r="D767" s="448" t="s">
        <v>3446</v>
      </c>
      <c r="E767" s="149"/>
      <c r="F767" s="149"/>
    </row>
    <row r="768" spans="1:6" ht="23.25">
      <c r="A768" s="442">
        <v>383</v>
      </c>
      <c r="B768" s="442" t="s">
        <v>448</v>
      </c>
      <c r="C768" s="443">
        <v>606</v>
      </c>
      <c r="D768" s="447" t="s">
        <v>3446</v>
      </c>
      <c r="E768" s="149"/>
      <c r="F768" s="149"/>
    </row>
    <row r="769" spans="1:6">
      <c r="A769" s="444">
        <v>381</v>
      </c>
      <c r="B769" s="444" t="s">
        <v>1854</v>
      </c>
      <c r="C769" s="445">
        <v>454</v>
      </c>
      <c r="D769" s="448" t="s">
        <v>3446</v>
      </c>
      <c r="E769" s="149"/>
      <c r="F769" s="149"/>
    </row>
    <row r="770" spans="1:6">
      <c r="A770" s="442">
        <v>380</v>
      </c>
      <c r="B770" s="442" t="s">
        <v>798</v>
      </c>
      <c r="C770" s="443">
        <v>490</v>
      </c>
      <c r="D770" s="447" t="s">
        <v>3446</v>
      </c>
      <c r="E770" s="149"/>
      <c r="F770" s="149"/>
    </row>
    <row r="771" spans="1:6">
      <c r="A771" s="444">
        <v>379</v>
      </c>
      <c r="B771" s="444" t="s">
        <v>355</v>
      </c>
      <c r="C771" s="445">
        <v>581</v>
      </c>
      <c r="D771" s="448" t="s">
        <v>3446</v>
      </c>
      <c r="E771" s="149"/>
      <c r="F771" s="149"/>
    </row>
    <row r="772" spans="1:6">
      <c r="A772" s="442">
        <v>376</v>
      </c>
      <c r="B772" s="442" t="s">
        <v>1007</v>
      </c>
      <c r="C772" s="443">
        <v>727</v>
      </c>
      <c r="D772" s="447" t="s">
        <v>3446</v>
      </c>
      <c r="E772" s="149"/>
      <c r="F772" s="149"/>
    </row>
    <row r="773" spans="1:6" ht="23.25">
      <c r="A773" s="444">
        <v>375</v>
      </c>
      <c r="B773" s="444" t="s">
        <v>1989</v>
      </c>
      <c r="C773" s="445">
        <v>595</v>
      </c>
      <c r="D773" s="448" t="s">
        <v>3446</v>
      </c>
      <c r="E773" s="149"/>
      <c r="F773" s="149"/>
    </row>
    <row r="774" spans="1:6">
      <c r="A774" s="442">
        <v>374</v>
      </c>
      <c r="B774" s="442" t="s">
        <v>3150</v>
      </c>
      <c r="C774" s="443">
        <v>700</v>
      </c>
      <c r="D774" s="447" t="s">
        <v>3446</v>
      </c>
      <c r="E774" s="149"/>
      <c r="F774" s="149"/>
    </row>
    <row r="775" spans="1:6">
      <c r="A775" s="444">
        <v>373</v>
      </c>
      <c r="B775" s="444" t="s">
        <v>1491</v>
      </c>
      <c r="C775" s="445">
        <v>509</v>
      </c>
      <c r="D775" s="448" t="s">
        <v>3446</v>
      </c>
      <c r="E775" s="149"/>
      <c r="F775" s="149"/>
    </row>
    <row r="776" spans="1:6">
      <c r="A776" s="442">
        <v>372</v>
      </c>
      <c r="B776" s="442" t="s">
        <v>1312</v>
      </c>
      <c r="C776" s="443">
        <v>884</v>
      </c>
      <c r="D776" s="447" t="s">
        <v>3446</v>
      </c>
      <c r="E776" s="149"/>
      <c r="F776" s="149"/>
    </row>
    <row r="777" spans="1:6">
      <c r="A777" s="444">
        <v>370</v>
      </c>
      <c r="B777" s="444" t="s">
        <v>29</v>
      </c>
      <c r="C777" s="445">
        <v>444</v>
      </c>
      <c r="D777" s="448" t="s">
        <v>3446</v>
      </c>
      <c r="E777" s="149"/>
      <c r="F777" s="149"/>
    </row>
    <row r="778" spans="1:6">
      <c r="A778" s="442">
        <v>369</v>
      </c>
      <c r="B778" s="442" t="s">
        <v>2029</v>
      </c>
      <c r="C778" s="443">
        <v>746</v>
      </c>
      <c r="D778" s="447" t="s">
        <v>3446</v>
      </c>
      <c r="E778" s="149"/>
      <c r="F778" s="149"/>
    </row>
    <row r="779" spans="1:6" ht="23.25">
      <c r="A779" s="444">
        <v>366</v>
      </c>
      <c r="B779" s="444" t="s">
        <v>3864</v>
      </c>
      <c r="C779" s="445">
        <v>593</v>
      </c>
      <c r="D779" s="448" t="s">
        <v>3446</v>
      </c>
      <c r="E779" s="149"/>
      <c r="F779" s="149"/>
    </row>
    <row r="780" spans="1:6">
      <c r="A780" s="442">
        <v>364</v>
      </c>
      <c r="B780" s="442" t="s">
        <v>3865</v>
      </c>
      <c r="C780" s="443">
        <v>760</v>
      </c>
      <c r="D780" s="447" t="s">
        <v>3446</v>
      </c>
      <c r="E780" s="149"/>
      <c r="F780" s="149"/>
    </row>
    <row r="781" spans="1:6" ht="23.25">
      <c r="A781" s="444">
        <v>362</v>
      </c>
      <c r="B781" s="444" t="s">
        <v>2088</v>
      </c>
      <c r="C781" s="445">
        <v>745</v>
      </c>
      <c r="D781" s="448" t="s">
        <v>3446</v>
      </c>
      <c r="E781" s="149"/>
      <c r="F781" s="149"/>
    </row>
    <row r="782" spans="1:6">
      <c r="A782" s="442">
        <v>360</v>
      </c>
      <c r="B782" s="442" t="s">
        <v>3866</v>
      </c>
      <c r="C782" s="443">
        <v>516</v>
      </c>
      <c r="D782" s="447" t="s">
        <v>3446</v>
      </c>
      <c r="E782" s="149"/>
      <c r="F782" s="149"/>
    </row>
    <row r="783" spans="1:6">
      <c r="A783" s="444">
        <v>358</v>
      </c>
      <c r="B783" s="444" t="s">
        <v>3867</v>
      </c>
      <c r="C783" s="445">
        <v>763</v>
      </c>
      <c r="D783" s="448" t="s">
        <v>3446</v>
      </c>
      <c r="E783" s="149"/>
      <c r="F783" s="149"/>
    </row>
    <row r="784" spans="1:6">
      <c r="A784" s="442">
        <v>357</v>
      </c>
      <c r="B784" s="442" t="s">
        <v>3868</v>
      </c>
      <c r="C784" s="443">
        <v>515</v>
      </c>
      <c r="D784" s="447" t="s">
        <v>3446</v>
      </c>
      <c r="E784" s="149"/>
      <c r="F784" s="149"/>
    </row>
    <row r="785" spans="1:6">
      <c r="A785" s="444">
        <v>354</v>
      </c>
      <c r="B785" s="444" t="s">
        <v>1721</v>
      </c>
      <c r="C785" s="445">
        <v>663</v>
      </c>
      <c r="D785" s="448" t="s">
        <v>3446</v>
      </c>
      <c r="E785" s="149"/>
      <c r="F785" s="149"/>
    </row>
    <row r="786" spans="1:6">
      <c r="A786" s="442">
        <v>352</v>
      </c>
      <c r="B786" s="442" t="s">
        <v>1713</v>
      </c>
      <c r="C786" s="443">
        <v>643</v>
      </c>
      <c r="D786" s="447" t="s">
        <v>3446</v>
      </c>
      <c r="E786" s="149"/>
      <c r="F786" s="149"/>
    </row>
    <row r="787" spans="1:6">
      <c r="A787" s="444">
        <v>350</v>
      </c>
      <c r="B787" s="444" t="s">
        <v>1623</v>
      </c>
      <c r="C787" s="445">
        <v>592</v>
      </c>
      <c r="D787" s="448" t="s">
        <v>3446</v>
      </c>
      <c r="E787" s="149"/>
      <c r="F787" s="149"/>
    </row>
    <row r="788" spans="1:6">
      <c r="A788" s="442">
        <v>348</v>
      </c>
      <c r="B788" s="442" t="s">
        <v>584</v>
      </c>
      <c r="C788" s="443">
        <v>600</v>
      </c>
      <c r="D788" s="447" t="s">
        <v>3446</v>
      </c>
      <c r="E788" s="149"/>
      <c r="F788" s="149"/>
    </row>
    <row r="789" spans="1:6">
      <c r="A789" s="444">
        <v>347</v>
      </c>
      <c r="B789" s="444" t="s">
        <v>452</v>
      </c>
      <c r="C789" s="445">
        <v>717</v>
      </c>
      <c r="D789" s="448" t="s">
        <v>3446</v>
      </c>
      <c r="E789" s="149"/>
      <c r="F789" s="149"/>
    </row>
    <row r="790" spans="1:6">
      <c r="A790" s="442">
        <v>346</v>
      </c>
      <c r="B790" s="442" t="s">
        <v>3869</v>
      </c>
      <c r="C790" s="443">
        <v>881</v>
      </c>
      <c r="D790" s="447" t="s">
        <v>3446</v>
      </c>
      <c r="E790" s="149"/>
      <c r="F790" s="149"/>
    </row>
    <row r="791" spans="1:6">
      <c r="A791" s="444">
        <v>345</v>
      </c>
      <c r="B791" s="444" t="s">
        <v>1530</v>
      </c>
      <c r="C791" s="445">
        <v>795</v>
      </c>
      <c r="D791" s="448" t="s">
        <v>3446</v>
      </c>
      <c r="E791" s="149"/>
      <c r="F791" s="149"/>
    </row>
    <row r="792" spans="1:6">
      <c r="A792" s="442">
        <v>344</v>
      </c>
      <c r="B792" s="442" t="s">
        <v>3870</v>
      </c>
      <c r="C792" s="443">
        <v>541</v>
      </c>
      <c r="D792" s="447" t="s">
        <v>3446</v>
      </c>
      <c r="E792" s="149"/>
      <c r="F792" s="149"/>
    </row>
    <row r="793" spans="1:6">
      <c r="A793" s="444">
        <v>341</v>
      </c>
      <c r="B793" s="444" t="s">
        <v>2197</v>
      </c>
      <c r="C793" s="445">
        <v>596</v>
      </c>
      <c r="D793" s="448" t="s">
        <v>3446</v>
      </c>
      <c r="E793" s="149"/>
      <c r="F793" s="149"/>
    </row>
    <row r="794" spans="1:6">
      <c r="A794" s="442">
        <v>340</v>
      </c>
      <c r="B794" s="442" t="s">
        <v>1350</v>
      </c>
      <c r="C794" s="443">
        <v>540</v>
      </c>
      <c r="D794" s="447" t="s">
        <v>3446</v>
      </c>
      <c r="E794" s="149"/>
      <c r="F794" s="149"/>
    </row>
    <row r="795" spans="1:6" ht="23.25">
      <c r="A795" s="444">
        <v>339</v>
      </c>
      <c r="B795" s="444" t="s">
        <v>3871</v>
      </c>
      <c r="C795" s="445">
        <v>493</v>
      </c>
      <c r="D795" s="448" t="s">
        <v>3446</v>
      </c>
      <c r="E795" s="149"/>
      <c r="F795" s="149"/>
    </row>
    <row r="796" spans="1:6" ht="23.25">
      <c r="A796" s="442">
        <v>336</v>
      </c>
      <c r="B796" s="442" t="s">
        <v>3872</v>
      </c>
      <c r="C796" s="443">
        <v>505</v>
      </c>
      <c r="D796" s="447" t="s">
        <v>3446</v>
      </c>
      <c r="E796" s="149"/>
      <c r="F796" s="149"/>
    </row>
    <row r="797" spans="1:6">
      <c r="A797" s="444">
        <v>334</v>
      </c>
      <c r="B797" s="444" t="s">
        <v>506</v>
      </c>
      <c r="C797" s="445">
        <v>611</v>
      </c>
      <c r="D797" s="448" t="s">
        <v>3446</v>
      </c>
      <c r="E797" s="149"/>
      <c r="F797" s="149"/>
    </row>
    <row r="798" spans="1:6">
      <c r="A798" s="442">
        <v>333</v>
      </c>
      <c r="B798" s="442" t="s">
        <v>1235</v>
      </c>
      <c r="C798" s="443">
        <v>578</v>
      </c>
      <c r="D798" s="447" t="s">
        <v>3446</v>
      </c>
      <c r="E798" s="149"/>
      <c r="F798" s="149"/>
    </row>
    <row r="799" spans="1:6">
      <c r="A799" s="444">
        <v>332</v>
      </c>
      <c r="B799" s="444" t="s">
        <v>3873</v>
      </c>
      <c r="C799" s="445">
        <v>1169</v>
      </c>
      <c r="D799" s="448" t="s">
        <v>3446</v>
      </c>
      <c r="E799" s="149"/>
      <c r="F799" s="149"/>
    </row>
    <row r="800" spans="1:6" ht="23.25">
      <c r="A800" s="442">
        <v>331</v>
      </c>
      <c r="B800" s="442" t="s">
        <v>1096</v>
      </c>
      <c r="C800" s="443">
        <v>587</v>
      </c>
      <c r="D800" s="447" t="s">
        <v>3446</v>
      </c>
      <c r="E800" s="149"/>
      <c r="F800" s="149"/>
    </row>
    <row r="801" spans="1:6">
      <c r="A801" s="444">
        <v>326</v>
      </c>
      <c r="B801" s="444" t="s">
        <v>3874</v>
      </c>
      <c r="C801" s="445">
        <v>715</v>
      </c>
      <c r="D801" s="448" t="s">
        <v>3446</v>
      </c>
      <c r="E801" s="149"/>
      <c r="F801" s="149"/>
    </row>
    <row r="802" spans="1:6">
      <c r="A802" s="442">
        <v>324</v>
      </c>
      <c r="B802" s="442" t="s">
        <v>2527</v>
      </c>
      <c r="C802" s="443">
        <v>1106</v>
      </c>
      <c r="D802" s="447" t="s">
        <v>3446</v>
      </c>
      <c r="E802" s="149"/>
      <c r="F802" s="149"/>
    </row>
    <row r="803" spans="1:6">
      <c r="A803" s="444">
        <v>323</v>
      </c>
      <c r="B803" s="444" t="s">
        <v>340</v>
      </c>
      <c r="C803" s="445">
        <v>772</v>
      </c>
      <c r="D803" s="448" t="s">
        <v>3446</v>
      </c>
      <c r="E803" s="149"/>
      <c r="F803" s="149"/>
    </row>
    <row r="804" spans="1:6">
      <c r="A804" s="442">
        <v>321</v>
      </c>
      <c r="B804" s="442" t="s">
        <v>3875</v>
      </c>
      <c r="C804" s="443">
        <v>909</v>
      </c>
      <c r="D804" s="447" t="s">
        <v>3446</v>
      </c>
      <c r="E804" s="149"/>
      <c r="F804" s="149"/>
    </row>
    <row r="805" spans="1:6" ht="23.25">
      <c r="A805" s="444">
        <v>317</v>
      </c>
      <c r="B805" s="444" t="s">
        <v>3876</v>
      </c>
      <c r="C805" s="445">
        <v>967</v>
      </c>
      <c r="D805" s="448" t="s">
        <v>3446</v>
      </c>
      <c r="E805" s="149"/>
      <c r="F805" s="149"/>
    </row>
    <row r="806" spans="1:6" ht="23.25">
      <c r="A806" s="442">
        <v>316</v>
      </c>
      <c r="B806" s="442" t="s">
        <v>3877</v>
      </c>
      <c r="C806" s="443">
        <v>608</v>
      </c>
      <c r="D806" s="447" t="s">
        <v>3446</v>
      </c>
      <c r="E806" s="149"/>
      <c r="F806" s="149"/>
    </row>
    <row r="807" spans="1:6">
      <c r="A807" s="444">
        <v>314</v>
      </c>
      <c r="B807" s="444" t="s">
        <v>529</v>
      </c>
      <c r="C807" s="445">
        <v>554</v>
      </c>
      <c r="D807" s="448" t="s">
        <v>3446</v>
      </c>
      <c r="E807" s="149"/>
      <c r="F807" s="149"/>
    </row>
    <row r="808" spans="1:6" ht="23.25">
      <c r="A808" s="442">
        <v>311</v>
      </c>
      <c r="B808" s="442" t="s">
        <v>742</v>
      </c>
      <c r="C808" s="443">
        <v>814</v>
      </c>
      <c r="D808" s="447" t="s">
        <v>3446</v>
      </c>
      <c r="E808" s="149"/>
      <c r="F808" s="149"/>
    </row>
    <row r="809" spans="1:6">
      <c r="A809" s="444">
        <v>310</v>
      </c>
      <c r="B809" s="444" t="s">
        <v>820</v>
      </c>
      <c r="C809" s="445">
        <v>533</v>
      </c>
      <c r="D809" s="448" t="s">
        <v>3446</v>
      </c>
      <c r="E809" s="149"/>
      <c r="F809" s="149"/>
    </row>
    <row r="810" spans="1:6">
      <c r="A810" s="442">
        <v>306</v>
      </c>
      <c r="B810" s="442" t="s">
        <v>2066</v>
      </c>
      <c r="C810" s="443">
        <v>706</v>
      </c>
      <c r="D810" s="447" t="s">
        <v>3446</v>
      </c>
      <c r="E810" s="149"/>
      <c r="F810" s="149"/>
    </row>
    <row r="811" spans="1:6">
      <c r="A811" s="444">
        <v>304</v>
      </c>
      <c r="B811" s="444" t="s">
        <v>1596</v>
      </c>
      <c r="C811" s="445">
        <v>699</v>
      </c>
      <c r="D811" s="448" t="s">
        <v>3446</v>
      </c>
      <c r="E811" s="149"/>
      <c r="F811" s="149"/>
    </row>
    <row r="812" spans="1:6" ht="23.25">
      <c r="A812" s="442">
        <v>300</v>
      </c>
      <c r="B812" s="442" t="s">
        <v>1814</v>
      </c>
      <c r="C812" s="443">
        <v>650</v>
      </c>
      <c r="D812" s="447" t="s">
        <v>3446</v>
      </c>
      <c r="E812" s="149"/>
      <c r="F812" s="149"/>
    </row>
    <row r="813" spans="1:6">
      <c r="A813" s="444">
        <v>297</v>
      </c>
      <c r="B813" s="444" t="s">
        <v>751</v>
      </c>
      <c r="C813" s="445">
        <v>539</v>
      </c>
      <c r="D813" s="448" t="s">
        <v>3446</v>
      </c>
      <c r="E813" s="149"/>
      <c r="F813" s="149"/>
    </row>
    <row r="814" spans="1:6">
      <c r="A814" s="442">
        <v>296</v>
      </c>
      <c r="B814" s="442" t="s">
        <v>3878</v>
      </c>
      <c r="C814" s="443">
        <v>722</v>
      </c>
      <c r="D814" s="447" t="s">
        <v>3446</v>
      </c>
      <c r="E814" s="149"/>
      <c r="F814" s="149"/>
    </row>
    <row r="815" spans="1:6" ht="23.25">
      <c r="A815" s="444">
        <v>295</v>
      </c>
      <c r="B815" s="444" t="s">
        <v>3879</v>
      </c>
      <c r="C815" s="445">
        <v>791</v>
      </c>
      <c r="D815" s="448" t="s">
        <v>3446</v>
      </c>
      <c r="E815" s="149"/>
      <c r="F815" s="149"/>
    </row>
    <row r="816" spans="1:6" ht="23.25">
      <c r="A816" s="442">
        <v>294</v>
      </c>
      <c r="B816" s="442" t="s">
        <v>1667</v>
      </c>
      <c r="C816" s="443">
        <v>736</v>
      </c>
      <c r="D816" s="447" t="s">
        <v>3446</v>
      </c>
      <c r="E816" s="149"/>
      <c r="F816" s="149"/>
    </row>
    <row r="817" spans="1:6">
      <c r="A817" s="444">
        <v>293</v>
      </c>
      <c r="B817" s="444" t="s">
        <v>1862</v>
      </c>
      <c r="C817" s="445">
        <v>764</v>
      </c>
      <c r="D817" s="448" t="s">
        <v>3446</v>
      </c>
      <c r="E817" s="149"/>
      <c r="F817" s="149"/>
    </row>
    <row r="818" spans="1:6">
      <c r="A818" s="442">
        <v>292</v>
      </c>
      <c r="B818" s="442" t="s">
        <v>2058</v>
      </c>
      <c r="C818" s="443">
        <v>688</v>
      </c>
      <c r="D818" s="447" t="s">
        <v>3446</v>
      </c>
      <c r="E818" s="149"/>
      <c r="F818" s="149"/>
    </row>
    <row r="819" spans="1:6">
      <c r="A819" s="444">
        <v>288</v>
      </c>
      <c r="B819" s="444" t="s">
        <v>1792</v>
      </c>
      <c r="C819" s="445">
        <v>781</v>
      </c>
      <c r="D819" s="448" t="s">
        <v>3446</v>
      </c>
      <c r="E819" s="149"/>
      <c r="F819" s="149"/>
    </row>
    <row r="820" spans="1:6">
      <c r="A820" s="442">
        <v>287</v>
      </c>
      <c r="B820" s="442" t="s">
        <v>1444</v>
      </c>
      <c r="C820" s="443">
        <v>501</v>
      </c>
      <c r="D820" s="447" t="s">
        <v>3446</v>
      </c>
      <c r="E820" s="149"/>
      <c r="F820" s="149"/>
    </row>
    <row r="821" spans="1:6" ht="23.25">
      <c r="A821" s="444">
        <v>286</v>
      </c>
      <c r="B821" s="444" t="s">
        <v>739</v>
      </c>
      <c r="C821" s="445">
        <v>598</v>
      </c>
      <c r="D821" s="448" t="s">
        <v>3446</v>
      </c>
      <c r="E821" s="149"/>
      <c r="F821" s="149"/>
    </row>
    <row r="822" spans="1:6">
      <c r="A822" s="442">
        <v>282</v>
      </c>
      <c r="B822" s="442" t="s">
        <v>3880</v>
      </c>
      <c r="C822" s="443">
        <v>447</v>
      </c>
      <c r="D822" s="447" t="s">
        <v>3446</v>
      </c>
      <c r="E822" s="149"/>
      <c r="F822" s="149"/>
    </row>
    <row r="823" spans="1:6">
      <c r="A823" s="444">
        <v>280</v>
      </c>
      <c r="B823" s="444" t="s">
        <v>1211</v>
      </c>
      <c r="C823" s="445">
        <v>672</v>
      </c>
      <c r="D823" s="448" t="s">
        <v>3446</v>
      </c>
      <c r="E823" s="149"/>
      <c r="F823" s="149"/>
    </row>
    <row r="824" spans="1:6">
      <c r="A824" s="442">
        <v>277</v>
      </c>
      <c r="B824" s="442" t="s">
        <v>298</v>
      </c>
      <c r="C824" s="443">
        <v>551</v>
      </c>
      <c r="D824" s="447" t="s">
        <v>3446</v>
      </c>
      <c r="E824" s="149"/>
      <c r="F824" s="149"/>
    </row>
    <row r="825" spans="1:6">
      <c r="A825" s="444">
        <v>276</v>
      </c>
      <c r="B825" s="444" t="s">
        <v>379</v>
      </c>
      <c r="C825" s="445">
        <v>771</v>
      </c>
      <c r="D825" s="448" t="s">
        <v>3446</v>
      </c>
      <c r="E825" s="149"/>
      <c r="F825" s="149"/>
    </row>
    <row r="826" spans="1:6">
      <c r="A826" s="442">
        <v>275</v>
      </c>
      <c r="B826" s="442" t="s">
        <v>175</v>
      </c>
      <c r="C826" s="443">
        <v>860</v>
      </c>
      <c r="D826" s="447" t="s">
        <v>3446</v>
      </c>
      <c r="E826" s="149"/>
      <c r="F826" s="149"/>
    </row>
    <row r="827" spans="1:6">
      <c r="A827" s="444">
        <v>270</v>
      </c>
      <c r="B827" s="444" t="s">
        <v>258</v>
      </c>
      <c r="C827" s="445">
        <v>843</v>
      </c>
      <c r="D827" s="448" t="s">
        <v>3446</v>
      </c>
      <c r="E827" s="149"/>
      <c r="F827" s="149"/>
    </row>
    <row r="828" spans="1:6">
      <c r="A828" s="442">
        <v>269</v>
      </c>
      <c r="B828" s="442" t="s">
        <v>1285</v>
      </c>
      <c r="C828" s="443">
        <v>740</v>
      </c>
      <c r="D828" s="447" t="s">
        <v>3446</v>
      </c>
      <c r="E828" s="149"/>
      <c r="F828" s="149"/>
    </row>
    <row r="829" spans="1:6">
      <c r="A829" s="444">
        <v>268</v>
      </c>
      <c r="B829" s="444" t="s">
        <v>1698</v>
      </c>
      <c r="C829" s="445">
        <v>514</v>
      </c>
      <c r="D829" s="448" t="s">
        <v>3446</v>
      </c>
      <c r="E829" s="149"/>
      <c r="F829" s="149"/>
    </row>
    <row r="830" spans="1:6">
      <c r="A830" s="442">
        <v>267</v>
      </c>
      <c r="B830" s="442" t="s">
        <v>1232</v>
      </c>
      <c r="C830" s="443">
        <v>567</v>
      </c>
      <c r="D830" s="447" t="s">
        <v>3446</v>
      </c>
      <c r="E830" s="149"/>
      <c r="F830" s="149"/>
    </row>
    <row r="831" spans="1:6">
      <c r="A831" s="444">
        <v>266</v>
      </c>
      <c r="B831" s="444" t="s">
        <v>3881</v>
      </c>
      <c r="C831" s="445">
        <v>267</v>
      </c>
      <c r="D831" s="448" t="s">
        <v>3446</v>
      </c>
      <c r="E831" s="149"/>
      <c r="F831" s="149"/>
    </row>
    <row r="832" spans="1:6">
      <c r="A832" s="442">
        <v>263</v>
      </c>
      <c r="B832" s="442" t="s">
        <v>3882</v>
      </c>
      <c r="C832" s="443">
        <v>264</v>
      </c>
      <c r="D832" s="447" t="s">
        <v>3446</v>
      </c>
      <c r="E832" s="149"/>
      <c r="F832" s="149"/>
    </row>
    <row r="833" spans="1:6">
      <c r="A833" s="444">
        <v>262</v>
      </c>
      <c r="B833" s="444" t="s">
        <v>3883</v>
      </c>
      <c r="C833" s="445">
        <v>263</v>
      </c>
      <c r="D833" s="448" t="s">
        <v>3446</v>
      </c>
      <c r="E833" s="149"/>
      <c r="F833" s="149"/>
    </row>
    <row r="834" spans="1:6">
      <c r="A834" s="442">
        <v>260</v>
      </c>
      <c r="B834" s="442" t="s">
        <v>3884</v>
      </c>
      <c r="C834" s="443">
        <v>261</v>
      </c>
      <c r="D834" s="447" t="s">
        <v>3446</v>
      </c>
      <c r="E834" s="149"/>
      <c r="F834" s="149"/>
    </row>
    <row r="835" spans="1:6">
      <c r="A835" s="444">
        <v>259</v>
      </c>
      <c r="B835" s="444" t="s">
        <v>3885</v>
      </c>
      <c r="C835" s="445">
        <v>1871</v>
      </c>
      <c r="D835" s="448" t="s">
        <v>3446</v>
      </c>
      <c r="E835" s="149"/>
      <c r="F835" s="149"/>
    </row>
    <row r="836" spans="1:6">
      <c r="A836" s="442">
        <v>259</v>
      </c>
      <c r="B836" s="442" t="s">
        <v>3885</v>
      </c>
      <c r="C836" s="443">
        <v>260</v>
      </c>
      <c r="D836" s="447" t="s">
        <v>3446</v>
      </c>
      <c r="E836" s="149"/>
      <c r="F836" s="149"/>
    </row>
    <row r="837" spans="1:6" ht="23.25">
      <c r="A837" s="444">
        <v>258</v>
      </c>
      <c r="B837" s="444" t="s">
        <v>3886</v>
      </c>
      <c r="C837" s="445">
        <v>259</v>
      </c>
      <c r="D837" s="448" t="s">
        <v>3446</v>
      </c>
      <c r="E837" s="149"/>
      <c r="F837" s="149"/>
    </row>
    <row r="838" spans="1:6">
      <c r="A838" s="442">
        <v>256</v>
      </c>
      <c r="B838" s="442" t="s">
        <v>3887</v>
      </c>
      <c r="C838" s="443">
        <v>257</v>
      </c>
      <c r="D838" s="447" t="s">
        <v>3446</v>
      </c>
      <c r="E838" s="149"/>
      <c r="F838" s="149"/>
    </row>
    <row r="839" spans="1:6">
      <c r="A839" s="444">
        <v>255</v>
      </c>
      <c r="B839" s="444" t="s">
        <v>3888</v>
      </c>
      <c r="C839" s="445">
        <v>256</v>
      </c>
      <c r="D839" s="448" t="s">
        <v>3446</v>
      </c>
      <c r="E839" s="149"/>
      <c r="F839" s="149"/>
    </row>
    <row r="840" spans="1:6">
      <c r="A840" s="442">
        <v>254</v>
      </c>
      <c r="B840" s="442" t="s">
        <v>3889</v>
      </c>
      <c r="C840" s="443">
        <v>255</v>
      </c>
      <c r="D840" s="447" t="s">
        <v>3446</v>
      </c>
      <c r="E840" s="149"/>
      <c r="F840" s="149"/>
    </row>
    <row r="841" spans="1:6">
      <c r="A841" s="444">
        <v>253</v>
      </c>
      <c r="B841" s="444" t="s">
        <v>3289</v>
      </c>
      <c r="C841" s="445">
        <v>254</v>
      </c>
      <c r="D841" s="448" t="s">
        <v>3446</v>
      </c>
      <c r="E841" s="149"/>
      <c r="F841" s="149"/>
    </row>
    <row r="842" spans="1:6">
      <c r="A842" s="442">
        <v>252</v>
      </c>
      <c r="B842" s="442" t="s">
        <v>3890</v>
      </c>
      <c r="C842" s="443">
        <v>253</v>
      </c>
      <c r="D842" s="447" t="s">
        <v>3446</v>
      </c>
      <c r="E842" s="149"/>
      <c r="F842" s="149"/>
    </row>
    <row r="843" spans="1:6">
      <c r="A843" s="444">
        <v>250</v>
      </c>
      <c r="B843" s="444" t="s">
        <v>3891</v>
      </c>
      <c r="C843" s="445">
        <v>251</v>
      </c>
      <c r="D843" s="448" t="s">
        <v>3446</v>
      </c>
      <c r="E843" s="149"/>
      <c r="F843" s="149"/>
    </row>
    <row r="844" spans="1:6">
      <c r="A844" s="442">
        <v>249</v>
      </c>
      <c r="B844" s="442" t="s">
        <v>3892</v>
      </c>
      <c r="C844" s="443">
        <v>250</v>
      </c>
      <c r="D844" s="447" t="s">
        <v>3446</v>
      </c>
      <c r="E844" s="149"/>
      <c r="F844" s="149"/>
    </row>
    <row r="845" spans="1:6">
      <c r="A845" s="444">
        <v>247</v>
      </c>
      <c r="B845" s="444" t="s">
        <v>3893</v>
      </c>
      <c r="C845" s="445">
        <v>249</v>
      </c>
      <c r="D845" s="448" t="s">
        <v>3446</v>
      </c>
      <c r="E845" s="149"/>
      <c r="F845" s="149"/>
    </row>
    <row r="846" spans="1:6">
      <c r="A846" s="442">
        <v>246</v>
      </c>
      <c r="B846" s="442" t="s">
        <v>3894</v>
      </c>
      <c r="C846" s="443">
        <v>248</v>
      </c>
      <c r="D846" s="447" t="s">
        <v>3446</v>
      </c>
      <c r="E846" s="149"/>
      <c r="F846" s="149"/>
    </row>
    <row r="847" spans="1:6">
      <c r="A847" s="444">
        <v>245</v>
      </c>
      <c r="B847" s="444" t="s">
        <v>3895</v>
      </c>
      <c r="C847" s="445">
        <v>247</v>
      </c>
      <c r="D847" s="448" t="s">
        <v>3446</v>
      </c>
      <c r="E847" s="149"/>
      <c r="F847" s="149"/>
    </row>
    <row r="848" spans="1:6">
      <c r="A848" s="442">
        <v>244</v>
      </c>
      <c r="B848" s="442" t="s">
        <v>3896</v>
      </c>
      <c r="C848" s="443">
        <v>246</v>
      </c>
      <c r="D848" s="447" t="s">
        <v>3446</v>
      </c>
      <c r="E848" s="149"/>
      <c r="F848" s="149"/>
    </row>
    <row r="849" spans="1:6">
      <c r="A849" s="444">
        <v>243</v>
      </c>
      <c r="B849" s="444" t="s">
        <v>3897</v>
      </c>
      <c r="C849" s="445">
        <v>245</v>
      </c>
      <c r="D849" s="448" t="s">
        <v>3446</v>
      </c>
      <c r="E849" s="149"/>
      <c r="F849" s="149"/>
    </row>
    <row r="850" spans="1:6">
      <c r="A850" s="442">
        <v>242</v>
      </c>
      <c r="B850" s="442" t="s">
        <v>3898</v>
      </c>
      <c r="C850" s="443">
        <v>626</v>
      </c>
      <c r="D850" s="447" t="s">
        <v>3446</v>
      </c>
      <c r="E850" s="149"/>
      <c r="F850" s="149"/>
    </row>
    <row r="851" spans="1:6">
      <c r="A851" s="444">
        <v>241</v>
      </c>
      <c r="B851" s="444" t="s">
        <v>3899</v>
      </c>
      <c r="C851" s="445">
        <v>243</v>
      </c>
      <c r="D851" s="448" t="s">
        <v>3446</v>
      </c>
      <c r="E851" s="149"/>
      <c r="F851" s="149"/>
    </row>
    <row r="852" spans="1:6">
      <c r="A852" s="442">
        <v>240</v>
      </c>
      <c r="B852" s="442" t="s">
        <v>3900</v>
      </c>
      <c r="C852" s="443">
        <v>242</v>
      </c>
      <c r="D852" s="447" t="s">
        <v>3446</v>
      </c>
      <c r="E852" s="149"/>
      <c r="F852" s="149"/>
    </row>
    <row r="853" spans="1:6">
      <c r="A853" s="444">
        <v>239</v>
      </c>
      <c r="B853" s="444" t="s">
        <v>3242</v>
      </c>
      <c r="C853" s="445">
        <v>241</v>
      </c>
      <c r="D853" s="448" t="s">
        <v>3446</v>
      </c>
      <c r="E853" s="149"/>
      <c r="F853" s="149"/>
    </row>
    <row r="854" spans="1:6">
      <c r="A854" s="442">
        <v>238</v>
      </c>
      <c r="B854" s="442" t="s">
        <v>3901</v>
      </c>
      <c r="C854" s="443">
        <v>239</v>
      </c>
      <c r="D854" s="447" t="s">
        <v>3446</v>
      </c>
      <c r="E854" s="149"/>
      <c r="F854" s="149"/>
    </row>
    <row r="855" spans="1:6">
      <c r="A855" s="444">
        <v>237</v>
      </c>
      <c r="B855" s="444" t="s">
        <v>3902</v>
      </c>
      <c r="C855" s="445">
        <v>237</v>
      </c>
      <c r="D855" s="448" t="s">
        <v>3446</v>
      </c>
      <c r="E855" s="149"/>
      <c r="F855" s="149"/>
    </row>
    <row r="856" spans="1:6">
      <c r="A856" s="442">
        <v>236</v>
      </c>
      <c r="B856" s="442" t="s">
        <v>3903</v>
      </c>
      <c r="C856" s="443">
        <v>238</v>
      </c>
      <c r="D856" s="447" t="s">
        <v>3446</v>
      </c>
      <c r="E856" s="149"/>
      <c r="F856" s="149"/>
    </row>
    <row r="857" spans="1:6">
      <c r="A857" s="444">
        <v>235</v>
      </c>
      <c r="B857" s="444" t="s">
        <v>3904</v>
      </c>
      <c r="C857" s="445">
        <v>236</v>
      </c>
      <c r="D857" s="448" t="s">
        <v>3446</v>
      </c>
      <c r="E857" s="149"/>
      <c r="F857" s="149"/>
    </row>
    <row r="858" spans="1:6">
      <c r="A858" s="442">
        <v>234</v>
      </c>
      <c r="B858" s="442" t="s">
        <v>3905</v>
      </c>
      <c r="C858" s="443">
        <v>235</v>
      </c>
      <c r="D858" s="447" t="s">
        <v>3446</v>
      </c>
      <c r="E858" s="149"/>
      <c r="F858" s="149"/>
    </row>
    <row r="859" spans="1:6">
      <c r="A859" s="444">
        <v>232</v>
      </c>
      <c r="B859" s="444" t="s">
        <v>3906</v>
      </c>
      <c r="C859" s="445">
        <v>233</v>
      </c>
      <c r="D859" s="448" t="s">
        <v>3446</v>
      </c>
      <c r="E859" s="149"/>
      <c r="F859" s="149"/>
    </row>
    <row r="860" spans="1:6">
      <c r="A860" s="442">
        <v>231</v>
      </c>
      <c r="B860" s="442" t="s">
        <v>3907</v>
      </c>
      <c r="C860" s="443">
        <v>232</v>
      </c>
      <c r="D860" s="447" t="s">
        <v>3446</v>
      </c>
      <c r="E860" s="149"/>
      <c r="F860" s="149"/>
    </row>
    <row r="861" spans="1:6">
      <c r="A861" s="444">
        <v>230</v>
      </c>
      <c r="B861" s="444" t="s">
        <v>2761</v>
      </c>
      <c r="C861" s="445">
        <v>231</v>
      </c>
      <c r="D861" s="448" t="s">
        <v>3446</v>
      </c>
      <c r="E861" s="149"/>
      <c r="F861" s="149"/>
    </row>
    <row r="862" spans="1:6">
      <c r="A862" s="442">
        <v>229</v>
      </c>
      <c r="B862" s="442" t="s">
        <v>3908</v>
      </c>
      <c r="C862" s="443">
        <v>230</v>
      </c>
      <c r="D862" s="447" t="s">
        <v>3446</v>
      </c>
      <c r="E862" s="149"/>
      <c r="F862" s="149"/>
    </row>
    <row r="863" spans="1:6">
      <c r="A863" s="444">
        <v>228</v>
      </c>
      <c r="B863" s="444" t="s">
        <v>3909</v>
      </c>
      <c r="C863" s="445">
        <v>229</v>
      </c>
      <c r="D863" s="448" t="s">
        <v>3446</v>
      </c>
      <c r="E863" s="149"/>
      <c r="F863" s="149"/>
    </row>
    <row r="864" spans="1:6">
      <c r="A864" s="442">
        <v>227</v>
      </c>
      <c r="B864" s="442" t="s">
        <v>3910</v>
      </c>
      <c r="C864" s="443">
        <v>227</v>
      </c>
      <c r="D864" s="447" t="s">
        <v>3446</v>
      </c>
      <c r="E864" s="149"/>
      <c r="F864" s="149"/>
    </row>
    <row r="865" spans="1:6">
      <c r="A865" s="444">
        <v>226</v>
      </c>
      <c r="B865" s="444" t="s">
        <v>3911</v>
      </c>
      <c r="C865" s="445">
        <v>228</v>
      </c>
      <c r="D865" s="448" t="s">
        <v>3446</v>
      </c>
      <c r="E865" s="149"/>
      <c r="F865" s="149"/>
    </row>
    <row r="866" spans="1:6">
      <c r="A866" s="442">
        <v>225</v>
      </c>
      <c r="B866" s="442" t="s">
        <v>3912</v>
      </c>
      <c r="C866" s="443">
        <v>226</v>
      </c>
      <c r="D866" s="447" t="s">
        <v>3446</v>
      </c>
      <c r="E866" s="149"/>
      <c r="F866" s="149"/>
    </row>
    <row r="867" spans="1:6">
      <c r="A867" s="444">
        <v>224</v>
      </c>
      <c r="B867" s="444" t="s">
        <v>3913</v>
      </c>
      <c r="C867" s="445">
        <v>222</v>
      </c>
      <c r="D867" s="448" t="s">
        <v>3446</v>
      </c>
      <c r="E867" s="149"/>
      <c r="F867" s="149"/>
    </row>
    <row r="868" spans="1:6">
      <c r="A868" s="442">
        <v>223</v>
      </c>
      <c r="B868" s="442" t="s">
        <v>3914</v>
      </c>
      <c r="C868" s="443">
        <v>225</v>
      </c>
      <c r="D868" s="447" t="s">
        <v>3446</v>
      </c>
      <c r="E868" s="149"/>
      <c r="F868" s="149"/>
    </row>
    <row r="869" spans="1:6">
      <c r="A869" s="444">
        <v>222</v>
      </c>
      <c r="B869" s="444" t="s">
        <v>3915</v>
      </c>
      <c r="C869" s="445">
        <v>224</v>
      </c>
      <c r="D869" s="448" t="s">
        <v>3446</v>
      </c>
      <c r="E869" s="149"/>
      <c r="F869" s="149"/>
    </row>
    <row r="870" spans="1:6">
      <c r="A870" s="442">
        <v>221</v>
      </c>
      <c r="B870" s="442" t="s">
        <v>3916</v>
      </c>
      <c r="C870" s="443">
        <v>223</v>
      </c>
      <c r="D870" s="447" t="s">
        <v>3446</v>
      </c>
      <c r="E870" s="149"/>
      <c r="F870" s="149"/>
    </row>
    <row r="871" spans="1:6">
      <c r="A871" s="444">
        <v>220</v>
      </c>
      <c r="B871" s="444" t="s">
        <v>3917</v>
      </c>
      <c r="C871" s="445">
        <v>221</v>
      </c>
      <c r="D871" s="448" t="s">
        <v>3446</v>
      </c>
      <c r="E871" s="149"/>
      <c r="F871" s="149"/>
    </row>
    <row r="872" spans="1:6">
      <c r="A872" s="442">
        <v>219</v>
      </c>
      <c r="B872" s="442" t="s">
        <v>3918</v>
      </c>
      <c r="C872" s="443">
        <v>220</v>
      </c>
      <c r="D872" s="447" t="s">
        <v>3446</v>
      </c>
      <c r="E872" s="149"/>
      <c r="F872" s="149"/>
    </row>
    <row r="873" spans="1:6">
      <c r="A873" s="444">
        <v>218</v>
      </c>
      <c r="B873" s="444" t="s">
        <v>3919</v>
      </c>
      <c r="C873" s="445">
        <v>219</v>
      </c>
      <c r="D873" s="448" t="s">
        <v>3446</v>
      </c>
      <c r="E873" s="149"/>
      <c r="F873" s="149"/>
    </row>
    <row r="874" spans="1:6">
      <c r="A874" s="442">
        <v>217</v>
      </c>
      <c r="B874" s="442" t="s">
        <v>3920</v>
      </c>
      <c r="C874" s="443">
        <v>218</v>
      </c>
      <c r="D874" s="447" t="s">
        <v>3446</v>
      </c>
      <c r="E874" s="149"/>
      <c r="F874" s="149"/>
    </row>
    <row r="875" spans="1:6">
      <c r="A875" s="444">
        <v>216</v>
      </c>
      <c r="B875" s="444" t="s">
        <v>3921</v>
      </c>
      <c r="C875" s="445">
        <v>217</v>
      </c>
      <c r="D875" s="448" t="s">
        <v>3446</v>
      </c>
      <c r="E875" s="149"/>
      <c r="F875" s="149"/>
    </row>
    <row r="876" spans="1:6">
      <c r="A876" s="442">
        <v>215</v>
      </c>
      <c r="B876" s="442" t="s">
        <v>3922</v>
      </c>
      <c r="C876" s="443">
        <v>216</v>
      </c>
      <c r="D876" s="447" t="s">
        <v>3446</v>
      </c>
      <c r="E876" s="149"/>
      <c r="F876" s="149"/>
    </row>
    <row r="877" spans="1:6">
      <c r="A877" s="444">
        <v>214</v>
      </c>
      <c r="B877" s="444" t="s">
        <v>3923</v>
      </c>
      <c r="C877" s="445">
        <v>214</v>
      </c>
      <c r="D877" s="448" t="s">
        <v>3446</v>
      </c>
      <c r="E877" s="149"/>
      <c r="F877" s="149"/>
    </row>
    <row r="878" spans="1:6">
      <c r="A878" s="442">
        <v>213</v>
      </c>
      <c r="B878" s="442" t="s">
        <v>3924</v>
      </c>
      <c r="C878" s="443">
        <v>215</v>
      </c>
      <c r="D878" s="447" t="s">
        <v>3446</v>
      </c>
      <c r="E878" s="149"/>
      <c r="F878" s="149"/>
    </row>
    <row r="879" spans="1:6">
      <c r="A879" s="444">
        <v>212</v>
      </c>
      <c r="B879" s="444" t="s">
        <v>3925</v>
      </c>
      <c r="C879" s="445">
        <v>213</v>
      </c>
      <c r="D879" s="448" t="s">
        <v>3446</v>
      </c>
      <c r="E879" s="149"/>
      <c r="F879" s="149"/>
    </row>
    <row r="880" spans="1:6">
      <c r="A880" s="442">
        <v>211</v>
      </c>
      <c r="B880" s="442" t="s">
        <v>3926</v>
      </c>
      <c r="C880" s="443">
        <v>212</v>
      </c>
      <c r="D880" s="447" t="s">
        <v>3446</v>
      </c>
      <c r="E880" s="149"/>
      <c r="F880" s="149"/>
    </row>
    <row r="881" spans="1:6">
      <c r="A881" s="444">
        <v>210</v>
      </c>
      <c r="B881" s="444" t="s">
        <v>3927</v>
      </c>
      <c r="C881" s="445">
        <v>211</v>
      </c>
      <c r="D881" s="448" t="s">
        <v>3446</v>
      </c>
      <c r="E881" s="149"/>
      <c r="F881" s="149"/>
    </row>
    <row r="882" spans="1:6">
      <c r="A882" s="442">
        <v>209</v>
      </c>
      <c r="B882" s="442" t="s">
        <v>3928</v>
      </c>
      <c r="C882" s="443">
        <v>1504</v>
      </c>
      <c r="D882" s="447" t="s">
        <v>3446</v>
      </c>
      <c r="E882" s="149"/>
      <c r="F882" s="149"/>
    </row>
    <row r="883" spans="1:6" ht="23.25">
      <c r="A883" s="444">
        <v>208</v>
      </c>
      <c r="B883" s="444" t="s">
        <v>3929</v>
      </c>
      <c r="C883" s="445">
        <v>207</v>
      </c>
      <c r="D883" s="448" t="s">
        <v>3446</v>
      </c>
      <c r="E883" s="149"/>
      <c r="F883" s="149"/>
    </row>
    <row r="884" spans="1:6">
      <c r="A884" s="442">
        <v>207</v>
      </c>
      <c r="B884" s="442" t="s">
        <v>3930</v>
      </c>
      <c r="C884" s="443">
        <v>208</v>
      </c>
      <c r="D884" s="447" t="s">
        <v>3446</v>
      </c>
      <c r="E884" s="149"/>
      <c r="F884" s="149"/>
    </row>
    <row r="885" spans="1:6">
      <c r="A885" s="444">
        <v>204</v>
      </c>
      <c r="B885" s="444" t="s">
        <v>3931</v>
      </c>
      <c r="C885" s="445">
        <v>209</v>
      </c>
      <c r="D885" s="448" t="s">
        <v>3446</v>
      </c>
      <c r="E885" s="149"/>
      <c r="F885" s="149"/>
    </row>
    <row r="886" spans="1:6">
      <c r="A886" s="442">
        <v>203</v>
      </c>
      <c r="B886" s="442" t="s">
        <v>3932</v>
      </c>
      <c r="C886" s="443">
        <v>204</v>
      </c>
      <c r="D886" s="447" t="s">
        <v>3446</v>
      </c>
      <c r="E886" s="149"/>
      <c r="F886" s="149"/>
    </row>
    <row r="887" spans="1:6">
      <c r="A887" s="444">
        <v>202</v>
      </c>
      <c r="B887" s="444" t="s">
        <v>3933</v>
      </c>
      <c r="C887" s="445">
        <v>203</v>
      </c>
      <c r="D887" s="448" t="s">
        <v>3446</v>
      </c>
      <c r="E887" s="149"/>
      <c r="F887" s="149"/>
    </row>
    <row r="888" spans="1:6">
      <c r="A888" s="442">
        <v>201</v>
      </c>
      <c r="B888" s="442" t="s">
        <v>3934</v>
      </c>
      <c r="C888" s="443">
        <v>202</v>
      </c>
      <c r="D888" s="447" t="s">
        <v>3446</v>
      </c>
      <c r="E888" s="149"/>
      <c r="F888" s="149"/>
    </row>
    <row r="889" spans="1:6">
      <c r="A889" s="444">
        <v>200</v>
      </c>
      <c r="B889" s="444" t="s">
        <v>3935</v>
      </c>
      <c r="C889" s="445">
        <v>201</v>
      </c>
      <c r="D889" s="448" t="s">
        <v>3446</v>
      </c>
      <c r="E889" s="149"/>
      <c r="F889" s="149"/>
    </row>
    <row r="890" spans="1:6">
      <c r="A890" s="442">
        <v>199</v>
      </c>
      <c r="B890" s="442" t="s">
        <v>3936</v>
      </c>
      <c r="C890" s="443">
        <v>200</v>
      </c>
      <c r="D890" s="447" t="s">
        <v>3446</v>
      </c>
      <c r="E890" s="149"/>
      <c r="F890" s="149"/>
    </row>
    <row r="891" spans="1:6">
      <c r="A891" s="444">
        <v>198</v>
      </c>
      <c r="B891" s="444" t="s">
        <v>2964</v>
      </c>
      <c r="C891" s="445">
        <v>199</v>
      </c>
      <c r="D891" s="448" t="s">
        <v>3446</v>
      </c>
      <c r="E891" s="149"/>
      <c r="F891" s="149"/>
    </row>
    <row r="892" spans="1:6">
      <c r="A892" s="442">
        <v>197</v>
      </c>
      <c r="B892" s="442" t="s">
        <v>3937</v>
      </c>
      <c r="C892" s="443">
        <v>198</v>
      </c>
      <c r="D892" s="447" t="s">
        <v>3446</v>
      </c>
      <c r="E892" s="149"/>
      <c r="F892" s="149"/>
    </row>
    <row r="893" spans="1:6">
      <c r="A893" s="444">
        <v>196</v>
      </c>
      <c r="B893" s="444" t="s">
        <v>3938</v>
      </c>
      <c r="C893" s="445">
        <v>197</v>
      </c>
      <c r="D893" s="448" t="s">
        <v>3446</v>
      </c>
      <c r="E893" s="149"/>
      <c r="F893" s="149"/>
    </row>
    <row r="894" spans="1:6">
      <c r="A894" s="442">
        <v>195</v>
      </c>
      <c r="B894" s="442" t="s">
        <v>3939</v>
      </c>
      <c r="C894" s="443">
        <v>196</v>
      </c>
      <c r="D894" s="447" t="s">
        <v>3446</v>
      </c>
      <c r="E894" s="149"/>
      <c r="F894" s="149"/>
    </row>
    <row r="895" spans="1:6">
      <c r="A895" s="444">
        <v>192</v>
      </c>
      <c r="B895" s="444" t="s">
        <v>3940</v>
      </c>
      <c r="C895" s="445">
        <v>193</v>
      </c>
      <c r="D895" s="448" t="s">
        <v>3446</v>
      </c>
      <c r="E895" s="149"/>
      <c r="F895" s="149"/>
    </row>
    <row r="896" spans="1:6" ht="23.25">
      <c r="A896" s="442">
        <v>191</v>
      </c>
      <c r="B896" s="442" t="s">
        <v>3941</v>
      </c>
      <c r="C896" s="443">
        <v>190</v>
      </c>
      <c r="D896" s="447" t="s">
        <v>3446</v>
      </c>
      <c r="E896" s="149"/>
      <c r="F896" s="149"/>
    </row>
    <row r="897" spans="1:6">
      <c r="A897" s="444">
        <v>190</v>
      </c>
      <c r="B897" s="444" t="s">
        <v>3942</v>
      </c>
      <c r="C897" s="445">
        <v>478</v>
      </c>
      <c r="D897" s="448" t="s">
        <v>3446</v>
      </c>
      <c r="E897" s="149"/>
      <c r="F897" s="149"/>
    </row>
    <row r="898" spans="1:6">
      <c r="A898" s="442">
        <v>189</v>
      </c>
      <c r="B898" s="442" t="s">
        <v>3942</v>
      </c>
      <c r="C898" s="443">
        <v>192</v>
      </c>
      <c r="D898" s="447" t="s">
        <v>3446</v>
      </c>
      <c r="E898" s="149"/>
      <c r="F898" s="149"/>
    </row>
    <row r="899" spans="1:6">
      <c r="A899" s="444">
        <v>188</v>
      </c>
      <c r="B899" s="444" t="s">
        <v>3943</v>
      </c>
      <c r="C899" s="445">
        <v>189</v>
      </c>
      <c r="D899" s="448" t="s">
        <v>3446</v>
      </c>
      <c r="E899" s="149"/>
      <c r="F899" s="149"/>
    </row>
    <row r="900" spans="1:6">
      <c r="A900" s="442">
        <v>186</v>
      </c>
      <c r="B900" s="442" t="s">
        <v>2968</v>
      </c>
      <c r="C900" s="443">
        <v>1088</v>
      </c>
      <c r="D900" s="447" t="s">
        <v>3446</v>
      </c>
      <c r="E900" s="149"/>
      <c r="F900" s="149"/>
    </row>
    <row r="901" spans="1:6">
      <c r="A901" s="444">
        <v>185</v>
      </c>
      <c r="B901" s="444" t="s">
        <v>3944</v>
      </c>
      <c r="C901" s="445">
        <v>186</v>
      </c>
      <c r="D901" s="448" t="s">
        <v>3446</v>
      </c>
      <c r="E901" s="149"/>
      <c r="F901" s="149"/>
    </row>
    <row r="902" spans="1:6" ht="23.25">
      <c r="A902" s="442">
        <v>184</v>
      </c>
      <c r="B902" s="442" t="s">
        <v>3945</v>
      </c>
      <c r="C902" s="443">
        <v>1058</v>
      </c>
      <c r="D902" s="447" t="s">
        <v>3446</v>
      </c>
      <c r="E902" s="149"/>
      <c r="F902" s="149"/>
    </row>
    <row r="903" spans="1:6">
      <c r="A903" s="444">
        <v>183</v>
      </c>
      <c r="B903" s="444" t="s">
        <v>3946</v>
      </c>
      <c r="C903" s="445">
        <v>185</v>
      </c>
      <c r="D903" s="448" t="s">
        <v>3446</v>
      </c>
      <c r="E903" s="149"/>
      <c r="F903" s="149"/>
    </row>
    <row r="904" spans="1:6" ht="23.25">
      <c r="A904" s="442">
        <v>182</v>
      </c>
      <c r="B904" s="442" t="s">
        <v>3947</v>
      </c>
      <c r="C904" s="443">
        <v>183</v>
      </c>
      <c r="D904" s="447" t="s">
        <v>3446</v>
      </c>
      <c r="E904" s="149"/>
      <c r="F904" s="149"/>
    </row>
    <row r="905" spans="1:6">
      <c r="A905" s="444">
        <v>180</v>
      </c>
      <c r="B905" s="444" t="s">
        <v>3948</v>
      </c>
      <c r="C905" s="445">
        <v>181</v>
      </c>
      <c r="D905" s="448" t="s">
        <v>3446</v>
      </c>
      <c r="E905" s="149"/>
      <c r="F905" s="149"/>
    </row>
    <row r="906" spans="1:6">
      <c r="A906" s="442">
        <v>179</v>
      </c>
      <c r="B906" s="442" t="s">
        <v>3949</v>
      </c>
      <c r="C906" s="443">
        <v>180</v>
      </c>
      <c r="D906" s="447" t="s">
        <v>3446</v>
      </c>
      <c r="E906" s="149"/>
      <c r="F906" s="149"/>
    </row>
    <row r="907" spans="1:6">
      <c r="A907" s="444">
        <v>178</v>
      </c>
      <c r="B907" s="444" t="s">
        <v>3950</v>
      </c>
      <c r="C907" s="445">
        <v>179</v>
      </c>
      <c r="D907" s="448" t="s">
        <v>3446</v>
      </c>
      <c r="E907" s="149"/>
      <c r="F907" s="149"/>
    </row>
    <row r="908" spans="1:6">
      <c r="A908" s="442">
        <v>177</v>
      </c>
      <c r="B908" s="442" t="s">
        <v>3951</v>
      </c>
      <c r="C908" s="443">
        <v>177</v>
      </c>
      <c r="D908" s="447" t="s">
        <v>3446</v>
      </c>
      <c r="E908" s="149"/>
      <c r="F908" s="149"/>
    </row>
    <row r="909" spans="1:6">
      <c r="A909" s="444">
        <v>175</v>
      </c>
      <c r="B909" s="444" t="s">
        <v>3952</v>
      </c>
      <c r="C909" s="445">
        <v>175</v>
      </c>
      <c r="D909" s="448" t="s">
        <v>3446</v>
      </c>
      <c r="E909" s="149"/>
      <c r="F909" s="149"/>
    </row>
    <row r="910" spans="1:6">
      <c r="A910" s="442">
        <v>174</v>
      </c>
      <c r="B910" s="442" t="s">
        <v>3953</v>
      </c>
      <c r="C910" s="443">
        <v>176</v>
      </c>
      <c r="D910" s="447" t="s">
        <v>3446</v>
      </c>
      <c r="E910" s="149"/>
      <c r="F910" s="149"/>
    </row>
    <row r="911" spans="1:6">
      <c r="A911" s="444">
        <v>173</v>
      </c>
      <c r="B911" s="444" t="s">
        <v>3954</v>
      </c>
      <c r="C911" s="445">
        <v>174</v>
      </c>
      <c r="D911" s="448" t="s">
        <v>3446</v>
      </c>
      <c r="E911" s="149"/>
      <c r="F911" s="149"/>
    </row>
    <row r="912" spans="1:6">
      <c r="A912" s="442">
        <v>172</v>
      </c>
      <c r="B912" s="442" t="s">
        <v>3047</v>
      </c>
      <c r="C912" s="443">
        <v>173</v>
      </c>
      <c r="D912" s="447" t="s">
        <v>3446</v>
      </c>
      <c r="E912" s="149"/>
      <c r="F912" s="149"/>
    </row>
    <row r="913" spans="1:6">
      <c r="A913" s="444">
        <v>171</v>
      </c>
      <c r="B913" s="444" t="s">
        <v>3955</v>
      </c>
      <c r="C913" s="445">
        <v>172</v>
      </c>
      <c r="D913" s="448" t="s">
        <v>3446</v>
      </c>
      <c r="E913" s="149"/>
      <c r="F913" s="149"/>
    </row>
    <row r="914" spans="1:6">
      <c r="A914" s="442">
        <v>170</v>
      </c>
      <c r="B914" s="442" t="s">
        <v>3956</v>
      </c>
      <c r="C914" s="443">
        <v>171</v>
      </c>
      <c r="D914" s="447" t="s">
        <v>3446</v>
      </c>
      <c r="E914" s="149"/>
      <c r="F914" s="149"/>
    </row>
    <row r="915" spans="1:6">
      <c r="A915" s="444">
        <v>168</v>
      </c>
      <c r="B915" s="444" t="s">
        <v>3957</v>
      </c>
      <c r="C915" s="445">
        <v>169</v>
      </c>
      <c r="D915" s="448" t="s">
        <v>3446</v>
      </c>
      <c r="E915" s="149"/>
      <c r="F915" s="149"/>
    </row>
    <row r="916" spans="1:6">
      <c r="A916" s="442">
        <v>167</v>
      </c>
      <c r="B916" s="442" t="s">
        <v>3958</v>
      </c>
      <c r="C916" s="443">
        <v>163</v>
      </c>
      <c r="D916" s="447" t="s">
        <v>3446</v>
      </c>
      <c r="E916" s="149"/>
      <c r="F916" s="149"/>
    </row>
    <row r="917" spans="1:6">
      <c r="A917" s="444">
        <v>166</v>
      </c>
      <c r="B917" s="444" t="s">
        <v>3959</v>
      </c>
      <c r="C917" s="445">
        <v>167</v>
      </c>
      <c r="D917" s="448" t="s">
        <v>3446</v>
      </c>
      <c r="E917" s="149"/>
      <c r="F917" s="149"/>
    </row>
    <row r="918" spans="1:6">
      <c r="A918" s="442">
        <v>165</v>
      </c>
      <c r="B918" s="442" t="s">
        <v>3960</v>
      </c>
      <c r="C918" s="443">
        <v>166</v>
      </c>
      <c r="D918" s="447" t="s">
        <v>3446</v>
      </c>
      <c r="E918" s="149"/>
      <c r="F918" s="149"/>
    </row>
    <row r="919" spans="1:6">
      <c r="A919" s="444">
        <v>163</v>
      </c>
      <c r="B919" s="444" t="s">
        <v>3961</v>
      </c>
      <c r="C919" s="445">
        <v>162</v>
      </c>
      <c r="D919" s="448" t="s">
        <v>3446</v>
      </c>
      <c r="E919" s="149"/>
      <c r="F919" s="149"/>
    </row>
    <row r="920" spans="1:6">
      <c r="A920" s="442">
        <v>162</v>
      </c>
      <c r="B920" s="442" t="s">
        <v>3962</v>
      </c>
      <c r="C920" s="443">
        <v>160</v>
      </c>
      <c r="D920" s="447" t="s">
        <v>3446</v>
      </c>
      <c r="E920" s="149"/>
      <c r="F920" s="149"/>
    </row>
    <row r="921" spans="1:6">
      <c r="A921" s="444">
        <v>159</v>
      </c>
      <c r="B921" s="444" t="s">
        <v>3963</v>
      </c>
      <c r="C921" s="445">
        <v>161</v>
      </c>
      <c r="D921" s="448" t="s">
        <v>3446</v>
      </c>
      <c r="E921" s="149"/>
      <c r="F921" s="149"/>
    </row>
    <row r="922" spans="1:6">
      <c r="A922" s="442">
        <v>158</v>
      </c>
      <c r="B922" s="442" t="s">
        <v>3964</v>
      </c>
      <c r="C922" s="443">
        <v>158</v>
      </c>
      <c r="D922" s="447" t="s">
        <v>3446</v>
      </c>
      <c r="E922" s="149"/>
      <c r="F922" s="149"/>
    </row>
    <row r="923" spans="1:6">
      <c r="A923" s="444">
        <v>157</v>
      </c>
      <c r="B923" s="444" t="s">
        <v>3965</v>
      </c>
      <c r="C923" s="445">
        <v>157</v>
      </c>
      <c r="D923" s="448" t="s">
        <v>3446</v>
      </c>
      <c r="E923" s="149"/>
      <c r="F923" s="149"/>
    </row>
    <row r="924" spans="1:6">
      <c r="A924" s="442">
        <v>154</v>
      </c>
      <c r="B924" s="442" t="s">
        <v>3966</v>
      </c>
      <c r="C924" s="443">
        <v>150</v>
      </c>
      <c r="D924" s="447" t="s">
        <v>3446</v>
      </c>
      <c r="E924" s="149"/>
      <c r="F924" s="149"/>
    </row>
    <row r="925" spans="1:6">
      <c r="A925" s="444">
        <v>153</v>
      </c>
      <c r="B925" s="444" t="s">
        <v>3967</v>
      </c>
      <c r="C925" s="445">
        <v>156</v>
      </c>
      <c r="D925" s="448" t="s">
        <v>3446</v>
      </c>
      <c r="E925" s="149"/>
      <c r="F925" s="149"/>
    </row>
    <row r="926" spans="1:6">
      <c r="A926" s="442">
        <v>152</v>
      </c>
      <c r="B926" s="442" t="s">
        <v>3075</v>
      </c>
      <c r="C926" s="443">
        <v>152</v>
      </c>
      <c r="D926" s="447" t="s">
        <v>3446</v>
      </c>
      <c r="E926" s="149"/>
      <c r="F926" s="149"/>
    </row>
    <row r="927" spans="1:6">
      <c r="A927" s="444">
        <v>151</v>
      </c>
      <c r="B927" s="444" t="s">
        <v>3968</v>
      </c>
      <c r="C927" s="445">
        <v>154</v>
      </c>
      <c r="D927" s="448" t="s">
        <v>3446</v>
      </c>
      <c r="E927" s="149"/>
      <c r="F927" s="149"/>
    </row>
    <row r="928" spans="1:6">
      <c r="A928" s="442">
        <v>149</v>
      </c>
      <c r="B928" s="442" t="s">
        <v>3969</v>
      </c>
      <c r="C928" s="443">
        <v>149</v>
      </c>
      <c r="D928" s="447" t="s">
        <v>3446</v>
      </c>
      <c r="E928" s="149"/>
      <c r="F928" s="149"/>
    </row>
    <row r="929" spans="1:6">
      <c r="A929" s="444">
        <v>148</v>
      </c>
      <c r="B929" s="444" t="s">
        <v>3970</v>
      </c>
      <c r="C929" s="445">
        <v>148</v>
      </c>
      <c r="D929" s="448" t="s">
        <v>3446</v>
      </c>
      <c r="E929" s="149"/>
      <c r="F929" s="149"/>
    </row>
    <row r="930" spans="1:6">
      <c r="A930" s="442">
        <v>147</v>
      </c>
      <c r="B930" s="442" t="s">
        <v>3971</v>
      </c>
      <c r="C930" s="443">
        <v>147</v>
      </c>
      <c r="D930" s="447" t="s">
        <v>3446</v>
      </c>
      <c r="E930" s="149"/>
      <c r="F930" s="149"/>
    </row>
    <row r="931" spans="1:6">
      <c r="A931" s="444">
        <v>146</v>
      </c>
      <c r="B931" s="444" t="s">
        <v>3972</v>
      </c>
      <c r="C931" s="445">
        <v>146</v>
      </c>
      <c r="D931" s="448" t="s">
        <v>3446</v>
      </c>
      <c r="E931" s="149"/>
      <c r="F931" s="149"/>
    </row>
    <row r="932" spans="1:6">
      <c r="A932" s="442">
        <v>144</v>
      </c>
      <c r="B932" s="442" t="s">
        <v>3973</v>
      </c>
      <c r="C932" s="443">
        <v>144</v>
      </c>
      <c r="D932" s="447" t="s">
        <v>3446</v>
      </c>
      <c r="E932" s="149"/>
      <c r="F932" s="149"/>
    </row>
    <row r="933" spans="1:6" ht="23.25">
      <c r="A933" s="444">
        <v>143</v>
      </c>
      <c r="B933" s="444" t="s">
        <v>3196</v>
      </c>
      <c r="C933" s="445">
        <v>142</v>
      </c>
      <c r="D933" s="448" t="s">
        <v>3446</v>
      </c>
      <c r="E933" s="149"/>
      <c r="F933" s="149"/>
    </row>
    <row r="934" spans="1:6">
      <c r="A934" s="442">
        <v>142</v>
      </c>
      <c r="B934" s="442" t="s">
        <v>3974</v>
      </c>
      <c r="C934" s="443">
        <v>141</v>
      </c>
      <c r="D934" s="447" t="s">
        <v>3446</v>
      </c>
      <c r="E934" s="149"/>
      <c r="F934" s="149"/>
    </row>
    <row r="935" spans="1:6">
      <c r="A935" s="444">
        <v>141</v>
      </c>
      <c r="B935" s="444" t="s">
        <v>3975</v>
      </c>
      <c r="C935" s="445">
        <v>140</v>
      </c>
      <c r="D935" s="448" t="s">
        <v>3446</v>
      </c>
      <c r="E935" s="149"/>
      <c r="F935" s="149"/>
    </row>
    <row r="936" spans="1:6">
      <c r="A936" s="442">
        <v>138</v>
      </c>
      <c r="B936" s="442" t="s">
        <v>3976</v>
      </c>
      <c r="C936" s="443">
        <v>137</v>
      </c>
      <c r="D936" s="447" t="s">
        <v>3446</v>
      </c>
      <c r="E936" s="149"/>
      <c r="F936" s="149"/>
    </row>
    <row r="937" spans="1:6">
      <c r="A937" s="444">
        <v>137</v>
      </c>
      <c r="B937" s="444" t="s">
        <v>3977</v>
      </c>
      <c r="C937" s="445">
        <v>136</v>
      </c>
      <c r="D937" s="448" t="s">
        <v>3446</v>
      </c>
      <c r="E937" s="149"/>
      <c r="F937" s="149"/>
    </row>
    <row r="938" spans="1:6">
      <c r="A938" s="442">
        <v>136</v>
      </c>
      <c r="B938" s="442" t="s">
        <v>3978</v>
      </c>
      <c r="C938" s="443">
        <v>135</v>
      </c>
      <c r="D938" s="447" t="s">
        <v>3446</v>
      </c>
      <c r="E938" s="149"/>
      <c r="F938" s="149"/>
    </row>
    <row r="939" spans="1:6">
      <c r="A939" s="444">
        <v>135</v>
      </c>
      <c r="B939" s="444" t="s">
        <v>3979</v>
      </c>
      <c r="C939" s="445">
        <v>134</v>
      </c>
      <c r="D939" s="448" t="s">
        <v>3446</v>
      </c>
      <c r="E939" s="149"/>
      <c r="F939" s="149"/>
    </row>
    <row r="940" spans="1:6">
      <c r="A940" s="442">
        <v>134</v>
      </c>
      <c r="B940" s="442" t="s">
        <v>3980</v>
      </c>
      <c r="C940" s="443">
        <v>133</v>
      </c>
      <c r="D940" s="447" t="s">
        <v>3446</v>
      </c>
      <c r="E940" s="149"/>
      <c r="F940" s="149"/>
    </row>
    <row r="941" spans="1:6">
      <c r="A941" s="444">
        <v>133</v>
      </c>
      <c r="B941" s="444" t="s">
        <v>3981</v>
      </c>
      <c r="C941" s="445">
        <v>132</v>
      </c>
      <c r="D941" s="448" t="s">
        <v>3446</v>
      </c>
      <c r="E941" s="149"/>
      <c r="F941" s="149"/>
    </row>
    <row r="942" spans="1:6">
      <c r="A942" s="442">
        <v>132</v>
      </c>
      <c r="B942" s="442" t="s">
        <v>3982</v>
      </c>
      <c r="C942" s="443">
        <v>131</v>
      </c>
      <c r="D942" s="447" t="s">
        <v>3446</v>
      </c>
      <c r="E942" s="149"/>
      <c r="F942" s="149"/>
    </row>
    <row r="943" spans="1:6">
      <c r="A943" s="444">
        <v>130</v>
      </c>
      <c r="B943" s="444" t="s">
        <v>3983</v>
      </c>
      <c r="C943" s="445">
        <v>130</v>
      </c>
      <c r="D943" s="448" t="s">
        <v>3446</v>
      </c>
      <c r="E943" s="149"/>
      <c r="F943" s="149"/>
    </row>
    <row r="944" spans="1:6">
      <c r="A944" s="442">
        <v>130</v>
      </c>
      <c r="B944" s="442" t="s">
        <v>3983</v>
      </c>
      <c r="C944" s="443">
        <v>1256</v>
      </c>
      <c r="D944" s="447" t="s">
        <v>3446</v>
      </c>
      <c r="E944" s="149"/>
      <c r="F944" s="149"/>
    </row>
    <row r="945" spans="1:6">
      <c r="A945" s="444">
        <v>129</v>
      </c>
      <c r="B945" s="444" t="s">
        <v>3984</v>
      </c>
      <c r="C945" s="445">
        <v>129</v>
      </c>
      <c r="D945" s="448" t="s">
        <v>3446</v>
      </c>
      <c r="E945" s="149"/>
      <c r="F945" s="149"/>
    </row>
    <row r="946" spans="1:6">
      <c r="A946" s="442">
        <v>128</v>
      </c>
      <c r="B946" s="442" t="s">
        <v>3985</v>
      </c>
      <c r="C946" s="443">
        <v>127</v>
      </c>
      <c r="D946" s="447" t="s">
        <v>3446</v>
      </c>
      <c r="E946" s="149"/>
      <c r="F946" s="149"/>
    </row>
    <row r="947" spans="1:6">
      <c r="A947" s="444">
        <v>127</v>
      </c>
      <c r="B947" s="444" t="s">
        <v>3986</v>
      </c>
      <c r="C947" s="445">
        <v>125</v>
      </c>
      <c r="D947" s="448" t="s">
        <v>3446</v>
      </c>
      <c r="E947" s="149"/>
      <c r="F947" s="149"/>
    </row>
    <row r="948" spans="1:6">
      <c r="A948" s="442">
        <v>126</v>
      </c>
      <c r="B948" s="442" t="s">
        <v>3987</v>
      </c>
      <c r="C948" s="443">
        <v>124</v>
      </c>
      <c r="D948" s="447" t="s">
        <v>3446</v>
      </c>
      <c r="E948" s="149"/>
      <c r="F948" s="149"/>
    </row>
    <row r="949" spans="1:6">
      <c r="A949" s="444">
        <v>123</v>
      </c>
      <c r="B949" s="444" t="s">
        <v>2788</v>
      </c>
      <c r="C949" s="445">
        <v>122</v>
      </c>
      <c r="D949" s="448" t="s">
        <v>3446</v>
      </c>
      <c r="E949" s="149"/>
      <c r="F949" s="149"/>
    </row>
    <row r="950" spans="1:6">
      <c r="A950" s="442">
        <v>122</v>
      </c>
      <c r="B950" s="442" t="s">
        <v>3988</v>
      </c>
      <c r="C950" s="443">
        <v>117</v>
      </c>
      <c r="D950" s="447" t="s">
        <v>3446</v>
      </c>
      <c r="E950" s="149"/>
      <c r="F950" s="149"/>
    </row>
    <row r="951" spans="1:6">
      <c r="A951" s="444">
        <v>120</v>
      </c>
      <c r="B951" s="444" t="s">
        <v>3989</v>
      </c>
      <c r="C951" s="445">
        <v>119</v>
      </c>
      <c r="D951" s="448" t="s">
        <v>3446</v>
      </c>
      <c r="E951" s="149"/>
      <c r="F951" s="149"/>
    </row>
    <row r="952" spans="1:6">
      <c r="A952" s="442">
        <v>119</v>
      </c>
      <c r="B952" s="442" t="s">
        <v>3990</v>
      </c>
      <c r="C952" s="443">
        <v>121</v>
      </c>
      <c r="D952" s="447" t="s">
        <v>3446</v>
      </c>
      <c r="E952" s="149"/>
      <c r="F952" s="149"/>
    </row>
    <row r="953" spans="1:6">
      <c r="A953" s="444">
        <v>118</v>
      </c>
      <c r="B953" s="444" t="s">
        <v>3991</v>
      </c>
      <c r="C953" s="445">
        <v>118</v>
      </c>
      <c r="D953" s="448" t="s">
        <v>3446</v>
      </c>
      <c r="E953" s="149"/>
      <c r="F953" s="149"/>
    </row>
    <row r="954" spans="1:6">
      <c r="A954" s="442">
        <v>117</v>
      </c>
      <c r="B954" s="442" t="s">
        <v>3992</v>
      </c>
      <c r="C954" s="443">
        <v>116</v>
      </c>
      <c r="D954" s="447" t="s">
        <v>3446</v>
      </c>
      <c r="E954" s="149"/>
      <c r="F954" s="149"/>
    </row>
    <row r="955" spans="1:6">
      <c r="A955" s="444">
        <v>116</v>
      </c>
      <c r="B955" s="444" t="s">
        <v>721</v>
      </c>
      <c r="C955" s="445">
        <v>115</v>
      </c>
      <c r="D955" s="448" t="s">
        <v>3446</v>
      </c>
      <c r="E955" s="149"/>
      <c r="F955" s="149"/>
    </row>
    <row r="956" spans="1:6">
      <c r="A956" s="442">
        <v>115</v>
      </c>
      <c r="B956" s="442" t="s">
        <v>3993</v>
      </c>
      <c r="C956" s="443">
        <v>114</v>
      </c>
      <c r="D956" s="447" t="s">
        <v>3446</v>
      </c>
      <c r="E956" s="149"/>
      <c r="F956" s="149"/>
    </row>
    <row r="957" spans="1:6">
      <c r="A957" s="444">
        <v>113</v>
      </c>
      <c r="B957" s="444" t="s">
        <v>3994</v>
      </c>
      <c r="C957" s="445">
        <v>111</v>
      </c>
      <c r="D957" s="448" t="s">
        <v>3446</v>
      </c>
      <c r="E957" s="149"/>
      <c r="F957" s="149"/>
    </row>
    <row r="958" spans="1:6">
      <c r="A958" s="442">
        <v>112</v>
      </c>
      <c r="B958" s="442" t="s">
        <v>3995</v>
      </c>
      <c r="C958" s="443">
        <v>110</v>
      </c>
      <c r="D958" s="447" t="s">
        <v>3446</v>
      </c>
      <c r="E958" s="149"/>
      <c r="F958" s="149"/>
    </row>
    <row r="959" spans="1:6">
      <c r="A959" s="444">
        <v>112</v>
      </c>
      <c r="B959" s="444" t="s">
        <v>3995</v>
      </c>
      <c r="C959" s="445">
        <v>991</v>
      </c>
      <c r="D959" s="448" t="s">
        <v>3446</v>
      </c>
      <c r="E959" s="149"/>
      <c r="F959" s="149"/>
    </row>
    <row r="960" spans="1:6">
      <c r="A960" s="442">
        <v>111</v>
      </c>
      <c r="B960" s="442" t="s">
        <v>835</v>
      </c>
      <c r="C960" s="443">
        <v>113</v>
      </c>
      <c r="D960" s="447" t="s">
        <v>3446</v>
      </c>
      <c r="E960" s="149"/>
      <c r="F960" s="149"/>
    </row>
    <row r="961" spans="1:6">
      <c r="A961" s="444">
        <v>109</v>
      </c>
      <c r="B961" s="444" t="s">
        <v>2287</v>
      </c>
      <c r="C961" s="445">
        <v>108</v>
      </c>
      <c r="D961" s="448" t="s">
        <v>3446</v>
      </c>
      <c r="E961" s="149"/>
      <c r="F961" s="149"/>
    </row>
    <row r="962" spans="1:6">
      <c r="A962" s="442">
        <v>108</v>
      </c>
      <c r="B962" s="442" t="s">
        <v>3996</v>
      </c>
      <c r="C962" s="443">
        <v>107</v>
      </c>
      <c r="D962" s="447" t="s">
        <v>3446</v>
      </c>
      <c r="E962" s="149"/>
      <c r="F962" s="149"/>
    </row>
    <row r="963" spans="1:6">
      <c r="A963" s="444">
        <v>106</v>
      </c>
      <c r="B963" s="444" t="s">
        <v>3997</v>
      </c>
      <c r="C963" s="445">
        <v>106</v>
      </c>
      <c r="D963" s="448" t="s">
        <v>3446</v>
      </c>
      <c r="E963" s="149"/>
      <c r="F963" s="149"/>
    </row>
    <row r="964" spans="1:6">
      <c r="A964" s="442">
        <v>104</v>
      </c>
      <c r="B964" s="442" t="s">
        <v>3998</v>
      </c>
      <c r="C964" s="443">
        <v>104</v>
      </c>
      <c r="D964" s="447" t="s">
        <v>3446</v>
      </c>
      <c r="E964" s="149"/>
      <c r="F964" s="149"/>
    </row>
    <row r="965" spans="1:6">
      <c r="A965" s="444">
        <v>103</v>
      </c>
      <c r="B965" s="444" t="s">
        <v>3999</v>
      </c>
      <c r="C965" s="445">
        <v>102</v>
      </c>
      <c r="D965" s="448" t="s">
        <v>3446</v>
      </c>
      <c r="E965" s="149"/>
      <c r="F965" s="149"/>
    </row>
    <row r="966" spans="1:6">
      <c r="A966" s="442">
        <v>102</v>
      </c>
      <c r="B966" s="442" t="s">
        <v>4000</v>
      </c>
      <c r="C966" s="443">
        <v>103</v>
      </c>
      <c r="D966" s="447" t="s">
        <v>3446</v>
      </c>
      <c r="E966" s="149"/>
      <c r="F966" s="149"/>
    </row>
    <row r="967" spans="1:6">
      <c r="A967" s="444">
        <v>101</v>
      </c>
      <c r="B967" s="444" t="s">
        <v>4001</v>
      </c>
      <c r="C967" s="445">
        <v>101</v>
      </c>
      <c r="D967" s="448" t="s">
        <v>3446</v>
      </c>
      <c r="E967" s="149"/>
      <c r="F967" s="149"/>
    </row>
    <row r="968" spans="1:6">
      <c r="A968" s="442">
        <v>100</v>
      </c>
      <c r="B968" s="442" t="s">
        <v>4002</v>
      </c>
      <c r="C968" s="443">
        <v>98</v>
      </c>
      <c r="D968" s="447" t="s">
        <v>3446</v>
      </c>
      <c r="E968" s="149"/>
      <c r="F968" s="149"/>
    </row>
    <row r="969" spans="1:6">
      <c r="A969" s="444">
        <v>99</v>
      </c>
      <c r="B969" s="444" t="s">
        <v>4003</v>
      </c>
      <c r="C969" s="445">
        <v>100</v>
      </c>
      <c r="D969" s="448" t="s">
        <v>3446</v>
      </c>
      <c r="E969" s="149"/>
      <c r="F969" s="149"/>
    </row>
    <row r="970" spans="1:6">
      <c r="A970" s="442">
        <v>99</v>
      </c>
      <c r="B970" s="442" t="s">
        <v>4003</v>
      </c>
      <c r="C970" s="443">
        <v>1139</v>
      </c>
      <c r="D970" s="447" t="s">
        <v>3446</v>
      </c>
      <c r="E970" s="149"/>
      <c r="F970" s="149"/>
    </row>
    <row r="971" spans="1:6">
      <c r="A971" s="444">
        <v>98</v>
      </c>
      <c r="B971" s="444" t="s">
        <v>4004</v>
      </c>
      <c r="C971" s="445">
        <v>99</v>
      </c>
      <c r="D971" s="448" t="s">
        <v>3446</v>
      </c>
      <c r="E971" s="149"/>
      <c r="F971" s="149"/>
    </row>
    <row r="972" spans="1:6">
      <c r="A972" s="442">
        <v>97</v>
      </c>
      <c r="B972" s="442" t="s">
        <v>4005</v>
      </c>
      <c r="C972" s="443">
        <v>97</v>
      </c>
      <c r="D972" s="447" t="s">
        <v>3446</v>
      </c>
      <c r="E972" s="149"/>
      <c r="F972" s="149"/>
    </row>
    <row r="973" spans="1:6">
      <c r="A973" s="444">
        <v>96</v>
      </c>
      <c r="B973" s="444" t="s">
        <v>4006</v>
      </c>
      <c r="C973" s="445">
        <v>95</v>
      </c>
      <c r="D973" s="448" t="s">
        <v>3446</v>
      </c>
      <c r="E973" s="149"/>
      <c r="F973" s="149"/>
    </row>
    <row r="974" spans="1:6">
      <c r="A974" s="442">
        <v>95</v>
      </c>
      <c r="B974" s="442" t="s">
        <v>4007</v>
      </c>
      <c r="C974" s="443">
        <v>94</v>
      </c>
      <c r="D974" s="447" t="s">
        <v>3446</v>
      </c>
      <c r="E974" s="149"/>
      <c r="F974" s="149"/>
    </row>
    <row r="975" spans="1:6">
      <c r="A975" s="444">
        <v>94</v>
      </c>
      <c r="B975" s="444" t="s">
        <v>4008</v>
      </c>
      <c r="C975" s="445">
        <v>93</v>
      </c>
      <c r="D975" s="448" t="s">
        <v>3446</v>
      </c>
      <c r="E975" s="149"/>
      <c r="F975" s="149"/>
    </row>
    <row r="976" spans="1:6">
      <c r="A976" s="442">
        <v>93</v>
      </c>
      <c r="B976" s="442" t="s">
        <v>4009</v>
      </c>
      <c r="C976" s="443">
        <v>92</v>
      </c>
      <c r="D976" s="447" t="s">
        <v>3446</v>
      </c>
      <c r="E976" s="149"/>
      <c r="F976" s="149"/>
    </row>
    <row r="977" spans="1:6">
      <c r="A977" s="444">
        <v>92</v>
      </c>
      <c r="B977" s="444" t="s">
        <v>4010</v>
      </c>
      <c r="C977" s="445">
        <v>91</v>
      </c>
      <c r="D977" s="448" t="s">
        <v>3446</v>
      </c>
      <c r="E977" s="149"/>
      <c r="F977" s="149"/>
    </row>
    <row r="978" spans="1:6">
      <c r="A978" s="442">
        <v>90</v>
      </c>
      <c r="B978" s="442" t="s">
        <v>4011</v>
      </c>
      <c r="C978" s="443">
        <v>89</v>
      </c>
      <c r="D978" s="447" t="s">
        <v>3446</v>
      </c>
      <c r="E978" s="149"/>
      <c r="F978" s="149"/>
    </row>
    <row r="979" spans="1:6">
      <c r="A979" s="444">
        <v>88</v>
      </c>
      <c r="B979" s="444" t="s">
        <v>4012</v>
      </c>
      <c r="C979" s="445">
        <v>87</v>
      </c>
      <c r="D979" s="448" t="s">
        <v>3446</v>
      </c>
      <c r="E979" s="149"/>
      <c r="F979" s="149"/>
    </row>
    <row r="980" spans="1:6">
      <c r="A980" s="442">
        <v>87</v>
      </c>
      <c r="B980" s="442" t="s">
        <v>4013</v>
      </c>
      <c r="C980" s="443">
        <v>84</v>
      </c>
      <c r="D980" s="447" t="s">
        <v>3446</v>
      </c>
      <c r="E980" s="149"/>
      <c r="F980" s="149"/>
    </row>
    <row r="981" spans="1:6">
      <c r="A981" s="444">
        <v>86</v>
      </c>
      <c r="B981" s="444" t="s">
        <v>4014</v>
      </c>
      <c r="C981" s="445">
        <v>86</v>
      </c>
      <c r="D981" s="448" t="s">
        <v>3446</v>
      </c>
      <c r="E981" s="149"/>
      <c r="F981" s="149"/>
    </row>
    <row r="982" spans="1:6">
      <c r="A982" s="442">
        <v>85</v>
      </c>
      <c r="B982" s="442" t="s">
        <v>4015</v>
      </c>
      <c r="C982" s="443">
        <v>83</v>
      </c>
      <c r="D982" s="447" t="s">
        <v>3446</v>
      </c>
      <c r="E982" s="149"/>
      <c r="F982" s="149"/>
    </row>
    <row r="983" spans="1:6">
      <c r="A983" s="444">
        <v>84</v>
      </c>
      <c r="B983" s="444" t="s">
        <v>4016</v>
      </c>
      <c r="C983" s="445">
        <v>82</v>
      </c>
      <c r="D983" s="448" t="s">
        <v>3446</v>
      </c>
      <c r="E983" s="149"/>
      <c r="F983" s="149"/>
    </row>
    <row r="984" spans="1:6">
      <c r="A984" s="442">
        <v>83</v>
      </c>
      <c r="B984" s="442" t="s">
        <v>4017</v>
      </c>
      <c r="C984" s="443">
        <v>81</v>
      </c>
      <c r="D984" s="447" t="s">
        <v>3446</v>
      </c>
      <c r="E984" s="149"/>
      <c r="F984" s="149"/>
    </row>
    <row r="985" spans="1:6">
      <c r="A985" s="444">
        <v>83</v>
      </c>
      <c r="B985" s="444" t="s">
        <v>4017</v>
      </c>
      <c r="C985" s="445">
        <v>1883</v>
      </c>
      <c r="D985" s="448" t="s">
        <v>3446</v>
      </c>
      <c r="E985" s="149"/>
      <c r="F985" s="149"/>
    </row>
    <row r="986" spans="1:6">
      <c r="A986" s="442">
        <v>82</v>
      </c>
      <c r="B986" s="442" t="s">
        <v>1544</v>
      </c>
      <c r="C986" s="443">
        <v>80</v>
      </c>
      <c r="D986" s="447" t="s">
        <v>3446</v>
      </c>
      <c r="E986" s="149"/>
      <c r="F986" s="149"/>
    </row>
    <row r="987" spans="1:6">
      <c r="A987" s="444">
        <v>80</v>
      </c>
      <c r="B987" s="444" t="s">
        <v>4018</v>
      </c>
      <c r="C987" s="445">
        <v>78</v>
      </c>
      <c r="D987" s="448" t="s">
        <v>3446</v>
      </c>
      <c r="E987" s="149"/>
      <c r="F987" s="149"/>
    </row>
    <row r="988" spans="1:6">
      <c r="A988" s="442">
        <v>79</v>
      </c>
      <c r="B988" s="442" t="s">
        <v>4019</v>
      </c>
      <c r="C988" s="443">
        <v>76</v>
      </c>
      <c r="D988" s="447" t="s">
        <v>3446</v>
      </c>
      <c r="E988" s="149"/>
      <c r="F988" s="149"/>
    </row>
    <row r="989" spans="1:6">
      <c r="A989" s="444">
        <v>78</v>
      </c>
      <c r="B989" s="444" t="s">
        <v>4019</v>
      </c>
      <c r="C989" s="445">
        <v>77</v>
      </c>
      <c r="D989" s="448" t="s">
        <v>3446</v>
      </c>
      <c r="E989" s="149"/>
      <c r="F989" s="149"/>
    </row>
    <row r="990" spans="1:6">
      <c r="A990" s="442">
        <v>76</v>
      </c>
      <c r="B990" s="442" t="s">
        <v>4020</v>
      </c>
      <c r="C990" s="443">
        <v>74</v>
      </c>
      <c r="D990" s="447" t="s">
        <v>3446</v>
      </c>
      <c r="E990" s="149"/>
      <c r="F990" s="149"/>
    </row>
    <row r="991" spans="1:6">
      <c r="A991" s="444">
        <v>75</v>
      </c>
      <c r="B991" s="444" t="s">
        <v>4021</v>
      </c>
      <c r="C991" s="445">
        <v>73</v>
      </c>
      <c r="D991" s="448" t="s">
        <v>3446</v>
      </c>
      <c r="E991" s="149"/>
      <c r="F991" s="149"/>
    </row>
    <row r="992" spans="1:6">
      <c r="A992" s="442">
        <v>74</v>
      </c>
      <c r="B992" s="442" t="s">
        <v>4022</v>
      </c>
      <c r="C992" s="443">
        <v>70</v>
      </c>
      <c r="D992" s="447" t="s">
        <v>3446</v>
      </c>
      <c r="E992" s="149"/>
      <c r="F992" s="149"/>
    </row>
    <row r="993" spans="1:6">
      <c r="A993" s="444">
        <v>72</v>
      </c>
      <c r="B993" s="444" t="s">
        <v>4023</v>
      </c>
      <c r="C993" s="445">
        <v>332</v>
      </c>
      <c r="D993" s="448" t="s">
        <v>3446</v>
      </c>
      <c r="E993" s="149"/>
      <c r="F993" s="149"/>
    </row>
    <row r="994" spans="1:6">
      <c r="A994" s="442">
        <v>71</v>
      </c>
      <c r="B994" s="442" t="s">
        <v>4024</v>
      </c>
      <c r="C994" s="443">
        <v>72</v>
      </c>
      <c r="D994" s="447" t="s">
        <v>3446</v>
      </c>
      <c r="E994" s="149"/>
      <c r="F994" s="149"/>
    </row>
    <row r="995" spans="1:6">
      <c r="A995" s="444">
        <v>70</v>
      </c>
      <c r="B995" s="444" t="s">
        <v>3294</v>
      </c>
      <c r="C995" s="445">
        <v>57</v>
      </c>
      <c r="D995" s="448" t="s">
        <v>3446</v>
      </c>
      <c r="E995" s="149"/>
      <c r="F995" s="149"/>
    </row>
    <row r="996" spans="1:6" ht="23.25">
      <c r="A996" s="442">
        <v>69</v>
      </c>
      <c r="B996" s="442" t="s">
        <v>4025</v>
      </c>
      <c r="C996" s="443">
        <v>71</v>
      </c>
      <c r="D996" s="447" t="s">
        <v>3446</v>
      </c>
      <c r="E996" s="149"/>
      <c r="F996" s="149"/>
    </row>
    <row r="997" spans="1:6">
      <c r="A997" s="444">
        <v>68</v>
      </c>
      <c r="B997" s="444" t="s">
        <v>4026</v>
      </c>
      <c r="C997" s="445">
        <v>54</v>
      </c>
      <c r="D997" s="448" t="s">
        <v>3446</v>
      </c>
      <c r="E997" s="149"/>
      <c r="F997" s="149"/>
    </row>
    <row r="998" spans="1:6">
      <c r="A998" s="442">
        <v>67</v>
      </c>
      <c r="B998" s="442" t="s">
        <v>4027</v>
      </c>
      <c r="C998" s="443">
        <v>66</v>
      </c>
      <c r="D998" s="447" t="s">
        <v>3446</v>
      </c>
      <c r="E998" s="149"/>
      <c r="F998" s="149"/>
    </row>
    <row r="999" spans="1:6" ht="23.25">
      <c r="A999" s="444">
        <v>66</v>
      </c>
      <c r="B999" s="444" t="s">
        <v>4028</v>
      </c>
      <c r="C999" s="445">
        <v>63</v>
      </c>
      <c r="D999" s="448" t="s">
        <v>3446</v>
      </c>
      <c r="E999" s="149"/>
      <c r="F999" s="149"/>
    </row>
    <row r="1000" spans="1:6">
      <c r="A1000" s="442">
        <v>65</v>
      </c>
      <c r="B1000" s="442" t="s">
        <v>4029</v>
      </c>
      <c r="C1000" s="443">
        <v>67</v>
      </c>
      <c r="D1000" s="447" t="s">
        <v>3446</v>
      </c>
      <c r="E1000" s="149"/>
      <c r="F1000" s="149"/>
    </row>
    <row r="1001" spans="1:6">
      <c r="A1001" s="444">
        <v>64</v>
      </c>
      <c r="B1001" s="444" t="s">
        <v>4030</v>
      </c>
      <c r="C1001" s="445">
        <v>56</v>
      </c>
      <c r="D1001" s="448" t="s">
        <v>3446</v>
      </c>
      <c r="E1001" s="149"/>
      <c r="F1001" s="149"/>
    </row>
    <row r="1002" spans="1:6">
      <c r="A1002" s="442">
        <v>62</v>
      </c>
      <c r="B1002" s="442" t="s">
        <v>4031</v>
      </c>
      <c r="C1002" s="443">
        <v>319</v>
      </c>
      <c r="D1002" s="447" t="s">
        <v>3446</v>
      </c>
      <c r="E1002" s="149"/>
      <c r="F1002" s="149"/>
    </row>
    <row r="1003" spans="1:6">
      <c r="A1003" s="444">
        <v>61</v>
      </c>
      <c r="B1003" s="444" t="s">
        <v>4032</v>
      </c>
      <c r="C1003" s="445">
        <v>42</v>
      </c>
      <c r="D1003" s="448" t="s">
        <v>3446</v>
      </c>
      <c r="E1003" s="149"/>
      <c r="F1003" s="149"/>
    </row>
    <row r="1004" spans="1:6">
      <c r="A1004" s="442">
        <v>60</v>
      </c>
      <c r="B1004" s="442" t="s">
        <v>4033</v>
      </c>
      <c r="C1004" s="443">
        <v>51</v>
      </c>
      <c r="D1004" s="447" t="s">
        <v>3446</v>
      </c>
      <c r="E1004" s="149"/>
      <c r="F1004" s="149"/>
    </row>
    <row r="1005" spans="1:6">
      <c r="A1005" s="444">
        <v>59</v>
      </c>
      <c r="B1005" s="444" t="s">
        <v>3178</v>
      </c>
      <c r="C1005" s="445">
        <v>53</v>
      </c>
      <c r="D1005" s="448" t="s">
        <v>3446</v>
      </c>
      <c r="E1005" s="149"/>
      <c r="F1005" s="149"/>
    </row>
    <row r="1006" spans="1:6">
      <c r="A1006" s="442">
        <v>57</v>
      </c>
      <c r="B1006" s="442" t="s">
        <v>4034</v>
      </c>
      <c r="C1006" s="443">
        <v>34</v>
      </c>
      <c r="D1006" s="447" t="s">
        <v>3446</v>
      </c>
      <c r="E1006" s="149"/>
      <c r="F1006" s="149"/>
    </row>
    <row r="1007" spans="1:6">
      <c r="A1007" s="444">
        <v>55</v>
      </c>
      <c r="B1007" s="444" t="s">
        <v>4035</v>
      </c>
      <c r="C1007" s="445">
        <v>1916</v>
      </c>
      <c r="D1007" s="448" t="s">
        <v>3446</v>
      </c>
      <c r="E1007" s="149"/>
      <c r="F1007" s="149"/>
    </row>
    <row r="1008" spans="1:6">
      <c r="A1008" s="442">
        <v>53</v>
      </c>
      <c r="B1008" s="442" t="s">
        <v>4036</v>
      </c>
      <c r="C1008" s="443">
        <v>29</v>
      </c>
      <c r="D1008" s="447" t="s">
        <v>3446</v>
      </c>
      <c r="E1008" s="149"/>
      <c r="F1008" s="149"/>
    </row>
    <row r="1009" spans="1:6">
      <c r="A1009" s="444">
        <v>52</v>
      </c>
      <c r="B1009" s="444" t="s">
        <v>4037</v>
      </c>
      <c r="C1009" s="445">
        <v>35</v>
      </c>
      <c r="D1009" s="448" t="s">
        <v>3446</v>
      </c>
      <c r="E1009" s="149"/>
      <c r="F1009" s="149"/>
    </row>
    <row r="1010" spans="1:6">
      <c r="A1010" s="442">
        <v>51</v>
      </c>
      <c r="B1010" s="442" t="s">
        <v>4038</v>
      </c>
      <c r="C1010" s="443">
        <v>30</v>
      </c>
      <c r="D1010" s="447" t="s">
        <v>3446</v>
      </c>
      <c r="E1010" s="149"/>
      <c r="F1010" s="149"/>
    </row>
    <row r="1011" spans="1:6">
      <c r="A1011" s="444">
        <v>50</v>
      </c>
      <c r="B1011" s="444" t="s">
        <v>4039</v>
      </c>
      <c r="C1011" s="445">
        <v>27</v>
      </c>
      <c r="D1011" s="448" t="s">
        <v>3446</v>
      </c>
      <c r="E1011" s="149"/>
      <c r="F1011" s="149"/>
    </row>
    <row r="1012" spans="1:6">
      <c r="A1012" s="442">
        <v>49</v>
      </c>
      <c r="B1012" s="442" t="s">
        <v>3249</v>
      </c>
      <c r="C1012" s="443">
        <v>65</v>
      </c>
      <c r="D1012" s="447" t="s">
        <v>3446</v>
      </c>
      <c r="E1012" s="149"/>
      <c r="F1012" s="149"/>
    </row>
    <row r="1013" spans="1:6">
      <c r="A1013" s="444">
        <v>48</v>
      </c>
      <c r="B1013" s="444" t="s">
        <v>4040</v>
      </c>
      <c r="C1013" s="445">
        <v>24</v>
      </c>
      <c r="D1013" s="448" t="s">
        <v>3446</v>
      </c>
      <c r="E1013" s="149"/>
      <c r="F1013" s="149"/>
    </row>
    <row r="1014" spans="1:6">
      <c r="A1014" s="442">
        <v>47</v>
      </c>
      <c r="B1014" s="442" t="s">
        <v>4041</v>
      </c>
      <c r="C1014" s="443">
        <v>23</v>
      </c>
      <c r="D1014" s="447" t="s">
        <v>3446</v>
      </c>
      <c r="E1014" s="149"/>
      <c r="F1014" s="149"/>
    </row>
    <row r="1015" spans="1:6">
      <c r="A1015" s="444">
        <v>46</v>
      </c>
      <c r="B1015" s="444" t="s">
        <v>4042</v>
      </c>
      <c r="C1015" s="445">
        <v>22</v>
      </c>
      <c r="D1015" s="448" t="s">
        <v>3446</v>
      </c>
      <c r="E1015" s="149"/>
      <c r="F1015" s="149"/>
    </row>
    <row r="1016" spans="1:6">
      <c r="A1016" s="442">
        <v>45</v>
      </c>
      <c r="B1016" s="442" t="s">
        <v>4043</v>
      </c>
      <c r="C1016" s="443">
        <v>55</v>
      </c>
      <c r="D1016" s="447" t="s">
        <v>3446</v>
      </c>
      <c r="E1016" s="149"/>
      <c r="F1016" s="149"/>
    </row>
    <row r="1017" spans="1:6">
      <c r="A1017" s="444">
        <v>41</v>
      </c>
      <c r="B1017" s="444" t="s">
        <v>4044</v>
      </c>
      <c r="C1017" s="445">
        <v>26</v>
      </c>
      <c r="D1017" s="448" t="s">
        <v>3446</v>
      </c>
      <c r="E1017" s="149"/>
      <c r="F1017" s="149"/>
    </row>
    <row r="1018" spans="1:6" ht="23.25">
      <c r="A1018" s="442">
        <v>40</v>
      </c>
      <c r="B1018" s="442" t="s">
        <v>4045</v>
      </c>
      <c r="C1018" s="443">
        <v>19</v>
      </c>
      <c r="D1018" s="447" t="s">
        <v>3446</v>
      </c>
      <c r="E1018" s="149"/>
      <c r="F1018" s="149"/>
    </row>
    <row r="1019" spans="1:6">
      <c r="A1019" s="444">
        <v>37</v>
      </c>
      <c r="B1019" s="444" t="s">
        <v>3812</v>
      </c>
      <c r="C1019" s="445">
        <v>44</v>
      </c>
      <c r="D1019" s="448" t="s">
        <v>3446</v>
      </c>
      <c r="E1019" s="149"/>
      <c r="F1019" s="149"/>
    </row>
    <row r="1020" spans="1:6">
      <c r="A1020" s="442">
        <v>35</v>
      </c>
      <c r="B1020" s="442" t="s">
        <v>4046</v>
      </c>
      <c r="C1020" s="443">
        <v>16</v>
      </c>
      <c r="D1020" s="447" t="s">
        <v>3446</v>
      </c>
      <c r="E1020" s="149"/>
      <c r="F1020" s="149"/>
    </row>
    <row r="1021" spans="1:6">
      <c r="A1021" s="444">
        <v>34</v>
      </c>
      <c r="B1021" s="444" t="s">
        <v>4047</v>
      </c>
      <c r="C1021" s="445">
        <v>1</v>
      </c>
      <c r="D1021" s="448" t="s">
        <v>3446</v>
      </c>
      <c r="E1021" s="149"/>
      <c r="F1021" s="149"/>
    </row>
    <row r="1022" spans="1:6">
      <c r="A1022" s="442">
        <v>33</v>
      </c>
      <c r="B1022" s="442" t="s">
        <v>4048</v>
      </c>
      <c r="C1022" s="443">
        <v>33</v>
      </c>
      <c r="D1022" s="447" t="s">
        <v>3446</v>
      </c>
      <c r="E1022" s="149"/>
      <c r="F1022" s="149"/>
    </row>
    <row r="1023" spans="1:6">
      <c r="A1023" s="444">
        <v>32</v>
      </c>
      <c r="B1023" s="444" t="s">
        <v>4049</v>
      </c>
      <c r="C1023" s="445">
        <v>168</v>
      </c>
      <c r="D1023" s="448" t="s">
        <v>3446</v>
      </c>
      <c r="E1023" s="149"/>
      <c r="F1023" s="149"/>
    </row>
    <row r="1024" spans="1:6" ht="23.25">
      <c r="A1024" s="442">
        <v>31</v>
      </c>
      <c r="B1024" s="442" t="s">
        <v>4050</v>
      </c>
      <c r="C1024" s="443">
        <v>85</v>
      </c>
      <c r="D1024" s="447" t="s">
        <v>3446</v>
      </c>
      <c r="E1024" s="149"/>
      <c r="F1024" s="149"/>
    </row>
    <row r="1025" spans="1:6">
      <c r="A1025" s="444">
        <v>29</v>
      </c>
      <c r="B1025" s="444" t="s">
        <v>3988</v>
      </c>
      <c r="C1025" s="445">
        <v>52</v>
      </c>
      <c r="D1025" s="448" t="s">
        <v>3446</v>
      </c>
      <c r="E1025" s="149"/>
      <c r="F1025" s="149"/>
    </row>
    <row r="1026" spans="1:6">
      <c r="A1026" s="442">
        <v>28</v>
      </c>
      <c r="B1026" s="442" t="s">
        <v>4051</v>
      </c>
      <c r="C1026" s="443">
        <v>38</v>
      </c>
      <c r="D1026" s="447" t="s">
        <v>3446</v>
      </c>
      <c r="E1026" s="149"/>
      <c r="F1026" s="149"/>
    </row>
    <row r="1027" spans="1:6">
      <c r="A1027" s="444">
        <v>27</v>
      </c>
      <c r="B1027" s="444" t="s">
        <v>4052</v>
      </c>
      <c r="C1027" s="445">
        <v>31</v>
      </c>
      <c r="D1027" s="448" t="s">
        <v>3446</v>
      </c>
      <c r="E1027" s="149"/>
      <c r="F1027" s="149"/>
    </row>
    <row r="1028" spans="1:6">
      <c r="A1028" s="442">
        <v>26</v>
      </c>
      <c r="B1028" s="442" t="s">
        <v>4027</v>
      </c>
      <c r="C1028" s="443">
        <v>40</v>
      </c>
      <c r="D1028" s="447" t="s">
        <v>3446</v>
      </c>
      <c r="E1028" s="149"/>
      <c r="F1028" s="149"/>
    </row>
    <row r="1029" spans="1:6">
      <c r="A1029" s="444">
        <v>25</v>
      </c>
      <c r="B1029" s="444" t="s">
        <v>4053</v>
      </c>
      <c r="C1029" s="445">
        <v>47</v>
      </c>
      <c r="D1029" s="448" t="s">
        <v>3446</v>
      </c>
      <c r="E1029" s="149"/>
      <c r="F1029" s="149"/>
    </row>
    <row r="1030" spans="1:6">
      <c r="A1030" s="442">
        <v>24</v>
      </c>
      <c r="B1030" s="442" t="s">
        <v>4054</v>
      </c>
      <c r="C1030" s="443">
        <v>21</v>
      </c>
      <c r="D1030" s="447" t="s">
        <v>3446</v>
      </c>
      <c r="E1030" s="149"/>
      <c r="F1030" s="149"/>
    </row>
    <row r="1031" spans="1:6">
      <c r="A1031" s="444">
        <v>23</v>
      </c>
      <c r="B1031" s="444" t="s">
        <v>4055</v>
      </c>
      <c r="C1031" s="445">
        <v>4</v>
      </c>
      <c r="D1031" s="448" t="s">
        <v>3446</v>
      </c>
      <c r="E1031" s="149"/>
      <c r="F1031" s="149"/>
    </row>
    <row r="1032" spans="1:6">
      <c r="A1032" s="442">
        <v>22</v>
      </c>
      <c r="B1032" s="442" t="s">
        <v>4056</v>
      </c>
      <c r="C1032" s="443">
        <v>41</v>
      </c>
      <c r="D1032" s="447" t="s">
        <v>3446</v>
      </c>
      <c r="E1032" s="149"/>
      <c r="F1032" s="149"/>
    </row>
    <row r="1033" spans="1:6">
      <c r="A1033" s="444">
        <v>21</v>
      </c>
      <c r="B1033" s="444" t="s">
        <v>4057</v>
      </c>
      <c r="C1033" s="445">
        <v>25</v>
      </c>
      <c r="D1033" s="448" t="s">
        <v>3446</v>
      </c>
      <c r="E1033" s="149"/>
      <c r="F1033" s="149"/>
    </row>
    <row r="1034" spans="1:6">
      <c r="A1034" s="442">
        <v>20</v>
      </c>
      <c r="B1034" s="442" t="s">
        <v>4058</v>
      </c>
      <c r="C1034" s="443">
        <v>9</v>
      </c>
      <c r="D1034" s="447" t="s">
        <v>3446</v>
      </c>
      <c r="E1034" s="149"/>
      <c r="F1034" s="149"/>
    </row>
    <row r="1035" spans="1:6">
      <c r="A1035" s="444">
        <v>19</v>
      </c>
      <c r="B1035" s="444" t="s">
        <v>4059</v>
      </c>
      <c r="C1035" s="445">
        <v>18</v>
      </c>
      <c r="D1035" s="448" t="s">
        <v>3446</v>
      </c>
      <c r="E1035" s="149"/>
      <c r="F1035" s="149"/>
    </row>
    <row r="1036" spans="1:6">
      <c r="A1036" s="442">
        <v>18</v>
      </c>
      <c r="B1036" s="442" t="s">
        <v>3012</v>
      </c>
      <c r="C1036" s="443">
        <v>15</v>
      </c>
      <c r="D1036" s="447" t="s">
        <v>3446</v>
      </c>
      <c r="E1036" s="149"/>
      <c r="F1036" s="149"/>
    </row>
    <row r="1037" spans="1:6">
      <c r="A1037" s="444">
        <v>17</v>
      </c>
      <c r="B1037" s="444" t="s">
        <v>4060</v>
      </c>
      <c r="C1037" s="445">
        <v>28</v>
      </c>
      <c r="D1037" s="448" t="s">
        <v>3446</v>
      </c>
      <c r="E1037" s="149"/>
      <c r="F1037" s="149"/>
    </row>
    <row r="1038" spans="1:6">
      <c r="A1038" s="442">
        <v>15</v>
      </c>
      <c r="B1038" s="442" t="s">
        <v>4061</v>
      </c>
      <c r="C1038" s="443">
        <v>1595</v>
      </c>
      <c r="D1038" s="447" t="s">
        <v>3446</v>
      </c>
      <c r="E1038" s="149"/>
      <c r="F1038" s="149"/>
    </row>
    <row r="1039" spans="1:6" ht="23.25">
      <c r="A1039" s="444">
        <v>13</v>
      </c>
      <c r="B1039" s="444" t="s">
        <v>4062</v>
      </c>
      <c r="C1039" s="445">
        <v>7</v>
      </c>
      <c r="D1039" s="448" t="s">
        <v>3446</v>
      </c>
      <c r="E1039" s="149"/>
      <c r="F1039" s="149"/>
    </row>
    <row r="1040" spans="1:6">
      <c r="A1040" s="442">
        <v>12</v>
      </c>
      <c r="B1040" s="442" t="s">
        <v>4063</v>
      </c>
      <c r="C1040" s="443">
        <v>17</v>
      </c>
      <c r="D1040" s="447" t="s">
        <v>3446</v>
      </c>
      <c r="E1040" s="149"/>
      <c r="F1040" s="149"/>
    </row>
    <row r="1041" spans="1:6">
      <c r="A1041" s="444">
        <v>11</v>
      </c>
      <c r="B1041" s="444" t="s">
        <v>4064</v>
      </c>
      <c r="C1041" s="445">
        <v>58</v>
      </c>
      <c r="D1041" s="448" t="s">
        <v>3446</v>
      </c>
      <c r="E1041" s="149"/>
      <c r="F1041" s="149"/>
    </row>
    <row r="1042" spans="1:6">
      <c r="A1042" s="442">
        <v>11</v>
      </c>
      <c r="B1042" s="442" t="s">
        <v>4064</v>
      </c>
      <c r="C1042" s="443">
        <v>59</v>
      </c>
      <c r="D1042" s="447" t="s">
        <v>3446</v>
      </c>
      <c r="E1042" s="149"/>
      <c r="F1042" s="149"/>
    </row>
    <row r="1043" spans="1:6" ht="34.5">
      <c r="A1043" s="444">
        <v>10</v>
      </c>
      <c r="B1043" s="444" t="s">
        <v>4065</v>
      </c>
      <c r="C1043" s="445">
        <v>14</v>
      </c>
      <c r="D1043" s="448" t="s">
        <v>3446</v>
      </c>
      <c r="E1043" s="149"/>
      <c r="F1043" s="149"/>
    </row>
    <row r="1044" spans="1:6">
      <c r="A1044" s="442">
        <v>9</v>
      </c>
      <c r="B1044" s="442" t="s">
        <v>4066</v>
      </c>
      <c r="C1044" s="443">
        <v>931</v>
      </c>
      <c r="D1044" s="447" t="s">
        <v>3446</v>
      </c>
      <c r="E1044" s="149"/>
      <c r="F1044" s="149"/>
    </row>
    <row r="1045" spans="1:6">
      <c r="A1045" s="444">
        <v>8</v>
      </c>
      <c r="B1045" s="444" t="s">
        <v>4067</v>
      </c>
      <c r="C1045" s="445">
        <v>48</v>
      </c>
      <c r="D1045" s="448" t="s">
        <v>3446</v>
      </c>
      <c r="E1045" s="149"/>
      <c r="F1045" s="149"/>
    </row>
    <row r="1046" spans="1:6">
      <c r="A1046" s="442">
        <v>8</v>
      </c>
      <c r="B1046" s="442" t="s">
        <v>4067</v>
      </c>
      <c r="C1046" s="443">
        <v>49</v>
      </c>
      <c r="D1046" s="447" t="s">
        <v>3446</v>
      </c>
      <c r="E1046" s="149"/>
      <c r="F1046" s="149"/>
    </row>
    <row r="1047" spans="1:6">
      <c r="A1047" s="444">
        <v>8</v>
      </c>
      <c r="B1047" s="444" t="s">
        <v>4067</v>
      </c>
      <c r="C1047" s="445">
        <v>50</v>
      </c>
      <c r="D1047" s="448" t="s">
        <v>3446</v>
      </c>
      <c r="E1047" s="149"/>
      <c r="F1047" s="149"/>
    </row>
    <row r="1048" spans="1:6">
      <c r="A1048" s="442">
        <v>7</v>
      </c>
      <c r="B1048" s="442" t="s">
        <v>4068</v>
      </c>
      <c r="C1048" s="443">
        <v>10</v>
      </c>
      <c r="D1048" s="447" t="s">
        <v>3446</v>
      </c>
      <c r="E1048" s="149" t="s">
        <v>3452</v>
      </c>
      <c r="F1048" s="149"/>
    </row>
    <row r="1049" spans="1:6">
      <c r="A1049" s="444">
        <v>6</v>
      </c>
      <c r="B1049" s="444" t="s">
        <v>4069</v>
      </c>
      <c r="C1049" s="445">
        <v>6</v>
      </c>
      <c r="D1049" s="448" t="s">
        <v>3446</v>
      </c>
      <c r="E1049" s="149" t="s">
        <v>3452</v>
      </c>
      <c r="F1049" s="149"/>
    </row>
    <row r="1050" spans="1:6">
      <c r="A1050" s="442">
        <v>4</v>
      </c>
      <c r="B1050" s="442" t="s">
        <v>4070</v>
      </c>
      <c r="C1050" s="443">
        <v>5</v>
      </c>
      <c r="D1050" s="447" t="s">
        <v>3446</v>
      </c>
      <c r="E1050" s="149" t="s">
        <v>3452</v>
      </c>
      <c r="F1050" s="149"/>
    </row>
    <row r="1051" spans="1:6">
      <c r="A1051" s="444">
        <v>3</v>
      </c>
      <c r="B1051" s="444" t="s">
        <v>4071</v>
      </c>
      <c r="C1051" s="445">
        <v>37</v>
      </c>
      <c r="D1051" s="448" t="s">
        <v>3446</v>
      </c>
      <c r="E1051" s="149"/>
      <c r="F1051" s="149"/>
    </row>
    <row r="1052" spans="1:6">
      <c r="A1052" s="442">
        <v>3</v>
      </c>
      <c r="B1052" s="442" t="s">
        <v>4071</v>
      </c>
      <c r="C1052" s="443">
        <v>753</v>
      </c>
      <c r="D1052" s="447" t="s">
        <v>3446</v>
      </c>
      <c r="E1052" s="149"/>
      <c r="F1052" s="149"/>
    </row>
    <row r="1053" spans="1:6">
      <c r="A1053" s="444">
        <v>2</v>
      </c>
      <c r="B1053" s="444" t="s">
        <v>4072</v>
      </c>
      <c r="C1053" s="445">
        <v>2</v>
      </c>
      <c r="D1053" s="448" t="s">
        <v>3446</v>
      </c>
      <c r="E1053" s="149" t="s">
        <v>3452</v>
      </c>
      <c r="F1053" s="149"/>
    </row>
    <row r="1054" spans="1:6">
      <c r="A1054" s="442">
        <v>1</v>
      </c>
      <c r="B1054" s="442" t="s">
        <v>4073</v>
      </c>
      <c r="C1054" s="443">
        <v>271</v>
      </c>
      <c r="D1054" s="447" t="s">
        <v>3446</v>
      </c>
      <c r="E1054" s="149"/>
      <c r="F1054" s="149"/>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B66F0-7FBC-4E01-AC03-0591E9BC9DEF}">
  <dimension ref="A1:D201"/>
  <sheetViews>
    <sheetView topLeftCell="B113" workbookViewId="0">
      <selection activeCell="B113" sqref="B113"/>
    </sheetView>
  </sheetViews>
  <sheetFormatPr defaultRowHeight="15"/>
  <cols>
    <col min="1" max="1" width="57.140625" bestFit="1" customWidth="1"/>
    <col min="2" max="2" width="30.140625" bestFit="1" customWidth="1"/>
    <col min="3" max="3" width="23.140625" customWidth="1"/>
    <col min="4" max="4" width="21.7109375" customWidth="1"/>
  </cols>
  <sheetData>
    <row r="1" spans="1:4">
      <c r="A1" t="s">
        <v>4074</v>
      </c>
      <c r="B1" t="s">
        <v>4075</v>
      </c>
      <c r="C1" t="s">
        <v>4076</v>
      </c>
      <c r="D1" t="s">
        <v>4077</v>
      </c>
    </row>
    <row r="2" spans="1:4">
      <c r="A2" s="1" t="s">
        <v>2880</v>
      </c>
      <c r="B2" t="s">
        <v>4078</v>
      </c>
      <c r="C2" t="s">
        <v>4079</v>
      </c>
    </row>
    <row r="3" spans="1:4">
      <c r="A3" s="1" t="s">
        <v>2841</v>
      </c>
      <c r="C3" t="s">
        <v>4080</v>
      </c>
      <c r="D3" t="s">
        <v>4081</v>
      </c>
    </row>
    <row r="4" spans="1:4">
      <c r="A4" s="418" t="s">
        <v>4064</v>
      </c>
      <c r="B4" s="418" t="s">
        <v>4082</v>
      </c>
      <c r="C4" t="s">
        <v>4083</v>
      </c>
    </row>
    <row r="5" spans="1:4">
      <c r="A5" s="418" t="s">
        <v>4064</v>
      </c>
      <c r="B5" s="418" t="s">
        <v>4082</v>
      </c>
      <c r="C5" t="s">
        <v>4083</v>
      </c>
    </row>
    <row r="6" spans="1:4">
      <c r="A6" t="s">
        <v>4035</v>
      </c>
      <c r="B6" t="s">
        <v>4084</v>
      </c>
      <c r="C6" t="s">
        <v>4085</v>
      </c>
    </row>
    <row r="7" spans="1:4">
      <c r="A7" t="s">
        <v>4086</v>
      </c>
      <c r="B7" t="s">
        <v>4084</v>
      </c>
      <c r="C7" t="s">
        <v>4087</v>
      </c>
    </row>
    <row r="8" spans="1:4">
      <c r="A8" t="s">
        <v>2769</v>
      </c>
      <c r="B8" t="s">
        <v>4088</v>
      </c>
      <c r="C8" t="s">
        <v>4089</v>
      </c>
    </row>
    <row r="9" spans="1:4">
      <c r="A9" t="s">
        <v>4090</v>
      </c>
      <c r="B9" t="s">
        <v>4091</v>
      </c>
      <c r="C9" t="s">
        <v>4092</v>
      </c>
    </row>
    <row r="10" spans="1:4">
      <c r="A10" t="s">
        <v>4093</v>
      </c>
      <c r="B10" t="s">
        <v>4094</v>
      </c>
      <c r="C10" t="s">
        <v>4095</v>
      </c>
    </row>
    <row r="11" spans="1:4">
      <c r="A11" t="s">
        <v>4096</v>
      </c>
      <c r="B11" t="s">
        <v>4097</v>
      </c>
      <c r="C11" t="s">
        <v>4098</v>
      </c>
    </row>
    <row r="12" spans="1:4">
      <c r="A12" s="1" t="s">
        <v>2883</v>
      </c>
      <c r="C12" t="s">
        <v>4099</v>
      </c>
    </row>
    <row r="13" spans="1:4">
      <c r="A13" s="1" t="s">
        <v>2901</v>
      </c>
      <c r="C13" t="s">
        <v>4100</v>
      </c>
    </row>
    <row r="14" spans="1:4">
      <c r="A14" t="s">
        <v>4101</v>
      </c>
      <c r="B14" t="s">
        <v>4088</v>
      </c>
      <c r="C14" t="s">
        <v>4102</v>
      </c>
    </row>
    <row r="15" spans="1:4">
      <c r="A15" s="1" t="s">
        <v>2881</v>
      </c>
      <c r="C15" t="s">
        <v>4103</v>
      </c>
      <c r="D15" t="s">
        <v>4104</v>
      </c>
    </row>
    <row r="16" spans="1:4">
      <c r="A16" s="1" t="s">
        <v>2900</v>
      </c>
      <c r="C16" t="s">
        <v>4105</v>
      </c>
      <c r="D16" t="s">
        <v>4104</v>
      </c>
    </row>
    <row r="17" spans="1:3">
      <c r="A17" t="s">
        <v>4106</v>
      </c>
      <c r="B17" t="s">
        <v>4084</v>
      </c>
      <c r="C17" t="s">
        <v>4107</v>
      </c>
    </row>
    <row r="18" spans="1:3">
      <c r="A18" t="s">
        <v>4108</v>
      </c>
      <c r="B18" t="s">
        <v>4084</v>
      </c>
      <c r="C18" t="s">
        <v>4109</v>
      </c>
    </row>
    <row r="19" spans="1:3">
      <c r="A19" t="s">
        <v>4110</v>
      </c>
      <c r="B19" t="s">
        <v>4097</v>
      </c>
      <c r="C19" t="s">
        <v>4111</v>
      </c>
    </row>
    <row r="20" spans="1:3">
      <c r="A20" t="s">
        <v>4112</v>
      </c>
      <c r="B20" t="s">
        <v>4088</v>
      </c>
      <c r="C20" t="s">
        <v>1283</v>
      </c>
    </row>
    <row r="21" spans="1:3">
      <c r="A21" s="1" t="s">
        <v>4113</v>
      </c>
      <c r="C21" t="s">
        <v>4114</v>
      </c>
    </row>
    <row r="22" spans="1:3">
      <c r="A22" t="s">
        <v>4115</v>
      </c>
      <c r="B22" t="s">
        <v>4084</v>
      </c>
      <c r="C22" t="s">
        <v>4116</v>
      </c>
    </row>
    <row r="23" spans="1:3">
      <c r="A23" s="418" t="s">
        <v>3541</v>
      </c>
      <c r="B23" s="418" t="s">
        <v>4082</v>
      </c>
      <c r="C23" t="s">
        <v>4117</v>
      </c>
    </row>
    <row r="24" spans="1:3">
      <c r="A24" t="s">
        <v>2862</v>
      </c>
      <c r="B24" t="s">
        <v>4118</v>
      </c>
      <c r="C24" t="s">
        <v>4119</v>
      </c>
    </row>
    <row r="25" spans="1:3">
      <c r="A25" s="1" t="s">
        <v>4120</v>
      </c>
      <c r="C25" t="s">
        <v>4121</v>
      </c>
    </row>
    <row r="26" spans="1:3">
      <c r="A26" t="s">
        <v>2467</v>
      </c>
      <c r="B26" t="s">
        <v>4122</v>
      </c>
      <c r="C26" t="s">
        <v>4121</v>
      </c>
    </row>
    <row r="27" spans="1:3">
      <c r="A27" s="1" t="s">
        <v>2432</v>
      </c>
      <c r="C27" t="s">
        <v>4123</v>
      </c>
    </row>
    <row r="28" spans="1:3">
      <c r="A28" s="1" t="s">
        <v>2377</v>
      </c>
      <c r="C28" t="s">
        <v>4124</v>
      </c>
    </row>
    <row r="29" spans="1:3">
      <c r="A29" s="1" t="s">
        <v>2459</v>
      </c>
      <c r="C29" t="s">
        <v>4125</v>
      </c>
    </row>
    <row r="30" spans="1:3">
      <c r="A30" s="1" t="s">
        <v>2510</v>
      </c>
      <c r="C30" t="s">
        <v>4126</v>
      </c>
    </row>
    <row r="31" spans="1:3">
      <c r="A31" t="s">
        <v>2614</v>
      </c>
      <c r="B31" t="s">
        <v>4127</v>
      </c>
      <c r="C31" t="s">
        <v>4128</v>
      </c>
    </row>
    <row r="32" spans="1:3">
      <c r="A32" s="1" t="s">
        <v>2311</v>
      </c>
      <c r="C32" t="s">
        <v>4129</v>
      </c>
    </row>
    <row r="33" spans="1:4">
      <c r="A33" s="1" t="s">
        <v>2293</v>
      </c>
      <c r="C33" t="s">
        <v>4121</v>
      </c>
    </row>
    <row r="34" spans="1:4">
      <c r="A34" s="418" t="s">
        <v>2346</v>
      </c>
      <c r="B34" s="418" t="s">
        <v>4130</v>
      </c>
      <c r="C34" t="s">
        <v>4121</v>
      </c>
    </row>
    <row r="35" spans="1:4">
      <c r="A35" s="1" t="s">
        <v>2593</v>
      </c>
      <c r="C35" t="s">
        <v>4131</v>
      </c>
    </row>
    <row r="36" spans="1:4">
      <c r="A36" s="1" t="s">
        <v>2601</v>
      </c>
      <c r="C36" t="s">
        <v>4132</v>
      </c>
    </row>
    <row r="37" spans="1:4">
      <c r="A37" s="1" t="s">
        <v>2618</v>
      </c>
      <c r="C37" t="s">
        <v>4133</v>
      </c>
    </row>
    <row r="38" spans="1:4">
      <c r="A38" s="1" t="s">
        <v>2591</v>
      </c>
      <c r="C38" t="s">
        <v>4134</v>
      </c>
      <c r="D38" t="s">
        <v>4104</v>
      </c>
    </row>
    <row r="39" spans="1:4">
      <c r="A39" s="1" t="s">
        <v>2530</v>
      </c>
      <c r="C39" t="s">
        <v>4121</v>
      </c>
    </row>
    <row r="40" spans="1:4">
      <c r="A40" s="418" t="s">
        <v>613</v>
      </c>
      <c r="B40" s="418" t="s">
        <v>4135</v>
      </c>
      <c r="C40" t="s">
        <v>4136</v>
      </c>
    </row>
    <row r="41" spans="1:4">
      <c r="A41" s="1" t="s">
        <v>2532</v>
      </c>
      <c r="C41" t="s">
        <v>4137</v>
      </c>
    </row>
    <row r="42" spans="1:4">
      <c r="A42" s="1" t="s">
        <v>4138</v>
      </c>
      <c r="C42" t="s">
        <v>4139</v>
      </c>
    </row>
    <row r="43" spans="1:4">
      <c r="A43" s="1" t="s">
        <v>2373</v>
      </c>
      <c r="C43" t="s">
        <v>4140</v>
      </c>
    </row>
    <row r="44" spans="1:4">
      <c r="A44" s="1" t="s">
        <v>3846</v>
      </c>
      <c r="C44" t="s">
        <v>4121</v>
      </c>
    </row>
    <row r="45" spans="1:4">
      <c r="A45" t="s">
        <v>2675</v>
      </c>
      <c r="B45" t="s">
        <v>4088</v>
      </c>
      <c r="C45" t="s">
        <v>4141</v>
      </c>
    </row>
    <row r="46" spans="1:4">
      <c r="A46" s="1" t="s">
        <v>2297</v>
      </c>
      <c r="C46" t="s">
        <v>4121</v>
      </c>
    </row>
    <row r="47" spans="1:4">
      <c r="A47" s="1" t="s">
        <v>2471</v>
      </c>
      <c r="C47" t="s">
        <v>4142</v>
      </c>
    </row>
    <row r="48" spans="1:4">
      <c r="A48" s="1" t="s">
        <v>2328</v>
      </c>
      <c r="C48" t="s">
        <v>4143</v>
      </c>
    </row>
    <row r="49" spans="1:3">
      <c r="A49" s="1" t="s">
        <v>4144</v>
      </c>
      <c r="C49" t="s">
        <v>4145</v>
      </c>
    </row>
    <row r="50" spans="1:3">
      <c r="A50" s="1" t="s">
        <v>4146</v>
      </c>
      <c r="C50" t="s">
        <v>4147</v>
      </c>
    </row>
    <row r="51" spans="1:3">
      <c r="A51" s="1" t="s">
        <v>643</v>
      </c>
      <c r="C51" t="s">
        <v>4148</v>
      </c>
    </row>
    <row r="52" spans="1:3">
      <c r="A52" s="1" t="s">
        <v>793</v>
      </c>
      <c r="B52" t="s">
        <v>4078</v>
      </c>
      <c r="C52" t="s">
        <v>4149</v>
      </c>
    </row>
    <row r="53" spans="1:3">
      <c r="A53" t="s">
        <v>2924</v>
      </c>
      <c r="B53" t="s">
        <v>4150</v>
      </c>
      <c r="C53" t="s">
        <v>4151</v>
      </c>
    </row>
    <row r="54" spans="1:3">
      <c r="A54" t="s">
        <v>4152</v>
      </c>
      <c r="B54" t="s">
        <v>4153</v>
      </c>
      <c r="C54" t="s">
        <v>4121</v>
      </c>
    </row>
    <row r="55" spans="1:3">
      <c r="A55" t="s">
        <v>2206</v>
      </c>
      <c r="B55" t="s">
        <v>4154</v>
      </c>
      <c r="C55" t="s">
        <v>4155</v>
      </c>
    </row>
    <row r="56" spans="1:3">
      <c r="A56" s="1" t="s">
        <v>2451</v>
      </c>
      <c r="C56" t="s">
        <v>4121</v>
      </c>
    </row>
    <row r="57" spans="1:3">
      <c r="A57" t="s">
        <v>1971</v>
      </c>
      <c r="B57" t="s">
        <v>4156</v>
      </c>
      <c r="C57" t="s">
        <v>4157</v>
      </c>
    </row>
    <row r="58" spans="1:3">
      <c r="A58" s="1" t="s">
        <v>2315</v>
      </c>
      <c r="C58" t="s">
        <v>4158</v>
      </c>
    </row>
    <row r="59" spans="1:3">
      <c r="A59" s="1" t="s">
        <v>2586</v>
      </c>
      <c r="C59" t="s">
        <v>4159</v>
      </c>
    </row>
    <row r="60" spans="1:3">
      <c r="A60" t="s">
        <v>2631</v>
      </c>
      <c r="B60" t="s">
        <v>4160</v>
      </c>
      <c r="C60" t="s">
        <v>4161</v>
      </c>
    </row>
    <row r="61" spans="1:3">
      <c r="A61" s="1" t="s">
        <v>218</v>
      </c>
      <c r="C61" t="s">
        <v>4162</v>
      </c>
    </row>
    <row r="62" spans="1:3">
      <c r="A62" s="1" t="s">
        <v>2115</v>
      </c>
      <c r="C62" t="s">
        <v>4163</v>
      </c>
    </row>
    <row r="63" spans="1:3">
      <c r="A63" t="s">
        <v>2480</v>
      </c>
      <c r="B63" t="s">
        <v>4084</v>
      </c>
      <c r="C63" t="s">
        <v>4164</v>
      </c>
    </row>
    <row r="64" spans="1:3">
      <c r="A64" s="1" t="s">
        <v>2429</v>
      </c>
      <c r="C64" t="s">
        <v>4165</v>
      </c>
    </row>
    <row r="65" spans="1:3">
      <c r="A65" t="s">
        <v>2598</v>
      </c>
      <c r="B65" t="s">
        <v>4097</v>
      </c>
      <c r="C65" t="s">
        <v>4166</v>
      </c>
    </row>
    <row r="66" spans="1:3">
      <c r="A66" t="s">
        <v>52</v>
      </c>
      <c r="B66" t="s">
        <v>4167</v>
      </c>
      <c r="C66" t="s">
        <v>4168</v>
      </c>
    </row>
    <row r="67" spans="1:3">
      <c r="A67" t="s">
        <v>2415</v>
      </c>
      <c r="B67" t="s">
        <v>4169</v>
      </c>
      <c r="C67" t="s">
        <v>4170</v>
      </c>
    </row>
    <row r="68" spans="1:3">
      <c r="A68" s="1" t="s">
        <v>2668</v>
      </c>
      <c r="C68" t="s">
        <v>4171</v>
      </c>
    </row>
    <row r="69" spans="1:3">
      <c r="A69" s="1" t="s">
        <v>2338</v>
      </c>
      <c r="C69" t="s">
        <v>4172</v>
      </c>
    </row>
    <row r="70" spans="1:3">
      <c r="A70" s="1" t="s">
        <v>2400</v>
      </c>
      <c r="C70" t="s">
        <v>4173</v>
      </c>
    </row>
    <row r="71" spans="1:3">
      <c r="A71" s="1" t="s">
        <v>2420</v>
      </c>
      <c r="C71" t="s">
        <v>4174</v>
      </c>
    </row>
    <row r="72" spans="1:3">
      <c r="A72" s="1" t="s">
        <v>1466</v>
      </c>
      <c r="C72" t="s">
        <v>4175</v>
      </c>
    </row>
    <row r="73" spans="1:3">
      <c r="A73" s="1" t="s">
        <v>2365</v>
      </c>
      <c r="C73" t="s">
        <v>4176</v>
      </c>
    </row>
    <row r="74" spans="1:3">
      <c r="A74" s="1" t="s">
        <v>2562</v>
      </c>
      <c r="C74" t="s">
        <v>4177</v>
      </c>
    </row>
    <row r="75" spans="1:3">
      <c r="A75" s="1" t="s">
        <v>2308</v>
      </c>
      <c r="C75" t="s">
        <v>4178</v>
      </c>
    </row>
    <row r="76" spans="1:3">
      <c r="A76" t="s">
        <v>1308</v>
      </c>
      <c r="B76" t="s">
        <v>4179</v>
      </c>
      <c r="C76" t="s">
        <v>4121</v>
      </c>
    </row>
    <row r="77" spans="1:3">
      <c r="A77" t="s">
        <v>4180</v>
      </c>
      <c r="B77" t="s">
        <v>4181</v>
      </c>
      <c r="C77" t="s">
        <v>4182</v>
      </c>
    </row>
    <row r="78" spans="1:3">
      <c r="A78" s="1" t="s">
        <v>2438</v>
      </c>
      <c r="C78" t="s">
        <v>4183</v>
      </c>
    </row>
    <row r="79" spans="1:3">
      <c r="A79" s="1" t="s">
        <v>2641</v>
      </c>
      <c r="C79" t="s">
        <v>4184</v>
      </c>
    </row>
    <row r="80" spans="1:3">
      <c r="A80" t="s">
        <v>501</v>
      </c>
      <c r="B80" t="s">
        <v>4160</v>
      </c>
      <c r="C80" t="s">
        <v>4185</v>
      </c>
    </row>
    <row r="81" spans="1:3">
      <c r="A81" t="s">
        <v>2455</v>
      </c>
      <c r="B81" t="s">
        <v>4084</v>
      </c>
      <c r="C81" t="s">
        <v>4186</v>
      </c>
    </row>
    <row r="82" spans="1:3">
      <c r="A82" s="1" t="s">
        <v>2610</v>
      </c>
      <c r="C82" t="s">
        <v>4187</v>
      </c>
    </row>
    <row r="83" spans="1:3">
      <c r="A83" s="1" t="s">
        <v>2424</v>
      </c>
      <c r="C83" t="s">
        <v>4188</v>
      </c>
    </row>
    <row r="84" spans="1:3">
      <c r="A84" s="1" t="s">
        <v>2446</v>
      </c>
      <c r="C84" t="s">
        <v>4189</v>
      </c>
    </row>
    <row r="85" spans="1:3">
      <c r="A85" s="1" t="s">
        <v>2537</v>
      </c>
      <c r="C85" t="s">
        <v>4190</v>
      </c>
    </row>
    <row r="86" spans="1:3">
      <c r="A86" s="1" t="s">
        <v>2649</v>
      </c>
      <c r="C86" t="s">
        <v>4191</v>
      </c>
    </row>
    <row r="87" spans="1:3">
      <c r="A87" t="s">
        <v>2693</v>
      </c>
      <c r="B87" t="s">
        <v>4084</v>
      </c>
      <c r="C87" t="s">
        <v>4192</v>
      </c>
    </row>
    <row r="88" spans="1:3">
      <c r="A88" s="1" t="s">
        <v>2495</v>
      </c>
      <c r="C88" t="s">
        <v>4193</v>
      </c>
    </row>
    <row r="89" spans="1:3">
      <c r="A89" s="1" t="s">
        <v>2488</v>
      </c>
      <c r="C89" t="s">
        <v>4194</v>
      </c>
    </row>
    <row r="90" spans="1:3">
      <c r="A90" t="s">
        <v>2553</v>
      </c>
      <c r="B90" t="s">
        <v>4084</v>
      </c>
      <c r="C90" t="s">
        <v>4195</v>
      </c>
    </row>
    <row r="91" spans="1:3">
      <c r="A91" s="1" t="s">
        <v>2405</v>
      </c>
      <c r="C91" t="s">
        <v>4196</v>
      </c>
    </row>
    <row r="92" spans="1:3">
      <c r="A92" s="1" t="s">
        <v>2485</v>
      </c>
      <c r="C92" t="s">
        <v>4197</v>
      </c>
    </row>
    <row r="93" spans="1:3">
      <c r="A93" s="1" t="s">
        <v>929</v>
      </c>
      <c r="C93" t="s">
        <v>4198</v>
      </c>
    </row>
    <row r="94" spans="1:3">
      <c r="A94" t="s">
        <v>2664</v>
      </c>
      <c r="C94" t="s">
        <v>4121</v>
      </c>
    </row>
    <row r="95" spans="1:3">
      <c r="A95" t="s">
        <v>1118</v>
      </c>
      <c r="C95" t="s">
        <v>4121</v>
      </c>
    </row>
    <row r="96" spans="1:3">
      <c r="A96" t="s">
        <v>2369</v>
      </c>
      <c r="C96" t="s">
        <v>4121</v>
      </c>
    </row>
    <row r="97" spans="1:3">
      <c r="A97" t="s">
        <v>2194</v>
      </c>
      <c r="C97" t="s">
        <v>4199</v>
      </c>
    </row>
    <row r="98" spans="1:3">
      <c r="A98" t="s">
        <v>2558</v>
      </c>
      <c r="C98" t="s">
        <v>4200</v>
      </c>
    </row>
    <row r="99" spans="1:3">
      <c r="A99" t="s">
        <v>2396</v>
      </c>
      <c r="C99" t="s">
        <v>4201</v>
      </c>
    </row>
    <row r="100" spans="1:3">
      <c r="A100" t="s">
        <v>2548</v>
      </c>
      <c r="C100" t="s">
        <v>4202</v>
      </c>
    </row>
    <row r="101" spans="1:3">
      <c r="A101" t="s">
        <v>4203</v>
      </c>
      <c r="C101" t="s">
        <v>4204</v>
      </c>
    </row>
    <row r="102" spans="1:3">
      <c r="A102" t="s">
        <v>2638</v>
      </c>
      <c r="C102" t="s">
        <v>4205</v>
      </c>
    </row>
    <row r="103" spans="1:3">
      <c r="A103" t="s">
        <v>2697</v>
      </c>
      <c r="C103" t="s">
        <v>4206</v>
      </c>
    </row>
    <row r="104" spans="1:3">
      <c r="A104" t="s">
        <v>2464</v>
      </c>
      <c r="C104" t="s">
        <v>4207</v>
      </c>
    </row>
    <row r="105" spans="1:3">
      <c r="A105" t="s">
        <v>2646</v>
      </c>
      <c r="C105" t="s">
        <v>4208</v>
      </c>
    </row>
    <row r="106" spans="1:3">
      <c r="A106" t="s">
        <v>2659</v>
      </c>
      <c r="C106" t="s">
        <v>4209</v>
      </c>
    </row>
    <row r="107" spans="1:3">
      <c r="A107" t="s">
        <v>2324</v>
      </c>
      <c r="C107" t="s">
        <v>4210</v>
      </c>
    </row>
    <row r="108" spans="1:3">
      <c r="A108" t="s">
        <v>1337</v>
      </c>
      <c r="C108" t="s">
        <v>4211</v>
      </c>
    </row>
    <row r="109" spans="1:3">
      <c r="A109" t="s">
        <v>2697</v>
      </c>
      <c r="C109" t="s">
        <v>4206</v>
      </c>
    </row>
    <row r="110" spans="1:3">
      <c r="A110" t="s">
        <v>2333</v>
      </c>
      <c r="C110" t="s">
        <v>4212</v>
      </c>
    </row>
    <row r="111" spans="1:3">
      <c r="A111" t="s">
        <v>1939</v>
      </c>
      <c r="C111" t="s">
        <v>4213</v>
      </c>
    </row>
    <row r="112" spans="1:3">
      <c r="A112" t="s">
        <v>761</v>
      </c>
      <c r="C112" t="s">
        <v>4214</v>
      </c>
    </row>
    <row r="113" spans="1:3">
      <c r="A113" t="s">
        <v>2626</v>
      </c>
      <c r="C113" t="s">
        <v>4121</v>
      </c>
    </row>
    <row r="114" spans="1:3">
      <c r="A114" t="s">
        <v>1635</v>
      </c>
      <c r="C114" t="s">
        <v>4215</v>
      </c>
    </row>
    <row r="115" spans="1:3">
      <c r="A115" t="s">
        <v>669</v>
      </c>
      <c r="C115" t="s">
        <v>4216</v>
      </c>
    </row>
    <row r="116" spans="1:3">
      <c r="A116" t="s">
        <v>2256</v>
      </c>
      <c r="C116" t="s">
        <v>4217</v>
      </c>
    </row>
    <row r="117" spans="1:3">
      <c r="A117" t="s">
        <v>1202</v>
      </c>
      <c r="C117" t="s">
        <v>4121</v>
      </c>
    </row>
    <row r="118" spans="1:3">
      <c r="A118" t="s">
        <v>2566</v>
      </c>
      <c r="C118" t="s">
        <v>4218</v>
      </c>
    </row>
    <row r="119" spans="1:3">
      <c r="A119" t="s">
        <v>2672</v>
      </c>
      <c r="C119" t="s">
        <v>4219</v>
      </c>
    </row>
    <row r="120" spans="1:3">
      <c r="A120" t="s">
        <v>2475</v>
      </c>
      <c r="C120" t="s">
        <v>4220</v>
      </c>
    </row>
    <row r="121" spans="1:3">
      <c r="A121" t="s">
        <v>23</v>
      </c>
      <c r="C121" t="s">
        <v>4221</v>
      </c>
    </row>
    <row r="122" spans="1:3">
      <c r="A122" t="s">
        <v>2289</v>
      </c>
      <c r="C122" t="s">
        <v>4222</v>
      </c>
    </row>
    <row r="123" spans="1:3">
      <c r="A123" t="s">
        <v>783</v>
      </c>
      <c r="C123" t="s">
        <v>4223</v>
      </c>
    </row>
    <row r="124" spans="1:3">
      <c r="A124" t="s">
        <v>2523</v>
      </c>
      <c r="C124" t="s">
        <v>4224</v>
      </c>
    </row>
    <row r="125" spans="1:3">
      <c r="A125" t="s">
        <v>2392</v>
      </c>
      <c r="C125" t="s">
        <v>4225</v>
      </c>
    </row>
    <row r="126" spans="1:3">
      <c r="A126" t="s">
        <v>1649</v>
      </c>
      <c r="C126" t="s">
        <v>4226</v>
      </c>
    </row>
    <row r="127" spans="1:3">
      <c r="A127" t="s">
        <v>2410</v>
      </c>
      <c r="C127" t="s">
        <v>4227</v>
      </c>
    </row>
    <row r="128" spans="1:3">
      <c r="A128" t="s">
        <v>1583</v>
      </c>
      <c r="C128" t="s">
        <v>4228</v>
      </c>
    </row>
    <row r="129" spans="1:3">
      <c r="A129" t="s">
        <v>2514</v>
      </c>
      <c r="C129" t="s">
        <v>4229</v>
      </c>
    </row>
    <row r="130" spans="1:3">
      <c r="A130" t="s">
        <v>2356</v>
      </c>
      <c r="C130" t="s">
        <v>4230</v>
      </c>
    </row>
    <row r="131" spans="1:3">
      <c r="A131" t="s">
        <v>2432</v>
      </c>
      <c r="C131" t="s">
        <v>4123</v>
      </c>
    </row>
    <row r="132" spans="1:3">
      <c r="A132" t="s">
        <v>1470</v>
      </c>
      <c r="C132" t="s">
        <v>4231</v>
      </c>
    </row>
    <row r="133" spans="1:3">
      <c r="A133" t="s">
        <v>4232</v>
      </c>
      <c r="C133" t="s">
        <v>4233</v>
      </c>
    </row>
    <row r="134" spans="1:3">
      <c r="A134" t="s">
        <v>2052</v>
      </c>
      <c r="C134" t="s">
        <v>4234</v>
      </c>
    </row>
    <row r="135" spans="1:3">
      <c r="A135" t="s">
        <v>4235</v>
      </c>
      <c r="C135" t="s">
        <v>4236</v>
      </c>
    </row>
    <row r="136" spans="1:3">
      <c r="A136" t="s">
        <v>4237</v>
      </c>
      <c r="C136" t="s">
        <v>4238</v>
      </c>
    </row>
    <row r="137" spans="1:3">
      <c r="A137" t="s">
        <v>2914</v>
      </c>
      <c r="C137" t="s">
        <v>4239</v>
      </c>
    </row>
    <row r="138" spans="1:3">
      <c r="A138" t="s">
        <v>4240</v>
      </c>
      <c r="C138" t="s">
        <v>4241</v>
      </c>
    </row>
    <row r="139" spans="1:3">
      <c r="A139" t="s">
        <v>2950</v>
      </c>
      <c r="C139" t="s">
        <v>4242</v>
      </c>
    </row>
    <row r="140" spans="1:3">
      <c r="A140" t="s">
        <v>2859</v>
      </c>
      <c r="C140" t="s">
        <v>4243</v>
      </c>
    </row>
    <row r="141" spans="1:3">
      <c r="A141" t="s">
        <v>4244</v>
      </c>
      <c r="C141" t="s">
        <v>4245</v>
      </c>
    </row>
    <row r="142" spans="1:3">
      <c r="A142" t="s">
        <v>3069</v>
      </c>
      <c r="C142" t="s">
        <v>4246</v>
      </c>
    </row>
    <row r="143" spans="1:3">
      <c r="A143" t="s">
        <v>4247</v>
      </c>
      <c r="C143" t="s">
        <v>4248</v>
      </c>
    </row>
    <row r="144" spans="1:3">
      <c r="A144" t="s">
        <v>2843</v>
      </c>
      <c r="C144" t="s">
        <v>4249</v>
      </c>
    </row>
    <row r="145" spans="1:3">
      <c r="A145" t="s">
        <v>2871</v>
      </c>
      <c r="C145" t="s">
        <v>4250</v>
      </c>
    </row>
    <row r="146" spans="1:3">
      <c r="A146" t="s">
        <v>2864</v>
      </c>
      <c r="C146" t="s">
        <v>4251</v>
      </c>
    </row>
    <row r="147" spans="1:3">
      <c r="A147" t="s">
        <v>4252</v>
      </c>
      <c r="C147" t="s">
        <v>4253</v>
      </c>
    </row>
    <row r="148" spans="1:3">
      <c r="A148" t="s">
        <v>2866</v>
      </c>
      <c r="C148" t="s">
        <v>4254</v>
      </c>
    </row>
    <row r="149" spans="1:3">
      <c r="A149" t="s">
        <v>3734</v>
      </c>
      <c r="C149" t="s">
        <v>4255</v>
      </c>
    </row>
    <row r="150" spans="1:3">
      <c r="A150" t="s">
        <v>2918</v>
      </c>
      <c r="C150" t="s">
        <v>4256</v>
      </c>
    </row>
    <row r="151" spans="1:3">
      <c r="A151" t="s">
        <v>2956</v>
      </c>
      <c r="C151" t="s">
        <v>4257</v>
      </c>
    </row>
    <row r="152" spans="1:3">
      <c r="A152" t="s">
        <v>2878</v>
      </c>
      <c r="C152" t="s">
        <v>4258</v>
      </c>
    </row>
    <row r="153" spans="1:3">
      <c r="A153" t="s">
        <v>2888</v>
      </c>
      <c r="C153" t="s">
        <v>4259</v>
      </c>
    </row>
    <row r="154" spans="1:3">
      <c r="A154" t="s">
        <v>2867</v>
      </c>
      <c r="C154" t="s">
        <v>4260</v>
      </c>
    </row>
    <row r="155" spans="1:3">
      <c r="A155" t="s">
        <v>4261</v>
      </c>
      <c r="C155" t="s">
        <v>4262</v>
      </c>
    </row>
    <row r="156" spans="1:3">
      <c r="A156" t="s">
        <v>2885</v>
      </c>
      <c r="C156" t="s">
        <v>4263</v>
      </c>
    </row>
    <row r="157" spans="1:3">
      <c r="A157" t="s">
        <v>2850</v>
      </c>
      <c r="C157" t="s">
        <v>4264</v>
      </c>
    </row>
    <row r="158" spans="1:3">
      <c r="A158" t="s">
        <v>4265</v>
      </c>
      <c r="C158" t="s">
        <v>4266</v>
      </c>
    </row>
    <row r="159" spans="1:3">
      <c r="A159" t="s">
        <v>2873</v>
      </c>
      <c r="C159" t="s">
        <v>4267</v>
      </c>
    </row>
    <row r="160" spans="1:3">
      <c r="A160" t="s">
        <v>2854</v>
      </c>
      <c r="C160" t="s">
        <v>4268</v>
      </c>
    </row>
    <row r="161" spans="1:3">
      <c r="A161" t="s">
        <v>2863</v>
      </c>
      <c r="C161" t="s">
        <v>4269</v>
      </c>
    </row>
    <row r="162" spans="1:3">
      <c r="A162" t="s">
        <v>4270</v>
      </c>
    </row>
    <row r="163" spans="1:3">
      <c r="A163" t="s">
        <v>2884</v>
      </c>
      <c r="C163" t="s">
        <v>4271</v>
      </c>
    </row>
    <row r="164" spans="1:3">
      <c r="A164" t="s">
        <v>2877</v>
      </c>
      <c r="C164" t="s">
        <v>4272</v>
      </c>
    </row>
    <row r="165" spans="1:3">
      <c r="A165" t="s">
        <v>4273</v>
      </c>
      <c r="C165" t="s">
        <v>4274</v>
      </c>
    </row>
    <row r="166" spans="1:3">
      <c r="A166" t="s">
        <v>2875</v>
      </c>
      <c r="C166" t="s">
        <v>4275</v>
      </c>
    </row>
    <row r="167" spans="1:3">
      <c r="A167" t="s">
        <v>2876</v>
      </c>
      <c r="C167" t="s">
        <v>4276</v>
      </c>
    </row>
    <row r="168" spans="1:3">
      <c r="A168" t="s">
        <v>2896</v>
      </c>
      <c r="C168" t="s">
        <v>4277</v>
      </c>
    </row>
    <row r="169" spans="1:3">
      <c r="A169" t="s">
        <v>4278</v>
      </c>
      <c r="C169" t="s">
        <v>4279</v>
      </c>
    </row>
    <row r="170" spans="1:3">
      <c r="A170" t="s">
        <v>2889</v>
      </c>
      <c r="C170" t="s">
        <v>4280</v>
      </c>
    </row>
    <row r="171" spans="1:3">
      <c r="A171" t="s">
        <v>4281</v>
      </c>
      <c r="B171" t="s">
        <v>4282</v>
      </c>
      <c r="C171" t="s">
        <v>4282</v>
      </c>
    </row>
    <row r="172" spans="1:3">
      <c r="A172" t="s">
        <v>4283</v>
      </c>
      <c r="B172" t="s">
        <v>4284</v>
      </c>
      <c r="C172" t="s">
        <v>4284</v>
      </c>
    </row>
    <row r="173" spans="1:3">
      <c r="A173" t="s">
        <v>4285</v>
      </c>
      <c r="C173" t="s">
        <v>4286</v>
      </c>
    </row>
    <row r="174" spans="1:3">
      <c r="A174" t="s">
        <v>2879</v>
      </c>
      <c r="C174" t="s">
        <v>4287</v>
      </c>
    </row>
    <row r="175" spans="1:3">
      <c r="A175" t="s">
        <v>2825</v>
      </c>
      <c r="C175" t="s">
        <v>4288</v>
      </c>
    </row>
    <row r="176" spans="1:3">
      <c r="A176" t="s">
        <v>2895</v>
      </c>
      <c r="C176" t="s">
        <v>4289</v>
      </c>
    </row>
    <row r="177" spans="1:3">
      <c r="A177" t="s">
        <v>4290</v>
      </c>
      <c r="C177" t="s">
        <v>4291</v>
      </c>
    </row>
    <row r="178" spans="1:3">
      <c r="A178" t="s">
        <v>2938</v>
      </c>
      <c r="C178" t="s">
        <v>4292</v>
      </c>
    </row>
    <row r="179" spans="1:3">
      <c r="A179" t="s">
        <v>3042</v>
      </c>
      <c r="C179" t="s">
        <v>4293</v>
      </c>
    </row>
    <row r="180" spans="1:3">
      <c r="A180" t="s">
        <v>2899</v>
      </c>
      <c r="C180" t="s">
        <v>4294</v>
      </c>
    </row>
    <row r="181" spans="1:3">
      <c r="A181" t="s">
        <v>2913</v>
      </c>
      <c r="B181" t="s">
        <v>4295</v>
      </c>
      <c r="C181" t="s">
        <v>4295</v>
      </c>
    </row>
    <row r="182" spans="1:3">
      <c r="A182" t="s">
        <v>2909</v>
      </c>
      <c r="C182" t="s">
        <v>4296</v>
      </c>
    </row>
    <row r="183" spans="1:3">
      <c r="A183" t="s">
        <v>2890</v>
      </c>
      <c r="C183" t="s">
        <v>4297</v>
      </c>
    </row>
    <row r="184" spans="1:3">
      <c r="A184" t="s">
        <v>4298</v>
      </c>
      <c r="B184" t="s">
        <v>4299</v>
      </c>
      <c r="C184" t="s">
        <v>4299</v>
      </c>
    </row>
    <row r="185" spans="1:3">
      <c r="A185" t="s">
        <v>4113</v>
      </c>
      <c r="B185" t="s">
        <v>4300</v>
      </c>
      <c r="C185" t="s">
        <v>4300</v>
      </c>
    </row>
    <row r="186" spans="1:3">
      <c r="A186" t="s">
        <v>4301</v>
      </c>
      <c r="C186" t="s">
        <v>4302</v>
      </c>
    </row>
    <row r="187" spans="1:3">
      <c r="A187" t="s">
        <v>2886</v>
      </c>
      <c r="C187" t="s">
        <v>4303</v>
      </c>
    </row>
    <row r="188" spans="1:3">
      <c r="A188" t="s">
        <v>2894</v>
      </c>
      <c r="C188" t="s">
        <v>4304</v>
      </c>
    </row>
    <row r="189" spans="1:3">
      <c r="A189" t="s">
        <v>4305</v>
      </c>
      <c r="C189" t="s">
        <v>4306</v>
      </c>
    </row>
    <row r="190" spans="1:3">
      <c r="A190" t="s">
        <v>2893</v>
      </c>
      <c r="B190" t="s">
        <v>4307</v>
      </c>
      <c r="C190" t="s">
        <v>4307</v>
      </c>
    </row>
    <row r="191" spans="1:3">
      <c r="A191" t="s">
        <v>4308</v>
      </c>
      <c r="B191" t="s">
        <v>4309</v>
      </c>
      <c r="C191" t="s">
        <v>4309</v>
      </c>
    </row>
    <row r="192" spans="1:3">
      <c r="A192" t="s">
        <v>4310</v>
      </c>
      <c r="B192" t="s">
        <v>4311</v>
      </c>
      <c r="C192" t="s">
        <v>4311</v>
      </c>
    </row>
    <row r="193" spans="1:3">
      <c r="A193" t="s">
        <v>4312</v>
      </c>
      <c r="B193" t="s">
        <v>4313</v>
      </c>
      <c r="C193" t="s">
        <v>4313</v>
      </c>
    </row>
    <row r="194" spans="1:3">
      <c r="A194" t="s">
        <v>4314</v>
      </c>
      <c r="C194" t="s">
        <v>4315</v>
      </c>
    </row>
    <row r="195" spans="1:3">
      <c r="A195" t="s">
        <v>4316</v>
      </c>
    </row>
    <row r="196" spans="1:3">
      <c r="A196" t="s">
        <v>3044</v>
      </c>
      <c r="B196" t="s">
        <v>4317</v>
      </c>
      <c r="C196" t="s">
        <v>4317</v>
      </c>
    </row>
    <row r="197" spans="1:3">
      <c r="A197" t="s">
        <v>4318</v>
      </c>
      <c r="B197" t="s">
        <v>4319</v>
      </c>
      <c r="C197" t="s">
        <v>4319</v>
      </c>
    </row>
    <row r="198" spans="1:3">
      <c r="A198" t="s">
        <v>4320</v>
      </c>
      <c r="B198" t="s">
        <v>4321</v>
      </c>
      <c r="C198" t="s">
        <v>4321</v>
      </c>
    </row>
    <row r="199" spans="1:3">
      <c r="A199" t="s">
        <v>2944</v>
      </c>
      <c r="B199" t="s">
        <v>4322</v>
      </c>
      <c r="C199" t="s">
        <v>4322</v>
      </c>
    </row>
    <row r="200" spans="1:3">
      <c r="A200" t="s">
        <v>4323</v>
      </c>
      <c r="B200" t="s">
        <v>4324</v>
      </c>
      <c r="C200" t="s">
        <v>4324</v>
      </c>
    </row>
    <row r="201" spans="1:3">
      <c r="A201" t="s">
        <v>4325</v>
      </c>
      <c r="B201" t="s">
        <v>4326</v>
      </c>
      <c r="C201" t="s">
        <v>4326</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448D6-ACB8-4426-87B8-ADD531BFA22E}">
  <dimension ref="A1:B13"/>
  <sheetViews>
    <sheetView workbookViewId="0">
      <selection activeCell="B6" sqref="B6"/>
    </sheetView>
  </sheetViews>
  <sheetFormatPr defaultRowHeight="15"/>
  <cols>
    <col min="1" max="1" width="48.28515625" bestFit="1" customWidth="1"/>
    <col min="2" max="2" width="33" bestFit="1" customWidth="1"/>
  </cols>
  <sheetData>
    <row r="1" spans="1:2">
      <c r="A1" s="798" t="s">
        <v>4327</v>
      </c>
      <c r="B1" s="798"/>
    </row>
    <row r="2" spans="1:2">
      <c r="A2" s="668" t="s">
        <v>4328</v>
      </c>
      <c r="B2" s="669" t="s">
        <v>4329</v>
      </c>
    </row>
    <row r="3" spans="1:2" ht="48" customHeight="1">
      <c r="A3" s="660" t="s">
        <v>4330</v>
      </c>
      <c r="B3" s="502" t="s">
        <v>4331</v>
      </c>
    </row>
    <row r="4" spans="1:2">
      <c r="A4" s="661"/>
      <c r="B4" s="672" t="s">
        <v>4332</v>
      </c>
    </row>
    <row r="5" spans="1:2" ht="121.5" customHeight="1">
      <c r="A5" s="662" t="s">
        <v>4333</v>
      </c>
      <c r="B5" s="659" t="s">
        <v>4334</v>
      </c>
    </row>
    <row r="6" spans="1:2" ht="16.5" customHeight="1">
      <c r="A6" s="660"/>
      <c r="B6" s="659" t="s">
        <v>4335</v>
      </c>
    </row>
    <row r="7" spans="1:2" ht="16.5" customHeight="1">
      <c r="A7" s="660"/>
      <c r="B7" s="659" t="s">
        <v>4336</v>
      </c>
    </row>
    <row r="8" spans="1:2" ht="16.5" customHeight="1">
      <c r="A8" s="660"/>
      <c r="B8" s="659" t="s">
        <v>4337</v>
      </c>
    </row>
    <row r="9" spans="1:2" ht="16.5" customHeight="1">
      <c r="A9" s="660"/>
      <c r="B9" s="659" t="s">
        <v>4338</v>
      </c>
    </row>
    <row r="10" spans="1:2" ht="16.5" customHeight="1">
      <c r="A10" s="660"/>
      <c r="B10" s="659" t="s">
        <v>4339</v>
      </c>
    </row>
    <row r="11" spans="1:2">
      <c r="A11" s="660"/>
      <c r="B11" s="667"/>
    </row>
    <row r="12" spans="1:2">
      <c r="A12" s="665" t="s">
        <v>4340</v>
      </c>
      <c r="B12" s="663" t="s">
        <v>4341</v>
      </c>
    </row>
    <row r="13" spans="1:2" ht="45">
      <c r="A13" s="666" t="s">
        <v>4342</v>
      </c>
      <c r="B13" s="664" t="s">
        <v>4343</v>
      </c>
    </row>
  </sheetData>
  <mergeCells count="1">
    <mergeCell ref="A1:B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0E6DE-E468-4CAE-A468-6638C228EFB7}">
  <dimension ref="A1:C16"/>
  <sheetViews>
    <sheetView workbookViewId="0">
      <selection activeCell="B15" sqref="B15"/>
    </sheetView>
  </sheetViews>
  <sheetFormatPr defaultRowHeight="15"/>
  <cols>
    <col min="1" max="1" width="31.5703125" customWidth="1"/>
    <col min="2" max="2" width="29.5703125" customWidth="1"/>
    <col min="3" max="3" width="11.7109375" customWidth="1"/>
  </cols>
  <sheetData>
    <row r="1" spans="1:3">
      <c r="A1" s="149" t="s">
        <v>4344</v>
      </c>
      <c r="B1" s="149" t="s">
        <v>4345</v>
      </c>
      <c r="C1" s="149" t="s">
        <v>4346</v>
      </c>
    </row>
    <row r="2" spans="1:3">
      <c r="A2" s="149" t="s">
        <v>3316</v>
      </c>
      <c r="B2" s="149" t="s">
        <v>4347</v>
      </c>
      <c r="C2" s="149" t="s">
        <v>4348</v>
      </c>
    </row>
    <row r="3" spans="1:3">
      <c r="A3" s="149" t="s">
        <v>4349</v>
      </c>
      <c r="B3" s="149" t="s">
        <v>4350</v>
      </c>
      <c r="C3" s="150">
        <v>45055</v>
      </c>
    </row>
    <row r="4" spans="1:3">
      <c r="A4" s="187" t="s">
        <v>4351</v>
      </c>
      <c r="B4" s="187" t="s">
        <v>4352</v>
      </c>
      <c r="C4" s="149"/>
    </row>
    <row r="5" spans="1:3">
      <c r="A5" s="149" t="s">
        <v>4353</v>
      </c>
      <c r="B5" s="149" t="s">
        <v>4354</v>
      </c>
      <c r="C5" s="149"/>
    </row>
    <row r="6" spans="1:3">
      <c r="A6" s="149" t="s">
        <v>4355</v>
      </c>
      <c r="B6" s="149" t="s">
        <v>4356</v>
      </c>
      <c r="C6" s="150">
        <v>45329</v>
      </c>
    </row>
    <row r="7" spans="1:3">
      <c r="A7" s="799" t="s">
        <v>4357</v>
      </c>
      <c r="B7" s="800"/>
      <c r="C7" s="801"/>
    </row>
    <row r="8" spans="1:3">
      <c r="A8" s="149" t="s">
        <v>4358</v>
      </c>
      <c r="B8" s="149" t="s">
        <v>4359</v>
      </c>
      <c r="C8" s="150">
        <v>45545</v>
      </c>
    </row>
    <row r="9" spans="1:3">
      <c r="A9" s="149" t="s">
        <v>3977</v>
      </c>
      <c r="B9" s="149" t="s">
        <v>4360</v>
      </c>
      <c r="C9" s="150">
        <v>45545</v>
      </c>
    </row>
    <row r="10" spans="1:3">
      <c r="A10" s="149" t="s">
        <v>4361</v>
      </c>
      <c r="B10" s="149" t="s">
        <v>3341</v>
      </c>
      <c r="C10" s="149" t="s">
        <v>4362</v>
      </c>
    </row>
    <row r="11" spans="1:3">
      <c r="A11" s="149"/>
      <c r="B11" s="149"/>
      <c r="C11" s="149"/>
    </row>
    <row r="12" spans="1:3">
      <c r="A12" s="149"/>
      <c r="B12" s="149"/>
      <c r="C12" s="149"/>
    </row>
    <row r="13" spans="1:3">
      <c r="A13" s="149"/>
      <c r="B13" s="149"/>
      <c r="C13" s="149"/>
    </row>
    <row r="14" spans="1:3">
      <c r="A14" s="149"/>
      <c r="B14" s="149"/>
      <c r="C14" s="149"/>
    </row>
    <row r="15" spans="1:3">
      <c r="A15" s="149"/>
      <c r="B15" s="149"/>
      <c r="C15" s="149"/>
    </row>
    <row r="16" spans="1:3">
      <c r="A16" s="149"/>
      <c r="B16" s="149"/>
      <c r="C16" s="149"/>
    </row>
  </sheetData>
  <mergeCells count="1">
    <mergeCell ref="A7:C7"/>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56910-86E7-4198-8D10-6F8A696926F2}">
  <dimension ref="A1:C1920"/>
  <sheetViews>
    <sheetView topLeftCell="A11" workbookViewId="0">
      <selection sqref="A1:B1920"/>
    </sheetView>
  </sheetViews>
  <sheetFormatPr defaultRowHeight="15"/>
  <cols>
    <col min="1" max="1" width="72.140625" bestFit="1" customWidth="1"/>
    <col min="2" max="2" width="15" bestFit="1" customWidth="1"/>
  </cols>
  <sheetData>
    <row r="1" spans="1:3">
      <c r="A1" s="761" t="s">
        <v>4074</v>
      </c>
      <c r="B1" s="761" t="s">
        <v>4076</v>
      </c>
      <c r="C1" s="408"/>
    </row>
    <row r="2" spans="1:3">
      <c r="A2" s="767" t="s">
        <v>4073</v>
      </c>
      <c r="B2" s="767" t="s">
        <v>4363</v>
      </c>
      <c r="C2" s="408"/>
    </row>
    <row r="3" spans="1:3">
      <c r="A3" s="767" t="s">
        <v>4072</v>
      </c>
      <c r="B3" s="767" t="s">
        <v>4364</v>
      </c>
      <c r="C3" s="408"/>
    </row>
    <row r="4" spans="1:3">
      <c r="A4" s="767" t="s">
        <v>4071</v>
      </c>
      <c r="B4" s="767" t="s">
        <v>4365</v>
      </c>
      <c r="C4" s="408"/>
    </row>
    <row r="5" spans="1:3">
      <c r="A5" s="767" t="s">
        <v>4366</v>
      </c>
      <c r="B5" s="767" t="s">
        <v>4367</v>
      </c>
      <c r="C5" s="408"/>
    </row>
    <row r="6" spans="1:3">
      <c r="A6" s="767" t="s">
        <v>4069</v>
      </c>
      <c r="B6" s="767" t="s">
        <v>4368</v>
      </c>
      <c r="C6" s="408"/>
    </row>
    <row r="7" spans="1:3">
      <c r="A7" s="767" t="s">
        <v>4068</v>
      </c>
      <c r="B7" s="767" t="s">
        <v>4369</v>
      </c>
      <c r="C7" s="408"/>
    </row>
    <row r="8" spans="1:3">
      <c r="A8" s="767" t="s">
        <v>4067</v>
      </c>
      <c r="B8" s="767" t="s">
        <v>4370</v>
      </c>
      <c r="C8" s="408"/>
    </row>
    <row r="9" spans="1:3">
      <c r="A9" s="767" t="s">
        <v>4066</v>
      </c>
      <c r="B9" s="767" t="s">
        <v>4371</v>
      </c>
      <c r="C9" s="408"/>
    </row>
    <row r="10" spans="1:3">
      <c r="A10" s="767" t="s">
        <v>4065</v>
      </c>
      <c r="B10" s="767" t="s">
        <v>4372</v>
      </c>
      <c r="C10" s="408"/>
    </row>
    <row r="11" spans="1:3">
      <c r="A11" s="767" t="s">
        <v>4064</v>
      </c>
      <c r="B11" s="767" t="s">
        <v>4083</v>
      </c>
      <c r="C11" s="408"/>
    </row>
    <row r="12" spans="1:3">
      <c r="A12" s="767" t="s">
        <v>4373</v>
      </c>
      <c r="B12" s="767" t="s">
        <v>4374</v>
      </c>
      <c r="C12" s="408"/>
    </row>
    <row r="13" spans="1:3">
      <c r="A13" s="767" t="s">
        <v>4062</v>
      </c>
      <c r="B13" s="767" t="s">
        <v>4375</v>
      </c>
      <c r="C13" s="408"/>
    </row>
    <row r="14" spans="1:3">
      <c r="A14" s="767" t="s">
        <v>3794</v>
      </c>
      <c r="B14" s="767" t="s">
        <v>4376</v>
      </c>
      <c r="C14" s="408"/>
    </row>
    <row r="15" spans="1:3">
      <c r="A15" s="767" t="s">
        <v>4061</v>
      </c>
      <c r="B15" s="767" t="s">
        <v>4377</v>
      </c>
      <c r="C15" s="408"/>
    </row>
    <row r="16" spans="1:3">
      <c r="A16" s="767" t="s">
        <v>4059</v>
      </c>
      <c r="B16" s="767" t="s">
        <v>4378</v>
      </c>
      <c r="C16" s="408"/>
    </row>
    <row r="17" spans="1:3">
      <c r="A17" s="767" t="s">
        <v>4058</v>
      </c>
      <c r="B17" s="767" t="s">
        <v>4379</v>
      </c>
      <c r="C17" s="408"/>
    </row>
    <row r="18" spans="1:3">
      <c r="A18" s="767" t="s">
        <v>4057</v>
      </c>
      <c r="B18" s="767" t="s">
        <v>4380</v>
      </c>
      <c r="C18" s="408"/>
    </row>
    <row r="19" spans="1:3">
      <c r="A19" s="767" t="s">
        <v>4055</v>
      </c>
      <c r="B19" s="767" t="s">
        <v>4381</v>
      </c>
      <c r="C19" s="408"/>
    </row>
    <row r="20" spans="1:3">
      <c r="A20" s="767" t="s">
        <v>4054</v>
      </c>
      <c r="B20" s="767" t="s">
        <v>4382</v>
      </c>
      <c r="C20" s="408"/>
    </row>
    <row r="21" spans="1:3">
      <c r="A21" s="767" t="s">
        <v>4053</v>
      </c>
      <c r="B21" s="767" t="s">
        <v>4383</v>
      </c>
      <c r="C21" s="408"/>
    </row>
    <row r="22" spans="1:3">
      <c r="A22" s="767" t="s">
        <v>4027</v>
      </c>
      <c r="B22" s="767" t="s">
        <v>4384</v>
      </c>
      <c r="C22" s="408"/>
    </row>
    <row r="23" spans="1:3">
      <c r="A23" s="767" t="s">
        <v>4052</v>
      </c>
      <c r="B23" s="767" t="s">
        <v>4385</v>
      </c>
      <c r="C23" s="408"/>
    </row>
    <row r="24" spans="1:3">
      <c r="A24" s="767" t="s">
        <v>4051</v>
      </c>
      <c r="B24" s="767" t="s">
        <v>4386</v>
      </c>
      <c r="C24" s="408"/>
    </row>
    <row r="25" spans="1:3">
      <c r="A25" s="767" t="s">
        <v>4387</v>
      </c>
      <c r="B25" s="767" t="s">
        <v>4388</v>
      </c>
      <c r="C25" s="408"/>
    </row>
    <row r="26" spans="1:3">
      <c r="A26" s="767" t="s">
        <v>4389</v>
      </c>
      <c r="B26" s="767" t="s">
        <v>4390</v>
      </c>
      <c r="C26" s="408"/>
    </row>
    <row r="27" spans="1:3">
      <c r="A27" s="767" t="s">
        <v>4050</v>
      </c>
      <c r="B27" s="767" t="s">
        <v>4391</v>
      </c>
      <c r="C27" s="408"/>
    </row>
    <row r="28" spans="1:3">
      <c r="A28" s="767" t="s">
        <v>4392</v>
      </c>
      <c r="B28" s="767" t="s">
        <v>4393</v>
      </c>
      <c r="C28" s="408"/>
    </row>
    <row r="29" spans="1:3">
      <c r="A29" s="767" t="s">
        <v>4048</v>
      </c>
      <c r="B29" s="767" t="s">
        <v>4394</v>
      </c>
      <c r="C29" s="408"/>
    </row>
    <row r="30" spans="1:3">
      <c r="A30" s="767" t="s">
        <v>4047</v>
      </c>
      <c r="B30" s="767" t="s">
        <v>4395</v>
      </c>
      <c r="C30" s="408"/>
    </row>
    <row r="31" spans="1:3">
      <c r="A31" s="767" t="s">
        <v>4046</v>
      </c>
      <c r="B31" s="767" t="s">
        <v>4396</v>
      </c>
      <c r="C31" s="408"/>
    </row>
    <row r="32" spans="1:3">
      <c r="A32" s="767" t="s">
        <v>4045</v>
      </c>
      <c r="B32" s="767" t="s">
        <v>4397</v>
      </c>
      <c r="C32" s="408"/>
    </row>
    <row r="33" spans="1:3">
      <c r="A33" s="767" t="s">
        <v>4044</v>
      </c>
      <c r="B33" s="767" t="s">
        <v>4398</v>
      </c>
      <c r="C33" s="408"/>
    </row>
    <row r="34" spans="1:3">
      <c r="A34" s="767" t="s">
        <v>4399</v>
      </c>
      <c r="B34" s="767" t="s">
        <v>4400</v>
      </c>
      <c r="C34" s="408"/>
    </row>
    <row r="35" spans="1:3">
      <c r="A35" s="767" t="s">
        <v>4043</v>
      </c>
      <c r="B35" s="767" t="s">
        <v>4370</v>
      </c>
      <c r="C35" s="408"/>
    </row>
    <row r="36" spans="1:3">
      <c r="A36" s="767" t="s">
        <v>4042</v>
      </c>
      <c r="B36" s="767" t="s">
        <v>4401</v>
      </c>
      <c r="C36" s="408"/>
    </row>
    <row r="37" spans="1:3">
      <c r="A37" s="767" t="s">
        <v>4041</v>
      </c>
      <c r="B37" s="767" t="s">
        <v>4402</v>
      </c>
      <c r="C37" s="408"/>
    </row>
    <row r="38" spans="1:3">
      <c r="A38" s="767" t="s">
        <v>4040</v>
      </c>
      <c r="B38" s="767" t="s">
        <v>4403</v>
      </c>
      <c r="C38" s="408"/>
    </row>
    <row r="39" spans="1:3">
      <c r="A39" s="767" t="s">
        <v>4039</v>
      </c>
      <c r="B39" s="767" t="s">
        <v>4404</v>
      </c>
      <c r="C39" s="408"/>
    </row>
    <row r="40" spans="1:3">
      <c r="A40" s="767" t="s">
        <v>4038</v>
      </c>
      <c r="B40" s="767" t="s">
        <v>4405</v>
      </c>
      <c r="C40" s="408"/>
    </row>
    <row r="41" spans="1:3">
      <c r="A41" s="767" t="s">
        <v>4037</v>
      </c>
      <c r="B41" s="767" t="s">
        <v>4406</v>
      </c>
      <c r="C41" s="408"/>
    </row>
    <row r="42" spans="1:3">
      <c r="A42" s="767" t="s">
        <v>4036</v>
      </c>
      <c r="B42" s="767" t="s">
        <v>4407</v>
      </c>
      <c r="C42" s="408"/>
    </row>
    <row r="43" spans="1:3">
      <c r="A43" s="767" t="s">
        <v>4035</v>
      </c>
      <c r="B43" s="767" t="s">
        <v>4085</v>
      </c>
      <c r="C43" s="408"/>
    </row>
    <row r="44" spans="1:3">
      <c r="A44" s="767" t="s">
        <v>4034</v>
      </c>
      <c r="B44" s="767" t="s">
        <v>4408</v>
      </c>
      <c r="C44" s="408"/>
    </row>
    <row r="45" spans="1:3">
      <c r="A45" s="767" t="s">
        <v>4033</v>
      </c>
      <c r="B45" s="767" t="s">
        <v>4409</v>
      </c>
      <c r="C45" s="408"/>
    </row>
    <row r="46" spans="1:3">
      <c r="A46" s="767" t="s">
        <v>4032</v>
      </c>
      <c r="B46" s="767" t="s">
        <v>4410</v>
      </c>
      <c r="C46" s="408"/>
    </row>
    <row r="47" spans="1:3">
      <c r="A47" s="767" t="s">
        <v>4031</v>
      </c>
      <c r="B47" s="767" t="s">
        <v>4411</v>
      </c>
      <c r="C47" s="408"/>
    </row>
    <row r="48" spans="1:3">
      <c r="A48" s="767" t="s">
        <v>4030</v>
      </c>
      <c r="B48" s="767" t="s">
        <v>4412</v>
      </c>
      <c r="C48" s="408"/>
    </row>
    <row r="49" spans="1:3">
      <c r="A49" s="767" t="s">
        <v>4029</v>
      </c>
      <c r="B49" s="767" t="s">
        <v>4410</v>
      </c>
      <c r="C49" s="408"/>
    </row>
    <row r="50" spans="1:3">
      <c r="A50" s="767" t="s">
        <v>4026</v>
      </c>
      <c r="B50" s="767" t="s">
        <v>4413</v>
      </c>
      <c r="C50" s="408"/>
    </row>
    <row r="51" spans="1:3">
      <c r="A51" s="767" t="s">
        <v>4025</v>
      </c>
      <c r="B51" s="767" t="s">
        <v>4414</v>
      </c>
      <c r="C51" s="408"/>
    </row>
    <row r="52" spans="1:3">
      <c r="A52" s="767" t="s">
        <v>4024</v>
      </c>
      <c r="B52" s="767" t="s">
        <v>4415</v>
      </c>
      <c r="C52" s="408"/>
    </row>
    <row r="53" spans="1:3">
      <c r="A53" s="767" t="s">
        <v>4023</v>
      </c>
      <c r="B53" s="767" t="s">
        <v>4416</v>
      </c>
      <c r="C53" s="408"/>
    </row>
    <row r="54" spans="1:3">
      <c r="A54" s="767" t="s">
        <v>4417</v>
      </c>
      <c r="B54" s="767" t="s">
        <v>4418</v>
      </c>
      <c r="C54" s="408"/>
    </row>
    <row r="55" spans="1:3">
      <c r="A55" s="767" t="s">
        <v>4021</v>
      </c>
      <c r="B55" s="767" t="s">
        <v>4419</v>
      </c>
      <c r="C55" s="408"/>
    </row>
    <row r="56" spans="1:3">
      <c r="A56" s="767" t="s">
        <v>4020</v>
      </c>
      <c r="B56" s="767" t="s">
        <v>4420</v>
      </c>
      <c r="C56" s="408"/>
    </row>
    <row r="57" spans="1:3">
      <c r="A57" s="767" t="s">
        <v>4019</v>
      </c>
      <c r="B57" s="767" t="s">
        <v>4421</v>
      </c>
      <c r="C57" s="408"/>
    </row>
    <row r="58" spans="1:3">
      <c r="A58" s="767" t="s">
        <v>4019</v>
      </c>
      <c r="B58" s="767" t="s">
        <v>4422</v>
      </c>
      <c r="C58" s="408"/>
    </row>
    <row r="59" spans="1:3">
      <c r="A59" s="767" t="s">
        <v>4018</v>
      </c>
      <c r="B59" s="767" t="s">
        <v>4423</v>
      </c>
      <c r="C59" s="408"/>
    </row>
    <row r="60" spans="1:3">
      <c r="A60" s="767" t="s">
        <v>1544</v>
      </c>
      <c r="B60" s="767" t="s">
        <v>4424</v>
      </c>
      <c r="C60" s="408"/>
    </row>
    <row r="61" spans="1:3">
      <c r="A61" s="767" t="s">
        <v>4017</v>
      </c>
      <c r="B61" s="767" t="s">
        <v>4425</v>
      </c>
      <c r="C61" s="408"/>
    </row>
    <row r="62" spans="1:3">
      <c r="A62" s="767" t="s">
        <v>4426</v>
      </c>
      <c r="B62" s="767" t="s">
        <v>4427</v>
      </c>
      <c r="C62" s="408"/>
    </row>
    <row r="63" spans="1:3">
      <c r="A63" s="767" t="s">
        <v>4015</v>
      </c>
      <c r="B63" s="767" t="s">
        <v>4428</v>
      </c>
      <c r="C63" s="408"/>
    </row>
    <row r="64" spans="1:3">
      <c r="A64" s="767" t="s">
        <v>4014</v>
      </c>
      <c r="B64" s="767" t="s">
        <v>4429</v>
      </c>
      <c r="C64" s="408"/>
    </row>
    <row r="65" spans="1:3">
      <c r="A65" s="767" t="s">
        <v>4430</v>
      </c>
      <c r="B65" s="767" t="s">
        <v>4431</v>
      </c>
      <c r="C65" s="408"/>
    </row>
    <row r="66" spans="1:3">
      <c r="A66" s="767" t="s">
        <v>4012</v>
      </c>
      <c r="B66" s="767" t="s">
        <v>4432</v>
      </c>
      <c r="C66" s="408"/>
    </row>
    <row r="67" spans="1:3">
      <c r="A67" s="767" t="s">
        <v>4011</v>
      </c>
      <c r="B67" s="767" t="s">
        <v>517</v>
      </c>
      <c r="C67" s="408"/>
    </row>
    <row r="68" spans="1:3">
      <c r="A68" s="767" t="s">
        <v>2883</v>
      </c>
      <c r="B68" s="767" t="s">
        <v>4099</v>
      </c>
      <c r="C68" s="408"/>
    </row>
    <row r="69" spans="1:3">
      <c r="A69" s="767" t="s">
        <v>4010</v>
      </c>
      <c r="B69" s="767" t="s">
        <v>4433</v>
      </c>
      <c r="C69" s="408"/>
    </row>
    <row r="70" spans="1:3">
      <c r="A70" s="767" t="s">
        <v>4009</v>
      </c>
      <c r="B70" s="767" t="s">
        <v>4434</v>
      </c>
      <c r="C70" s="408"/>
    </row>
    <row r="71" spans="1:3">
      <c r="A71" s="767" t="s">
        <v>4008</v>
      </c>
      <c r="B71" s="767" t="s">
        <v>4435</v>
      </c>
      <c r="C71" s="408"/>
    </row>
    <row r="72" spans="1:3">
      <c r="A72" s="767" t="s">
        <v>4007</v>
      </c>
      <c r="B72" s="767" t="s">
        <v>4436</v>
      </c>
      <c r="C72" s="408"/>
    </row>
    <row r="73" spans="1:3">
      <c r="A73" s="767" t="s">
        <v>4006</v>
      </c>
      <c r="B73" s="767" t="s">
        <v>4437</v>
      </c>
      <c r="C73" s="408"/>
    </row>
    <row r="74" spans="1:3">
      <c r="A74" s="767" t="s">
        <v>4438</v>
      </c>
      <c r="B74" s="767" t="s">
        <v>4439</v>
      </c>
      <c r="C74" s="408"/>
    </row>
    <row r="75" spans="1:3">
      <c r="A75" s="767" t="s">
        <v>4004</v>
      </c>
      <c r="B75" s="767" t="s">
        <v>4440</v>
      </c>
      <c r="C75" s="408"/>
    </row>
    <row r="76" spans="1:3">
      <c r="A76" s="767" t="s">
        <v>4003</v>
      </c>
      <c r="B76" s="767" t="s">
        <v>2077</v>
      </c>
      <c r="C76" s="408"/>
    </row>
    <row r="77" spans="1:3">
      <c r="A77" s="767" t="s">
        <v>4002</v>
      </c>
      <c r="B77" s="767" t="s">
        <v>4441</v>
      </c>
      <c r="C77" s="408"/>
    </row>
    <row r="78" spans="1:3">
      <c r="A78" s="767" t="s">
        <v>4001</v>
      </c>
      <c r="B78" s="767" t="s">
        <v>4442</v>
      </c>
      <c r="C78" s="408"/>
    </row>
    <row r="79" spans="1:3">
      <c r="A79" s="767" t="s">
        <v>4000</v>
      </c>
      <c r="B79" s="767" t="s">
        <v>4443</v>
      </c>
      <c r="C79" s="408"/>
    </row>
    <row r="80" spans="1:3">
      <c r="A80" s="767" t="s">
        <v>3999</v>
      </c>
      <c r="B80" s="767" t="s">
        <v>4444</v>
      </c>
      <c r="C80" s="408"/>
    </row>
    <row r="81" spans="1:3">
      <c r="A81" s="767" t="s">
        <v>3998</v>
      </c>
      <c r="B81" s="767" t="s">
        <v>4445</v>
      </c>
      <c r="C81" s="408"/>
    </row>
    <row r="82" spans="1:3">
      <c r="A82" s="767" t="s">
        <v>3997</v>
      </c>
      <c r="B82" s="767" t="s">
        <v>545</v>
      </c>
      <c r="C82" s="408"/>
    </row>
    <row r="83" spans="1:3">
      <c r="A83" s="767" t="s">
        <v>4446</v>
      </c>
      <c r="B83" s="767" t="s">
        <v>4447</v>
      </c>
      <c r="C83" s="408"/>
    </row>
    <row r="84" spans="1:3">
      <c r="A84" s="767" t="s">
        <v>3996</v>
      </c>
      <c r="B84" s="767" t="s">
        <v>4448</v>
      </c>
      <c r="C84" s="408"/>
    </row>
    <row r="85" spans="1:3">
      <c r="A85" s="767" t="s">
        <v>835</v>
      </c>
      <c r="B85" s="767" t="s">
        <v>4449</v>
      </c>
      <c r="C85" s="408"/>
    </row>
    <row r="86" spans="1:3">
      <c r="A86" s="767" t="s">
        <v>3995</v>
      </c>
      <c r="B86" s="767" t="s">
        <v>4450</v>
      </c>
      <c r="C86" s="408"/>
    </row>
    <row r="87" spans="1:3">
      <c r="A87" s="767" t="s">
        <v>3994</v>
      </c>
      <c r="B87" s="767" t="s">
        <v>4451</v>
      </c>
      <c r="C87" s="408"/>
    </row>
    <row r="88" spans="1:3">
      <c r="A88" s="767" t="s">
        <v>2901</v>
      </c>
      <c r="B88" s="767" t="s">
        <v>4100</v>
      </c>
      <c r="C88" s="408"/>
    </row>
    <row r="89" spans="1:3">
      <c r="A89" s="767" t="s">
        <v>3993</v>
      </c>
      <c r="B89" s="767" t="s">
        <v>4452</v>
      </c>
      <c r="C89" s="408"/>
    </row>
    <row r="90" spans="1:3">
      <c r="A90" s="767" t="s">
        <v>721</v>
      </c>
      <c r="B90" s="767" t="s">
        <v>4453</v>
      </c>
      <c r="C90" s="408"/>
    </row>
    <row r="91" spans="1:3">
      <c r="A91" s="767" t="s">
        <v>3992</v>
      </c>
      <c r="B91" s="767" t="s">
        <v>4454</v>
      </c>
      <c r="C91" s="408"/>
    </row>
    <row r="92" spans="1:3">
      <c r="A92" s="767" t="s">
        <v>4455</v>
      </c>
      <c r="B92" s="767" t="s">
        <v>4456</v>
      </c>
      <c r="C92" s="408"/>
    </row>
    <row r="93" spans="1:3">
      <c r="A93" s="767" t="s">
        <v>3990</v>
      </c>
      <c r="B93" s="767" t="s">
        <v>4457</v>
      </c>
      <c r="C93" s="408"/>
    </row>
    <row r="94" spans="1:3">
      <c r="A94" s="767" t="s">
        <v>3988</v>
      </c>
      <c r="B94" s="767" t="s">
        <v>4458</v>
      </c>
      <c r="C94" s="408"/>
    </row>
    <row r="95" spans="1:3">
      <c r="A95" s="767" t="s">
        <v>2788</v>
      </c>
      <c r="B95" s="767" t="s">
        <v>4459</v>
      </c>
      <c r="C95" s="408"/>
    </row>
    <row r="96" spans="1:3">
      <c r="A96" s="767" t="s">
        <v>4460</v>
      </c>
      <c r="B96" s="767" t="s">
        <v>4461</v>
      </c>
      <c r="C96" s="408"/>
    </row>
    <row r="97" spans="1:3">
      <c r="A97" s="767" t="s">
        <v>3987</v>
      </c>
      <c r="B97" s="767" t="s">
        <v>4462</v>
      </c>
      <c r="C97" s="408"/>
    </row>
    <row r="98" spans="1:3">
      <c r="A98" s="767" t="s">
        <v>3985</v>
      </c>
      <c r="B98" s="767" t="s">
        <v>4463</v>
      </c>
      <c r="C98" s="408"/>
    </row>
    <row r="99" spans="1:3">
      <c r="A99" s="767" t="s">
        <v>3984</v>
      </c>
      <c r="B99" s="767" t="s">
        <v>4464</v>
      </c>
      <c r="C99" s="408"/>
    </row>
    <row r="100" spans="1:3">
      <c r="A100" s="767" t="s">
        <v>3983</v>
      </c>
      <c r="B100" s="767" t="s">
        <v>1875</v>
      </c>
      <c r="C100" s="408"/>
    </row>
    <row r="101" spans="1:3">
      <c r="A101" s="767" t="s">
        <v>3982</v>
      </c>
      <c r="B101" s="767" t="s">
        <v>4465</v>
      </c>
      <c r="C101" s="408"/>
    </row>
    <row r="102" spans="1:3">
      <c r="A102" s="767" t="s">
        <v>3981</v>
      </c>
      <c r="B102" s="767" t="s">
        <v>4466</v>
      </c>
      <c r="C102" s="408"/>
    </row>
    <row r="103" spans="1:3">
      <c r="A103" s="767" t="s">
        <v>3980</v>
      </c>
      <c r="B103" s="767" t="s">
        <v>4467</v>
      </c>
      <c r="C103" s="408"/>
    </row>
    <row r="104" spans="1:3">
      <c r="A104" s="767" t="s">
        <v>3979</v>
      </c>
      <c r="B104" s="767" t="s">
        <v>914</v>
      </c>
      <c r="C104" s="408"/>
    </row>
    <row r="105" spans="1:3">
      <c r="A105" s="767" t="s">
        <v>3978</v>
      </c>
      <c r="B105" s="767" t="s">
        <v>4468</v>
      </c>
      <c r="C105" s="408"/>
    </row>
    <row r="106" spans="1:3">
      <c r="A106" s="767" t="s">
        <v>3977</v>
      </c>
      <c r="B106" s="767" t="s">
        <v>4469</v>
      </c>
      <c r="C106" s="408"/>
    </row>
    <row r="107" spans="1:3">
      <c r="A107" s="767" t="s">
        <v>3976</v>
      </c>
      <c r="B107" s="767" t="s">
        <v>4470</v>
      </c>
      <c r="C107" s="408"/>
    </row>
    <row r="108" spans="1:3">
      <c r="A108" s="767" t="s">
        <v>3975</v>
      </c>
      <c r="B108" s="767" t="s">
        <v>4471</v>
      </c>
      <c r="C108" s="408"/>
    </row>
    <row r="109" spans="1:3">
      <c r="A109" s="767" t="s">
        <v>3974</v>
      </c>
      <c r="B109" s="767" t="s">
        <v>4472</v>
      </c>
      <c r="C109" s="408"/>
    </row>
    <row r="110" spans="1:3">
      <c r="A110" s="767" t="s">
        <v>3973</v>
      </c>
      <c r="B110" s="767" t="s">
        <v>4473</v>
      </c>
      <c r="C110" s="408"/>
    </row>
    <row r="111" spans="1:3">
      <c r="A111" s="767" t="s">
        <v>3972</v>
      </c>
      <c r="B111" s="767" t="s">
        <v>4474</v>
      </c>
      <c r="C111" s="408"/>
    </row>
    <row r="112" spans="1:3">
      <c r="A112" s="767" t="s">
        <v>3971</v>
      </c>
      <c r="B112" s="767" t="s">
        <v>4475</v>
      </c>
      <c r="C112" s="408"/>
    </row>
    <row r="113" spans="1:3">
      <c r="A113" s="767" t="s">
        <v>3970</v>
      </c>
      <c r="B113" s="767" t="s">
        <v>4476</v>
      </c>
      <c r="C113" s="408"/>
    </row>
    <row r="114" spans="1:3">
      <c r="A114" s="767" t="s">
        <v>3969</v>
      </c>
      <c r="B114" s="767" t="s">
        <v>4477</v>
      </c>
      <c r="C114" s="408"/>
    </row>
    <row r="115" spans="1:3">
      <c r="A115" s="767" t="s">
        <v>3968</v>
      </c>
      <c r="B115" s="767" t="s">
        <v>4478</v>
      </c>
      <c r="C115" s="408"/>
    </row>
    <row r="116" spans="1:3">
      <c r="A116" s="767" t="s">
        <v>3967</v>
      </c>
      <c r="B116" s="767" t="s">
        <v>4479</v>
      </c>
      <c r="C116" s="408"/>
    </row>
    <row r="117" spans="1:3">
      <c r="A117" s="767" t="s">
        <v>3966</v>
      </c>
      <c r="B117" s="767" t="s">
        <v>4480</v>
      </c>
      <c r="C117" s="408"/>
    </row>
    <row r="118" spans="1:3">
      <c r="A118" s="767" t="s">
        <v>4481</v>
      </c>
      <c r="B118" s="767" t="s">
        <v>4482</v>
      </c>
      <c r="C118" s="408"/>
    </row>
    <row r="119" spans="1:3">
      <c r="A119" s="767" t="s">
        <v>3964</v>
      </c>
      <c r="B119" s="767" t="s">
        <v>4483</v>
      </c>
      <c r="C119" s="408"/>
    </row>
    <row r="120" spans="1:3">
      <c r="A120" s="767" t="s">
        <v>3963</v>
      </c>
      <c r="B120" s="767" t="s">
        <v>4484</v>
      </c>
      <c r="C120" s="408"/>
    </row>
    <row r="121" spans="1:3">
      <c r="A121" s="767" t="s">
        <v>2892</v>
      </c>
      <c r="B121" s="767" t="s">
        <v>4485</v>
      </c>
      <c r="C121" s="408"/>
    </row>
    <row r="122" spans="1:3">
      <c r="A122" s="767" t="s">
        <v>3962</v>
      </c>
      <c r="B122" s="767" t="s">
        <v>4486</v>
      </c>
      <c r="C122" s="408"/>
    </row>
    <row r="123" spans="1:3">
      <c r="A123" s="767" t="s">
        <v>3961</v>
      </c>
      <c r="B123" s="767" t="s">
        <v>4487</v>
      </c>
      <c r="C123" s="408"/>
    </row>
    <row r="124" spans="1:3">
      <c r="A124" s="767" t="s">
        <v>4108</v>
      </c>
      <c r="B124" s="767" t="s">
        <v>4109</v>
      </c>
      <c r="C124" s="408"/>
    </row>
    <row r="125" spans="1:3">
      <c r="A125" s="767" t="s">
        <v>3960</v>
      </c>
      <c r="B125" s="767" t="s">
        <v>4488</v>
      </c>
      <c r="C125" s="408"/>
    </row>
    <row r="126" spans="1:3">
      <c r="A126" s="767" t="s">
        <v>3959</v>
      </c>
      <c r="B126" s="767" t="s">
        <v>4489</v>
      </c>
      <c r="C126" s="408"/>
    </row>
    <row r="127" spans="1:3">
      <c r="A127" s="767" t="s">
        <v>4490</v>
      </c>
      <c r="B127" s="767" t="s">
        <v>4491</v>
      </c>
      <c r="C127" s="408"/>
    </row>
    <row r="128" spans="1:3">
      <c r="A128" s="767" t="s">
        <v>3957</v>
      </c>
      <c r="B128" s="767" t="s">
        <v>4492</v>
      </c>
      <c r="C128" s="408"/>
    </row>
    <row r="129" spans="1:3">
      <c r="A129" s="767" t="s">
        <v>3956</v>
      </c>
      <c r="B129" s="767" t="s">
        <v>4493</v>
      </c>
      <c r="C129" s="408"/>
    </row>
    <row r="130" spans="1:3">
      <c r="A130" s="767" t="s">
        <v>3955</v>
      </c>
      <c r="B130" s="767" t="s">
        <v>4494</v>
      </c>
      <c r="C130" s="408"/>
    </row>
    <row r="131" spans="1:3">
      <c r="A131" s="767" t="s">
        <v>4495</v>
      </c>
      <c r="B131" s="767" t="s">
        <v>4496</v>
      </c>
      <c r="C131" s="408"/>
    </row>
    <row r="132" spans="1:3">
      <c r="A132" s="767" t="s">
        <v>3953</v>
      </c>
      <c r="B132" s="767" t="s">
        <v>4497</v>
      </c>
      <c r="C132" s="408"/>
    </row>
    <row r="133" spans="1:3">
      <c r="A133" s="767" t="s">
        <v>3952</v>
      </c>
      <c r="B133" s="767" t="s">
        <v>1660</v>
      </c>
      <c r="C133" s="408"/>
    </row>
    <row r="134" spans="1:3">
      <c r="A134" s="767" t="s">
        <v>4498</v>
      </c>
      <c r="B134" s="767" t="s">
        <v>4499</v>
      </c>
      <c r="C134" s="408"/>
    </row>
    <row r="135" spans="1:3">
      <c r="A135" s="767" t="s">
        <v>3949</v>
      </c>
      <c r="B135" s="767" t="s">
        <v>4500</v>
      </c>
      <c r="C135" s="408"/>
    </row>
    <row r="136" spans="1:3">
      <c r="A136" s="767" t="s">
        <v>3948</v>
      </c>
      <c r="B136" s="767" t="s">
        <v>4501</v>
      </c>
      <c r="C136" s="408"/>
    </row>
    <row r="137" spans="1:3">
      <c r="A137" s="767" t="s">
        <v>4502</v>
      </c>
      <c r="B137" s="767" t="s">
        <v>4503</v>
      </c>
      <c r="C137" s="408"/>
    </row>
    <row r="138" spans="1:3">
      <c r="A138" s="767" t="s">
        <v>3947</v>
      </c>
      <c r="B138" s="767" t="s">
        <v>4504</v>
      </c>
      <c r="C138" s="408"/>
    </row>
    <row r="139" spans="1:3">
      <c r="A139" s="767" t="s">
        <v>4505</v>
      </c>
      <c r="B139" s="767" t="s">
        <v>4506</v>
      </c>
      <c r="C139" s="408"/>
    </row>
    <row r="140" spans="1:3">
      <c r="A140" s="767" t="s">
        <v>3945</v>
      </c>
      <c r="B140" s="767" t="s">
        <v>4507</v>
      </c>
      <c r="C140" s="408"/>
    </row>
    <row r="141" spans="1:3">
      <c r="A141" s="767" t="s">
        <v>4508</v>
      </c>
      <c r="B141" s="767" t="s">
        <v>4509</v>
      </c>
      <c r="C141" s="408"/>
    </row>
    <row r="142" spans="1:3">
      <c r="A142" s="767" t="s">
        <v>2968</v>
      </c>
      <c r="B142" s="767" t="s">
        <v>4510</v>
      </c>
      <c r="C142" s="408"/>
    </row>
    <row r="143" spans="1:3">
      <c r="A143" s="767" t="s">
        <v>4511</v>
      </c>
      <c r="B143" s="767" t="s">
        <v>4512</v>
      </c>
      <c r="C143" s="408"/>
    </row>
    <row r="144" spans="1:3">
      <c r="A144" s="767" t="s">
        <v>3943</v>
      </c>
      <c r="B144" s="767" t="s">
        <v>4513</v>
      </c>
      <c r="C144" s="408"/>
    </row>
    <row r="145" spans="1:3">
      <c r="A145" s="767" t="s">
        <v>3942</v>
      </c>
      <c r="B145" s="767" t="s">
        <v>4514</v>
      </c>
      <c r="C145" s="408"/>
    </row>
    <row r="146" spans="1:3">
      <c r="A146" s="767" t="s">
        <v>3942</v>
      </c>
      <c r="B146" s="767" t="s">
        <v>4514</v>
      </c>
      <c r="C146" s="408"/>
    </row>
    <row r="147" spans="1:3">
      <c r="A147" s="767" t="s">
        <v>3941</v>
      </c>
      <c r="B147" s="767" t="s">
        <v>4515</v>
      </c>
      <c r="C147" s="408"/>
    </row>
    <row r="148" spans="1:3">
      <c r="A148" s="767" t="s">
        <v>3940</v>
      </c>
      <c r="B148" s="767" t="s">
        <v>4516</v>
      </c>
      <c r="C148" s="408"/>
    </row>
    <row r="149" spans="1:3">
      <c r="A149" s="767" t="s">
        <v>3939</v>
      </c>
      <c r="B149" s="767" t="s">
        <v>4517</v>
      </c>
      <c r="C149" s="408"/>
    </row>
    <row r="150" spans="1:3">
      <c r="A150" s="767" t="s">
        <v>3938</v>
      </c>
      <c r="B150" s="767" t="s">
        <v>4518</v>
      </c>
      <c r="C150" s="408"/>
    </row>
    <row r="151" spans="1:3">
      <c r="A151" s="767" t="s">
        <v>3937</v>
      </c>
      <c r="B151" s="767" t="s">
        <v>4519</v>
      </c>
      <c r="C151" s="408"/>
    </row>
    <row r="152" spans="1:3">
      <c r="A152" s="767" t="s">
        <v>2964</v>
      </c>
      <c r="B152" s="767" t="s">
        <v>4520</v>
      </c>
      <c r="C152" s="408"/>
    </row>
    <row r="153" spans="1:3">
      <c r="A153" s="767" t="s">
        <v>3936</v>
      </c>
      <c r="B153" s="767" t="s">
        <v>4521</v>
      </c>
      <c r="C153" s="408"/>
    </row>
    <row r="154" spans="1:3">
      <c r="A154" s="767" t="s">
        <v>3935</v>
      </c>
      <c r="B154" s="767" t="s">
        <v>137</v>
      </c>
      <c r="C154" s="408"/>
    </row>
    <row r="155" spans="1:3">
      <c r="A155" s="767" t="s">
        <v>4522</v>
      </c>
      <c r="B155" s="767" t="s">
        <v>4523</v>
      </c>
      <c r="C155" s="408"/>
    </row>
    <row r="156" spans="1:3">
      <c r="A156" s="767" t="s">
        <v>3933</v>
      </c>
      <c r="B156" s="767" t="s">
        <v>1152</v>
      </c>
      <c r="C156" s="408"/>
    </row>
    <row r="157" spans="1:3">
      <c r="A157" s="767" t="s">
        <v>3932</v>
      </c>
      <c r="B157" s="767" t="s">
        <v>4524</v>
      </c>
      <c r="C157" s="408"/>
    </row>
    <row r="158" spans="1:3">
      <c r="A158" s="767" t="s">
        <v>3931</v>
      </c>
      <c r="B158" s="767" t="s">
        <v>4525</v>
      </c>
      <c r="C158" s="408"/>
    </row>
    <row r="159" spans="1:3">
      <c r="A159" s="767" t="s">
        <v>3930</v>
      </c>
      <c r="B159" s="767" t="s">
        <v>4526</v>
      </c>
      <c r="C159" s="408"/>
    </row>
    <row r="160" spans="1:3">
      <c r="A160" s="767" t="s">
        <v>4527</v>
      </c>
      <c r="B160" s="767" t="s">
        <v>4528</v>
      </c>
      <c r="C160" s="408"/>
    </row>
    <row r="161" spans="1:3">
      <c r="A161" s="767" t="s">
        <v>4529</v>
      </c>
      <c r="B161" s="767" t="s">
        <v>4530</v>
      </c>
      <c r="C161" s="408"/>
    </row>
    <row r="162" spans="1:3">
      <c r="A162" s="767" t="s">
        <v>3927</v>
      </c>
      <c r="B162" s="767" t="s">
        <v>4531</v>
      </c>
      <c r="C162" s="408"/>
    </row>
    <row r="163" spans="1:3">
      <c r="A163" s="767" t="s">
        <v>3926</v>
      </c>
      <c r="B163" s="767" t="s">
        <v>1382</v>
      </c>
      <c r="C163" s="408"/>
    </row>
    <row r="164" spans="1:3">
      <c r="A164" s="767" t="s">
        <v>3925</v>
      </c>
      <c r="B164" s="767" t="s">
        <v>4532</v>
      </c>
      <c r="C164" s="408"/>
    </row>
    <row r="165" spans="1:3">
      <c r="A165" s="767" t="s">
        <v>3924</v>
      </c>
      <c r="B165" s="767" t="s">
        <v>4533</v>
      </c>
      <c r="C165" s="408"/>
    </row>
    <row r="166" spans="1:3">
      <c r="A166" s="767" t="s">
        <v>4534</v>
      </c>
      <c r="B166" s="767" t="s">
        <v>4535</v>
      </c>
      <c r="C166" s="408"/>
    </row>
    <row r="167" spans="1:3">
      <c r="A167" s="767" t="s">
        <v>3922</v>
      </c>
      <c r="B167" s="767" t="s">
        <v>4536</v>
      </c>
      <c r="C167" s="408"/>
    </row>
    <row r="168" spans="1:3">
      <c r="A168" s="767" t="s">
        <v>3921</v>
      </c>
      <c r="B168" s="767" t="s">
        <v>4537</v>
      </c>
      <c r="C168" s="408"/>
    </row>
    <row r="169" spans="1:3">
      <c r="A169" s="767" t="s">
        <v>4538</v>
      </c>
      <c r="B169" s="767" t="s">
        <v>4539</v>
      </c>
      <c r="C169" s="408"/>
    </row>
    <row r="170" spans="1:3">
      <c r="A170" s="767" t="s">
        <v>4540</v>
      </c>
      <c r="B170" s="767" t="s">
        <v>4541</v>
      </c>
      <c r="C170" s="408"/>
    </row>
    <row r="171" spans="1:3">
      <c r="A171" s="767" t="s">
        <v>4542</v>
      </c>
      <c r="B171" s="767" t="s">
        <v>4543</v>
      </c>
      <c r="C171" s="408"/>
    </row>
    <row r="172" spans="1:3">
      <c r="A172" s="767" t="s">
        <v>4544</v>
      </c>
      <c r="B172" s="767" t="s">
        <v>4545</v>
      </c>
      <c r="C172" s="408"/>
    </row>
    <row r="173" spans="1:3">
      <c r="A173" s="767" t="s">
        <v>4546</v>
      </c>
      <c r="B173" s="767" t="s">
        <v>4547</v>
      </c>
      <c r="C173" s="408"/>
    </row>
    <row r="174" spans="1:3">
      <c r="A174" s="767" t="s">
        <v>4548</v>
      </c>
      <c r="B174" s="767" t="s">
        <v>4549</v>
      </c>
      <c r="C174" s="408"/>
    </row>
    <row r="175" spans="1:3">
      <c r="A175" s="767" t="s">
        <v>3913</v>
      </c>
      <c r="B175" s="767" t="s">
        <v>4550</v>
      </c>
      <c r="C175" s="408"/>
    </row>
    <row r="176" spans="1:3">
      <c r="A176" s="767" t="s">
        <v>4551</v>
      </c>
      <c r="B176" s="767" t="s">
        <v>4552</v>
      </c>
      <c r="C176" s="408"/>
    </row>
    <row r="177" spans="1:3">
      <c r="A177" s="767" t="s">
        <v>3911</v>
      </c>
      <c r="B177" s="767" t="s">
        <v>4553</v>
      </c>
      <c r="C177" s="408"/>
    </row>
    <row r="178" spans="1:3">
      <c r="A178" s="767" t="s">
        <v>3910</v>
      </c>
      <c r="B178" s="767" t="s">
        <v>1266</v>
      </c>
      <c r="C178" s="408"/>
    </row>
    <row r="179" spans="1:3">
      <c r="A179" s="767" t="s">
        <v>3909</v>
      </c>
      <c r="B179" s="767" t="s">
        <v>4554</v>
      </c>
      <c r="C179" s="408"/>
    </row>
    <row r="180" spans="1:3">
      <c r="A180" s="767" t="s">
        <v>4555</v>
      </c>
      <c r="B180" s="767" t="s">
        <v>4556</v>
      </c>
      <c r="C180" s="408"/>
    </row>
    <row r="181" spans="1:3">
      <c r="A181" s="767" t="s">
        <v>2761</v>
      </c>
      <c r="B181" s="767" t="s">
        <v>4557</v>
      </c>
      <c r="C181" s="408"/>
    </row>
    <row r="182" spans="1:3">
      <c r="A182" s="767" t="s">
        <v>3907</v>
      </c>
      <c r="B182" s="767" t="s">
        <v>4558</v>
      </c>
      <c r="C182" s="408"/>
    </row>
    <row r="183" spans="1:3">
      <c r="A183" s="767" t="s">
        <v>4559</v>
      </c>
      <c r="B183" s="767" t="s">
        <v>4560</v>
      </c>
      <c r="C183" s="408"/>
    </row>
    <row r="184" spans="1:3">
      <c r="A184" s="767" t="s">
        <v>4561</v>
      </c>
      <c r="B184" s="767" t="s">
        <v>4562</v>
      </c>
      <c r="C184" s="408"/>
    </row>
    <row r="185" spans="1:3">
      <c r="A185" s="767" t="s">
        <v>3904</v>
      </c>
      <c r="B185" s="767" t="s">
        <v>4563</v>
      </c>
      <c r="C185" s="408"/>
    </row>
    <row r="186" spans="1:3">
      <c r="A186" s="767" t="s">
        <v>4564</v>
      </c>
      <c r="B186" s="767" t="s">
        <v>4565</v>
      </c>
      <c r="C186" s="408"/>
    </row>
    <row r="187" spans="1:3">
      <c r="A187" s="767" t="s">
        <v>3902</v>
      </c>
      <c r="B187" s="767" t="s">
        <v>1209</v>
      </c>
      <c r="C187" s="408"/>
    </row>
    <row r="188" spans="1:3">
      <c r="A188" s="767" t="s">
        <v>3901</v>
      </c>
      <c r="B188" s="767" t="s">
        <v>4566</v>
      </c>
      <c r="C188" s="408"/>
    </row>
    <row r="189" spans="1:3">
      <c r="A189" s="767" t="s">
        <v>4567</v>
      </c>
      <c r="B189" s="767" t="s">
        <v>4568</v>
      </c>
      <c r="C189" s="408"/>
    </row>
    <row r="190" spans="1:3">
      <c r="A190" s="767" t="s">
        <v>3899</v>
      </c>
      <c r="B190" s="767" t="s">
        <v>851</v>
      </c>
      <c r="C190" s="408"/>
    </row>
    <row r="191" spans="1:3">
      <c r="A191" s="767" t="s">
        <v>3898</v>
      </c>
      <c r="B191" s="767" t="s">
        <v>4536</v>
      </c>
      <c r="C191" s="408"/>
    </row>
    <row r="192" spans="1:3">
      <c r="A192" s="767" t="s">
        <v>3897</v>
      </c>
      <c r="B192" s="767" t="s">
        <v>4569</v>
      </c>
      <c r="C192" s="408"/>
    </row>
    <row r="193" spans="1:3">
      <c r="A193" s="767" t="s">
        <v>4570</v>
      </c>
      <c r="B193" s="767" t="s">
        <v>4571</v>
      </c>
      <c r="C193" s="408"/>
    </row>
    <row r="194" spans="1:3">
      <c r="A194" s="767" t="s">
        <v>3894</v>
      </c>
      <c r="B194" s="767" t="s">
        <v>4572</v>
      </c>
      <c r="C194" s="408"/>
    </row>
    <row r="195" spans="1:3">
      <c r="A195" s="767" t="s">
        <v>3893</v>
      </c>
      <c r="B195" s="767" t="s">
        <v>4573</v>
      </c>
      <c r="C195" s="408"/>
    </row>
    <row r="196" spans="1:3">
      <c r="A196" s="767" t="s">
        <v>4574</v>
      </c>
      <c r="B196" s="767" t="s">
        <v>4575</v>
      </c>
      <c r="C196" s="408"/>
    </row>
    <row r="197" spans="1:3">
      <c r="A197" s="767" t="s">
        <v>4576</v>
      </c>
      <c r="B197" s="767" t="s">
        <v>4577</v>
      </c>
      <c r="C197" s="408"/>
    </row>
    <row r="198" spans="1:3">
      <c r="A198" s="767" t="s">
        <v>4115</v>
      </c>
      <c r="B198" s="767" t="s">
        <v>4116</v>
      </c>
      <c r="C198" s="408"/>
    </row>
    <row r="199" spans="1:3">
      <c r="A199" s="767" t="s">
        <v>3890</v>
      </c>
      <c r="B199" s="767" t="s">
        <v>4578</v>
      </c>
      <c r="C199" s="408"/>
    </row>
    <row r="200" spans="1:3">
      <c r="A200" s="767" t="s">
        <v>4579</v>
      </c>
      <c r="B200" s="767" t="s">
        <v>4580</v>
      </c>
      <c r="C200" s="408"/>
    </row>
    <row r="201" spans="1:3">
      <c r="A201" s="767" t="s">
        <v>3888</v>
      </c>
      <c r="B201" s="767" t="s">
        <v>4581</v>
      </c>
      <c r="C201" s="408"/>
    </row>
    <row r="202" spans="1:3">
      <c r="A202" s="767" t="s">
        <v>3887</v>
      </c>
      <c r="B202" s="767" t="s">
        <v>4582</v>
      </c>
      <c r="C202" s="408"/>
    </row>
    <row r="203" spans="1:3">
      <c r="A203" s="767" t="s">
        <v>3885</v>
      </c>
      <c r="B203" s="767" t="s">
        <v>4583</v>
      </c>
      <c r="C203" s="408"/>
    </row>
    <row r="204" spans="1:3">
      <c r="A204" s="767" t="s">
        <v>3884</v>
      </c>
      <c r="B204" s="767" t="s">
        <v>4584</v>
      </c>
      <c r="C204" s="408"/>
    </row>
    <row r="205" spans="1:3">
      <c r="A205" s="767" t="s">
        <v>4585</v>
      </c>
      <c r="B205" s="767" t="s">
        <v>4586</v>
      </c>
      <c r="C205" s="408"/>
    </row>
    <row r="206" spans="1:3">
      <c r="A206" s="767" t="s">
        <v>3883</v>
      </c>
      <c r="B206" s="767" t="s">
        <v>4587</v>
      </c>
      <c r="C206" s="408"/>
    </row>
    <row r="207" spans="1:3">
      <c r="A207" s="767" t="s">
        <v>3881</v>
      </c>
      <c r="B207" s="767" t="s">
        <v>4588</v>
      </c>
      <c r="C207" s="408"/>
    </row>
    <row r="208" spans="1:3">
      <c r="A208" s="767" t="s">
        <v>1232</v>
      </c>
      <c r="B208" s="767" t="s">
        <v>4589</v>
      </c>
      <c r="C208" s="408"/>
    </row>
    <row r="209" spans="1:3">
      <c r="A209" s="767" t="s">
        <v>1698</v>
      </c>
      <c r="B209" s="767" t="s">
        <v>4590</v>
      </c>
      <c r="C209" s="408"/>
    </row>
    <row r="210" spans="1:3">
      <c r="A210" s="767" t="s">
        <v>1285</v>
      </c>
      <c r="B210" s="767" t="s">
        <v>4591</v>
      </c>
      <c r="C210" s="408"/>
    </row>
    <row r="211" spans="1:3">
      <c r="A211" s="767" t="s">
        <v>258</v>
      </c>
      <c r="B211" s="767" t="s">
        <v>4592</v>
      </c>
      <c r="C211" s="408"/>
    </row>
    <row r="212" spans="1:3">
      <c r="A212" s="767" t="s">
        <v>1164</v>
      </c>
      <c r="B212" s="767" t="s">
        <v>4593</v>
      </c>
      <c r="C212" s="408"/>
    </row>
    <row r="213" spans="1:3">
      <c r="A213" s="767" t="s">
        <v>952</v>
      </c>
      <c r="B213" s="767" t="s">
        <v>4594</v>
      </c>
      <c r="C213" s="408"/>
    </row>
    <row r="214" spans="1:3">
      <c r="A214" s="767" t="s">
        <v>175</v>
      </c>
      <c r="B214" s="767" t="s">
        <v>4595</v>
      </c>
      <c r="C214" s="408"/>
    </row>
    <row r="215" spans="1:3">
      <c r="A215" s="767" t="s">
        <v>379</v>
      </c>
      <c r="B215" s="767" t="s">
        <v>4596</v>
      </c>
      <c r="C215" s="408"/>
    </row>
    <row r="216" spans="1:3">
      <c r="A216" s="767" t="s">
        <v>93</v>
      </c>
      <c r="B216" s="767" t="s">
        <v>4597</v>
      </c>
      <c r="C216" s="408"/>
    </row>
    <row r="217" spans="1:3">
      <c r="A217" s="767" t="s">
        <v>1211</v>
      </c>
      <c r="B217" s="767" t="s">
        <v>4598</v>
      </c>
      <c r="C217" s="408"/>
    </row>
    <row r="218" spans="1:3">
      <c r="A218" s="767" t="s">
        <v>3880</v>
      </c>
      <c r="B218" s="767" t="s">
        <v>4599</v>
      </c>
      <c r="C218" s="408"/>
    </row>
    <row r="219" spans="1:3">
      <c r="A219" s="767" t="s">
        <v>1308</v>
      </c>
      <c r="B219" s="767" t="s">
        <v>4600</v>
      </c>
      <c r="C219" s="408"/>
    </row>
    <row r="220" spans="1:3">
      <c r="A220" s="767" t="s">
        <v>739</v>
      </c>
      <c r="B220" s="767" t="s">
        <v>4601</v>
      </c>
      <c r="C220" s="408"/>
    </row>
    <row r="221" spans="1:3">
      <c r="A221" s="767" t="s">
        <v>1444</v>
      </c>
      <c r="B221" s="767" t="s">
        <v>4602</v>
      </c>
      <c r="C221" s="408"/>
    </row>
    <row r="222" spans="1:3">
      <c r="A222" s="767" t="s">
        <v>1792</v>
      </c>
      <c r="B222" s="767" t="s">
        <v>4603</v>
      </c>
      <c r="C222" s="408"/>
    </row>
    <row r="223" spans="1:3">
      <c r="A223" s="767" t="s">
        <v>2058</v>
      </c>
      <c r="B223" s="767" t="s">
        <v>4604</v>
      </c>
      <c r="C223" s="408"/>
    </row>
    <row r="224" spans="1:3">
      <c r="A224" s="767" t="s">
        <v>1862</v>
      </c>
      <c r="B224" s="767" t="s">
        <v>4605</v>
      </c>
      <c r="C224" s="408"/>
    </row>
    <row r="225" spans="1:3">
      <c r="A225" s="767" t="s">
        <v>1667</v>
      </c>
      <c r="B225" s="767" t="s">
        <v>4606</v>
      </c>
      <c r="C225" s="408"/>
    </row>
    <row r="226" spans="1:3">
      <c r="A226" s="767" t="s">
        <v>3879</v>
      </c>
      <c r="B226" s="767" t="s">
        <v>4607</v>
      </c>
      <c r="C226" s="408"/>
    </row>
    <row r="227" spans="1:3">
      <c r="A227" s="767" t="s">
        <v>3878</v>
      </c>
      <c r="B227" s="767" t="s">
        <v>4608</v>
      </c>
      <c r="C227" s="408"/>
    </row>
    <row r="228" spans="1:3">
      <c r="A228" s="767" t="s">
        <v>751</v>
      </c>
      <c r="B228" s="767" t="s">
        <v>4609</v>
      </c>
      <c r="C228" s="408"/>
    </row>
    <row r="229" spans="1:3">
      <c r="A229" s="767" t="s">
        <v>1814</v>
      </c>
      <c r="B229" s="767" t="s">
        <v>4610</v>
      </c>
      <c r="C229" s="408"/>
    </row>
    <row r="230" spans="1:3">
      <c r="A230" s="767" t="s">
        <v>4611</v>
      </c>
      <c r="B230" s="767" t="s">
        <v>4612</v>
      </c>
      <c r="C230" s="408"/>
    </row>
    <row r="231" spans="1:3">
      <c r="A231" s="767" t="s">
        <v>1596</v>
      </c>
      <c r="B231" s="767" t="s">
        <v>4613</v>
      </c>
      <c r="C231" s="408"/>
    </row>
    <row r="232" spans="1:3">
      <c r="A232" s="767" t="s">
        <v>2066</v>
      </c>
      <c r="B232" s="767" t="s">
        <v>4614</v>
      </c>
      <c r="C232" s="408"/>
    </row>
    <row r="233" spans="1:3">
      <c r="A233" s="767" t="s">
        <v>820</v>
      </c>
      <c r="B233" s="767" t="s">
        <v>4615</v>
      </c>
      <c r="C233" s="408"/>
    </row>
    <row r="234" spans="1:3">
      <c r="A234" s="767" t="s">
        <v>742</v>
      </c>
      <c r="B234" s="767" t="s">
        <v>4616</v>
      </c>
      <c r="C234" s="408"/>
    </row>
    <row r="235" spans="1:3">
      <c r="A235" s="767" t="s">
        <v>529</v>
      </c>
      <c r="B235" s="767" t="s">
        <v>4617</v>
      </c>
      <c r="C235" s="408"/>
    </row>
    <row r="236" spans="1:3">
      <c r="A236" s="767" t="s">
        <v>3877</v>
      </c>
      <c r="B236" s="767" t="s">
        <v>4618</v>
      </c>
      <c r="C236" s="408"/>
    </row>
    <row r="237" spans="1:3">
      <c r="A237" s="767" t="s">
        <v>3875</v>
      </c>
      <c r="B237" s="767" t="s">
        <v>4619</v>
      </c>
      <c r="C237" s="408"/>
    </row>
    <row r="238" spans="1:3">
      <c r="A238" s="767" t="s">
        <v>340</v>
      </c>
      <c r="B238" s="767" t="s">
        <v>4620</v>
      </c>
      <c r="C238" s="408"/>
    </row>
    <row r="239" spans="1:3">
      <c r="A239" s="767" t="s">
        <v>2527</v>
      </c>
      <c r="B239" s="767" t="s">
        <v>4621</v>
      </c>
      <c r="C239" s="408"/>
    </row>
    <row r="240" spans="1:3">
      <c r="A240" s="767" t="s">
        <v>3874</v>
      </c>
      <c r="B240" s="767" t="s">
        <v>4622</v>
      </c>
      <c r="C240" s="408"/>
    </row>
    <row r="241" spans="1:3">
      <c r="A241" s="767" t="s">
        <v>4623</v>
      </c>
      <c r="B241" s="767" t="s">
        <v>4624</v>
      </c>
      <c r="C241" s="408"/>
    </row>
    <row r="242" spans="1:3">
      <c r="A242" s="767" t="s">
        <v>3873</v>
      </c>
      <c r="B242" s="767" t="s">
        <v>4625</v>
      </c>
      <c r="C242" s="408"/>
    </row>
    <row r="243" spans="1:3">
      <c r="A243" s="767" t="s">
        <v>506</v>
      </c>
      <c r="B243" s="767" t="s">
        <v>4626</v>
      </c>
      <c r="C243" s="408"/>
    </row>
    <row r="244" spans="1:3">
      <c r="A244" s="767" t="s">
        <v>3872</v>
      </c>
      <c r="B244" s="767" t="s">
        <v>4627</v>
      </c>
      <c r="C244" s="408"/>
    </row>
    <row r="245" spans="1:3">
      <c r="A245" s="767" t="s">
        <v>4628</v>
      </c>
      <c r="B245" s="767" t="s">
        <v>4629</v>
      </c>
      <c r="C245" s="408"/>
    </row>
    <row r="246" spans="1:3">
      <c r="A246" s="767" t="s">
        <v>1350</v>
      </c>
      <c r="B246" s="767" t="s">
        <v>4630</v>
      </c>
      <c r="C246" s="408"/>
    </row>
    <row r="247" spans="1:3">
      <c r="A247" s="767" t="s">
        <v>2197</v>
      </c>
      <c r="B247" s="767" t="s">
        <v>4631</v>
      </c>
      <c r="C247" s="408"/>
    </row>
    <row r="248" spans="1:3">
      <c r="A248" s="767" t="s">
        <v>3870</v>
      </c>
      <c r="B248" s="767" t="s">
        <v>4632</v>
      </c>
      <c r="C248" s="408"/>
    </row>
    <row r="249" spans="1:3">
      <c r="A249" s="767" t="s">
        <v>3869</v>
      </c>
      <c r="B249" s="767" t="s">
        <v>4633</v>
      </c>
      <c r="C249" s="408"/>
    </row>
    <row r="250" spans="1:3">
      <c r="A250" s="767" t="s">
        <v>452</v>
      </c>
      <c r="B250" s="767" t="s">
        <v>4218</v>
      </c>
      <c r="C250" s="408"/>
    </row>
    <row r="251" spans="1:3">
      <c r="A251" s="767" t="s">
        <v>4634</v>
      </c>
      <c r="B251" s="767" t="s">
        <v>4635</v>
      </c>
      <c r="C251" s="408"/>
    </row>
    <row r="252" spans="1:3">
      <c r="A252" s="767" t="s">
        <v>1713</v>
      </c>
      <c r="B252" s="767" t="s">
        <v>4636</v>
      </c>
      <c r="C252" s="408"/>
    </row>
    <row r="253" spans="1:3">
      <c r="A253" s="767" t="s">
        <v>1721</v>
      </c>
      <c r="B253" s="767" t="s">
        <v>4637</v>
      </c>
      <c r="C253" s="408"/>
    </row>
    <row r="254" spans="1:3">
      <c r="A254" s="767" t="s">
        <v>3868</v>
      </c>
      <c r="B254" s="767" t="s">
        <v>4638</v>
      </c>
      <c r="C254" s="408"/>
    </row>
    <row r="255" spans="1:3">
      <c r="A255" s="767" t="s">
        <v>3867</v>
      </c>
      <c r="B255" s="767" t="s">
        <v>4639</v>
      </c>
      <c r="C255" s="408"/>
    </row>
    <row r="256" spans="1:3">
      <c r="A256" s="767" t="s">
        <v>3866</v>
      </c>
      <c r="B256" s="767" t="s">
        <v>4640</v>
      </c>
      <c r="C256" s="408"/>
    </row>
    <row r="257" spans="1:3">
      <c r="A257" s="767" t="s">
        <v>2088</v>
      </c>
      <c r="B257" s="767" t="s">
        <v>4641</v>
      </c>
      <c r="C257" s="408"/>
    </row>
    <row r="258" spans="1:3">
      <c r="A258" s="767" t="s">
        <v>3865</v>
      </c>
      <c r="B258" s="767" t="s">
        <v>4642</v>
      </c>
      <c r="C258" s="408"/>
    </row>
    <row r="259" spans="1:3">
      <c r="A259" s="767" t="s">
        <v>3864</v>
      </c>
      <c r="B259" s="767" t="s">
        <v>4643</v>
      </c>
      <c r="C259" s="408"/>
    </row>
    <row r="260" spans="1:3">
      <c r="A260" s="767" t="s">
        <v>29</v>
      </c>
      <c r="B260" s="767" t="s">
        <v>4644</v>
      </c>
      <c r="C260" s="408"/>
    </row>
    <row r="261" spans="1:3">
      <c r="A261" s="767" t="s">
        <v>1491</v>
      </c>
      <c r="B261" s="767" t="s">
        <v>4645</v>
      </c>
      <c r="C261" s="408"/>
    </row>
    <row r="262" spans="1:3">
      <c r="A262" s="767" t="s">
        <v>1007</v>
      </c>
      <c r="B262" s="767" t="s">
        <v>4646</v>
      </c>
      <c r="C262" s="408"/>
    </row>
    <row r="263" spans="1:3">
      <c r="A263" s="767" t="s">
        <v>355</v>
      </c>
      <c r="B263" s="767" t="s">
        <v>4647</v>
      </c>
      <c r="C263" s="408"/>
    </row>
    <row r="264" spans="1:3">
      <c r="A264" s="767" t="s">
        <v>798</v>
      </c>
      <c r="B264" s="767" t="s">
        <v>4648</v>
      </c>
      <c r="C264" s="408"/>
    </row>
    <row r="265" spans="1:3">
      <c r="A265" s="767" t="s">
        <v>4649</v>
      </c>
      <c r="B265" s="767" t="s">
        <v>4650</v>
      </c>
      <c r="C265" s="408"/>
    </row>
    <row r="266" spans="1:3">
      <c r="A266" s="767" t="s">
        <v>1087</v>
      </c>
      <c r="B266" s="767" t="s">
        <v>4651</v>
      </c>
      <c r="C266" s="408"/>
    </row>
    <row r="267" spans="1:3">
      <c r="A267" s="767" t="s">
        <v>1202</v>
      </c>
      <c r="B267" s="767" t="s">
        <v>4652</v>
      </c>
      <c r="C267" s="408"/>
    </row>
    <row r="268" spans="1:3">
      <c r="A268" s="767" t="s">
        <v>1563</v>
      </c>
      <c r="B268" s="767" t="s">
        <v>4653</v>
      </c>
      <c r="C268" s="408"/>
    </row>
    <row r="269" spans="1:3">
      <c r="A269" s="767" t="s">
        <v>151</v>
      </c>
      <c r="B269" s="767" t="s">
        <v>4654</v>
      </c>
      <c r="C269" s="408"/>
    </row>
    <row r="270" spans="1:3">
      <c r="A270" s="767" t="s">
        <v>3863</v>
      </c>
      <c r="B270" s="767" t="s">
        <v>4655</v>
      </c>
      <c r="C270" s="408"/>
    </row>
    <row r="271" spans="1:3">
      <c r="A271" s="767" t="s">
        <v>1146</v>
      </c>
      <c r="B271" s="767" t="s">
        <v>4656</v>
      </c>
      <c r="C271" s="408"/>
    </row>
    <row r="272" spans="1:3">
      <c r="A272" s="767" t="s">
        <v>4657</v>
      </c>
      <c r="B272" s="767" t="s">
        <v>4658</v>
      </c>
      <c r="C272" s="408"/>
    </row>
    <row r="273" spans="1:3">
      <c r="A273" s="767" t="s">
        <v>4659</v>
      </c>
      <c r="B273" s="767" t="s">
        <v>4660</v>
      </c>
      <c r="C273" s="408"/>
    </row>
    <row r="274" spans="1:3">
      <c r="A274" s="767" t="s">
        <v>1580</v>
      </c>
      <c r="B274" s="767" t="s">
        <v>4661</v>
      </c>
      <c r="C274" s="408"/>
    </row>
    <row r="275" spans="1:3">
      <c r="A275" s="767" t="s">
        <v>4662</v>
      </c>
      <c r="B275" s="767" t="s">
        <v>4663</v>
      </c>
      <c r="C275" s="408"/>
    </row>
    <row r="276" spans="1:3">
      <c r="A276" s="767" t="s">
        <v>228</v>
      </c>
      <c r="B276" s="767" t="s">
        <v>4664</v>
      </c>
      <c r="C276" s="408"/>
    </row>
    <row r="277" spans="1:3">
      <c r="A277" s="767" t="s">
        <v>768</v>
      </c>
      <c r="B277" s="767" t="s">
        <v>4665</v>
      </c>
      <c r="C277" s="408"/>
    </row>
    <row r="278" spans="1:3">
      <c r="A278" s="767" t="s">
        <v>1805</v>
      </c>
      <c r="B278" s="767" t="s">
        <v>4666</v>
      </c>
      <c r="C278" s="408"/>
    </row>
    <row r="279" spans="1:3">
      <c r="A279" s="767" t="s">
        <v>186</v>
      </c>
      <c r="B279" s="767" t="s">
        <v>4667</v>
      </c>
      <c r="C279" s="408"/>
    </row>
    <row r="280" spans="1:3">
      <c r="A280" s="767" t="s">
        <v>840</v>
      </c>
      <c r="B280" s="767" t="s">
        <v>4668</v>
      </c>
      <c r="C280" s="408"/>
    </row>
    <row r="281" spans="1:3">
      <c r="A281" s="767" t="s">
        <v>2234</v>
      </c>
      <c r="B281" s="767" t="s">
        <v>4669</v>
      </c>
      <c r="C281" s="408"/>
    </row>
    <row r="282" spans="1:3">
      <c r="A282" s="767" t="s">
        <v>1800</v>
      </c>
      <c r="B282" s="767" t="s">
        <v>4670</v>
      </c>
      <c r="C282" s="408"/>
    </row>
    <row r="283" spans="1:3">
      <c r="A283" s="767" t="s">
        <v>1447</v>
      </c>
      <c r="B283" s="767" t="s">
        <v>4671</v>
      </c>
      <c r="C283" s="408"/>
    </row>
    <row r="284" spans="1:3">
      <c r="A284" s="767" t="s">
        <v>4672</v>
      </c>
      <c r="B284" s="767" t="s">
        <v>4673</v>
      </c>
      <c r="C284" s="408"/>
    </row>
    <row r="285" spans="1:3">
      <c r="A285" s="767" t="s">
        <v>1179</v>
      </c>
      <c r="B285" s="767" t="s">
        <v>4674</v>
      </c>
      <c r="C285" s="408"/>
    </row>
    <row r="286" spans="1:3">
      <c r="A286" s="767" t="s">
        <v>1833</v>
      </c>
      <c r="B286" s="767" t="s">
        <v>4675</v>
      </c>
      <c r="C286" s="408"/>
    </row>
    <row r="287" spans="1:3">
      <c r="A287" s="767" t="s">
        <v>1977</v>
      </c>
      <c r="B287" s="767" t="s">
        <v>4676</v>
      </c>
      <c r="C287" s="408"/>
    </row>
    <row r="288" spans="1:3">
      <c r="A288" s="767" t="s">
        <v>1608</v>
      </c>
      <c r="B288" s="767" t="s">
        <v>4677</v>
      </c>
      <c r="C288" s="408"/>
    </row>
    <row r="289" spans="1:3">
      <c r="A289" s="767" t="s">
        <v>1290</v>
      </c>
      <c r="B289" s="767" t="s">
        <v>4678</v>
      </c>
      <c r="C289" s="408"/>
    </row>
    <row r="290" spans="1:3">
      <c r="A290" s="767" t="s">
        <v>1703</v>
      </c>
      <c r="B290" s="767" t="s">
        <v>4679</v>
      </c>
      <c r="C290" s="408"/>
    </row>
    <row r="291" spans="1:3">
      <c r="A291" s="767" t="s">
        <v>263</v>
      </c>
      <c r="B291" s="767" t="s">
        <v>4680</v>
      </c>
      <c r="C291" s="408"/>
    </row>
    <row r="292" spans="1:3">
      <c r="A292" s="767" t="s">
        <v>103</v>
      </c>
      <c r="B292" s="767" t="s">
        <v>4681</v>
      </c>
      <c r="C292" s="408"/>
    </row>
    <row r="293" spans="1:3">
      <c r="A293" s="767" t="s">
        <v>2280</v>
      </c>
      <c r="B293" s="767" t="s">
        <v>4682</v>
      </c>
      <c r="C293" s="408"/>
    </row>
    <row r="294" spans="1:3">
      <c r="A294" s="767" t="s">
        <v>224</v>
      </c>
      <c r="B294" s="767" t="s">
        <v>4683</v>
      </c>
      <c r="C294" s="408"/>
    </row>
    <row r="295" spans="1:3">
      <c r="A295" s="767" t="s">
        <v>824</v>
      </c>
      <c r="B295" s="767" t="s">
        <v>4684</v>
      </c>
      <c r="C295" s="408"/>
    </row>
    <row r="296" spans="1:3">
      <c r="A296" s="767" t="s">
        <v>4685</v>
      </c>
      <c r="B296" s="767" t="s">
        <v>4686</v>
      </c>
      <c r="C296" s="408"/>
    </row>
    <row r="297" spans="1:3">
      <c r="A297" s="767" t="s">
        <v>4687</v>
      </c>
      <c r="B297" s="767" t="s">
        <v>4688</v>
      </c>
      <c r="C297" s="408"/>
    </row>
    <row r="298" spans="1:3">
      <c r="A298" s="767" t="s">
        <v>396</v>
      </c>
      <c r="B298" s="767" t="s">
        <v>4689</v>
      </c>
      <c r="C298" s="408"/>
    </row>
    <row r="299" spans="1:3">
      <c r="A299" s="767" t="s">
        <v>3862</v>
      </c>
      <c r="B299" s="767" t="s">
        <v>4690</v>
      </c>
      <c r="C299" s="408"/>
    </row>
    <row r="300" spans="1:3">
      <c r="A300" s="767" t="s">
        <v>3861</v>
      </c>
      <c r="B300" s="767" t="s">
        <v>4691</v>
      </c>
      <c r="C300" s="408"/>
    </row>
    <row r="301" spans="1:3">
      <c r="A301" s="767" t="s">
        <v>3860</v>
      </c>
      <c r="B301" s="767" t="s">
        <v>4692</v>
      </c>
      <c r="C301" s="408"/>
    </row>
    <row r="302" spans="1:3">
      <c r="A302" s="767" t="s">
        <v>1197</v>
      </c>
      <c r="B302" s="767" t="s">
        <v>4693</v>
      </c>
      <c r="C302" s="408"/>
    </row>
    <row r="303" spans="1:3">
      <c r="A303" s="767" t="s">
        <v>1663</v>
      </c>
      <c r="B303" s="767" t="s">
        <v>4694</v>
      </c>
      <c r="C303" s="408"/>
    </row>
    <row r="304" spans="1:3">
      <c r="A304" s="767" t="s">
        <v>2260</v>
      </c>
      <c r="B304" s="767" t="s">
        <v>4695</v>
      </c>
      <c r="C304" s="408"/>
    </row>
    <row r="305" spans="1:3">
      <c r="A305" s="767" t="s">
        <v>302</v>
      </c>
      <c r="B305" s="767" t="s">
        <v>4696</v>
      </c>
      <c r="C305" s="408"/>
    </row>
    <row r="306" spans="1:3">
      <c r="A306" s="767" t="s">
        <v>1630</v>
      </c>
      <c r="B306" s="767" t="s">
        <v>1632</v>
      </c>
      <c r="C306" s="408"/>
    </row>
    <row r="307" spans="1:3">
      <c r="A307" s="767" t="s">
        <v>692</v>
      </c>
      <c r="B307" s="767" t="s">
        <v>4697</v>
      </c>
      <c r="C307" s="408"/>
    </row>
    <row r="308" spans="1:3">
      <c r="A308" s="767" t="s">
        <v>862</v>
      </c>
      <c r="B308" s="767" t="s">
        <v>4698</v>
      </c>
      <c r="C308" s="408"/>
    </row>
    <row r="309" spans="1:3">
      <c r="A309" s="767" t="s">
        <v>3859</v>
      </c>
      <c r="B309" s="767" t="s">
        <v>4699</v>
      </c>
      <c r="C309" s="408"/>
    </row>
    <row r="310" spans="1:3">
      <c r="A310" s="767" t="s">
        <v>810</v>
      </c>
      <c r="B310" s="767" t="s">
        <v>4700</v>
      </c>
      <c r="C310" s="408"/>
    </row>
    <row r="311" spans="1:3">
      <c r="A311" s="767" t="s">
        <v>140</v>
      </c>
      <c r="B311" s="767" t="s">
        <v>4701</v>
      </c>
      <c r="C311" s="408"/>
    </row>
    <row r="312" spans="1:3">
      <c r="A312" s="767" t="s">
        <v>2181</v>
      </c>
      <c r="B312" s="767" t="s">
        <v>4702</v>
      </c>
      <c r="C312" s="408"/>
    </row>
    <row r="313" spans="1:3">
      <c r="A313" s="767" t="s">
        <v>816</v>
      </c>
      <c r="B313" s="767" t="s">
        <v>4703</v>
      </c>
      <c r="C313" s="408"/>
    </row>
    <row r="314" spans="1:3">
      <c r="A314" s="767" t="s">
        <v>887</v>
      </c>
      <c r="B314" s="767" t="s">
        <v>4704</v>
      </c>
      <c r="C314" s="408"/>
    </row>
    <row r="315" spans="1:3">
      <c r="A315" s="767" t="s">
        <v>1278</v>
      </c>
      <c r="B315" s="767" t="s">
        <v>4705</v>
      </c>
      <c r="C315" s="408"/>
    </row>
    <row r="316" spans="1:3">
      <c r="A316" s="767" t="s">
        <v>773</v>
      </c>
      <c r="B316" s="767" t="s">
        <v>4706</v>
      </c>
      <c r="C316" s="408"/>
    </row>
    <row r="317" spans="1:3">
      <c r="A317" s="767" t="s">
        <v>4707</v>
      </c>
      <c r="B317" s="767" t="s">
        <v>4708</v>
      </c>
      <c r="C317" s="408"/>
    </row>
    <row r="318" spans="1:3">
      <c r="A318" s="767" t="s">
        <v>370</v>
      </c>
      <c r="B318" s="767" t="s">
        <v>4709</v>
      </c>
      <c r="C318" s="408"/>
    </row>
    <row r="319" spans="1:3">
      <c r="A319" s="767" t="s">
        <v>1256</v>
      </c>
      <c r="B319" s="767" t="s">
        <v>4710</v>
      </c>
      <c r="C319" s="408"/>
    </row>
    <row r="320" spans="1:3">
      <c r="A320" s="767" t="s">
        <v>3858</v>
      </c>
      <c r="B320" s="767" t="s">
        <v>4711</v>
      </c>
      <c r="C320" s="408"/>
    </row>
    <row r="321" spans="1:3">
      <c r="A321" s="767" t="s">
        <v>4712</v>
      </c>
      <c r="B321" s="767" t="s">
        <v>4713</v>
      </c>
      <c r="C321" s="408"/>
    </row>
    <row r="322" spans="1:3">
      <c r="A322" s="767" t="s">
        <v>4714</v>
      </c>
      <c r="B322" s="767" t="s">
        <v>4715</v>
      </c>
      <c r="C322" s="408"/>
    </row>
    <row r="323" spans="1:3">
      <c r="A323" s="767" t="s">
        <v>2480</v>
      </c>
      <c r="B323" s="767" t="s">
        <v>4164</v>
      </c>
      <c r="C323" s="408"/>
    </row>
    <row r="324" spans="1:3">
      <c r="A324" s="767" t="s">
        <v>1425</v>
      </c>
      <c r="B324" s="767" t="s">
        <v>4716</v>
      </c>
      <c r="C324" s="408"/>
    </row>
    <row r="325" spans="1:3">
      <c r="A325" s="767" t="s">
        <v>778</v>
      </c>
      <c r="B325" s="767" t="s">
        <v>4717</v>
      </c>
      <c r="C325" s="408"/>
    </row>
    <row r="326" spans="1:3">
      <c r="A326" s="767" t="s">
        <v>854</v>
      </c>
      <c r="B326" s="767" t="s">
        <v>4718</v>
      </c>
      <c r="C326" s="408"/>
    </row>
    <row r="327" spans="1:3">
      <c r="A327" s="767" t="s">
        <v>1571</v>
      </c>
      <c r="B327" s="767" t="s">
        <v>4719</v>
      </c>
      <c r="C327" s="408"/>
    </row>
    <row r="328" spans="1:3">
      <c r="A328" s="767" t="s">
        <v>520</v>
      </c>
      <c r="B328" s="767" t="s">
        <v>4720</v>
      </c>
      <c r="C328" s="408"/>
    </row>
    <row r="329" spans="1:3">
      <c r="A329" s="767" t="s">
        <v>1325</v>
      </c>
      <c r="B329" s="767" t="s">
        <v>4721</v>
      </c>
      <c r="C329" s="408"/>
    </row>
    <row r="330" spans="1:3">
      <c r="A330" s="767" t="s">
        <v>598</v>
      </c>
      <c r="B330" s="767" t="s">
        <v>4722</v>
      </c>
      <c r="C330" s="408"/>
    </row>
    <row r="331" spans="1:3">
      <c r="A331" s="767" t="s">
        <v>1083</v>
      </c>
      <c r="B331" s="767" t="s">
        <v>4723</v>
      </c>
      <c r="C331" s="408"/>
    </row>
    <row r="332" spans="1:3">
      <c r="A332" s="767" t="s">
        <v>3857</v>
      </c>
      <c r="B332" s="767" t="s">
        <v>4724</v>
      </c>
      <c r="C332" s="408"/>
    </row>
    <row r="333" spans="1:3">
      <c r="A333" s="767" t="s">
        <v>125</v>
      </c>
      <c r="B333" s="767" t="s">
        <v>4725</v>
      </c>
      <c r="C333" s="408"/>
    </row>
    <row r="334" spans="1:3">
      <c r="A334" s="767" t="s">
        <v>1601</v>
      </c>
      <c r="B334" s="767" t="s">
        <v>4726</v>
      </c>
      <c r="C334" s="408"/>
    </row>
    <row r="335" spans="1:3">
      <c r="A335" s="767" t="s">
        <v>3856</v>
      </c>
      <c r="B335" s="767" t="s">
        <v>4727</v>
      </c>
      <c r="C335" s="408"/>
    </row>
    <row r="336" spans="1:3">
      <c r="A336" s="767" t="s">
        <v>375</v>
      </c>
      <c r="B336" s="767" t="s">
        <v>4728</v>
      </c>
      <c r="C336" s="408"/>
    </row>
    <row r="337" spans="1:3">
      <c r="A337" s="767" t="s">
        <v>1074</v>
      </c>
      <c r="B337" s="767" t="s">
        <v>4729</v>
      </c>
      <c r="C337" s="408"/>
    </row>
    <row r="338" spans="1:3">
      <c r="A338" s="767" t="s">
        <v>2264</v>
      </c>
      <c r="B338" s="767" t="s">
        <v>4730</v>
      </c>
      <c r="C338" s="408"/>
    </row>
    <row r="339" spans="1:3">
      <c r="A339" s="767" t="s">
        <v>715</v>
      </c>
      <c r="B339" s="767" t="s">
        <v>4731</v>
      </c>
      <c r="C339" s="408"/>
    </row>
    <row r="340" spans="1:3">
      <c r="A340" s="767" t="s">
        <v>1592</v>
      </c>
      <c r="B340" s="767" t="s">
        <v>4732</v>
      </c>
      <c r="C340" s="408"/>
    </row>
    <row r="341" spans="1:3">
      <c r="A341" s="767" t="s">
        <v>418</v>
      </c>
      <c r="B341" s="767" t="s">
        <v>4733</v>
      </c>
      <c r="C341" s="408"/>
    </row>
    <row r="342" spans="1:3">
      <c r="A342" s="767" t="s">
        <v>2008</v>
      </c>
      <c r="B342" s="767" t="s">
        <v>4734</v>
      </c>
      <c r="C342" s="408"/>
    </row>
    <row r="343" spans="1:3">
      <c r="A343" s="767" t="s">
        <v>4735</v>
      </c>
      <c r="B343" s="767" t="s">
        <v>4736</v>
      </c>
      <c r="C343" s="408"/>
    </row>
    <row r="344" spans="1:3">
      <c r="A344" s="767" t="s">
        <v>2149</v>
      </c>
      <c r="B344" s="767" t="s">
        <v>4737</v>
      </c>
      <c r="C344" s="408"/>
    </row>
    <row r="345" spans="1:3">
      <c r="A345" s="767" t="s">
        <v>1385</v>
      </c>
      <c r="B345" s="767" t="s">
        <v>4738</v>
      </c>
      <c r="C345" s="408"/>
    </row>
    <row r="346" spans="1:3">
      <c r="A346" s="767" t="s">
        <v>3854</v>
      </c>
      <c r="B346" s="767" t="s">
        <v>4739</v>
      </c>
      <c r="C346" s="408"/>
    </row>
    <row r="347" spans="1:3">
      <c r="A347" s="767" t="s">
        <v>307</v>
      </c>
      <c r="B347" s="767" t="s">
        <v>4740</v>
      </c>
      <c r="C347" s="408"/>
    </row>
    <row r="348" spans="1:3">
      <c r="A348" s="767" t="s">
        <v>1141</v>
      </c>
      <c r="B348" s="767" t="s">
        <v>4741</v>
      </c>
      <c r="C348" s="408"/>
    </row>
    <row r="349" spans="1:3">
      <c r="A349" s="767" t="s">
        <v>3853</v>
      </c>
      <c r="B349" s="767" t="s">
        <v>4742</v>
      </c>
      <c r="C349" s="408"/>
    </row>
    <row r="350" spans="1:3">
      <c r="A350" s="767" t="s">
        <v>1587</v>
      </c>
      <c r="B350" s="767" t="s">
        <v>4743</v>
      </c>
      <c r="C350" s="408"/>
    </row>
    <row r="351" spans="1:3">
      <c r="A351" s="767" t="s">
        <v>3852</v>
      </c>
      <c r="B351" s="767" t="s">
        <v>4744</v>
      </c>
      <c r="C351" s="408"/>
    </row>
    <row r="352" spans="1:3">
      <c r="A352" s="767" t="s">
        <v>428</v>
      </c>
      <c r="B352" s="767" t="s">
        <v>4745</v>
      </c>
      <c r="C352" s="408"/>
    </row>
    <row r="353" spans="1:3">
      <c r="A353" s="767" t="s">
        <v>859</v>
      </c>
      <c r="B353" s="767" t="s">
        <v>4746</v>
      </c>
      <c r="C353" s="408"/>
    </row>
    <row r="354" spans="1:3">
      <c r="A354" s="767" t="s">
        <v>810</v>
      </c>
      <c r="B354" s="767" t="s">
        <v>4700</v>
      </c>
      <c r="C354" s="408"/>
    </row>
    <row r="355" spans="1:3">
      <c r="A355" s="767" t="s">
        <v>1194</v>
      </c>
      <c r="B355" s="767" t="s">
        <v>4747</v>
      </c>
      <c r="C355" s="408"/>
    </row>
    <row r="356" spans="1:3">
      <c r="A356" s="767" t="s">
        <v>192</v>
      </c>
      <c r="B356" s="767" t="s">
        <v>4748</v>
      </c>
      <c r="C356" s="408"/>
    </row>
    <row r="357" spans="1:3">
      <c r="A357" s="767" t="s">
        <v>393</v>
      </c>
      <c r="B357" s="767" t="s">
        <v>4749</v>
      </c>
      <c r="C357" s="408"/>
    </row>
    <row r="358" spans="1:3">
      <c r="A358" s="767" t="s">
        <v>1019</v>
      </c>
      <c r="B358" s="767" t="s">
        <v>4750</v>
      </c>
      <c r="C358" s="408"/>
    </row>
    <row r="359" spans="1:3">
      <c r="A359" s="767" t="s">
        <v>437</v>
      </c>
      <c r="B359" s="767" t="s">
        <v>4751</v>
      </c>
      <c r="C359" s="408"/>
    </row>
    <row r="360" spans="1:3">
      <c r="A360" s="767" t="s">
        <v>674</v>
      </c>
      <c r="B360" s="767" t="s">
        <v>4752</v>
      </c>
      <c r="C360" s="408"/>
    </row>
    <row r="361" spans="1:3">
      <c r="A361" s="767" t="s">
        <v>1879</v>
      </c>
      <c r="B361" s="767" t="s">
        <v>4753</v>
      </c>
      <c r="C361" s="408"/>
    </row>
    <row r="362" spans="1:3">
      <c r="A362" s="767" t="s">
        <v>1475</v>
      </c>
      <c r="B362" s="767" t="s">
        <v>4754</v>
      </c>
      <c r="C362" s="408"/>
    </row>
    <row r="363" spans="1:3">
      <c r="A363" s="767" t="s">
        <v>1052</v>
      </c>
      <c r="B363" s="767" t="s">
        <v>4755</v>
      </c>
      <c r="C363" s="408"/>
    </row>
    <row r="364" spans="1:3">
      <c r="A364" s="767" t="s">
        <v>1618</v>
      </c>
      <c r="B364" s="767" t="s">
        <v>4756</v>
      </c>
      <c r="C364" s="408"/>
    </row>
    <row r="365" spans="1:3">
      <c r="A365" s="767" t="s">
        <v>1160</v>
      </c>
      <c r="B365" s="767" t="s">
        <v>4757</v>
      </c>
      <c r="C365" s="408"/>
    </row>
    <row r="366" spans="1:3">
      <c r="A366" s="767" t="s">
        <v>3851</v>
      </c>
      <c r="B366" s="767" t="s">
        <v>4758</v>
      </c>
      <c r="C366" s="408"/>
    </row>
    <row r="367" spans="1:3">
      <c r="A367" s="767" t="s">
        <v>1013</v>
      </c>
      <c r="B367" s="767" t="s">
        <v>4759</v>
      </c>
      <c r="C367" s="408"/>
    </row>
    <row r="368" spans="1:3">
      <c r="A368" s="767" t="s">
        <v>2120</v>
      </c>
      <c r="B368" s="767" t="s">
        <v>4760</v>
      </c>
      <c r="C368" s="408"/>
    </row>
    <row r="369" spans="1:3">
      <c r="A369" s="767" t="s">
        <v>1029</v>
      </c>
      <c r="B369" s="767" t="s">
        <v>4761</v>
      </c>
      <c r="C369" s="408"/>
    </row>
    <row r="370" spans="1:3">
      <c r="A370" s="767" t="s">
        <v>1967</v>
      </c>
      <c r="B370" s="767" t="s">
        <v>4762</v>
      </c>
      <c r="C370" s="408"/>
    </row>
    <row r="371" spans="1:3">
      <c r="A371" s="767" t="s">
        <v>1824</v>
      </c>
      <c r="B371" s="767" t="s">
        <v>4763</v>
      </c>
      <c r="C371" s="408"/>
    </row>
    <row r="372" spans="1:3">
      <c r="A372" s="767" t="s">
        <v>2055</v>
      </c>
      <c r="B372" s="767" t="s">
        <v>4764</v>
      </c>
      <c r="C372" s="408"/>
    </row>
    <row r="373" spans="1:3">
      <c r="A373" s="767" t="s">
        <v>1558</v>
      </c>
      <c r="B373" s="767" t="s">
        <v>4765</v>
      </c>
      <c r="C373" s="408"/>
    </row>
    <row r="374" spans="1:3">
      <c r="A374" s="767" t="s">
        <v>2693</v>
      </c>
      <c r="B374" s="767" t="s">
        <v>4192</v>
      </c>
      <c r="C374" s="408"/>
    </row>
    <row r="375" spans="1:3">
      <c r="A375" s="767" t="s">
        <v>2230</v>
      </c>
      <c r="B375" s="767" t="s">
        <v>4766</v>
      </c>
      <c r="C375" s="408"/>
    </row>
    <row r="376" spans="1:3">
      <c r="A376" s="767" t="s">
        <v>1730</v>
      </c>
      <c r="B376" s="767" t="s">
        <v>4767</v>
      </c>
      <c r="C376" s="408"/>
    </row>
    <row r="377" spans="1:3">
      <c r="A377" s="767" t="s">
        <v>805</v>
      </c>
      <c r="B377" s="767" t="s">
        <v>4768</v>
      </c>
      <c r="C377" s="408"/>
    </row>
    <row r="378" spans="1:3">
      <c r="A378" s="767" t="s">
        <v>3850</v>
      </c>
      <c r="B378" s="767" t="s">
        <v>4769</v>
      </c>
      <c r="C378" s="408"/>
    </row>
    <row r="379" spans="1:3">
      <c r="A379" s="767" t="s">
        <v>567</v>
      </c>
      <c r="B379" s="767" t="s">
        <v>4770</v>
      </c>
      <c r="C379" s="408"/>
    </row>
    <row r="380" spans="1:3">
      <c r="A380" s="767" t="s">
        <v>388</v>
      </c>
      <c r="B380" s="767" t="s">
        <v>4771</v>
      </c>
      <c r="C380" s="408"/>
    </row>
    <row r="381" spans="1:3">
      <c r="A381" s="767" t="s">
        <v>1470</v>
      </c>
      <c r="B381" s="767" t="s">
        <v>4231</v>
      </c>
      <c r="C381" s="408"/>
    </row>
    <row r="382" spans="1:3">
      <c r="A382" s="767" t="s">
        <v>1684</v>
      </c>
      <c r="B382" s="767" t="s">
        <v>4772</v>
      </c>
      <c r="C382" s="408"/>
    </row>
    <row r="383" spans="1:3">
      <c r="A383" s="767" t="s">
        <v>1229</v>
      </c>
      <c r="B383" s="767" t="s">
        <v>4773</v>
      </c>
      <c r="C383" s="408"/>
    </row>
    <row r="384" spans="1:3">
      <c r="A384" s="767" t="s">
        <v>1915</v>
      </c>
      <c r="B384" s="767" t="s">
        <v>4774</v>
      </c>
      <c r="C384" s="408"/>
    </row>
    <row r="385" spans="1:3">
      <c r="A385" s="767" t="s">
        <v>1131</v>
      </c>
      <c r="B385" s="767" t="s">
        <v>4775</v>
      </c>
      <c r="C385" s="408"/>
    </row>
    <row r="386" spans="1:3">
      <c r="A386" s="767" t="s">
        <v>202</v>
      </c>
      <c r="B386" s="767" t="s">
        <v>4776</v>
      </c>
      <c r="C386" s="408"/>
    </row>
    <row r="387" spans="1:3">
      <c r="A387" s="767" t="s">
        <v>979</v>
      </c>
      <c r="B387" s="767" t="s">
        <v>4777</v>
      </c>
      <c r="C387" s="408"/>
    </row>
    <row r="388" spans="1:3">
      <c r="A388" s="767" t="s">
        <v>1894</v>
      </c>
      <c r="B388" s="767" t="s">
        <v>4778</v>
      </c>
      <c r="C388" s="408"/>
    </row>
    <row r="389" spans="1:3">
      <c r="A389" s="767" t="s">
        <v>1299</v>
      </c>
      <c r="B389" s="767" t="s">
        <v>4779</v>
      </c>
      <c r="C389" s="408"/>
    </row>
    <row r="390" spans="1:3">
      <c r="A390" s="767" t="s">
        <v>2498</v>
      </c>
      <c r="B390" s="767" t="s">
        <v>4780</v>
      </c>
      <c r="C390" s="408"/>
    </row>
    <row r="391" spans="1:3">
      <c r="A391" s="767" t="s">
        <v>3848</v>
      </c>
      <c r="B391" s="767" t="s">
        <v>4781</v>
      </c>
      <c r="C391" s="408"/>
    </row>
    <row r="392" spans="1:3">
      <c r="A392" s="767" t="s">
        <v>268</v>
      </c>
      <c r="B392" s="767" t="s">
        <v>4782</v>
      </c>
      <c r="C392" s="408"/>
    </row>
    <row r="393" spans="1:3">
      <c r="A393" s="767" t="s">
        <v>576</v>
      </c>
      <c r="B393" s="767" t="s">
        <v>4783</v>
      </c>
      <c r="C393" s="408"/>
    </row>
    <row r="394" spans="1:3">
      <c r="A394" s="767" t="s">
        <v>1099</v>
      </c>
      <c r="B394" s="767" t="s">
        <v>4784</v>
      </c>
      <c r="C394" s="408"/>
    </row>
    <row r="395" spans="1:3">
      <c r="A395" s="767" t="s">
        <v>1104</v>
      </c>
      <c r="B395" s="767" t="s">
        <v>4785</v>
      </c>
      <c r="C395" s="408"/>
    </row>
    <row r="396" spans="1:3">
      <c r="A396" s="767" t="s">
        <v>1402</v>
      </c>
      <c r="B396" s="767" t="s">
        <v>4786</v>
      </c>
      <c r="C396" s="408"/>
    </row>
    <row r="397" spans="1:3">
      <c r="A397" s="767" t="s">
        <v>613</v>
      </c>
      <c r="B397" s="767" t="s">
        <v>4787</v>
      </c>
      <c r="C397" s="408"/>
    </row>
    <row r="398" spans="1:3">
      <c r="A398" s="767" t="s">
        <v>4788</v>
      </c>
      <c r="B398" s="767" t="s">
        <v>4196</v>
      </c>
      <c r="C398" s="408"/>
    </row>
    <row r="399" spans="1:3">
      <c r="A399" s="767" t="s">
        <v>663</v>
      </c>
      <c r="B399" s="767" t="s">
        <v>4789</v>
      </c>
      <c r="C399" s="408"/>
    </row>
    <row r="400" spans="1:3">
      <c r="A400" s="767" t="s">
        <v>921</v>
      </c>
      <c r="B400" s="767" t="s">
        <v>4790</v>
      </c>
      <c r="C400" s="408"/>
    </row>
    <row r="401" spans="1:3">
      <c r="A401" s="767" t="s">
        <v>1517</v>
      </c>
      <c r="B401" s="767" t="s">
        <v>4791</v>
      </c>
      <c r="C401" s="408"/>
    </row>
    <row r="402" spans="1:3">
      <c r="A402" s="767" t="s">
        <v>965</v>
      </c>
      <c r="B402" s="767" t="s">
        <v>4792</v>
      </c>
      <c r="C402" s="408"/>
    </row>
    <row r="403" spans="1:3">
      <c r="A403" s="767" t="s">
        <v>1983</v>
      </c>
      <c r="B403" s="767" t="s">
        <v>4793</v>
      </c>
      <c r="C403" s="408"/>
    </row>
    <row r="404" spans="1:3">
      <c r="A404" s="767" t="s">
        <v>2212</v>
      </c>
      <c r="B404" s="767" t="s">
        <v>4794</v>
      </c>
      <c r="C404" s="408"/>
    </row>
    <row r="405" spans="1:3">
      <c r="A405" s="767" t="s">
        <v>4795</v>
      </c>
      <c r="B405" s="767" t="s">
        <v>4796</v>
      </c>
      <c r="C405" s="408"/>
    </row>
    <row r="406" spans="1:3">
      <c r="A406" s="767" t="s">
        <v>2163</v>
      </c>
      <c r="B406" s="767" t="s">
        <v>4797</v>
      </c>
      <c r="C406" s="408"/>
    </row>
    <row r="407" spans="1:3">
      <c r="A407" s="767" t="s">
        <v>1576</v>
      </c>
      <c r="B407" s="767" t="s">
        <v>4798</v>
      </c>
      <c r="C407" s="408"/>
    </row>
    <row r="408" spans="1:3">
      <c r="A408" s="767" t="s">
        <v>4799</v>
      </c>
      <c r="B408" s="767" t="s">
        <v>4800</v>
      </c>
      <c r="C408" s="408"/>
    </row>
    <row r="409" spans="1:3">
      <c r="A409" s="767" t="s">
        <v>4801</v>
      </c>
      <c r="B409" s="767" t="s">
        <v>4802</v>
      </c>
      <c r="C409" s="408"/>
    </row>
    <row r="410" spans="1:3">
      <c r="A410" s="767" t="s">
        <v>824</v>
      </c>
      <c r="B410" s="767" t="s">
        <v>4803</v>
      </c>
      <c r="C410" s="408"/>
    </row>
    <row r="411" spans="1:3">
      <c r="A411" s="767" t="s">
        <v>1078</v>
      </c>
      <c r="B411" s="767" t="s">
        <v>4804</v>
      </c>
      <c r="C411" s="408"/>
    </row>
    <row r="412" spans="1:3">
      <c r="A412" s="767" t="s">
        <v>1118</v>
      </c>
      <c r="B412" s="767" t="s">
        <v>4805</v>
      </c>
      <c r="C412" s="408"/>
    </row>
    <row r="413" spans="1:3">
      <c r="A413" s="767" t="s">
        <v>98</v>
      </c>
      <c r="B413" s="767" t="s">
        <v>4806</v>
      </c>
      <c r="C413" s="408"/>
    </row>
    <row r="414" spans="1:3">
      <c r="A414" s="767" t="s">
        <v>1057</v>
      </c>
      <c r="B414" s="767" t="s">
        <v>4807</v>
      </c>
      <c r="C414" s="408"/>
    </row>
    <row r="415" spans="1:3">
      <c r="A415" s="767" t="s">
        <v>876</v>
      </c>
      <c r="B415" s="767" t="s">
        <v>4808</v>
      </c>
      <c r="C415" s="408"/>
    </row>
    <row r="416" spans="1:3">
      <c r="A416" s="767" t="s">
        <v>3846</v>
      </c>
      <c r="B416" s="767" t="s">
        <v>4809</v>
      </c>
      <c r="C416" s="408"/>
    </row>
    <row r="417" spans="1:3">
      <c r="A417" s="767" t="s">
        <v>1849</v>
      </c>
      <c r="B417" s="767" t="s">
        <v>4810</v>
      </c>
      <c r="C417" s="408"/>
    </row>
    <row r="418" spans="1:3">
      <c r="A418" s="767" t="s">
        <v>491</v>
      </c>
      <c r="B418" s="767" t="s">
        <v>4811</v>
      </c>
      <c r="C418" s="408"/>
    </row>
    <row r="419" spans="1:3">
      <c r="A419" s="767" t="s">
        <v>1016</v>
      </c>
      <c r="B419" s="767" t="s">
        <v>4812</v>
      </c>
      <c r="C419" s="408"/>
    </row>
    <row r="420" spans="1:3">
      <c r="A420" s="767" t="s">
        <v>830</v>
      </c>
      <c r="B420" s="767" t="s">
        <v>4813</v>
      </c>
      <c r="C420" s="408"/>
    </row>
    <row r="421" spans="1:3">
      <c r="A421" s="767" t="s">
        <v>761</v>
      </c>
      <c r="B421" s="767" t="s">
        <v>4214</v>
      </c>
      <c r="C421" s="408"/>
    </row>
    <row r="422" spans="1:3">
      <c r="A422" s="767" t="s">
        <v>1725</v>
      </c>
      <c r="B422" s="767" t="s">
        <v>4814</v>
      </c>
      <c r="C422" s="408"/>
    </row>
    <row r="423" spans="1:3">
      <c r="A423" s="767" t="s">
        <v>294</v>
      </c>
      <c r="B423" s="767" t="s">
        <v>4815</v>
      </c>
      <c r="C423" s="408"/>
    </row>
    <row r="424" spans="1:3">
      <c r="A424" s="767" t="s">
        <v>1412</v>
      </c>
      <c r="B424" s="767" t="s">
        <v>4816</v>
      </c>
      <c r="C424" s="408"/>
    </row>
    <row r="425" spans="1:3">
      <c r="A425" s="767" t="s">
        <v>3845</v>
      </c>
      <c r="B425" s="767" t="s">
        <v>4817</v>
      </c>
      <c r="C425" s="408"/>
    </row>
    <row r="426" spans="1:3">
      <c r="A426" s="767" t="s">
        <v>1248</v>
      </c>
      <c r="B426" s="767" t="s">
        <v>4818</v>
      </c>
      <c r="C426" s="408"/>
    </row>
    <row r="427" spans="1:3">
      <c r="A427" s="767" t="s">
        <v>1390</v>
      </c>
      <c r="B427" s="767" t="s">
        <v>4819</v>
      </c>
      <c r="C427" s="408"/>
    </row>
    <row r="428" spans="1:3">
      <c r="A428" s="767" t="s">
        <v>1956</v>
      </c>
      <c r="B428" s="767" t="s">
        <v>4820</v>
      </c>
      <c r="C428" s="408"/>
    </row>
    <row r="429" spans="1:3">
      <c r="A429" s="767" t="s">
        <v>4821</v>
      </c>
      <c r="B429" s="767" t="s">
        <v>4822</v>
      </c>
      <c r="C429" s="408"/>
    </row>
    <row r="430" spans="1:3">
      <c r="A430" s="767" t="s">
        <v>318</v>
      </c>
      <c r="B430" s="767" t="s">
        <v>4823</v>
      </c>
      <c r="C430" s="408"/>
    </row>
    <row r="431" spans="1:3">
      <c r="A431" s="767" t="s">
        <v>1671</v>
      </c>
      <c r="B431" s="767" t="s">
        <v>4824</v>
      </c>
      <c r="C431" s="408"/>
    </row>
    <row r="432" spans="1:3">
      <c r="A432" s="767" t="s">
        <v>1169</v>
      </c>
      <c r="B432" s="767" t="s">
        <v>4825</v>
      </c>
      <c r="C432" s="408"/>
    </row>
    <row r="433" spans="1:3">
      <c r="A433" s="767" t="s">
        <v>1065</v>
      </c>
      <c r="B433" s="767" t="s">
        <v>4826</v>
      </c>
      <c r="C433" s="408"/>
    </row>
    <row r="434" spans="1:3">
      <c r="A434" s="767" t="s">
        <v>360</v>
      </c>
      <c r="B434" s="767" t="s">
        <v>4827</v>
      </c>
      <c r="C434" s="408"/>
    </row>
    <row r="435" spans="1:3">
      <c r="A435" s="767" t="s">
        <v>2071</v>
      </c>
      <c r="B435" s="767" t="s">
        <v>4828</v>
      </c>
      <c r="C435" s="408"/>
    </row>
    <row r="436" spans="1:3">
      <c r="A436" s="767" t="s">
        <v>41</v>
      </c>
      <c r="B436" s="767" t="s">
        <v>4829</v>
      </c>
      <c r="C436" s="408"/>
    </row>
    <row r="437" spans="1:3">
      <c r="A437" s="767" t="s">
        <v>4830</v>
      </c>
      <c r="B437" s="767" t="s">
        <v>4831</v>
      </c>
      <c r="C437" s="408"/>
    </row>
    <row r="438" spans="1:3">
      <c r="A438" s="767" t="s">
        <v>1775</v>
      </c>
      <c r="B438" s="767" t="s">
        <v>4832</v>
      </c>
      <c r="C438" s="408"/>
    </row>
    <row r="439" spans="1:3">
      <c r="A439" s="767" t="s">
        <v>312</v>
      </c>
      <c r="B439" s="767" t="s">
        <v>4833</v>
      </c>
      <c r="C439" s="408"/>
    </row>
    <row r="440" spans="1:3">
      <c r="A440" s="767" t="s">
        <v>1837</v>
      </c>
      <c r="B440" s="767" t="s">
        <v>4834</v>
      </c>
      <c r="C440" s="408"/>
    </row>
    <row r="441" spans="1:3">
      <c r="A441" s="767" t="s">
        <v>486</v>
      </c>
      <c r="B441" s="767" t="s">
        <v>4835</v>
      </c>
      <c r="C441" s="408"/>
    </row>
    <row r="442" spans="1:3">
      <c r="A442" s="767" t="s">
        <v>593</v>
      </c>
      <c r="B442" s="767" t="s">
        <v>4836</v>
      </c>
      <c r="C442" s="408"/>
    </row>
    <row r="443" spans="1:3">
      <c r="A443" s="767" t="s">
        <v>1321</v>
      </c>
      <c r="B443" s="767" t="s">
        <v>4837</v>
      </c>
      <c r="C443" s="408"/>
    </row>
    <row r="444" spans="1:3">
      <c r="A444" s="767" t="s">
        <v>1294</v>
      </c>
      <c r="B444" s="767" t="s">
        <v>4838</v>
      </c>
      <c r="C444" s="408"/>
    </row>
    <row r="445" spans="1:3">
      <c r="A445" s="767" t="s">
        <v>2110</v>
      </c>
      <c r="B445" s="767" t="s">
        <v>4839</v>
      </c>
      <c r="C445" s="408"/>
    </row>
    <row r="446" spans="1:3">
      <c r="A446" s="767" t="s">
        <v>648</v>
      </c>
      <c r="B446" s="767" t="s">
        <v>4840</v>
      </c>
      <c r="C446" s="408"/>
    </row>
    <row r="447" spans="1:3">
      <c r="A447" s="767" t="s">
        <v>2158</v>
      </c>
      <c r="B447" s="767" t="s">
        <v>4219</v>
      </c>
      <c r="C447" s="408"/>
    </row>
    <row r="448" spans="1:3">
      <c r="A448" s="767" t="s">
        <v>253</v>
      </c>
      <c r="B448" s="767" t="s">
        <v>4841</v>
      </c>
      <c r="C448" s="408"/>
    </row>
    <row r="449" spans="1:3">
      <c r="A449" s="767" t="s">
        <v>1150</v>
      </c>
      <c r="B449" s="767" t="s">
        <v>4842</v>
      </c>
      <c r="C449" s="408"/>
    </row>
    <row r="450" spans="1:3">
      <c r="A450" s="767" t="s">
        <v>1259</v>
      </c>
      <c r="B450" s="767" t="s">
        <v>4843</v>
      </c>
      <c r="C450" s="408"/>
    </row>
    <row r="451" spans="1:3">
      <c r="A451" s="767" t="s">
        <v>3843</v>
      </c>
      <c r="B451" s="767" t="s">
        <v>4844</v>
      </c>
      <c r="C451" s="408"/>
    </row>
    <row r="452" spans="1:3">
      <c r="A452" s="767" t="s">
        <v>994</v>
      </c>
      <c r="B452" s="767" t="s">
        <v>4845</v>
      </c>
      <c r="C452" s="408"/>
    </row>
    <row r="453" spans="1:3">
      <c r="A453" s="767" t="s">
        <v>23</v>
      </c>
      <c r="B453" s="767" t="s">
        <v>4221</v>
      </c>
      <c r="C453" s="408"/>
    </row>
    <row r="454" spans="1:3">
      <c r="A454" s="767" t="s">
        <v>2186</v>
      </c>
      <c r="B454" s="767" t="s">
        <v>4215</v>
      </c>
      <c r="C454" s="408"/>
    </row>
    <row r="455" spans="1:3">
      <c r="A455" s="767" t="s">
        <v>2139</v>
      </c>
      <c r="B455" s="767" t="s">
        <v>4846</v>
      </c>
      <c r="C455" s="408"/>
    </row>
    <row r="456" spans="1:3">
      <c r="A456" s="767" t="s">
        <v>1906</v>
      </c>
      <c r="B456" s="767" t="s">
        <v>4847</v>
      </c>
      <c r="C456" s="408"/>
    </row>
    <row r="457" spans="1:3">
      <c r="A457" s="767" t="s">
        <v>1358</v>
      </c>
      <c r="B457" s="767" t="s">
        <v>4848</v>
      </c>
      <c r="C457" s="408"/>
    </row>
    <row r="458" spans="1:3">
      <c r="A458" s="767" t="s">
        <v>1512</v>
      </c>
      <c r="B458" s="767" t="s">
        <v>4849</v>
      </c>
      <c r="C458" s="408"/>
    </row>
    <row r="459" spans="1:3">
      <c r="A459" s="767" t="s">
        <v>2392</v>
      </c>
      <c r="B459" s="767" t="s">
        <v>4225</v>
      </c>
      <c r="C459" s="408"/>
    </row>
    <row r="460" spans="1:3">
      <c r="A460" s="767" t="s">
        <v>1354</v>
      </c>
      <c r="B460" s="767" t="s">
        <v>4850</v>
      </c>
      <c r="C460" s="408"/>
    </row>
    <row r="461" spans="1:3">
      <c r="A461" s="767" t="s">
        <v>407</v>
      </c>
      <c r="B461" s="767" t="s">
        <v>4851</v>
      </c>
      <c r="C461" s="408"/>
    </row>
    <row r="462" spans="1:3">
      <c r="A462" s="767" t="s">
        <v>608</v>
      </c>
      <c r="B462" s="767" t="s">
        <v>4229</v>
      </c>
      <c r="C462" s="408"/>
    </row>
    <row r="463" spans="1:3">
      <c r="A463" s="767" t="s">
        <v>989</v>
      </c>
      <c r="B463" s="767" t="s">
        <v>4852</v>
      </c>
      <c r="C463" s="408"/>
    </row>
    <row r="464" spans="1:3">
      <c r="A464" s="767" t="s">
        <v>1092</v>
      </c>
      <c r="B464" s="767" t="s">
        <v>4853</v>
      </c>
      <c r="C464" s="408"/>
    </row>
    <row r="465" spans="1:3">
      <c r="A465" s="767" t="s">
        <v>3842</v>
      </c>
      <c r="B465" s="767" t="s">
        <v>4854</v>
      </c>
      <c r="C465" s="408"/>
    </row>
    <row r="466" spans="1:3">
      <c r="A466" s="767" t="s">
        <v>1925</v>
      </c>
      <c r="B466" s="767" t="s">
        <v>4855</v>
      </c>
      <c r="C466" s="408"/>
    </row>
    <row r="467" spans="1:3">
      <c r="A467" s="767" t="s">
        <v>1679</v>
      </c>
      <c r="B467" s="767" t="s">
        <v>4856</v>
      </c>
      <c r="C467" s="408"/>
    </row>
    <row r="468" spans="1:3">
      <c r="A468" s="767" t="s">
        <v>905</v>
      </c>
      <c r="B468" s="767" t="s">
        <v>4857</v>
      </c>
      <c r="C468" s="408"/>
    </row>
    <row r="469" spans="1:3">
      <c r="A469" s="767" t="s">
        <v>2096</v>
      </c>
      <c r="B469" s="767" t="s">
        <v>4858</v>
      </c>
      <c r="C469" s="408"/>
    </row>
    <row r="470" spans="1:3">
      <c r="A470" s="767" t="s">
        <v>1252</v>
      </c>
      <c r="B470" s="767" t="s">
        <v>4859</v>
      </c>
      <c r="C470" s="408"/>
    </row>
    <row r="471" spans="1:3">
      <c r="A471" s="767" t="s">
        <v>78</v>
      </c>
      <c r="B471" s="767" t="s">
        <v>4860</v>
      </c>
      <c r="C471" s="408"/>
    </row>
    <row r="472" spans="1:3">
      <c r="A472" s="767" t="s">
        <v>4861</v>
      </c>
      <c r="B472" s="767" t="s">
        <v>4862</v>
      </c>
      <c r="C472" s="408"/>
    </row>
    <row r="473" spans="1:3">
      <c r="A473" s="767" t="s">
        <v>3841</v>
      </c>
      <c r="B473" s="767" t="s">
        <v>4236</v>
      </c>
      <c r="C473" s="408"/>
    </row>
    <row r="474" spans="1:3">
      <c r="A474" s="767" t="s">
        <v>3840</v>
      </c>
      <c r="B474" s="767" t="s">
        <v>4863</v>
      </c>
      <c r="C474" s="408"/>
    </row>
    <row r="475" spans="1:3">
      <c r="A475" s="767" t="s">
        <v>3839</v>
      </c>
      <c r="B475" s="767" t="s">
        <v>4864</v>
      </c>
      <c r="C475" s="408"/>
    </row>
    <row r="476" spans="1:3">
      <c r="A476" s="767" t="s">
        <v>3838</v>
      </c>
      <c r="B476" s="767" t="s">
        <v>4865</v>
      </c>
      <c r="C476" s="408"/>
    </row>
    <row r="477" spans="1:3">
      <c r="A477" s="767" t="s">
        <v>3837</v>
      </c>
      <c r="B477" s="767" t="s">
        <v>4866</v>
      </c>
      <c r="C477" s="408"/>
    </row>
    <row r="478" spans="1:3">
      <c r="A478" s="767" t="s">
        <v>3836</v>
      </c>
      <c r="B478" s="767" t="s">
        <v>4236</v>
      </c>
      <c r="C478" s="408"/>
    </row>
    <row r="479" spans="1:3">
      <c r="A479" s="767" t="s">
        <v>3835</v>
      </c>
      <c r="B479" s="767" t="s">
        <v>4727</v>
      </c>
      <c r="C479" s="408"/>
    </row>
    <row r="480" spans="1:3">
      <c r="A480" s="767" t="s">
        <v>3834</v>
      </c>
      <c r="B480" s="767" t="s">
        <v>4867</v>
      </c>
      <c r="C480" s="408"/>
    </row>
    <row r="481" spans="1:3">
      <c r="A481" s="767" t="s">
        <v>3833</v>
      </c>
      <c r="B481" s="767" t="s">
        <v>4868</v>
      </c>
      <c r="C481" s="408"/>
    </row>
    <row r="482" spans="1:3">
      <c r="A482" s="767" t="s">
        <v>3832</v>
      </c>
      <c r="B482" s="767" t="s">
        <v>4869</v>
      </c>
      <c r="C482" s="408"/>
    </row>
    <row r="483" spans="1:3">
      <c r="A483" s="767" t="s">
        <v>3831</v>
      </c>
      <c r="B483" s="767" t="s">
        <v>4870</v>
      </c>
      <c r="C483" s="408"/>
    </row>
    <row r="484" spans="1:3">
      <c r="A484" s="767" t="s">
        <v>3829</v>
      </c>
      <c r="B484" s="767" t="s">
        <v>4871</v>
      </c>
      <c r="C484" s="408"/>
    </row>
    <row r="485" spans="1:3">
      <c r="A485" s="767" t="s">
        <v>3828</v>
      </c>
      <c r="B485" s="767" t="s">
        <v>4872</v>
      </c>
      <c r="C485" s="408"/>
    </row>
    <row r="486" spans="1:3">
      <c r="A486" s="767" t="s">
        <v>3827</v>
      </c>
      <c r="B486" s="767" t="s">
        <v>4873</v>
      </c>
      <c r="C486" s="408"/>
    </row>
    <row r="487" spans="1:3">
      <c r="A487" s="767" t="s">
        <v>3826</v>
      </c>
      <c r="B487" s="767" t="s">
        <v>4874</v>
      </c>
      <c r="C487" s="408"/>
    </row>
    <row r="488" spans="1:3">
      <c r="A488" s="767" t="s">
        <v>3825</v>
      </c>
      <c r="B488" s="767" t="s">
        <v>4875</v>
      </c>
      <c r="C488" s="408"/>
    </row>
    <row r="489" spans="1:3">
      <c r="A489" s="767" t="s">
        <v>3824</v>
      </c>
      <c r="B489" s="767" t="s">
        <v>4876</v>
      </c>
      <c r="C489" s="408"/>
    </row>
    <row r="490" spans="1:3">
      <c r="A490" s="767" t="s">
        <v>3823</v>
      </c>
      <c r="B490" s="767" t="s">
        <v>4877</v>
      </c>
      <c r="C490" s="408"/>
    </row>
    <row r="491" spans="1:3">
      <c r="A491" s="767" t="s">
        <v>4878</v>
      </c>
      <c r="B491" s="767" t="s">
        <v>4879</v>
      </c>
      <c r="C491" s="408"/>
    </row>
    <row r="492" spans="1:3">
      <c r="A492" s="767" t="s">
        <v>3822</v>
      </c>
      <c r="B492" s="767" t="s">
        <v>4880</v>
      </c>
      <c r="C492" s="408"/>
    </row>
    <row r="493" spans="1:3">
      <c r="A493" s="767" t="s">
        <v>3821</v>
      </c>
      <c r="B493" s="767" t="s">
        <v>4881</v>
      </c>
      <c r="C493" s="408"/>
    </row>
    <row r="494" spans="1:3">
      <c r="A494" s="767" t="s">
        <v>4882</v>
      </c>
      <c r="B494" s="767" t="s">
        <v>4883</v>
      </c>
      <c r="C494" s="408"/>
    </row>
    <row r="495" spans="1:3">
      <c r="A495" s="767" t="s">
        <v>3820</v>
      </c>
      <c r="B495" s="767" t="s">
        <v>4884</v>
      </c>
      <c r="C495" s="408"/>
    </row>
    <row r="496" spans="1:3">
      <c r="A496" s="767" t="s">
        <v>3819</v>
      </c>
      <c r="B496" s="767" t="s">
        <v>4885</v>
      </c>
      <c r="C496" s="408"/>
    </row>
    <row r="497" spans="1:3">
      <c r="A497" s="767" t="s">
        <v>3818</v>
      </c>
      <c r="B497" s="767" t="s">
        <v>4886</v>
      </c>
      <c r="C497" s="408"/>
    </row>
    <row r="498" spans="1:3">
      <c r="A498" s="767" t="s">
        <v>3817</v>
      </c>
      <c r="B498" s="767" t="s">
        <v>4887</v>
      </c>
      <c r="C498" s="408"/>
    </row>
    <row r="499" spans="1:3">
      <c r="A499" s="767" t="s">
        <v>3816</v>
      </c>
      <c r="B499" s="767" t="s">
        <v>4888</v>
      </c>
      <c r="C499" s="408"/>
    </row>
    <row r="500" spans="1:3">
      <c r="A500" s="767" t="s">
        <v>3815</v>
      </c>
      <c r="B500" s="767" t="s">
        <v>4889</v>
      </c>
      <c r="C500" s="408"/>
    </row>
    <row r="501" spans="1:3">
      <c r="A501" s="767" t="s">
        <v>3814</v>
      </c>
      <c r="B501" s="767" t="s">
        <v>4890</v>
      </c>
      <c r="C501" s="408"/>
    </row>
    <row r="502" spans="1:3">
      <c r="A502" s="767" t="s">
        <v>3813</v>
      </c>
      <c r="B502" s="767" t="s">
        <v>4891</v>
      </c>
      <c r="C502" s="408"/>
    </row>
    <row r="503" spans="1:3">
      <c r="A503" s="767" t="s">
        <v>3812</v>
      </c>
      <c r="B503" s="767" t="s">
        <v>4892</v>
      </c>
      <c r="C503" s="408"/>
    </row>
    <row r="504" spans="1:3">
      <c r="A504" s="767" t="s">
        <v>3811</v>
      </c>
      <c r="B504" s="767" t="s">
        <v>4893</v>
      </c>
      <c r="C504" s="408"/>
    </row>
    <row r="505" spans="1:3">
      <c r="A505" s="767" t="s">
        <v>3810</v>
      </c>
      <c r="B505" s="767" t="s">
        <v>4894</v>
      </c>
      <c r="C505" s="408"/>
    </row>
    <row r="506" spans="1:3">
      <c r="A506" s="767" t="s">
        <v>3809</v>
      </c>
      <c r="B506" s="767" t="s">
        <v>4890</v>
      </c>
      <c r="C506" s="408"/>
    </row>
    <row r="507" spans="1:3">
      <c r="A507" s="767" t="s">
        <v>3808</v>
      </c>
      <c r="B507" s="767" t="s">
        <v>4895</v>
      </c>
      <c r="C507" s="408"/>
    </row>
    <row r="508" spans="1:3">
      <c r="A508" s="767" t="s">
        <v>3807</v>
      </c>
      <c r="B508" s="767" t="s">
        <v>4896</v>
      </c>
      <c r="C508" s="408"/>
    </row>
    <row r="509" spans="1:3">
      <c r="A509" s="767" t="s">
        <v>3806</v>
      </c>
      <c r="B509" s="767" t="s">
        <v>4897</v>
      </c>
      <c r="C509" s="408"/>
    </row>
    <row r="510" spans="1:3">
      <c r="A510" s="767" t="s">
        <v>3805</v>
      </c>
      <c r="B510" s="767" t="s">
        <v>4898</v>
      </c>
      <c r="C510" s="408"/>
    </row>
    <row r="511" spans="1:3">
      <c r="A511" s="767" t="s">
        <v>1223</v>
      </c>
      <c r="B511" s="767" t="s">
        <v>1226</v>
      </c>
      <c r="C511" s="408"/>
    </row>
    <row r="512" spans="1:3">
      <c r="A512" s="767" t="s">
        <v>2720</v>
      </c>
      <c r="B512" s="767" t="s">
        <v>4899</v>
      </c>
      <c r="C512" s="408"/>
    </row>
    <row r="513" spans="1:3">
      <c r="A513" s="767" t="s">
        <v>3804</v>
      </c>
      <c r="B513" s="767" t="s">
        <v>4900</v>
      </c>
      <c r="C513" s="408"/>
    </row>
    <row r="514" spans="1:3">
      <c r="A514" s="767" t="s">
        <v>3803</v>
      </c>
      <c r="B514" s="767" t="s">
        <v>4901</v>
      </c>
      <c r="C514" s="408"/>
    </row>
    <row r="515" spans="1:3">
      <c r="A515" s="767" t="s">
        <v>3802</v>
      </c>
      <c r="B515" s="767" t="s">
        <v>4902</v>
      </c>
      <c r="C515" s="408"/>
    </row>
    <row r="516" spans="1:3">
      <c r="A516" s="767" t="s">
        <v>3801</v>
      </c>
      <c r="B516" s="767" t="s">
        <v>4903</v>
      </c>
      <c r="C516" s="408"/>
    </row>
    <row r="517" spans="1:3">
      <c r="A517" s="767" t="s">
        <v>4904</v>
      </c>
      <c r="B517" s="767" t="s">
        <v>4905</v>
      </c>
      <c r="C517" s="408"/>
    </row>
    <row r="518" spans="1:3">
      <c r="A518" s="767" t="s">
        <v>3800</v>
      </c>
      <c r="B518" s="767" t="s">
        <v>4906</v>
      </c>
      <c r="C518" s="408"/>
    </row>
    <row r="519" spans="1:3">
      <c r="A519" s="767" t="s">
        <v>3799</v>
      </c>
      <c r="B519" s="767" t="s">
        <v>4907</v>
      </c>
      <c r="C519" s="408"/>
    </row>
    <row r="520" spans="1:3">
      <c r="A520" s="767" t="s">
        <v>3798</v>
      </c>
      <c r="B520" s="767" t="s">
        <v>4908</v>
      </c>
      <c r="C520" s="408"/>
    </row>
    <row r="521" spans="1:3">
      <c r="A521" s="767" t="s">
        <v>3795</v>
      </c>
      <c r="B521" s="767" t="s">
        <v>4909</v>
      </c>
      <c r="C521" s="408"/>
    </row>
    <row r="522" spans="1:3">
      <c r="A522" s="767" t="s">
        <v>3794</v>
      </c>
      <c r="B522" s="767" t="s">
        <v>4910</v>
      </c>
      <c r="C522" s="408"/>
    </row>
    <row r="523" spans="1:3">
      <c r="A523" s="767" t="s">
        <v>3793</v>
      </c>
      <c r="B523" s="767" t="s">
        <v>4911</v>
      </c>
      <c r="C523" s="408"/>
    </row>
    <row r="524" spans="1:3">
      <c r="A524" s="767" t="s">
        <v>3792</v>
      </c>
      <c r="B524" s="767" t="s">
        <v>4912</v>
      </c>
      <c r="C524" s="408"/>
    </row>
    <row r="525" spans="1:3">
      <c r="A525" s="767" t="s">
        <v>3791</v>
      </c>
      <c r="B525" s="767" t="s">
        <v>4913</v>
      </c>
      <c r="C525" s="408"/>
    </row>
    <row r="526" spans="1:3">
      <c r="A526" s="767" t="s">
        <v>4914</v>
      </c>
      <c r="B526" s="767" t="s">
        <v>4915</v>
      </c>
      <c r="C526" s="408"/>
    </row>
    <row r="527" spans="1:3">
      <c r="A527" s="767" t="s">
        <v>3789</v>
      </c>
      <c r="B527" s="767" t="s">
        <v>4916</v>
      </c>
      <c r="C527" s="408"/>
    </row>
    <row r="528" spans="1:3">
      <c r="A528" s="767" t="s">
        <v>3788</v>
      </c>
      <c r="B528" s="767" t="s">
        <v>4917</v>
      </c>
      <c r="C528" s="408"/>
    </row>
    <row r="529" spans="1:3">
      <c r="A529" s="767" t="s">
        <v>4918</v>
      </c>
      <c r="B529" s="767" t="s">
        <v>4919</v>
      </c>
      <c r="C529" s="408"/>
    </row>
    <row r="530" spans="1:3">
      <c r="A530" s="767" t="s">
        <v>4920</v>
      </c>
      <c r="B530" s="767" t="s">
        <v>4921</v>
      </c>
      <c r="C530" s="408"/>
    </row>
    <row r="531" spans="1:3">
      <c r="A531" s="767" t="s">
        <v>3786</v>
      </c>
      <c r="B531" s="767" t="s">
        <v>4922</v>
      </c>
      <c r="C531" s="408"/>
    </row>
    <row r="532" spans="1:3">
      <c r="A532" s="767" t="s">
        <v>3785</v>
      </c>
      <c r="B532" s="767" t="s">
        <v>4923</v>
      </c>
      <c r="C532" s="408"/>
    </row>
    <row r="533" spans="1:3">
      <c r="A533" s="767" t="s">
        <v>3784</v>
      </c>
      <c r="B533" s="767" t="s">
        <v>4924</v>
      </c>
      <c r="C533" s="408"/>
    </row>
    <row r="534" spans="1:3">
      <c r="A534" s="767" t="s">
        <v>3783</v>
      </c>
      <c r="B534" s="767" t="s">
        <v>4925</v>
      </c>
      <c r="C534" s="408"/>
    </row>
    <row r="535" spans="1:3">
      <c r="A535" s="767" t="s">
        <v>3782</v>
      </c>
      <c r="B535" s="767" t="s">
        <v>4926</v>
      </c>
      <c r="C535" s="408"/>
    </row>
    <row r="536" spans="1:3">
      <c r="A536" s="767" t="s">
        <v>3781</v>
      </c>
      <c r="B536" s="767" t="s">
        <v>4927</v>
      </c>
      <c r="C536" s="408"/>
    </row>
    <row r="537" spans="1:3">
      <c r="A537" s="767" t="s">
        <v>4928</v>
      </c>
      <c r="B537" s="767" t="s">
        <v>4929</v>
      </c>
      <c r="C537" s="408"/>
    </row>
    <row r="538" spans="1:3">
      <c r="A538" s="767" t="s">
        <v>3779</v>
      </c>
      <c r="B538" s="767" t="s">
        <v>4930</v>
      </c>
      <c r="C538" s="408"/>
    </row>
    <row r="539" spans="1:3">
      <c r="A539" s="767" t="s">
        <v>3778</v>
      </c>
      <c r="B539" s="767" t="s">
        <v>4931</v>
      </c>
      <c r="C539" s="408"/>
    </row>
    <row r="540" spans="1:3">
      <c r="A540" s="767" t="s">
        <v>4932</v>
      </c>
      <c r="B540" s="767" t="s">
        <v>4933</v>
      </c>
      <c r="C540" s="408"/>
    </row>
    <row r="541" spans="1:3">
      <c r="A541" s="767" t="s">
        <v>3776</v>
      </c>
      <c r="B541" s="767" t="s">
        <v>4934</v>
      </c>
      <c r="C541" s="408"/>
    </row>
    <row r="542" spans="1:3">
      <c r="A542" s="767" t="s">
        <v>3775</v>
      </c>
      <c r="B542" s="767" t="s">
        <v>4935</v>
      </c>
      <c r="C542" s="408"/>
    </row>
    <row r="543" spans="1:3">
      <c r="A543" s="767" t="s">
        <v>3774</v>
      </c>
      <c r="B543" s="767" t="s">
        <v>4936</v>
      </c>
      <c r="C543" s="408"/>
    </row>
    <row r="544" spans="1:3">
      <c r="A544" s="767" t="s">
        <v>3773</v>
      </c>
      <c r="B544" s="767" t="s">
        <v>4925</v>
      </c>
      <c r="C544" s="408"/>
    </row>
    <row r="545" spans="1:3">
      <c r="A545" s="767" t="s">
        <v>3772</v>
      </c>
      <c r="B545" s="767" t="s">
        <v>4937</v>
      </c>
      <c r="C545" s="408"/>
    </row>
    <row r="546" spans="1:3">
      <c r="A546" s="767" t="s">
        <v>3771</v>
      </c>
      <c r="B546" s="767" t="s">
        <v>4938</v>
      </c>
      <c r="C546" s="408"/>
    </row>
    <row r="547" spans="1:3">
      <c r="A547" s="767" t="s">
        <v>3770</v>
      </c>
      <c r="B547" s="767" t="s">
        <v>4939</v>
      </c>
      <c r="C547" s="408"/>
    </row>
    <row r="548" spans="1:3">
      <c r="A548" s="767" t="s">
        <v>3769</v>
      </c>
      <c r="B548" s="767" t="s">
        <v>4940</v>
      </c>
      <c r="C548" s="408"/>
    </row>
    <row r="549" spans="1:3">
      <c r="A549" s="767" t="s">
        <v>3768</v>
      </c>
      <c r="B549" s="767" t="s">
        <v>4941</v>
      </c>
      <c r="C549" s="408"/>
    </row>
    <row r="550" spans="1:3">
      <c r="A550" s="767" t="s">
        <v>3767</v>
      </c>
      <c r="B550" s="767" t="s">
        <v>4942</v>
      </c>
      <c r="C550" s="408"/>
    </row>
    <row r="551" spans="1:3">
      <c r="A551" s="767" t="s">
        <v>3766</v>
      </c>
      <c r="B551" s="767" t="s">
        <v>4943</v>
      </c>
      <c r="C551" s="408"/>
    </row>
    <row r="552" spans="1:3">
      <c r="A552" s="767" t="s">
        <v>4944</v>
      </c>
      <c r="B552" s="767" t="s">
        <v>4945</v>
      </c>
      <c r="C552" s="408"/>
    </row>
    <row r="553" spans="1:3">
      <c r="A553" s="767" t="s">
        <v>3765</v>
      </c>
      <c r="B553" s="767" t="s">
        <v>4946</v>
      </c>
      <c r="C553" s="408"/>
    </row>
    <row r="554" spans="1:3">
      <c r="A554" s="767" t="s">
        <v>4947</v>
      </c>
      <c r="B554" s="767" t="s">
        <v>4948</v>
      </c>
      <c r="C554" s="408"/>
    </row>
    <row r="555" spans="1:3">
      <c r="A555" s="767" t="s">
        <v>4949</v>
      </c>
      <c r="B555" s="767" t="s">
        <v>4950</v>
      </c>
      <c r="C555" s="408"/>
    </row>
    <row r="556" spans="1:3">
      <c r="A556" s="767" t="s">
        <v>3762</v>
      </c>
      <c r="B556" s="767" t="s">
        <v>4951</v>
      </c>
      <c r="C556" s="408"/>
    </row>
    <row r="557" spans="1:3">
      <c r="A557" s="767" t="s">
        <v>3761</v>
      </c>
      <c r="B557" s="767" t="s">
        <v>4952</v>
      </c>
      <c r="C557" s="408"/>
    </row>
    <row r="558" spans="1:3">
      <c r="A558" s="767" t="s">
        <v>3760</v>
      </c>
      <c r="B558" s="767" t="s">
        <v>4953</v>
      </c>
      <c r="C558" s="408"/>
    </row>
    <row r="559" spans="1:3">
      <c r="A559" s="767" t="s">
        <v>3759</v>
      </c>
      <c r="B559" s="767" t="s">
        <v>4954</v>
      </c>
      <c r="C559" s="408"/>
    </row>
    <row r="560" spans="1:3">
      <c r="A560" s="767" t="s">
        <v>4955</v>
      </c>
      <c r="B560" s="767" t="s">
        <v>4956</v>
      </c>
      <c r="C560" s="408"/>
    </row>
    <row r="561" spans="1:3">
      <c r="A561" s="767" t="s">
        <v>4957</v>
      </c>
      <c r="B561" s="767" t="s">
        <v>4958</v>
      </c>
      <c r="C561" s="408"/>
    </row>
    <row r="562" spans="1:3">
      <c r="A562" s="767" t="s">
        <v>3756</v>
      </c>
      <c r="B562" s="767" t="s">
        <v>4959</v>
      </c>
      <c r="C562" s="408"/>
    </row>
    <row r="563" spans="1:3">
      <c r="A563" s="767" t="s">
        <v>3755</v>
      </c>
      <c r="B563" s="767" t="s">
        <v>4960</v>
      </c>
      <c r="C563" s="408"/>
    </row>
    <row r="564" spans="1:3">
      <c r="A564" s="767" t="s">
        <v>4961</v>
      </c>
      <c r="B564" s="767" t="s">
        <v>4962</v>
      </c>
      <c r="C564" s="408"/>
    </row>
    <row r="565" spans="1:3">
      <c r="A565" s="767" t="s">
        <v>4963</v>
      </c>
      <c r="B565" s="767" t="s">
        <v>4964</v>
      </c>
      <c r="C565" s="408"/>
    </row>
    <row r="566" spans="1:3">
      <c r="A566" s="767" t="s">
        <v>3754</v>
      </c>
      <c r="B566" s="767" t="s">
        <v>4965</v>
      </c>
      <c r="C566" s="408"/>
    </row>
    <row r="567" spans="1:3">
      <c r="A567" s="767" t="s">
        <v>3753</v>
      </c>
      <c r="B567" s="767" t="s">
        <v>4966</v>
      </c>
      <c r="C567" s="408"/>
    </row>
    <row r="568" spans="1:3">
      <c r="A568" s="767" t="s">
        <v>3752</v>
      </c>
      <c r="B568" s="767" t="s">
        <v>4967</v>
      </c>
      <c r="C568" s="408"/>
    </row>
    <row r="569" spans="1:3">
      <c r="A569" s="767" t="s">
        <v>3751</v>
      </c>
      <c r="B569" s="767" t="s">
        <v>4968</v>
      </c>
      <c r="C569" s="408"/>
    </row>
    <row r="570" spans="1:3">
      <c r="A570" s="767" t="s">
        <v>3750</v>
      </c>
      <c r="B570" s="767" t="s">
        <v>4969</v>
      </c>
      <c r="C570" s="408"/>
    </row>
    <row r="571" spans="1:3">
      <c r="A571" s="767" t="s">
        <v>3748</v>
      </c>
      <c r="B571" s="767" t="s">
        <v>4970</v>
      </c>
      <c r="C571" s="408"/>
    </row>
    <row r="572" spans="1:3">
      <c r="A572" s="767" t="s">
        <v>2905</v>
      </c>
      <c r="B572" s="767" t="s">
        <v>4971</v>
      </c>
      <c r="C572" s="408"/>
    </row>
    <row r="573" spans="1:3">
      <c r="A573" s="767" t="s">
        <v>3747</v>
      </c>
      <c r="B573" s="767" t="s">
        <v>4972</v>
      </c>
      <c r="C573" s="408"/>
    </row>
    <row r="574" spans="1:3">
      <c r="A574" s="767" t="s">
        <v>3746</v>
      </c>
      <c r="B574" s="767" t="s">
        <v>4973</v>
      </c>
      <c r="C574" s="408"/>
    </row>
    <row r="575" spans="1:3">
      <c r="A575" s="767" t="s">
        <v>3744</v>
      </c>
      <c r="B575" s="767" t="s">
        <v>4974</v>
      </c>
      <c r="C575" s="408"/>
    </row>
    <row r="576" spans="1:3">
      <c r="A576" s="767" t="s">
        <v>4975</v>
      </c>
      <c r="B576" s="767" t="s">
        <v>4976</v>
      </c>
      <c r="C576" s="408"/>
    </row>
    <row r="577" spans="1:3">
      <c r="A577" s="767" t="s">
        <v>3742</v>
      </c>
      <c r="B577" s="767" t="s">
        <v>4977</v>
      </c>
      <c r="C577" s="408"/>
    </row>
    <row r="578" spans="1:3">
      <c r="A578" s="767" t="s">
        <v>3741</v>
      </c>
      <c r="B578" s="767" t="s">
        <v>4978</v>
      </c>
      <c r="C578" s="408"/>
    </row>
    <row r="579" spans="1:3">
      <c r="A579" s="767" t="s">
        <v>3740</v>
      </c>
      <c r="B579" s="767" t="s">
        <v>4979</v>
      </c>
      <c r="C579" s="408"/>
    </row>
    <row r="580" spans="1:3">
      <c r="A580" s="767" t="s">
        <v>3739</v>
      </c>
      <c r="B580" s="767" t="s">
        <v>4980</v>
      </c>
      <c r="C580" s="408"/>
    </row>
    <row r="581" spans="1:3">
      <c r="A581" s="767" t="s">
        <v>3738</v>
      </c>
      <c r="B581" s="767" t="s">
        <v>4981</v>
      </c>
      <c r="C581" s="408"/>
    </row>
    <row r="582" spans="1:3">
      <c r="A582" s="767" t="s">
        <v>3737</v>
      </c>
      <c r="B582" s="767" t="s">
        <v>4982</v>
      </c>
      <c r="C582" s="408"/>
    </row>
    <row r="583" spans="1:3">
      <c r="A583" s="767" t="s">
        <v>3736</v>
      </c>
      <c r="B583" s="767" t="s">
        <v>4983</v>
      </c>
      <c r="C583" s="408"/>
    </row>
    <row r="584" spans="1:3">
      <c r="A584" s="767" t="s">
        <v>4984</v>
      </c>
      <c r="B584" s="767" t="s">
        <v>4985</v>
      </c>
      <c r="C584" s="408"/>
    </row>
    <row r="585" spans="1:3">
      <c r="A585" s="767" t="s">
        <v>3733</v>
      </c>
      <c r="B585" s="767" t="s">
        <v>4986</v>
      </c>
      <c r="C585" s="408"/>
    </row>
    <row r="586" spans="1:3">
      <c r="A586" s="767" t="s">
        <v>3732</v>
      </c>
      <c r="B586" s="767" t="s">
        <v>4987</v>
      </c>
      <c r="C586" s="408"/>
    </row>
    <row r="587" spans="1:3">
      <c r="A587" s="767" t="s">
        <v>3731</v>
      </c>
      <c r="B587" s="767" t="s">
        <v>4988</v>
      </c>
      <c r="C587" s="408"/>
    </row>
    <row r="588" spans="1:3">
      <c r="A588" s="767" t="s">
        <v>3729</v>
      </c>
      <c r="B588" s="767" t="s">
        <v>4989</v>
      </c>
      <c r="C588" s="408"/>
    </row>
    <row r="589" spans="1:3">
      <c r="A589" s="767" t="s">
        <v>3728</v>
      </c>
      <c r="B589" s="767" t="s">
        <v>4990</v>
      </c>
      <c r="C589" s="408"/>
    </row>
    <row r="590" spans="1:3">
      <c r="A590" s="767" t="s">
        <v>3726</v>
      </c>
      <c r="B590" s="767" t="s">
        <v>4991</v>
      </c>
      <c r="C590" s="408"/>
    </row>
    <row r="591" spans="1:3">
      <c r="A591" s="767" t="s">
        <v>3725</v>
      </c>
      <c r="B591" s="767" t="s">
        <v>4992</v>
      </c>
      <c r="C591" s="408"/>
    </row>
    <row r="592" spans="1:3">
      <c r="A592" s="767" t="s">
        <v>3724</v>
      </c>
      <c r="B592" s="767" t="s">
        <v>4993</v>
      </c>
      <c r="C592" s="408"/>
    </row>
    <row r="593" spans="1:3">
      <c r="A593" s="767" t="s">
        <v>3723</v>
      </c>
      <c r="B593" s="767" t="s">
        <v>4994</v>
      </c>
      <c r="C593" s="408"/>
    </row>
    <row r="594" spans="1:3">
      <c r="A594" s="767" t="s">
        <v>3721</v>
      </c>
      <c r="B594" s="767" t="s">
        <v>4995</v>
      </c>
      <c r="C594" s="408"/>
    </row>
    <row r="595" spans="1:3">
      <c r="A595" s="767" t="s">
        <v>4996</v>
      </c>
      <c r="B595" s="767" t="s">
        <v>4997</v>
      </c>
      <c r="C595" s="408"/>
    </row>
    <row r="596" spans="1:3">
      <c r="A596" s="767" t="s">
        <v>3718</v>
      </c>
      <c r="B596" s="767" t="s">
        <v>4998</v>
      </c>
      <c r="C596" s="408"/>
    </row>
    <row r="597" spans="1:3">
      <c r="A597" s="767" t="s">
        <v>3717</v>
      </c>
      <c r="B597" s="767" t="s">
        <v>4999</v>
      </c>
      <c r="C597" s="408"/>
    </row>
    <row r="598" spans="1:3">
      <c r="A598" s="767" t="s">
        <v>3716</v>
      </c>
      <c r="B598" s="767" t="s">
        <v>5000</v>
      </c>
      <c r="C598" s="408"/>
    </row>
    <row r="599" spans="1:3">
      <c r="A599" s="767" t="s">
        <v>5001</v>
      </c>
      <c r="B599" s="767" t="s">
        <v>5002</v>
      </c>
      <c r="C599" s="408"/>
    </row>
    <row r="600" spans="1:3">
      <c r="A600" s="767" t="s">
        <v>3714</v>
      </c>
      <c r="B600" s="767" t="s">
        <v>5003</v>
      </c>
      <c r="C600" s="408"/>
    </row>
    <row r="601" spans="1:3">
      <c r="A601" s="767" t="s">
        <v>3713</v>
      </c>
      <c r="B601" s="767" t="s">
        <v>5004</v>
      </c>
      <c r="C601" s="408"/>
    </row>
    <row r="602" spans="1:3">
      <c r="A602" s="767" t="s">
        <v>5005</v>
      </c>
      <c r="B602" s="767" t="s">
        <v>5006</v>
      </c>
      <c r="C602" s="408"/>
    </row>
    <row r="603" spans="1:3">
      <c r="A603" s="767" t="s">
        <v>3712</v>
      </c>
      <c r="B603" s="767" t="s">
        <v>5007</v>
      </c>
      <c r="C603" s="408"/>
    </row>
    <row r="604" spans="1:3">
      <c r="A604" s="767" t="s">
        <v>3711</v>
      </c>
      <c r="B604" s="767" t="s">
        <v>5008</v>
      </c>
      <c r="C604" s="408"/>
    </row>
    <row r="605" spans="1:3">
      <c r="A605" s="767" t="s">
        <v>3710</v>
      </c>
      <c r="B605" s="767" t="s">
        <v>5009</v>
      </c>
      <c r="C605" s="408"/>
    </row>
    <row r="606" spans="1:3">
      <c r="A606" s="767" t="s">
        <v>3709</v>
      </c>
      <c r="B606" s="767" t="s">
        <v>5010</v>
      </c>
      <c r="C606" s="408"/>
    </row>
    <row r="607" spans="1:3">
      <c r="A607" s="767" t="s">
        <v>3708</v>
      </c>
      <c r="B607" s="767" t="s">
        <v>5011</v>
      </c>
      <c r="C607" s="408"/>
    </row>
    <row r="608" spans="1:3">
      <c r="A608" s="767" t="s">
        <v>5012</v>
      </c>
      <c r="B608" s="767" t="s">
        <v>5013</v>
      </c>
      <c r="C608" s="408"/>
    </row>
    <row r="609" spans="1:3">
      <c r="A609" s="767" t="s">
        <v>3707</v>
      </c>
      <c r="B609" s="767" t="s">
        <v>5014</v>
      </c>
      <c r="C609" s="408"/>
    </row>
    <row r="610" spans="1:3">
      <c r="A610" s="767" t="s">
        <v>3706</v>
      </c>
      <c r="B610" s="767" t="s">
        <v>5015</v>
      </c>
      <c r="C610" s="408"/>
    </row>
    <row r="611" spans="1:3">
      <c r="A611" s="767" t="s">
        <v>3705</v>
      </c>
      <c r="B611" s="767" t="s">
        <v>4141</v>
      </c>
      <c r="C611" s="408"/>
    </row>
    <row r="612" spans="1:3">
      <c r="A612" s="767" t="s">
        <v>3704</v>
      </c>
      <c r="B612" s="767" t="s">
        <v>5016</v>
      </c>
      <c r="C612" s="408"/>
    </row>
    <row r="613" spans="1:3">
      <c r="A613" s="767" t="s">
        <v>3703</v>
      </c>
      <c r="B613" s="767" t="s">
        <v>5017</v>
      </c>
      <c r="C613" s="408"/>
    </row>
    <row r="614" spans="1:3">
      <c r="A614" s="767" t="s">
        <v>2956</v>
      </c>
      <c r="B614" s="767" t="s">
        <v>4257</v>
      </c>
      <c r="C614" s="408"/>
    </row>
    <row r="615" spans="1:3">
      <c r="A615" s="767" t="s">
        <v>3702</v>
      </c>
      <c r="B615" s="767" t="s">
        <v>5018</v>
      </c>
      <c r="C615" s="408"/>
    </row>
    <row r="616" spans="1:3">
      <c r="A616" s="767" t="s">
        <v>3701</v>
      </c>
      <c r="B616" s="767" t="s">
        <v>4141</v>
      </c>
      <c r="C616" s="408"/>
    </row>
    <row r="617" spans="1:3">
      <c r="A617" s="767" t="s">
        <v>3700</v>
      </c>
      <c r="B617" s="767" t="s">
        <v>5019</v>
      </c>
      <c r="C617" s="408"/>
    </row>
    <row r="618" spans="1:3">
      <c r="A618" s="767" t="s">
        <v>3699</v>
      </c>
      <c r="B618" s="767" t="s">
        <v>5020</v>
      </c>
      <c r="C618" s="408"/>
    </row>
    <row r="619" spans="1:3">
      <c r="A619" s="767" t="s">
        <v>3698</v>
      </c>
      <c r="B619" s="767" t="s">
        <v>5021</v>
      </c>
      <c r="C619" s="408"/>
    </row>
    <row r="620" spans="1:3">
      <c r="A620" s="767" t="s">
        <v>3697</v>
      </c>
      <c r="B620" s="767" t="s">
        <v>5022</v>
      </c>
      <c r="C620" s="408"/>
    </row>
    <row r="621" spans="1:3">
      <c r="A621" s="767" t="s">
        <v>3696</v>
      </c>
      <c r="B621" s="767" t="s">
        <v>5023</v>
      </c>
      <c r="C621" s="408"/>
    </row>
    <row r="622" spans="1:3">
      <c r="A622" s="767" t="s">
        <v>3695</v>
      </c>
      <c r="B622" s="767" t="s">
        <v>5024</v>
      </c>
      <c r="C622" s="408"/>
    </row>
    <row r="623" spans="1:3">
      <c r="A623" s="767" t="s">
        <v>5025</v>
      </c>
      <c r="B623" s="767" t="s">
        <v>5026</v>
      </c>
      <c r="C623" s="408"/>
    </row>
    <row r="624" spans="1:3">
      <c r="A624" s="767" t="s">
        <v>3693</v>
      </c>
      <c r="B624" s="767" t="s">
        <v>5027</v>
      </c>
      <c r="C624" s="408"/>
    </row>
    <row r="625" spans="1:3">
      <c r="A625" s="767" t="s">
        <v>3692</v>
      </c>
      <c r="B625" s="767" t="s">
        <v>5028</v>
      </c>
      <c r="C625" s="408"/>
    </row>
    <row r="626" spans="1:3">
      <c r="A626" s="767" t="s">
        <v>3691</v>
      </c>
      <c r="B626" s="767" t="s">
        <v>5029</v>
      </c>
      <c r="C626" s="408"/>
    </row>
    <row r="627" spans="1:3">
      <c r="A627" s="767" t="s">
        <v>3690</v>
      </c>
      <c r="B627" s="767" t="s">
        <v>5030</v>
      </c>
      <c r="C627" s="408"/>
    </row>
    <row r="628" spans="1:3">
      <c r="A628" s="767" t="s">
        <v>5031</v>
      </c>
      <c r="B628" s="767" t="s">
        <v>5032</v>
      </c>
      <c r="C628" s="408"/>
    </row>
    <row r="629" spans="1:3">
      <c r="A629" s="767" t="s">
        <v>3689</v>
      </c>
      <c r="B629" s="767" t="s">
        <v>5033</v>
      </c>
      <c r="C629" s="408"/>
    </row>
    <row r="630" spans="1:3">
      <c r="A630" s="767" t="s">
        <v>3688</v>
      </c>
      <c r="B630" s="767" t="s">
        <v>5034</v>
      </c>
      <c r="C630" s="408"/>
    </row>
    <row r="631" spans="1:3">
      <c r="A631" s="767" t="s">
        <v>3687</v>
      </c>
      <c r="B631" s="767" t="s">
        <v>5035</v>
      </c>
      <c r="C631" s="408"/>
    </row>
    <row r="632" spans="1:3">
      <c r="A632" s="767" t="s">
        <v>3686</v>
      </c>
      <c r="B632" s="767" t="s">
        <v>5036</v>
      </c>
      <c r="C632" s="408"/>
    </row>
    <row r="633" spans="1:3">
      <c r="A633" s="767" t="s">
        <v>2932</v>
      </c>
      <c r="B633" s="767" t="s">
        <v>5037</v>
      </c>
      <c r="C633" s="408"/>
    </row>
    <row r="634" spans="1:3">
      <c r="A634" s="767" t="s">
        <v>3685</v>
      </c>
      <c r="B634" s="767" t="s">
        <v>5038</v>
      </c>
      <c r="C634" s="408"/>
    </row>
    <row r="635" spans="1:3">
      <c r="A635" s="767" t="s">
        <v>3684</v>
      </c>
      <c r="B635" s="767" t="s">
        <v>5039</v>
      </c>
      <c r="C635" s="408"/>
    </row>
    <row r="636" spans="1:3">
      <c r="A636" s="767" t="s">
        <v>3683</v>
      </c>
      <c r="B636" s="767" t="s">
        <v>5040</v>
      </c>
      <c r="C636" s="408"/>
    </row>
    <row r="637" spans="1:3">
      <c r="A637" s="767" t="s">
        <v>3682</v>
      </c>
      <c r="B637" s="767" t="s">
        <v>5041</v>
      </c>
      <c r="C637" s="408"/>
    </row>
    <row r="638" spans="1:3">
      <c r="A638" s="767" t="s">
        <v>3681</v>
      </c>
      <c r="B638" s="767" t="s">
        <v>5042</v>
      </c>
      <c r="C638" s="408"/>
    </row>
    <row r="639" spans="1:3">
      <c r="A639" s="767" t="s">
        <v>3679</v>
      </c>
      <c r="B639" s="767" t="s">
        <v>5043</v>
      </c>
      <c r="C639" s="408"/>
    </row>
    <row r="640" spans="1:3">
      <c r="A640" s="767" t="s">
        <v>3678</v>
      </c>
      <c r="B640" s="767" t="s">
        <v>5044</v>
      </c>
      <c r="C640" s="408"/>
    </row>
    <row r="641" spans="1:3">
      <c r="A641" s="767" t="s">
        <v>3677</v>
      </c>
      <c r="B641" s="767" t="s">
        <v>5045</v>
      </c>
      <c r="C641" s="408"/>
    </row>
    <row r="642" spans="1:3">
      <c r="A642" s="767" t="s">
        <v>5046</v>
      </c>
      <c r="B642" s="767" t="s">
        <v>5047</v>
      </c>
      <c r="C642" s="408"/>
    </row>
    <row r="643" spans="1:3">
      <c r="A643" s="767" t="s">
        <v>2717</v>
      </c>
      <c r="B643" s="767" t="s">
        <v>5048</v>
      </c>
      <c r="C643" s="408"/>
    </row>
    <row r="644" spans="1:3">
      <c r="A644" s="767" t="s">
        <v>5049</v>
      </c>
      <c r="B644" s="767" t="s">
        <v>5050</v>
      </c>
      <c r="C644" s="408"/>
    </row>
    <row r="645" spans="1:3">
      <c r="A645" s="767" t="s">
        <v>3676</v>
      </c>
      <c r="B645" s="767" t="s">
        <v>5051</v>
      </c>
      <c r="C645" s="408"/>
    </row>
    <row r="646" spans="1:3">
      <c r="A646" s="767" t="s">
        <v>3675</v>
      </c>
      <c r="B646" s="767" t="s">
        <v>5052</v>
      </c>
      <c r="C646" s="408"/>
    </row>
    <row r="647" spans="1:3">
      <c r="A647" s="767" t="s">
        <v>3674</v>
      </c>
      <c r="B647" s="767" t="s">
        <v>5053</v>
      </c>
      <c r="C647" s="408"/>
    </row>
    <row r="648" spans="1:3">
      <c r="A648" s="767" t="s">
        <v>2723</v>
      </c>
      <c r="B648" s="767" t="s">
        <v>5054</v>
      </c>
      <c r="C648" s="408"/>
    </row>
    <row r="649" spans="1:3">
      <c r="A649" s="767" t="s">
        <v>2724</v>
      </c>
      <c r="B649" s="767" t="s">
        <v>5055</v>
      </c>
      <c r="C649" s="408"/>
    </row>
    <row r="650" spans="1:3">
      <c r="A650" s="767" t="s">
        <v>2726</v>
      </c>
      <c r="B650" s="767" t="s">
        <v>5056</v>
      </c>
      <c r="C650" s="408"/>
    </row>
    <row r="651" spans="1:3">
      <c r="A651" s="767" t="s">
        <v>3673</v>
      </c>
      <c r="B651" s="767" t="s">
        <v>5057</v>
      </c>
      <c r="C651" s="408"/>
    </row>
    <row r="652" spans="1:3">
      <c r="A652" s="767" t="s">
        <v>2725</v>
      </c>
      <c r="B652" s="767" t="s">
        <v>5058</v>
      </c>
      <c r="C652" s="408"/>
    </row>
    <row r="653" spans="1:3">
      <c r="A653" s="767" t="s">
        <v>2727</v>
      </c>
      <c r="B653" s="767" t="s">
        <v>4642</v>
      </c>
      <c r="C653" s="408"/>
    </row>
    <row r="654" spans="1:3">
      <c r="A654" s="767" t="s">
        <v>3671</v>
      </c>
      <c r="B654" s="767" t="s">
        <v>5059</v>
      </c>
      <c r="C654" s="408"/>
    </row>
    <row r="655" spans="1:3">
      <c r="A655" s="767" t="s">
        <v>3670</v>
      </c>
      <c r="B655" s="767" t="s">
        <v>5060</v>
      </c>
      <c r="C655" s="408"/>
    </row>
    <row r="656" spans="1:3">
      <c r="A656" s="767" t="s">
        <v>3669</v>
      </c>
      <c r="B656" s="767" t="s">
        <v>5061</v>
      </c>
      <c r="C656" s="408"/>
    </row>
    <row r="657" spans="1:3">
      <c r="A657" s="767" t="s">
        <v>3668</v>
      </c>
      <c r="B657" s="767" t="s">
        <v>5062</v>
      </c>
      <c r="C657" s="408"/>
    </row>
    <row r="658" spans="1:3">
      <c r="A658" s="767" t="s">
        <v>2729</v>
      </c>
      <c r="B658" s="767" t="s">
        <v>5063</v>
      </c>
      <c r="C658" s="408"/>
    </row>
    <row r="659" spans="1:3">
      <c r="A659" s="767" t="s">
        <v>3667</v>
      </c>
      <c r="B659" s="767" t="s">
        <v>5064</v>
      </c>
      <c r="C659" s="408"/>
    </row>
    <row r="660" spans="1:3">
      <c r="A660" s="767" t="s">
        <v>3666</v>
      </c>
      <c r="B660" s="767" t="s">
        <v>5065</v>
      </c>
      <c r="C660" s="408"/>
    </row>
    <row r="661" spans="1:3">
      <c r="A661" s="767" t="s">
        <v>2737</v>
      </c>
      <c r="B661" s="767" t="s">
        <v>5066</v>
      </c>
      <c r="C661" s="408"/>
    </row>
    <row r="662" spans="1:3">
      <c r="A662" s="767" t="s">
        <v>3665</v>
      </c>
      <c r="B662" s="767" t="s">
        <v>5067</v>
      </c>
      <c r="C662" s="408"/>
    </row>
    <row r="663" spans="1:3">
      <c r="A663" s="767" t="s">
        <v>2730</v>
      </c>
      <c r="B663" s="767" t="s">
        <v>5068</v>
      </c>
      <c r="C663" s="408"/>
    </row>
    <row r="664" spans="1:3">
      <c r="A664" s="767" t="s">
        <v>3664</v>
      </c>
      <c r="B664" s="767" t="s">
        <v>5069</v>
      </c>
      <c r="C664" s="408"/>
    </row>
    <row r="665" spans="1:3">
      <c r="A665" s="767" t="s">
        <v>3663</v>
      </c>
      <c r="B665" s="767" t="s">
        <v>5070</v>
      </c>
      <c r="C665" s="408"/>
    </row>
    <row r="666" spans="1:3">
      <c r="A666" s="767" t="s">
        <v>3662</v>
      </c>
      <c r="B666" s="767" t="s">
        <v>5071</v>
      </c>
      <c r="C666" s="408"/>
    </row>
    <row r="667" spans="1:3">
      <c r="A667" s="767" t="s">
        <v>2732</v>
      </c>
      <c r="B667" s="767" t="s">
        <v>5072</v>
      </c>
      <c r="C667" s="408"/>
    </row>
    <row r="668" spans="1:3">
      <c r="A668" s="767" t="s">
        <v>4358</v>
      </c>
      <c r="B668" s="767" t="s">
        <v>5073</v>
      </c>
      <c r="C668" s="408"/>
    </row>
    <row r="669" spans="1:3">
      <c r="A669" s="767" t="s">
        <v>3660</v>
      </c>
      <c r="B669" s="767" t="s">
        <v>5074</v>
      </c>
      <c r="C669" s="408"/>
    </row>
    <row r="670" spans="1:3">
      <c r="A670" s="767" t="s">
        <v>3659</v>
      </c>
      <c r="B670" s="767" t="s">
        <v>5075</v>
      </c>
      <c r="C670" s="408"/>
    </row>
    <row r="671" spans="1:3">
      <c r="A671" s="767" t="s">
        <v>3658</v>
      </c>
      <c r="B671" s="767" t="s">
        <v>5076</v>
      </c>
      <c r="C671" s="408"/>
    </row>
    <row r="672" spans="1:3">
      <c r="A672" s="767" t="s">
        <v>2739</v>
      </c>
      <c r="B672" s="767" t="s">
        <v>5077</v>
      </c>
      <c r="C672" s="408"/>
    </row>
    <row r="673" spans="1:3">
      <c r="A673" s="767" t="s">
        <v>3656</v>
      </c>
      <c r="B673" s="767" t="s">
        <v>5078</v>
      </c>
      <c r="C673" s="408"/>
    </row>
    <row r="674" spans="1:3">
      <c r="A674" s="767" t="s">
        <v>3655</v>
      </c>
      <c r="B674" s="767" t="s">
        <v>5079</v>
      </c>
      <c r="C674" s="408"/>
    </row>
    <row r="675" spans="1:3">
      <c r="A675" s="767" t="s">
        <v>2740</v>
      </c>
      <c r="B675" s="767" t="s">
        <v>5080</v>
      </c>
      <c r="C675" s="408"/>
    </row>
    <row r="676" spans="1:3">
      <c r="A676" s="767" t="s">
        <v>3654</v>
      </c>
      <c r="B676" s="767" t="s">
        <v>5081</v>
      </c>
      <c r="C676" s="408"/>
    </row>
    <row r="677" spans="1:3">
      <c r="A677" s="767" t="s">
        <v>3653</v>
      </c>
      <c r="B677" s="767" t="s">
        <v>5082</v>
      </c>
      <c r="C677" s="408"/>
    </row>
    <row r="678" spans="1:3">
      <c r="A678" s="767" t="s">
        <v>3652</v>
      </c>
      <c r="B678" s="767" t="s">
        <v>5083</v>
      </c>
      <c r="C678" s="408"/>
    </row>
    <row r="679" spans="1:3">
      <c r="A679" s="767" t="s">
        <v>2743</v>
      </c>
      <c r="B679" s="767" t="s">
        <v>5084</v>
      </c>
      <c r="C679" s="408"/>
    </row>
    <row r="680" spans="1:3">
      <c r="A680" s="767" t="s">
        <v>3651</v>
      </c>
      <c r="B680" s="767" t="s">
        <v>5085</v>
      </c>
      <c r="C680" s="408"/>
    </row>
    <row r="681" spans="1:3">
      <c r="A681" s="767" t="s">
        <v>3650</v>
      </c>
      <c r="B681" s="767" t="s">
        <v>5086</v>
      </c>
      <c r="C681" s="408"/>
    </row>
    <row r="682" spans="1:3">
      <c r="A682" s="767" t="s">
        <v>2744</v>
      </c>
      <c r="B682" s="767" t="s">
        <v>5087</v>
      </c>
      <c r="C682" s="408"/>
    </row>
    <row r="683" spans="1:3">
      <c r="A683" s="767" t="s">
        <v>2777</v>
      </c>
      <c r="B683" s="767" t="s">
        <v>5088</v>
      </c>
      <c r="C683" s="408"/>
    </row>
    <row r="684" spans="1:3">
      <c r="A684" s="767" t="s">
        <v>3647</v>
      </c>
      <c r="B684" s="767" t="s">
        <v>5089</v>
      </c>
      <c r="C684" s="408"/>
    </row>
    <row r="685" spans="1:3">
      <c r="A685" s="767" t="s">
        <v>3646</v>
      </c>
      <c r="B685" s="767" t="s">
        <v>5090</v>
      </c>
      <c r="C685" s="408"/>
    </row>
    <row r="686" spans="1:3">
      <c r="A686" s="767" t="s">
        <v>3645</v>
      </c>
      <c r="B686" s="767" t="s">
        <v>5091</v>
      </c>
      <c r="C686" s="408"/>
    </row>
    <row r="687" spans="1:3">
      <c r="A687" s="767" t="s">
        <v>3643</v>
      </c>
      <c r="B687" s="767" t="s">
        <v>5092</v>
      </c>
      <c r="C687" s="408"/>
    </row>
    <row r="688" spans="1:3">
      <c r="A688" s="767" t="s">
        <v>3642</v>
      </c>
      <c r="B688" s="767" t="s">
        <v>5093</v>
      </c>
      <c r="C688" s="408"/>
    </row>
    <row r="689" spans="1:3">
      <c r="A689" s="767" t="s">
        <v>2746</v>
      </c>
      <c r="B689" s="767" t="s">
        <v>4900</v>
      </c>
      <c r="C689" s="408"/>
    </row>
    <row r="690" spans="1:3">
      <c r="A690" s="767" t="s">
        <v>2748</v>
      </c>
      <c r="B690" s="767" t="s">
        <v>5094</v>
      </c>
      <c r="C690" s="408"/>
    </row>
    <row r="691" spans="1:3">
      <c r="A691" s="767" t="s">
        <v>3641</v>
      </c>
      <c r="B691" s="767" t="s">
        <v>5095</v>
      </c>
      <c r="C691" s="408"/>
    </row>
    <row r="692" spans="1:3">
      <c r="A692" s="767" t="s">
        <v>3640</v>
      </c>
      <c r="B692" s="767" t="s">
        <v>5096</v>
      </c>
      <c r="C692" s="408"/>
    </row>
    <row r="693" spans="1:3">
      <c r="A693" s="767" t="s">
        <v>3639</v>
      </c>
      <c r="B693" s="767" t="s">
        <v>5097</v>
      </c>
      <c r="C693" s="408"/>
    </row>
    <row r="694" spans="1:3">
      <c r="A694" s="767" t="s">
        <v>2750</v>
      </c>
      <c r="B694" s="767" t="s">
        <v>5098</v>
      </c>
      <c r="C694" s="408"/>
    </row>
    <row r="695" spans="1:3">
      <c r="A695" s="767" t="s">
        <v>3637</v>
      </c>
      <c r="B695" s="767" t="s">
        <v>5099</v>
      </c>
      <c r="C695" s="408"/>
    </row>
    <row r="696" spans="1:3">
      <c r="A696" s="767" t="s">
        <v>3636</v>
      </c>
      <c r="B696" s="767" t="s">
        <v>5100</v>
      </c>
      <c r="C696" s="408"/>
    </row>
    <row r="697" spans="1:3">
      <c r="A697" s="767" t="s">
        <v>5101</v>
      </c>
      <c r="B697" s="767" t="s">
        <v>5102</v>
      </c>
      <c r="C697" s="408"/>
    </row>
    <row r="698" spans="1:3">
      <c r="A698" s="767" t="s">
        <v>3635</v>
      </c>
      <c r="B698" s="767" t="s">
        <v>5103</v>
      </c>
      <c r="C698" s="408"/>
    </row>
    <row r="699" spans="1:3">
      <c r="A699" s="767" t="s">
        <v>3634</v>
      </c>
      <c r="B699" s="767" t="s">
        <v>5104</v>
      </c>
      <c r="C699" s="408"/>
    </row>
    <row r="700" spans="1:3">
      <c r="A700" s="767" t="s">
        <v>5105</v>
      </c>
      <c r="B700" s="767" t="s">
        <v>5106</v>
      </c>
      <c r="C700" s="408"/>
    </row>
    <row r="701" spans="1:3">
      <c r="A701" s="767" t="s">
        <v>3633</v>
      </c>
      <c r="B701" s="767" t="s">
        <v>5107</v>
      </c>
      <c r="C701" s="408"/>
    </row>
    <row r="702" spans="1:3">
      <c r="A702" s="767" t="s">
        <v>3630</v>
      </c>
      <c r="B702" s="767" t="s">
        <v>5108</v>
      </c>
      <c r="C702" s="408"/>
    </row>
    <row r="703" spans="1:3">
      <c r="A703" s="767" t="s">
        <v>3629</v>
      </c>
      <c r="B703" s="767" t="s">
        <v>5109</v>
      </c>
      <c r="C703" s="408"/>
    </row>
    <row r="704" spans="1:3">
      <c r="A704" s="767" t="s">
        <v>5110</v>
      </c>
      <c r="B704" s="767" t="s">
        <v>5111</v>
      </c>
      <c r="C704" s="408"/>
    </row>
    <row r="705" spans="1:3">
      <c r="A705" s="767" t="s">
        <v>5112</v>
      </c>
      <c r="B705" s="767" t="s">
        <v>5113</v>
      </c>
      <c r="C705" s="408"/>
    </row>
    <row r="706" spans="1:3">
      <c r="A706" s="767" t="s">
        <v>3628</v>
      </c>
      <c r="B706" s="767" t="s">
        <v>5114</v>
      </c>
      <c r="C706" s="408"/>
    </row>
    <row r="707" spans="1:3">
      <c r="A707" s="767" t="s">
        <v>5115</v>
      </c>
      <c r="B707" s="767" t="s">
        <v>5116</v>
      </c>
      <c r="C707" s="408"/>
    </row>
    <row r="708" spans="1:3">
      <c r="A708" s="767" t="s">
        <v>5117</v>
      </c>
      <c r="B708" s="767" t="s">
        <v>5118</v>
      </c>
      <c r="C708" s="408"/>
    </row>
    <row r="709" spans="1:3">
      <c r="A709" s="767" t="s">
        <v>3627</v>
      </c>
      <c r="B709" s="767" t="s">
        <v>5119</v>
      </c>
      <c r="C709" s="408"/>
    </row>
    <row r="710" spans="1:3">
      <c r="A710" s="767" t="s">
        <v>3626</v>
      </c>
      <c r="B710" s="767" t="s">
        <v>5120</v>
      </c>
      <c r="C710" s="408"/>
    </row>
    <row r="711" spans="1:3">
      <c r="A711" s="767" t="s">
        <v>5121</v>
      </c>
      <c r="B711" s="767" t="s">
        <v>5122</v>
      </c>
      <c r="C711" s="408"/>
    </row>
    <row r="712" spans="1:3">
      <c r="A712" s="767" t="s">
        <v>3625</v>
      </c>
      <c r="B712" s="767" t="s">
        <v>5123</v>
      </c>
      <c r="C712" s="408"/>
    </row>
    <row r="713" spans="1:3">
      <c r="A713" s="767" t="s">
        <v>3624</v>
      </c>
      <c r="B713" s="767" t="s">
        <v>5124</v>
      </c>
      <c r="C713" s="408"/>
    </row>
    <row r="714" spans="1:3">
      <c r="A714" s="767" t="s">
        <v>3623</v>
      </c>
      <c r="B714" s="767" t="s">
        <v>5125</v>
      </c>
      <c r="C714" s="408"/>
    </row>
    <row r="715" spans="1:3">
      <c r="A715" s="767" t="s">
        <v>3622</v>
      </c>
      <c r="B715" s="767" t="s">
        <v>5126</v>
      </c>
      <c r="C715" s="408"/>
    </row>
    <row r="716" spans="1:3">
      <c r="A716" s="767" t="s">
        <v>3621</v>
      </c>
      <c r="B716" s="767" t="s">
        <v>5127</v>
      </c>
      <c r="C716" s="408"/>
    </row>
    <row r="717" spans="1:3">
      <c r="A717" s="767" t="s">
        <v>3620</v>
      </c>
      <c r="B717" s="767" t="s">
        <v>5128</v>
      </c>
      <c r="C717" s="408"/>
    </row>
    <row r="718" spans="1:3">
      <c r="A718" s="767" t="s">
        <v>5129</v>
      </c>
      <c r="B718" s="767" t="s">
        <v>5130</v>
      </c>
      <c r="C718" s="408"/>
    </row>
    <row r="719" spans="1:3">
      <c r="A719" s="767" t="s">
        <v>2760</v>
      </c>
      <c r="B719" s="767" t="s">
        <v>5131</v>
      </c>
      <c r="C719" s="408"/>
    </row>
    <row r="720" spans="1:3">
      <c r="A720" s="767" t="s">
        <v>2762</v>
      </c>
      <c r="B720" s="767" t="s">
        <v>5132</v>
      </c>
      <c r="C720" s="408"/>
    </row>
    <row r="721" spans="1:3">
      <c r="A721" s="767" t="s">
        <v>2764</v>
      </c>
      <c r="B721" s="767" t="s">
        <v>5133</v>
      </c>
      <c r="C721" s="408"/>
    </row>
    <row r="722" spans="1:3">
      <c r="A722" s="767" t="s">
        <v>3619</v>
      </c>
      <c r="B722" s="767" t="s">
        <v>5134</v>
      </c>
      <c r="C722" s="408"/>
    </row>
    <row r="723" spans="1:3">
      <c r="A723" s="767" t="s">
        <v>3618</v>
      </c>
      <c r="B723" s="767" t="s">
        <v>5135</v>
      </c>
      <c r="C723" s="408"/>
    </row>
    <row r="724" spans="1:3">
      <c r="A724" s="767" t="s">
        <v>2768</v>
      </c>
      <c r="B724" s="767" t="s">
        <v>5136</v>
      </c>
      <c r="C724" s="408"/>
    </row>
    <row r="725" spans="1:3">
      <c r="A725" s="767" t="s">
        <v>3617</v>
      </c>
      <c r="B725" s="767" t="s">
        <v>5137</v>
      </c>
      <c r="C725" s="408"/>
    </row>
    <row r="726" spans="1:3">
      <c r="A726" s="767" t="s">
        <v>3616</v>
      </c>
      <c r="B726" s="767" t="s">
        <v>5138</v>
      </c>
      <c r="C726" s="408"/>
    </row>
    <row r="727" spans="1:3">
      <c r="A727" s="767" t="s">
        <v>3615</v>
      </c>
      <c r="B727" s="767" t="s">
        <v>5139</v>
      </c>
      <c r="C727" s="408"/>
    </row>
    <row r="728" spans="1:3">
      <c r="A728" s="767" t="s">
        <v>5140</v>
      </c>
      <c r="B728" s="767" t="s">
        <v>5141</v>
      </c>
      <c r="C728" s="408"/>
    </row>
    <row r="729" spans="1:3">
      <c r="A729" s="767" t="s">
        <v>2903</v>
      </c>
      <c r="B729" s="767" t="s">
        <v>5142</v>
      </c>
      <c r="C729" s="408"/>
    </row>
    <row r="730" spans="1:3">
      <c r="A730" s="767" t="s">
        <v>2767</v>
      </c>
      <c r="B730" s="767" t="s">
        <v>5143</v>
      </c>
      <c r="C730" s="408"/>
    </row>
    <row r="731" spans="1:3">
      <c r="A731" s="767" t="s">
        <v>3614</v>
      </c>
      <c r="B731" s="767" t="s">
        <v>5144</v>
      </c>
      <c r="C731" s="408"/>
    </row>
    <row r="732" spans="1:3">
      <c r="A732" s="767" t="s">
        <v>3613</v>
      </c>
      <c r="B732" s="767" t="s">
        <v>5145</v>
      </c>
      <c r="C732" s="408"/>
    </row>
    <row r="733" spans="1:3">
      <c r="A733" s="767" t="s">
        <v>3612</v>
      </c>
      <c r="B733" s="767" t="s">
        <v>5146</v>
      </c>
      <c r="C733" s="408"/>
    </row>
    <row r="734" spans="1:3">
      <c r="A734" s="767" t="s">
        <v>3611</v>
      </c>
      <c r="B734" s="767" t="s">
        <v>5147</v>
      </c>
      <c r="C734" s="408"/>
    </row>
    <row r="735" spans="1:3">
      <c r="A735" s="767" t="s">
        <v>5148</v>
      </c>
      <c r="B735" s="767" t="s">
        <v>5149</v>
      </c>
      <c r="C735" s="408"/>
    </row>
    <row r="736" spans="1:3">
      <c r="A736" s="767" t="s">
        <v>2792</v>
      </c>
      <c r="B736" s="767" t="s">
        <v>5081</v>
      </c>
      <c r="C736" s="408"/>
    </row>
    <row r="737" spans="1:3">
      <c r="A737" s="767" t="s">
        <v>3608</v>
      </c>
      <c r="B737" s="767" t="s">
        <v>5150</v>
      </c>
      <c r="C737" s="408"/>
    </row>
    <row r="738" spans="1:3">
      <c r="A738" s="767" t="s">
        <v>3607</v>
      </c>
      <c r="B738" s="767" t="s">
        <v>5151</v>
      </c>
      <c r="C738" s="408"/>
    </row>
    <row r="739" spans="1:3">
      <c r="A739" s="767" t="s">
        <v>2796</v>
      </c>
      <c r="B739" s="767" t="s">
        <v>5152</v>
      </c>
      <c r="C739" s="408"/>
    </row>
    <row r="740" spans="1:3">
      <c r="A740" s="767" t="s">
        <v>3606</v>
      </c>
      <c r="B740" s="767" t="s">
        <v>5153</v>
      </c>
      <c r="C740" s="408"/>
    </row>
    <row r="741" spans="1:3">
      <c r="A741" s="767" t="s">
        <v>3605</v>
      </c>
      <c r="B741" s="767" t="s">
        <v>5154</v>
      </c>
      <c r="C741" s="408"/>
    </row>
    <row r="742" spans="1:3">
      <c r="A742" s="767" t="s">
        <v>5155</v>
      </c>
      <c r="B742" s="767" t="s">
        <v>5156</v>
      </c>
      <c r="C742" s="408"/>
    </row>
    <row r="743" spans="1:3">
      <c r="A743" s="767" t="s">
        <v>2817</v>
      </c>
      <c r="B743" s="767" t="s">
        <v>5157</v>
      </c>
      <c r="C743" s="408"/>
    </row>
    <row r="744" spans="1:3">
      <c r="A744" s="767" t="s">
        <v>3604</v>
      </c>
      <c r="B744" s="767" t="s">
        <v>5158</v>
      </c>
      <c r="C744" s="408"/>
    </row>
    <row r="745" spans="1:3">
      <c r="A745" s="767" t="s">
        <v>3603</v>
      </c>
      <c r="B745" s="767" t="s">
        <v>5159</v>
      </c>
      <c r="C745" s="408"/>
    </row>
    <row r="746" spans="1:3">
      <c r="A746" s="767" t="s">
        <v>3602</v>
      </c>
      <c r="B746" s="767" t="s">
        <v>5160</v>
      </c>
      <c r="C746" s="408"/>
    </row>
    <row r="747" spans="1:3">
      <c r="A747" s="767" t="s">
        <v>2782</v>
      </c>
      <c r="B747" s="767" t="s">
        <v>5161</v>
      </c>
      <c r="C747" s="408"/>
    </row>
    <row r="748" spans="1:3">
      <c r="A748" s="767" t="s">
        <v>2783</v>
      </c>
      <c r="B748" s="767" t="s">
        <v>5162</v>
      </c>
      <c r="C748" s="408"/>
    </row>
    <row r="749" spans="1:3">
      <c r="A749" s="767" t="s">
        <v>2801</v>
      </c>
      <c r="B749" s="767" t="s">
        <v>5163</v>
      </c>
      <c r="C749" s="408"/>
    </row>
    <row r="750" spans="1:3">
      <c r="A750" s="767" t="s">
        <v>3601</v>
      </c>
      <c r="B750" s="767" t="s">
        <v>5164</v>
      </c>
      <c r="C750" s="408"/>
    </row>
    <row r="751" spans="1:3">
      <c r="A751" s="767" t="s">
        <v>3600</v>
      </c>
      <c r="B751" s="767" t="s">
        <v>5165</v>
      </c>
      <c r="C751" s="408"/>
    </row>
    <row r="752" spans="1:3">
      <c r="A752" s="767" t="s">
        <v>2803</v>
      </c>
      <c r="B752" s="767" t="s">
        <v>5166</v>
      </c>
      <c r="C752" s="408"/>
    </row>
    <row r="753" spans="1:3">
      <c r="A753" s="767" t="s">
        <v>2791</v>
      </c>
      <c r="B753" s="767" t="s">
        <v>5167</v>
      </c>
      <c r="C753" s="408"/>
    </row>
    <row r="754" spans="1:3">
      <c r="A754" s="767" t="s">
        <v>3597</v>
      </c>
      <c r="B754" s="767" t="s">
        <v>5168</v>
      </c>
      <c r="C754" s="408"/>
    </row>
    <row r="755" spans="1:3">
      <c r="A755" s="767" t="s">
        <v>3596</v>
      </c>
      <c r="B755" s="767" t="s">
        <v>5169</v>
      </c>
      <c r="C755" s="408"/>
    </row>
    <row r="756" spans="1:3">
      <c r="A756" s="767" t="s">
        <v>2928</v>
      </c>
      <c r="B756" s="767" t="s">
        <v>5170</v>
      </c>
      <c r="C756" s="408"/>
    </row>
    <row r="757" spans="1:3">
      <c r="A757" s="767" t="s">
        <v>3594</v>
      </c>
      <c r="B757" s="767" t="s">
        <v>5171</v>
      </c>
      <c r="C757" s="408"/>
    </row>
    <row r="758" spans="1:3">
      <c r="A758" s="767" t="s">
        <v>2809</v>
      </c>
      <c r="B758" s="767" t="s">
        <v>5172</v>
      </c>
      <c r="C758" s="408"/>
    </row>
    <row r="759" spans="1:3">
      <c r="A759" s="767" t="s">
        <v>2810</v>
      </c>
      <c r="B759" s="767" t="s">
        <v>5173</v>
      </c>
      <c r="C759" s="408"/>
    </row>
    <row r="760" spans="1:3">
      <c r="A760" s="767" t="s">
        <v>2815</v>
      </c>
      <c r="B760" s="767" t="s">
        <v>5174</v>
      </c>
      <c r="C760" s="408"/>
    </row>
    <row r="761" spans="1:3">
      <c r="A761" s="767" t="s">
        <v>2812</v>
      </c>
      <c r="B761" s="767" t="s">
        <v>5175</v>
      </c>
      <c r="C761" s="408"/>
    </row>
    <row r="762" spans="1:3">
      <c r="A762" s="767" t="s">
        <v>2811</v>
      </c>
      <c r="B762" s="767" t="s">
        <v>5176</v>
      </c>
      <c r="C762" s="408"/>
    </row>
    <row r="763" spans="1:3">
      <c r="A763" s="767" t="s">
        <v>5177</v>
      </c>
      <c r="B763" s="767" t="s">
        <v>5178</v>
      </c>
      <c r="C763" s="408"/>
    </row>
    <row r="764" spans="1:3">
      <c r="A764" s="767" t="s">
        <v>2816</v>
      </c>
      <c r="B764" s="767" t="s">
        <v>5179</v>
      </c>
      <c r="C764" s="408"/>
    </row>
    <row r="765" spans="1:3">
      <c r="A765" s="767" t="s">
        <v>5180</v>
      </c>
      <c r="B765" s="767" t="s">
        <v>5181</v>
      </c>
      <c r="C765" s="408"/>
    </row>
    <row r="766" spans="1:3">
      <c r="A766" s="767" t="s">
        <v>2814</v>
      </c>
      <c r="B766" s="767" t="s">
        <v>5182</v>
      </c>
      <c r="C766" s="408"/>
    </row>
    <row r="767" spans="1:3">
      <c r="A767" s="767" t="s">
        <v>3593</v>
      </c>
      <c r="B767" s="767" t="s">
        <v>5183</v>
      </c>
      <c r="C767" s="408"/>
    </row>
    <row r="768" spans="1:3">
      <c r="A768" s="767" t="s">
        <v>2818</v>
      </c>
      <c r="B768" s="767" t="s">
        <v>5184</v>
      </c>
      <c r="C768" s="408"/>
    </row>
    <row r="769" spans="1:3">
      <c r="A769" s="767" t="s">
        <v>3592</v>
      </c>
      <c r="B769" s="767" t="s">
        <v>5185</v>
      </c>
      <c r="C769" s="408"/>
    </row>
    <row r="770" spans="1:3">
      <c r="A770" s="767" t="s">
        <v>3591</v>
      </c>
      <c r="B770" s="767" t="s">
        <v>5186</v>
      </c>
      <c r="C770" s="408"/>
    </row>
    <row r="771" spans="1:3">
      <c r="A771" s="767" t="s">
        <v>5187</v>
      </c>
      <c r="B771" s="767" t="s">
        <v>5188</v>
      </c>
      <c r="C771" s="408"/>
    </row>
    <row r="772" spans="1:3">
      <c r="A772" s="767" t="s">
        <v>2820</v>
      </c>
      <c r="B772" s="767" t="s">
        <v>5189</v>
      </c>
      <c r="C772" s="408"/>
    </row>
    <row r="773" spans="1:3">
      <c r="A773" s="767" t="s">
        <v>2822</v>
      </c>
      <c r="B773" s="767" t="s">
        <v>5190</v>
      </c>
      <c r="C773" s="408"/>
    </row>
    <row r="774" spans="1:3">
      <c r="A774" s="767" t="s">
        <v>2821</v>
      </c>
      <c r="B774" s="767" t="s">
        <v>5191</v>
      </c>
      <c r="C774" s="408"/>
    </row>
    <row r="775" spans="1:3">
      <c r="A775" s="767" t="s">
        <v>5192</v>
      </c>
      <c r="B775" s="767" t="s">
        <v>5193</v>
      </c>
      <c r="C775" s="408"/>
    </row>
    <row r="776" spans="1:3">
      <c r="A776" s="767" t="s">
        <v>3589</v>
      </c>
      <c r="B776" s="767" t="s">
        <v>5194</v>
      </c>
      <c r="C776" s="408"/>
    </row>
    <row r="777" spans="1:3">
      <c r="A777" s="767" t="s">
        <v>3588</v>
      </c>
      <c r="B777" s="767" t="s">
        <v>5195</v>
      </c>
      <c r="C777" s="408"/>
    </row>
    <row r="778" spans="1:3">
      <c r="A778" s="767" t="s">
        <v>3587</v>
      </c>
      <c r="B778" s="767" t="s">
        <v>5196</v>
      </c>
      <c r="C778" s="408"/>
    </row>
    <row r="779" spans="1:3">
      <c r="A779" s="767" t="s">
        <v>3586</v>
      </c>
      <c r="B779" s="767" t="s">
        <v>5197</v>
      </c>
      <c r="C779" s="408"/>
    </row>
    <row r="780" spans="1:3">
      <c r="A780" s="767" t="s">
        <v>3585</v>
      </c>
      <c r="B780" s="767" t="s">
        <v>5198</v>
      </c>
      <c r="C780" s="408"/>
    </row>
    <row r="781" spans="1:3">
      <c r="A781" s="767" t="s">
        <v>3583</v>
      </c>
      <c r="B781" s="767" t="s">
        <v>5199</v>
      </c>
      <c r="C781" s="408"/>
    </row>
    <row r="782" spans="1:3">
      <c r="A782" s="767" t="s">
        <v>3582</v>
      </c>
      <c r="B782" s="767" t="s">
        <v>5200</v>
      </c>
      <c r="C782" s="408"/>
    </row>
    <row r="783" spans="1:3">
      <c r="A783" s="767" t="s">
        <v>3580</v>
      </c>
      <c r="B783" s="767" t="s">
        <v>5201</v>
      </c>
      <c r="C783" s="408"/>
    </row>
    <row r="784" spans="1:3">
      <c r="A784" s="767" t="s">
        <v>5202</v>
      </c>
      <c r="B784" s="767" t="s">
        <v>5203</v>
      </c>
      <c r="C784" s="408"/>
    </row>
    <row r="785" spans="1:3">
      <c r="A785" s="767" t="s">
        <v>5204</v>
      </c>
      <c r="B785" s="767" t="s">
        <v>5205</v>
      </c>
      <c r="C785" s="408"/>
    </row>
    <row r="786" spans="1:3">
      <c r="A786" s="767" t="s">
        <v>2829</v>
      </c>
      <c r="B786" s="767" t="s">
        <v>5206</v>
      </c>
      <c r="C786" s="408"/>
    </row>
    <row r="787" spans="1:3">
      <c r="A787" s="767" t="s">
        <v>5207</v>
      </c>
      <c r="B787" s="767" t="s">
        <v>5208</v>
      </c>
      <c r="C787" s="408"/>
    </row>
    <row r="788" spans="1:3">
      <c r="A788" s="767" t="s">
        <v>5209</v>
      </c>
      <c r="B788" s="767" t="s">
        <v>5210</v>
      </c>
      <c r="C788" s="408"/>
    </row>
    <row r="789" spans="1:3">
      <c r="A789" s="767" t="s">
        <v>5211</v>
      </c>
      <c r="B789" s="767" t="s">
        <v>5212</v>
      </c>
      <c r="C789" s="408"/>
    </row>
    <row r="790" spans="1:3">
      <c r="A790" s="767" t="s">
        <v>5213</v>
      </c>
      <c r="B790" s="767" t="s">
        <v>5214</v>
      </c>
      <c r="C790" s="408"/>
    </row>
    <row r="791" spans="1:3">
      <c r="A791" s="767" t="s">
        <v>2830</v>
      </c>
      <c r="B791" s="767" t="s">
        <v>5215</v>
      </c>
      <c r="C791" s="408"/>
    </row>
    <row r="792" spans="1:3">
      <c r="A792" s="767" t="s">
        <v>5216</v>
      </c>
      <c r="B792" s="767" t="s">
        <v>5217</v>
      </c>
      <c r="C792" s="408"/>
    </row>
    <row r="793" spans="1:3">
      <c r="A793" s="767" t="s">
        <v>5218</v>
      </c>
      <c r="B793" s="767" t="s">
        <v>5219</v>
      </c>
      <c r="C793" s="408"/>
    </row>
    <row r="794" spans="1:3">
      <c r="A794" s="767" t="s">
        <v>5220</v>
      </c>
      <c r="B794" s="767" t="s">
        <v>5221</v>
      </c>
      <c r="C794" s="408"/>
    </row>
    <row r="795" spans="1:3">
      <c r="A795" s="767" t="s">
        <v>5222</v>
      </c>
      <c r="B795" s="767" t="s">
        <v>5223</v>
      </c>
      <c r="C795" s="408"/>
    </row>
    <row r="796" spans="1:3">
      <c r="A796" s="767" t="s">
        <v>5224</v>
      </c>
      <c r="B796" s="767" t="s">
        <v>5225</v>
      </c>
      <c r="C796" s="408"/>
    </row>
    <row r="797" spans="1:3">
      <c r="A797" s="767" t="s">
        <v>3579</v>
      </c>
      <c r="B797" s="767" t="s">
        <v>5226</v>
      </c>
      <c r="C797" s="408"/>
    </row>
    <row r="798" spans="1:3">
      <c r="A798" s="767" t="s">
        <v>5227</v>
      </c>
      <c r="B798" s="767" t="s">
        <v>5228</v>
      </c>
      <c r="C798" s="408"/>
    </row>
    <row r="799" spans="1:3">
      <c r="A799" s="767" t="s">
        <v>5229</v>
      </c>
      <c r="B799" s="767" t="s">
        <v>5230</v>
      </c>
      <c r="C799" s="408"/>
    </row>
    <row r="800" spans="1:3">
      <c r="A800" s="767" t="s">
        <v>5231</v>
      </c>
      <c r="B800" s="767" t="s">
        <v>5232</v>
      </c>
      <c r="C800" s="408"/>
    </row>
    <row r="801" spans="1:3">
      <c r="A801" s="767" t="s">
        <v>5233</v>
      </c>
      <c r="B801" s="767" t="s">
        <v>5234</v>
      </c>
      <c r="C801" s="408"/>
    </row>
    <row r="802" spans="1:3">
      <c r="A802" s="767" t="s">
        <v>5235</v>
      </c>
      <c r="B802" s="767" t="s">
        <v>5236</v>
      </c>
      <c r="C802" s="408"/>
    </row>
    <row r="803" spans="1:3">
      <c r="A803" s="767" t="s">
        <v>5237</v>
      </c>
      <c r="B803" s="767" t="s">
        <v>5238</v>
      </c>
      <c r="C803" s="408"/>
    </row>
    <row r="804" spans="1:3">
      <c r="A804" s="767" t="s">
        <v>5239</v>
      </c>
      <c r="B804" s="767" t="s">
        <v>5240</v>
      </c>
      <c r="C804" s="408"/>
    </row>
    <row r="805" spans="1:3">
      <c r="A805" s="767" t="s">
        <v>5241</v>
      </c>
      <c r="B805" s="767" t="s">
        <v>5242</v>
      </c>
      <c r="C805" s="408"/>
    </row>
    <row r="806" spans="1:3">
      <c r="A806" s="767" t="s">
        <v>5243</v>
      </c>
      <c r="B806" s="767" t="s">
        <v>5244</v>
      </c>
      <c r="C806" s="408"/>
    </row>
    <row r="807" spans="1:3">
      <c r="A807" s="767" t="s">
        <v>5245</v>
      </c>
      <c r="B807" s="767" t="s">
        <v>5246</v>
      </c>
      <c r="C807" s="408"/>
    </row>
    <row r="808" spans="1:3">
      <c r="A808" s="767" t="s">
        <v>5247</v>
      </c>
      <c r="B808" s="767" t="s">
        <v>5248</v>
      </c>
      <c r="C808" s="408"/>
    </row>
    <row r="809" spans="1:3">
      <c r="A809" s="767" t="s">
        <v>5249</v>
      </c>
      <c r="B809" s="767" t="s">
        <v>5250</v>
      </c>
      <c r="C809" s="408"/>
    </row>
    <row r="810" spans="1:3">
      <c r="A810" s="767" t="s">
        <v>5251</v>
      </c>
      <c r="B810" s="767" t="s">
        <v>5252</v>
      </c>
      <c r="C810" s="408"/>
    </row>
    <row r="811" spans="1:3">
      <c r="A811" s="767" t="s">
        <v>3578</v>
      </c>
      <c r="B811" s="767" t="s">
        <v>5253</v>
      </c>
      <c r="C811" s="408"/>
    </row>
    <row r="812" spans="1:3">
      <c r="A812" s="767" t="s">
        <v>5254</v>
      </c>
      <c r="B812" s="767" t="s">
        <v>5255</v>
      </c>
      <c r="C812" s="408"/>
    </row>
    <row r="813" spans="1:3">
      <c r="A813" s="767" t="s">
        <v>5256</v>
      </c>
      <c r="B813" s="767" t="s">
        <v>5257</v>
      </c>
      <c r="C813" s="408"/>
    </row>
    <row r="814" spans="1:3">
      <c r="A814" s="767" t="s">
        <v>5258</v>
      </c>
      <c r="B814" s="767" t="s">
        <v>5259</v>
      </c>
      <c r="C814" s="408"/>
    </row>
    <row r="815" spans="1:3">
      <c r="A815" s="767" t="s">
        <v>5260</v>
      </c>
      <c r="B815" s="767" t="s">
        <v>5261</v>
      </c>
      <c r="C815" s="408"/>
    </row>
    <row r="816" spans="1:3">
      <c r="A816" s="767" t="s">
        <v>5262</v>
      </c>
      <c r="B816" s="767" t="s">
        <v>5263</v>
      </c>
      <c r="C816" s="408"/>
    </row>
    <row r="817" spans="1:3">
      <c r="A817" s="767" t="s">
        <v>5264</v>
      </c>
      <c r="B817" s="767" t="s">
        <v>5265</v>
      </c>
      <c r="C817" s="408"/>
    </row>
    <row r="818" spans="1:3">
      <c r="A818" s="767" t="s">
        <v>2814</v>
      </c>
      <c r="B818" s="767" t="s">
        <v>5266</v>
      </c>
      <c r="C818" s="408"/>
    </row>
    <row r="819" spans="1:3">
      <c r="A819" s="767" t="s">
        <v>5267</v>
      </c>
      <c r="B819" s="767" t="s">
        <v>5268</v>
      </c>
      <c r="C819" s="408"/>
    </row>
    <row r="820" spans="1:3">
      <c r="A820" s="767" t="s">
        <v>5269</v>
      </c>
      <c r="B820" s="767" t="s">
        <v>5270</v>
      </c>
      <c r="C820" s="408"/>
    </row>
    <row r="821" spans="1:3">
      <c r="A821" s="767" t="s">
        <v>5271</v>
      </c>
      <c r="B821" s="767" t="s">
        <v>5272</v>
      </c>
      <c r="C821" s="408"/>
    </row>
    <row r="822" spans="1:3">
      <c r="A822" s="767" t="s">
        <v>3577</v>
      </c>
      <c r="B822" s="767" t="s">
        <v>5273</v>
      </c>
      <c r="C822" s="408"/>
    </row>
    <row r="823" spans="1:3">
      <c r="A823" s="767" t="s">
        <v>5274</v>
      </c>
      <c r="B823" s="767" t="s">
        <v>5275</v>
      </c>
      <c r="C823" s="408"/>
    </row>
    <row r="824" spans="1:3">
      <c r="A824" s="767" t="s">
        <v>3576</v>
      </c>
      <c r="B824" s="767" t="s">
        <v>5276</v>
      </c>
      <c r="C824" s="408"/>
    </row>
    <row r="825" spans="1:3">
      <c r="A825" s="767" t="s">
        <v>5277</v>
      </c>
      <c r="B825" s="767" t="s">
        <v>5278</v>
      </c>
      <c r="C825" s="408"/>
    </row>
    <row r="826" spans="1:3">
      <c r="A826" s="767" t="s">
        <v>5279</v>
      </c>
      <c r="B826" s="767" t="s">
        <v>5280</v>
      </c>
      <c r="C826" s="408"/>
    </row>
    <row r="827" spans="1:3">
      <c r="A827" s="767" t="s">
        <v>5281</v>
      </c>
      <c r="B827" s="767" t="s">
        <v>5282</v>
      </c>
      <c r="C827" s="408"/>
    </row>
    <row r="828" spans="1:3">
      <c r="A828" s="767" t="s">
        <v>5283</v>
      </c>
      <c r="B828" s="767" t="s">
        <v>5284</v>
      </c>
      <c r="C828" s="408"/>
    </row>
    <row r="829" spans="1:3">
      <c r="A829" s="767" t="s">
        <v>5285</v>
      </c>
      <c r="B829" s="767" t="s">
        <v>5286</v>
      </c>
      <c r="C829" s="408"/>
    </row>
    <row r="830" spans="1:3">
      <c r="A830" s="767" t="s">
        <v>5287</v>
      </c>
      <c r="B830" s="767" t="s">
        <v>5288</v>
      </c>
      <c r="C830" s="408"/>
    </row>
    <row r="831" spans="1:3">
      <c r="A831" s="767" t="s">
        <v>5289</v>
      </c>
      <c r="B831" s="767" t="s">
        <v>5290</v>
      </c>
      <c r="C831" s="408"/>
    </row>
    <row r="832" spans="1:3">
      <c r="A832" s="767" t="s">
        <v>5291</v>
      </c>
      <c r="B832" s="767" t="s">
        <v>5292</v>
      </c>
      <c r="C832" s="408"/>
    </row>
    <row r="833" spans="1:3">
      <c r="A833" s="767" t="s">
        <v>5293</v>
      </c>
      <c r="B833" s="767" t="s">
        <v>5294</v>
      </c>
      <c r="C833" s="408"/>
    </row>
    <row r="834" spans="1:3">
      <c r="A834" s="767" t="s">
        <v>5295</v>
      </c>
      <c r="B834" s="767" t="s">
        <v>5296</v>
      </c>
      <c r="C834" s="408"/>
    </row>
    <row r="835" spans="1:3">
      <c r="A835" s="767" t="s">
        <v>5297</v>
      </c>
      <c r="B835" s="767" t="s">
        <v>5298</v>
      </c>
      <c r="C835" s="408"/>
    </row>
    <row r="836" spans="1:3">
      <c r="A836" s="767" t="s">
        <v>5299</v>
      </c>
      <c r="B836" s="767" t="s">
        <v>5300</v>
      </c>
      <c r="C836" s="408"/>
    </row>
    <row r="837" spans="1:3">
      <c r="A837" s="767" t="s">
        <v>5301</v>
      </c>
      <c r="B837" s="767" t="s">
        <v>5302</v>
      </c>
      <c r="C837" s="408"/>
    </row>
    <row r="838" spans="1:3">
      <c r="A838" s="767" t="s">
        <v>5303</v>
      </c>
      <c r="B838" s="767" t="s">
        <v>5304</v>
      </c>
      <c r="C838" s="408"/>
    </row>
    <row r="839" spans="1:3">
      <c r="A839" s="767" t="s">
        <v>5305</v>
      </c>
      <c r="B839" s="767" t="s">
        <v>5306</v>
      </c>
      <c r="C839" s="408"/>
    </row>
    <row r="840" spans="1:3">
      <c r="A840" s="767" t="s">
        <v>3575</v>
      </c>
      <c r="B840" s="767" t="s">
        <v>5304</v>
      </c>
      <c r="C840" s="408"/>
    </row>
    <row r="841" spans="1:3">
      <c r="A841" s="767" t="s">
        <v>5307</v>
      </c>
      <c r="B841" s="767" t="s">
        <v>5308</v>
      </c>
      <c r="C841" s="408"/>
    </row>
    <row r="842" spans="1:3">
      <c r="A842" s="767" t="s">
        <v>5309</v>
      </c>
      <c r="B842" s="767" t="s">
        <v>5310</v>
      </c>
      <c r="C842" s="408"/>
    </row>
    <row r="843" spans="1:3">
      <c r="A843" s="767" t="s">
        <v>5311</v>
      </c>
      <c r="B843" s="767" t="s">
        <v>5312</v>
      </c>
      <c r="C843" s="408"/>
    </row>
    <row r="844" spans="1:3">
      <c r="A844" s="767" t="s">
        <v>5313</v>
      </c>
      <c r="B844" s="767" t="s">
        <v>5314</v>
      </c>
      <c r="C844" s="408"/>
    </row>
    <row r="845" spans="1:3">
      <c r="A845" s="767" t="s">
        <v>5315</v>
      </c>
      <c r="B845" s="767" t="s">
        <v>5316</v>
      </c>
      <c r="C845" s="408"/>
    </row>
    <row r="846" spans="1:3">
      <c r="A846" s="767" t="s">
        <v>5317</v>
      </c>
      <c r="B846" s="767" t="s">
        <v>5318</v>
      </c>
      <c r="C846" s="408"/>
    </row>
    <row r="847" spans="1:3">
      <c r="A847" s="767" t="s">
        <v>5319</v>
      </c>
      <c r="B847" s="767" t="s">
        <v>5320</v>
      </c>
      <c r="C847" s="408"/>
    </row>
    <row r="848" spans="1:3">
      <c r="A848" s="767" t="s">
        <v>5321</v>
      </c>
      <c r="B848" s="767" t="s">
        <v>5322</v>
      </c>
      <c r="C848" s="408"/>
    </row>
    <row r="849" spans="1:3">
      <c r="A849" s="767" t="s">
        <v>5323</v>
      </c>
      <c r="B849" s="767" t="s">
        <v>5324</v>
      </c>
      <c r="C849" s="408"/>
    </row>
    <row r="850" spans="1:3">
      <c r="A850" s="767" t="s">
        <v>5325</v>
      </c>
      <c r="B850" s="767" t="s">
        <v>5326</v>
      </c>
      <c r="C850" s="408"/>
    </row>
    <row r="851" spans="1:3">
      <c r="A851" s="767" t="s">
        <v>5327</v>
      </c>
      <c r="B851" s="767" t="s">
        <v>5328</v>
      </c>
      <c r="C851" s="408"/>
    </row>
    <row r="852" spans="1:3">
      <c r="A852" s="767" t="s">
        <v>5329</v>
      </c>
      <c r="B852" s="767" t="s">
        <v>5330</v>
      </c>
      <c r="C852" s="408"/>
    </row>
    <row r="853" spans="1:3">
      <c r="A853" s="767" t="s">
        <v>5331</v>
      </c>
      <c r="B853" s="767" t="s">
        <v>5332</v>
      </c>
      <c r="C853" s="408"/>
    </row>
    <row r="854" spans="1:3">
      <c r="A854" s="767" t="s">
        <v>5333</v>
      </c>
      <c r="B854" s="767" t="s">
        <v>5334</v>
      </c>
      <c r="C854" s="408"/>
    </row>
    <row r="855" spans="1:3">
      <c r="A855" s="767" t="s">
        <v>5335</v>
      </c>
      <c r="B855" s="767" t="s">
        <v>5336</v>
      </c>
      <c r="C855" s="408"/>
    </row>
    <row r="856" spans="1:3">
      <c r="A856" s="767" t="s">
        <v>3574</v>
      </c>
      <c r="B856" s="767" t="s">
        <v>5337</v>
      </c>
      <c r="C856" s="408"/>
    </row>
    <row r="857" spans="1:3">
      <c r="A857" s="767" t="s">
        <v>5338</v>
      </c>
      <c r="B857" s="767" t="s">
        <v>5339</v>
      </c>
      <c r="C857" s="408"/>
    </row>
    <row r="858" spans="1:3">
      <c r="A858" s="767" t="s">
        <v>3573</v>
      </c>
      <c r="B858" s="767" t="s">
        <v>5340</v>
      </c>
      <c r="C858" s="408"/>
    </row>
    <row r="859" spans="1:3">
      <c r="A859" s="767" t="s">
        <v>5341</v>
      </c>
      <c r="B859" s="767" t="s">
        <v>5342</v>
      </c>
      <c r="C859" s="408"/>
    </row>
    <row r="860" spans="1:3">
      <c r="A860" s="767" t="s">
        <v>5343</v>
      </c>
      <c r="B860" s="767" t="s">
        <v>5344</v>
      </c>
      <c r="C860" s="408"/>
    </row>
    <row r="861" spans="1:3">
      <c r="A861" s="767" t="s">
        <v>5345</v>
      </c>
      <c r="B861" s="767" t="s">
        <v>5346</v>
      </c>
      <c r="C861" s="408"/>
    </row>
    <row r="862" spans="1:3">
      <c r="A862" s="767" t="s">
        <v>5347</v>
      </c>
      <c r="B862" s="767" t="s">
        <v>5348</v>
      </c>
      <c r="C862" s="408"/>
    </row>
    <row r="863" spans="1:3">
      <c r="A863" s="767" t="s">
        <v>5349</v>
      </c>
      <c r="B863" s="767" t="s">
        <v>5350</v>
      </c>
      <c r="C863" s="408"/>
    </row>
    <row r="864" spans="1:3">
      <c r="A864" s="767" t="s">
        <v>5351</v>
      </c>
      <c r="B864" s="767" t="s">
        <v>5352</v>
      </c>
      <c r="C864" s="408"/>
    </row>
    <row r="865" spans="1:3">
      <c r="A865" s="767" t="s">
        <v>5353</v>
      </c>
      <c r="B865" s="767" t="s">
        <v>5354</v>
      </c>
      <c r="C865" s="408"/>
    </row>
    <row r="866" spans="1:3">
      <c r="A866" s="767" t="s">
        <v>5355</v>
      </c>
      <c r="B866" s="767" t="s">
        <v>5356</v>
      </c>
      <c r="C866" s="408"/>
    </row>
    <row r="867" spans="1:3">
      <c r="A867" s="767" t="s">
        <v>5357</v>
      </c>
      <c r="B867" s="767" t="s">
        <v>5358</v>
      </c>
      <c r="C867" s="408"/>
    </row>
    <row r="868" spans="1:3">
      <c r="A868" s="767" t="s">
        <v>5359</v>
      </c>
      <c r="B868" s="767" t="s">
        <v>5360</v>
      </c>
      <c r="C868" s="408"/>
    </row>
    <row r="869" spans="1:3">
      <c r="A869" s="767" t="s">
        <v>5361</v>
      </c>
      <c r="B869" s="767" t="s">
        <v>5362</v>
      </c>
      <c r="C869" s="408"/>
    </row>
    <row r="870" spans="1:3">
      <c r="A870" s="767" t="s">
        <v>3571</v>
      </c>
      <c r="B870" s="767" t="s">
        <v>5363</v>
      </c>
      <c r="C870" s="408"/>
    </row>
    <row r="871" spans="1:3">
      <c r="A871" s="767" t="s">
        <v>5364</v>
      </c>
      <c r="B871" s="767" t="s">
        <v>5365</v>
      </c>
      <c r="C871" s="408"/>
    </row>
    <row r="872" spans="1:3">
      <c r="A872" s="767" t="s">
        <v>5366</v>
      </c>
      <c r="B872" s="767" t="s">
        <v>5367</v>
      </c>
      <c r="C872" s="408"/>
    </row>
    <row r="873" spans="1:3">
      <c r="A873" s="767" t="s">
        <v>3570</v>
      </c>
      <c r="B873" s="767" t="s">
        <v>5368</v>
      </c>
      <c r="C873" s="408"/>
    </row>
    <row r="874" spans="1:3">
      <c r="A874" s="767" t="s">
        <v>5369</v>
      </c>
      <c r="B874" s="767" t="s">
        <v>5370</v>
      </c>
      <c r="C874" s="408"/>
    </row>
    <row r="875" spans="1:3">
      <c r="A875" s="767" t="s">
        <v>5371</v>
      </c>
      <c r="B875" s="767" t="s">
        <v>5372</v>
      </c>
      <c r="C875" s="408"/>
    </row>
    <row r="876" spans="1:3">
      <c r="A876" s="767" t="s">
        <v>5373</v>
      </c>
      <c r="B876" s="767" t="s">
        <v>5374</v>
      </c>
      <c r="C876" s="408"/>
    </row>
    <row r="877" spans="1:3">
      <c r="A877" s="767" t="s">
        <v>5375</v>
      </c>
      <c r="B877" s="767" t="s">
        <v>5376</v>
      </c>
      <c r="C877" s="408"/>
    </row>
    <row r="878" spans="1:3">
      <c r="A878" s="767" t="s">
        <v>5377</v>
      </c>
      <c r="B878" s="767" t="s">
        <v>5378</v>
      </c>
      <c r="C878" s="408"/>
    </row>
    <row r="879" spans="1:3">
      <c r="A879" s="767" t="s">
        <v>5379</v>
      </c>
      <c r="B879" s="767" t="s">
        <v>5380</v>
      </c>
      <c r="C879" s="408"/>
    </row>
    <row r="880" spans="1:3">
      <c r="A880" s="767" t="s">
        <v>2975</v>
      </c>
      <c r="B880" s="767" t="s">
        <v>4202</v>
      </c>
      <c r="C880" s="408"/>
    </row>
    <row r="881" spans="1:3">
      <c r="A881" s="767" t="s">
        <v>5381</v>
      </c>
      <c r="B881" s="767" t="s">
        <v>5382</v>
      </c>
      <c r="C881" s="408"/>
    </row>
    <row r="882" spans="1:3">
      <c r="A882" s="767" t="s">
        <v>5383</v>
      </c>
      <c r="B882" s="767" t="s">
        <v>5384</v>
      </c>
      <c r="C882" s="408"/>
    </row>
    <row r="883" spans="1:3">
      <c r="A883" s="767" t="s">
        <v>3569</v>
      </c>
      <c r="B883" s="767" t="s">
        <v>5385</v>
      </c>
      <c r="C883" s="408"/>
    </row>
    <row r="884" spans="1:3">
      <c r="A884" s="767" t="s">
        <v>5386</v>
      </c>
      <c r="B884" s="767" t="s">
        <v>5387</v>
      </c>
      <c r="C884" s="408"/>
    </row>
    <row r="885" spans="1:3">
      <c r="A885" s="767" t="s">
        <v>5388</v>
      </c>
      <c r="B885" s="767" t="s">
        <v>5389</v>
      </c>
      <c r="C885" s="408"/>
    </row>
    <row r="886" spans="1:3">
      <c r="A886" s="767" t="s">
        <v>5390</v>
      </c>
      <c r="B886" s="767" t="s">
        <v>5391</v>
      </c>
      <c r="C886" s="408"/>
    </row>
    <row r="887" spans="1:3">
      <c r="A887" s="767" t="s">
        <v>5392</v>
      </c>
      <c r="B887" s="767" t="s">
        <v>5393</v>
      </c>
      <c r="C887" s="408"/>
    </row>
    <row r="888" spans="1:3">
      <c r="A888" s="767" t="s">
        <v>5394</v>
      </c>
      <c r="B888" s="767" t="s">
        <v>5395</v>
      </c>
      <c r="C888" s="408"/>
    </row>
    <row r="889" spans="1:3">
      <c r="A889" s="767" t="s">
        <v>5396</v>
      </c>
      <c r="B889" s="767" t="s">
        <v>5397</v>
      </c>
      <c r="C889" s="408"/>
    </row>
    <row r="890" spans="1:3">
      <c r="A890" s="767" t="s">
        <v>5398</v>
      </c>
      <c r="B890" s="767" t="s">
        <v>5399</v>
      </c>
      <c r="C890" s="408"/>
    </row>
    <row r="891" spans="1:3">
      <c r="A891" s="767" t="s">
        <v>5400</v>
      </c>
      <c r="B891" s="767" t="s">
        <v>5401</v>
      </c>
      <c r="C891" s="408"/>
    </row>
    <row r="892" spans="1:3">
      <c r="A892" s="767" t="s">
        <v>5402</v>
      </c>
      <c r="B892" s="767" t="s">
        <v>5403</v>
      </c>
      <c r="C892" s="408"/>
    </row>
    <row r="893" spans="1:3">
      <c r="A893" s="767" t="s">
        <v>5404</v>
      </c>
      <c r="B893" s="767" t="s">
        <v>5405</v>
      </c>
      <c r="C893" s="408"/>
    </row>
    <row r="894" spans="1:3">
      <c r="A894" s="767" t="s">
        <v>5406</v>
      </c>
      <c r="B894" s="767" t="s">
        <v>5407</v>
      </c>
      <c r="C894" s="408"/>
    </row>
    <row r="895" spans="1:3">
      <c r="A895" s="767" t="s">
        <v>5408</v>
      </c>
      <c r="B895" s="767" t="s">
        <v>5409</v>
      </c>
      <c r="C895" s="408"/>
    </row>
    <row r="896" spans="1:3">
      <c r="A896" s="767" t="s">
        <v>5410</v>
      </c>
      <c r="B896" s="767" t="s">
        <v>5411</v>
      </c>
      <c r="C896" s="408"/>
    </row>
    <row r="897" spans="1:3">
      <c r="A897" s="767" t="s">
        <v>5412</v>
      </c>
      <c r="B897" s="767" t="s">
        <v>5413</v>
      </c>
      <c r="C897" s="408"/>
    </row>
    <row r="898" spans="1:3">
      <c r="A898" s="767" t="s">
        <v>5414</v>
      </c>
      <c r="B898" s="767" t="s">
        <v>5415</v>
      </c>
      <c r="C898" s="408"/>
    </row>
    <row r="899" spans="1:3">
      <c r="A899" s="767" t="s">
        <v>5416</v>
      </c>
      <c r="B899" s="767" t="s">
        <v>5417</v>
      </c>
      <c r="C899" s="408"/>
    </row>
    <row r="900" spans="1:3">
      <c r="A900" s="767" t="s">
        <v>5418</v>
      </c>
      <c r="B900" s="767" t="s">
        <v>5419</v>
      </c>
      <c r="C900" s="408"/>
    </row>
    <row r="901" spans="1:3">
      <c r="A901" s="767" t="s">
        <v>5420</v>
      </c>
      <c r="B901" s="767" t="s">
        <v>5421</v>
      </c>
      <c r="C901" s="408"/>
    </row>
    <row r="902" spans="1:3">
      <c r="A902" s="767" t="s">
        <v>5422</v>
      </c>
      <c r="B902" s="767" t="s">
        <v>5423</v>
      </c>
      <c r="C902" s="408"/>
    </row>
    <row r="903" spans="1:3">
      <c r="A903" s="767" t="s">
        <v>5424</v>
      </c>
      <c r="B903" s="767" t="s">
        <v>5423</v>
      </c>
      <c r="C903" s="408"/>
    </row>
    <row r="904" spans="1:3">
      <c r="A904" s="767" t="s">
        <v>5425</v>
      </c>
      <c r="B904" s="767" t="s">
        <v>5426</v>
      </c>
      <c r="C904" s="408"/>
    </row>
    <row r="905" spans="1:3">
      <c r="A905" s="767" t="s">
        <v>5427</v>
      </c>
      <c r="B905" s="767" t="s">
        <v>5428</v>
      </c>
      <c r="C905" s="408"/>
    </row>
    <row r="906" spans="1:3">
      <c r="A906" s="767" t="s">
        <v>5429</v>
      </c>
      <c r="B906" s="767" t="s">
        <v>5430</v>
      </c>
      <c r="C906" s="408"/>
    </row>
    <row r="907" spans="1:3">
      <c r="A907" s="767" t="s">
        <v>5431</v>
      </c>
      <c r="B907" s="767" t="s">
        <v>5432</v>
      </c>
      <c r="C907" s="408"/>
    </row>
    <row r="908" spans="1:3">
      <c r="A908" s="767" t="s">
        <v>5433</v>
      </c>
      <c r="B908" s="767" t="s">
        <v>5434</v>
      </c>
      <c r="C908" s="408"/>
    </row>
    <row r="909" spans="1:3">
      <c r="A909" s="767" t="s">
        <v>5435</v>
      </c>
      <c r="B909" s="767" t="s">
        <v>5436</v>
      </c>
      <c r="C909" s="408"/>
    </row>
    <row r="910" spans="1:3">
      <c r="A910" s="767" t="s">
        <v>5437</v>
      </c>
      <c r="B910" s="767" t="s">
        <v>5438</v>
      </c>
      <c r="C910" s="408"/>
    </row>
    <row r="911" spans="1:3">
      <c r="A911" s="767" t="s">
        <v>5439</v>
      </c>
      <c r="B911" s="767" t="s">
        <v>5440</v>
      </c>
      <c r="C911" s="408"/>
    </row>
    <row r="912" spans="1:3">
      <c r="A912" s="767" t="s">
        <v>5441</v>
      </c>
      <c r="B912" s="767" t="s">
        <v>5442</v>
      </c>
      <c r="C912" s="408"/>
    </row>
    <row r="913" spans="1:3">
      <c r="A913" s="767" t="s">
        <v>5443</v>
      </c>
      <c r="B913" s="767" t="s">
        <v>5444</v>
      </c>
      <c r="C913" s="408"/>
    </row>
    <row r="914" spans="1:3">
      <c r="A914" s="767" t="s">
        <v>5445</v>
      </c>
      <c r="B914" s="767" t="s">
        <v>5446</v>
      </c>
      <c r="C914" s="408"/>
    </row>
    <row r="915" spans="1:3">
      <c r="A915" s="767" t="s">
        <v>5447</v>
      </c>
      <c r="B915" s="767" t="s">
        <v>5448</v>
      </c>
      <c r="C915" s="408"/>
    </row>
    <row r="916" spans="1:3">
      <c r="A916" s="767" t="s">
        <v>5449</v>
      </c>
      <c r="B916" s="767" t="s">
        <v>5450</v>
      </c>
      <c r="C916" s="408"/>
    </row>
    <row r="917" spans="1:3">
      <c r="A917" s="767" t="s">
        <v>5451</v>
      </c>
      <c r="B917" s="767" t="s">
        <v>5452</v>
      </c>
      <c r="C917" s="408"/>
    </row>
    <row r="918" spans="1:3">
      <c r="A918" s="767" t="s">
        <v>3568</v>
      </c>
      <c r="B918" s="767" t="s">
        <v>5453</v>
      </c>
      <c r="C918" s="408"/>
    </row>
    <row r="919" spans="1:3">
      <c r="A919" s="767" t="s">
        <v>5454</v>
      </c>
      <c r="B919" s="767" t="s">
        <v>5455</v>
      </c>
      <c r="C919" s="408"/>
    </row>
    <row r="920" spans="1:3">
      <c r="A920" s="767" t="s">
        <v>5456</v>
      </c>
      <c r="B920" s="767" t="s">
        <v>5457</v>
      </c>
      <c r="C920" s="408"/>
    </row>
    <row r="921" spans="1:3">
      <c r="A921" s="767" t="s">
        <v>5458</v>
      </c>
      <c r="B921" s="767" t="s">
        <v>5459</v>
      </c>
      <c r="C921" s="408"/>
    </row>
    <row r="922" spans="1:3">
      <c r="A922" s="767" t="s">
        <v>5460</v>
      </c>
      <c r="B922" s="767" t="s">
        <v>5461</v>
      </c>
      <c r="C922" s="408"/>
    </row>
    <row r="923" spans="1:3">
      <c r="A923" s="767" t="s">
        <v>5462</v>
      </c>
      <c r="B923" s="767" t="s">
        <v>5463</v>
      </c>
      <c r="C923" s="408"/>
    </row>
    <row r="924" spans="1:3">
      <c r="A924" s="767" t="s">
        <v>5464</v>
      </c>
      <c r="B924" s="767" t="s">
        <v>5465</v>
      </c>
      <c r="C924" s="408"/>
    </row>
    <row r="925" spans="1:3">
      <c r="A925" s="767" t="s">
        <v>5466</v>
      </c>
      <c r="B925" s="767" t="s">
        <v>5467</v>
      </c>
      <c r="C925" s="408"/>
    </row>
    <row r="926" spans="1:3">
      <c r="A926" s="767" t="s">
        <v>5468</v>
      </c>
      <c r="B926" s="767" t="s">
        <v>5469</v>
      </c>
      <c r="C926" s="408"/>
    </row>
    <row r="927" spans="1:3">
      <c r="A927" s="767" t="s">
        <v>5470</v>
      </c>
      <c r="B927" s="767" t="s">
        <v>5471</v>
      </c>
      <c r="C927" s="408"/>
    </row>
    <row r="928" spans="1:3">
      <c r="A928" s="767" t="s">
        <v>3565</v>
      </c>
      <c r="B928" s="767" t="s">
        <v>5472</v>
      </c>
      <c r="C928" s="408"/>
    </row>
    <row r="929" spans="1:3">
      <c r="A929" s="767" t="s">
        <v>3564</v>
      </c>
      <c r="B929" s="767" t="s">
        <v>5473</v>
      </c>
      <c r="C929" s="408"/>
    </row>
    <row r="930" spans="1:3">
      <c r="A930" s="767" t="s">
        <v>5474</v>
      </c>
      <c r="B930" s="767" t="s">
        <v>5475</v>
      </c>
      <c r="C930" s="408"/>
    </row>
    <row r="931" spans="1:3">
      <c r="A931" s="767" t="s">
        <v>5476</v>
      </c>
      <c r="B931" s="767" t="s">
        <v>5477</v>
      </c>
      <c r="C931" s="408"/>
    </row>
    <row r="932" spans="1:3">
      <c r="A932" s="767" t="s">
        <v>3562</v>
      </c>
      <c r="B932" s="767" t="s">
        <v>5478</v>
      </c>
      <c r="C932" s="408"/>
    </row>
    <row r="933" spans="1:3">
      <c r="A933" s="767" t="s">
        <v>3561</v>
      </c>
      <c r="B933" s="767" t="s">
        <v>5479</v>
      </c>
      <c r="C933" s="408"/>
    </row>
    <row r="934" spans="1:3">
      <c r="A934" s="767" t="s">
        <v>3560</v>
      </c>
      <c r="B934" s="767" t="s">
        <v>5480</v>
      </c>
      <c r="C934" s="408"/>
    </row>
    <row r="935" spans="1:3">
      <c r="A935" s="767" t="s">
        <v>3559</v>
      </c>
      <c r="B935" s="767" t="s">
        <v>5481</v>
      </c>
      <c r="C935" s="408"/>
    </row>
    <row r="936" spans="1:3">
      <c r="A936" s="767" t="s">
        <v>3558</v>
      </c>
      <c r="B936" s="767" t="s">
        <v>5482</v>
      </c>
      <c r="C936" s="408"/>
    </row>
    <row r="937" spans="1:3">
      <c r="A937" s="767" t="s">
        <v>5483</v>
      </c>
      <c r="B937" s="767" t="s">
        <v>5484</v>
      </c>
      <c r="C937" s="408"/>
    </row>
    <row r="938" spans="1:3">
      <c r="A938" s="767" t="s">
        <v>5485</v>
      </c>
      <c r="B938" s="767" t="s">
        <v>5486</v>
      </c>
      <c r="C938" s="408"/>
    </row>
    <row r="939" spans="1:3">
      <c r="A939" s="767" t="s">
        <v>5487</v>
      </c>
      <c r="B939" s="767" t="s">
        <v>5488</v>
      </c>
      <c r="C939" s="408"/>
    </row>
    <row r="940" spans="1:3">
      <c r="A940" s="767" t="s">
        <v>3554</v>
      </c>
      <c r="B940" s="767" t="s">
        <v>5489</v>
      </c>
      <c r="C940" s="408"/>
    </row>
    <row r="941" spans="1:3">
      <c r="A941" s="767" t="s">
        <v>5490</v>
      </c>
      <c r="B941" s="767" t="s">
        <v>5491</v>
      </c>
      <c r="C941" s="408"/>
    </row>
    <row r="942" spans="1:3">
      <c r="A942" s="767" t="s">
        <v>3553</v>
      </c>
      <c r="B942" s="767" t="s">
        <v>5492</v>
      </c>
      <c r="C942" s="408"/>
    </row>
    <row r="943" spans="1:3">
      <c r="A943" s="767" t="s">
        <v>5493</v>
      </c>
      <c r="B943" s="767" t="s">
        <v>5494</v>
      </c>
      <c r="C943" s="408"/>
    </row>
    <row r="944" spans="1:3">
      <c r="A944" s="767" t="s">
        <v>3551</v>
      </c>
      <c r="B944" s="767" t="s">
        <v>5495</v>
      </c>
      <c r="C944" s="408"/>
    </row>
    <row r="945" spans="1:3">
      <c r="A945" s="767" t="s">
        <v>5496</v>
      </c>
      <c r="B945" s="767" t="s">
        <v>5497</v>
      </c>
      <c r="C945" s="408"/>
    </row>
    <row r="946" spans="1:3">
      <c r="A946" s="767" t="s">
        <v>5498</v>
      </c>
      <c r="B946" s="767" t="s">
        <v>5499</v>
      </c>
      <c r="C946" s="408"/>
    </row>
    <row r="947" spans="1:3">
      <c r="A947" s="767" t="s">
        <v>5500</v>
      </c>
      <c r="B947" s="767" t="s">
        <v>5501</v>
      </c>
      <c r="C947" s="408"/>
    </row>
    <row r="948" spans="1:3">
      <c r="A948" s="767" t="s">
        <v>3549</v>
      </c>
      <c r="B948" s="767" t="s">
        <v>5502</v>
      </c>
      <c r="C948" s="408"/>
    </row>
    <row r="949" spans="1:3">
      <c r="A949" s="767" t="s">
        <v>3548</v>
      </c>
      <c r="B949" s="767" t="s">
        <v>5503</v>
      </c>
      <c r="C949" s="408"/>
    </row>
    <row r="950" spans="1:3">
      <c r="A950" s="767" t="s">
        <v>5504</v>
      </c>
      <c r="B950" s="767" t="s">
        <v>5505</v>
      </c>
      <c r="C950" s="408"/>
    </row>
    <row r="951" spans="1:3">
      <c r="A951" s="767" t="s">
        <v>3547</v>
      </c>
      <c r="B951" s="767" t="s">
        <v>5506</v>
      </c>
      <c r="C951" s="408"/>
    </row>
    <row r="952" spans="1:3">
      <c r="A952" s="767" t="s">
        <v>3044</v>
      </c>
      <c r="B952" s="767" t="s">
        <v>4317</v>
      </c>
      <c r="C952" s="408"/>
    </row>
    <row r="953" spans="1:3">
      <c r="A953" s="767" t="s">
        <v>3546</v>
      </c>
      <c r="B953" s="767" t="s">
        <v>5507</v>
      </c>
      <c r="C953" s="408"/>
    </row>
    <row r="954" spans="1:3">
      <c r="A954" s="767" t="s">
        <v>3545</v>
      </c>
      <c r="B954" s="767" t="s">
        <v>5508</v>
      </c>
      <c r="C954" s="408"/>
    </row>
    <row r="955" spans="1:3">
      <c r="A955" s="767" t="s">
        <v>5509</v>
      </c>
      <c r="B955" s="767" t="s">
        <v>5510</v>
      </c>
      <c r="C955" s="408"/>
    </row>
    <row r="956" spans="1:3">
      <c r="A956" s="767" t="s">
        <v>3543</v>
      </c>
      <c r="B956" s="767" t="s">
        <v>5511</v>
      </c>
      <c r="C956" s="408"/>
    </row>
    <row r="957" spans="1:3">
      <c r="A957" s="767" t="s">
        <v>3542</v>
      </c>
      <c r="B957" s="767" t="s">
        <v>5512</v>
      </c>
      <c r="C957" s="408"/>
    </row>
    <row r="958" spans="1:3">
      <c r="A958" s="767" t="s">
        <v>3541</v>
      </c>
      <c r="B958" s="767" t="s">
        <v>5513</v>
      </c>
      <c r="C958" s="408"/>
    </row>
    <row r="959" spans="1:3">
      <c r="A959" s="767" t="s">
        <v>5514</v>
      </c>
      <c r="B959" s="767" t="s">
        <v>5515</v>
      </c>
      <c r="C959" s="408"/>
    </row>
    <row r="960" spans="1:3">
      <c r="A960" s="767" t="s">
        <v>5516</v>
      </c>
      <c r="B960" s="767" t="s">
        <v>5517</v>
      </c>
      <c r="C960" s="408"/>
    </row>
    <row r="961" spans="1:3">
      <c r="A961" s="767" t="s">
        <v>5518</v>
      </c>
      <c r="B961" s="767" t="s">
        <v>5519</v>
      </c>
      <c r="C961" s="408"/>
    </row>
    <row r="962" spans="1:3">
      <c r="A962" s="767" t="s">
        <v>3538</v>
      </c>
      <c r="B962" s="767" t="s">
        <v>5520</v>
      </c>
      <c r="C962" s="408"/>
    </row>
    <row r="963" spans="1:3">
      <c r="A963" s="767" t="s">
        <v>5521</v>
      </c>
      <c r="B963" s="767" t="s">
        <v>5522</v>
      </c>
      <c r="C963" s="408"/>
    </row>
    <row r="964" spans="1:3">
      <c r="A964" s="767" t="s">
        <v>3537</v>
      </c>
      <c r="B964" s="767" t="s">
        <v>5523</v>
      </c>
      <c r="C964" s="408"/>
    </row>
    <row r="965" spans="1:3">
      <c r="A965" s="767" t="s">
        <v>5524</v>
      </c>
      <c r="B965" s="767" t="s">
        <v>5525</v>
      </c>
      <c r="C965" s="408"/>
    </row>
    <row r="966" spans="1:3">
      <c r="A966" s="767" t="s">
        <v>5526</v>
      </c>
      <c r="B966" s="767" t="s">
        <v>5527</v>
      </c>
      <c r="C966" s="408"/>
    </row>
    <row r="967" spans="1:3">
      <c r="A967" s="767" t="s">
        <v>5528</v>
      </c>
      <c r="B967" s="767" t="s">
        <v>5529</v>
      </c>
      <c r="C967" s="408"/>
    </row>
    <row r="968" spans="1:3">
      <c r="A968" s="767" t="s">
        <v>3535</v>
      </c>
      <c r="B968" s="767" t="s">
        <v>5530</v>
      </c>
      <c r="C968" s="408"/>
    </row>
    <row r="969" spans="1:3">
      <c r="A969" s="767" t="s">
        <v>3534</v>
      </c>
      <c r="B969" s="767" t="s">
        <v>5531</v>
      </c>
      <c r="C969" s="408"/>
    </row>
    <row r="970" spans="1:3">
      <c r="A970" s="767" t="s">
        <v>5532</v>
      </c>
      <c r="B970" s="767" t="s">
        <v>5533</v>
      </c>
      <c r="C970" s="408"/>
    </row>
    <row r="971" spans="1:3">
      <c r="A971" s="767" t="s">
        <v>5534</v>
      </c>
      <c r="B971" s="767" t="s">
        <v>5535</v>
      </c>
      <c r="C971" s="408"/>
    </row>
    <row r="972" spans="1:3">
      <c r="A972" s="767" t="s">
        <v>5536</v>
      </c>
      <c r="B972" s="767" t="s">
        <v>5537</v>
      </c>
      <c r="C972" s="408"/>
    </row>
    <row r="973" spans="1:3">
      <c r="A973" s="767" t="s">
        <v>5538</v>
      </c>
      <c r="B973" s="767" t="s">
        <v>5539</v>
      </c>
      <c r="C973" s="408"/>
    </row>
    <row r="974" spans="1:3">
      <c r="A974" s="767" t="s">
        <v>5540</v>
      </c>
      <c r="B974" s="767" t="s">
        <v>5541</v>
      </c>
      <c r="C974" s="408"/>
    </row>
    <row r="975" spans="1:3">
      <c r="A975" s="767" t="s">
        <v>3532</v>
      </c>
      <c r="B975" s="767" t="s">
        <v>5542</v>
      </c>
      <c r="C975" s="408"/>
    </row>
    <row r="976" spans="1:3">
      <c r="A976" s="767" t="s">
        <v>5543</v>
      </c>
      <c r="B976" s="767" t="s">
        <v>5544</v>
      </c>
      <c r="C976" s="408"/>
    </row>
    <row r="977" spans="1:3">
      <c r="A977" s="767" t="s">
        <v>3531</v>
      </c>
      <c r="B977" s="767" t="s">
        <v>5545</v>
      </c>
      <c r="C977" s="408"/>
    </row>
    <row r="978" spans="1:3">
      <c r="A978" s="767" t="s">
        <v>5546</v>
      </c>
      <c r="B978" s="767" t="s">
        <v>5547</v>
      </c>
      <c r="C978" s="408"/>
    </row>
    <row r="979" spans="1:3">
      <c r="A979" s="767" t="s">
        <v>5548</v>
      </c>
      <c r="B979" s="767" t="s">
        <v>5549</v>
      </c>
      <c r="C979" s="408"/>
    </row>
    <row r="980" spans="1:3">
      <c r="A980" s="767" t="s">
        <v>5550</v>
      </c>
      <c r="B980" s="767" t="s">
        <v>5551</v>
      </c>
      <c r="C980" s="408"/>
    </row>
    <row r="981" spans="1:3">
      <c r="A981" s="767" t="s">
        <v>5552</v>
      </c>
      <c r="B981" s="767" t="s">
        <v>5553</v>
      </c>
      <c r="C981" s="408"/>
    </row>
    <row r="982" spans="1:3">
      <c r="A982" s="767" t="s">
        <v>5554</v>
      </c>
      <c r="B982" s="767" t="s">
        <v>5555</v>
      </c>
      <c r="C982" s="408"/>
    </row>
    <row r="983" spans="1:3">
      <c r="A983" s="767" t="s">
        <v>5556</v>
      </c>
      <c r="B983" s="767" t="s">
        <v>5557</v>
      </c>
      <c r="C983" s="408"/>
    </row>
    <row r="984" spans="1:3">
      <c r="A984" s="767" t="s">
        <v>3530</v>
      </c>
      <c r="B984" s="767" t="s">
        <v>5558</v>
      </c>
      <c r="C984" s="408"/>
    </row>
    <row r="985" spans="1:3">
      <c r="A985" s="767" t="s">
        <v>3527</v>
      </c>
      <c r="B985" s="767" t="s">
        <v>5559</v>
      </c>
      <c r="C985" s="408"/>
    </row>
    <row r="986" spans="1:3">
      <c r="A986" s="767" t="s">
        <v>5560</v>
      </c>
      <c r="B986" s="767" t="s">
        <v>5561</v>
      </c>
      <c r="C986" s="408"/>
    </row>
    <row r="987" spans="1:3">
      <c r="A987" s="767" t="s">
        <v>3526</v>
      </c>
      <c r="B987" s="767" t="s">
        <v>5562</v>
      </c>
      <c r="C987" s="408"/>
    </row>
    <row r="988" spans="1:3">
      <c r="A988" s="767" t="s">
        <v>3525</v>
      </c>
      <c r="B988" s="767" t="s">
        <v>5563</v>
      </c>
      <c r="C988" s="408"/>
    </row>
    <row r="989" spans="1:3">
      <c r="A989" s="767" t="s">
        <v>3524</v>
      </c>
      <c r="B989" s="767" t="s">
        <v>5564</v>
      </c>
      <c r="C989" s="408"/>
    </row>
    <row r="990" spans="1:3">
      <c r="A990" s="767" t="s">
        <v>3523</v>
      </c>
      <c r="B990" s="767" t="s">
        <v>5565</v>
      </c>
      <c r="C990" s="408"/>
    </row>
    <row r="991" spans="1:3">
      <c r="A991" s="767" t="s">
        <v>5566</v>
      </c>
      <c r="B991" s="767" t="s">
        <v>5567</v>
      </c>
      <c r="C991" s="408"/>
    </row>
    <row r="992" spans="1:3">
      <c r="A992" s="767" t="s">
        <v>3522</v>
      </c>
      <c r="B992" s="767" t="s">
        <v>5568</v>
      </c>
      <c r="C992" s="408"/>
    </row>
    <row r="993" spans="1:3">
      <c r="A993" s="767" t="s">
        <v>3521</v>
      </c>
      <c r="B993" s="767" t="s">
        <v>5569</v>
      </c>
      <c r="C993" s="408"/>
    </row>
    <row r="994" spans="1:3">
      <c r="A994" s="767" t="s">
        <v>3520</v>
      </c>
      <c r="B994" s="767" t="s">
        <v>5570</v>
      </c>
      <c r="C994" s="408"/>
    </row>
    <row r="995" spans="1:3">
      <c r="A995" s="767" t="s">
        <v>3517</v>
      </c>
      <c r="B995" s="767" t="s">
        <v>5571</v>
      </c>
      <c r="C995" s="408"/>
    </row>
    <row r="996" spans="1:3">
      <c r="A996" s="767" t="s">
        <v>3516</v>
      </c>
      <c r="B996" s="767" t="s">
        <v>5572</v>
      </c>
      <c r="C996" s="408"/>
    </row>
    <row r="997" spans="1:3">
      <c r="A997" s="767" t="s">
        <v>5573</v>
      </c>
      <c r="B997" s="767" t="s">
        <v>5574</v>
      </c>
      <c r="C997" s="408"/>
    </row>
    <row r="998" spans="1:3">
      <c r="A998" s="767" t="s">
        <v>3515</v>
      </c>
      <c r="B998" s="767" t="s">
        <v>5575</v>
      </c>
      <c r="C998" s="408"/>
    </row>
    <row r="999" spans="1:3">
      <c r="A999" s="767" t="s">
        <v>3513</v>
      </c>
      <c r="B999" s="767" t="s">
        <v>5576</v>
      </c>
      <c r="C999" s="408"/>
    </row>
    <row r="1000" spans="1:3">
      <c r="A1000" s="767" t="s">
        <v>5577</v>
      </c>
      <c r="B1000" s="767" t="s">
        <v>5578</v>
      </c>
      <c r="C1000" s="408"/>
    </row>
    <row r="1001" spans="1:3">
      <c r="A1001" s="767" t="s">
        <v>5579</v>
      </c>
      <c r="B1001" s="767" t="s">
        <v>5580</v>
      </c>
      <c r="C1001" s="408"/>
    </row>
    <row r="1002" spans="1:3">
      <c r="A1002" s="767" t="s">
        <v>5581</v>
      </c>
      <c r="B1002" s="767" t="s">
        <v>5582</v>
      </c>
      <c r="C1002" s="408"/>
    </row>
    <row r="1003" spans="1:3">
      <c r="A1003" s="767" t="s">
        <v>5583</v>
      </c>
      <c r="B1003" s="767" t="s">
        <v>5584</v>
      </c>
      <c r="C1003" s="408"/>
    </row>
    <row r="1004" spans="1:3">
      <c r="A1004" s="767" t="s">
        <v>3511</v>
      </c>
      <c r="B1004" s="767" t="s">
        <v>5585</v>
      </c>
      <c r="C1004" s="408"/>
    </row>
    <row r="1005" spans="1:3">
      <c r="A1005" s="767" t="s">
        <v>5586</v>
      </c>
      <c r="B1005" s="767" t="s">
        <v>5587</v>
      </c>
      <c r="C1005" s="408"/>
    </row>
    <row r="1006" spans="1:3">
      <c r="A1006" s="767" t="s">
        <v>5588</v>
      </c>
      <c r="B1006" s="767" t="s">
        <v>5589</v>
      </c>
      <c r="C1006" s="408"/>
    </row>
    <row r="1007" spans="1:3">
      <c r="A1007" s="767" t="s">
        <v>5590</v>
      </c>
      <c r="B1007" s="767" t="s">
        <v>5591</v>
      </c>
      <c r="C1007" s="408"/>
    </row>
    <row r="1008" spans="1:3">
      <c r="A1008" s="767" t="s">
        <v>5592</v>
      </c>
      <c r="B1008" s="767" t="s">
        <v>5593</v>
      </c>
      <c r="C1008" s="408"/>
    </row>
    <row r="1009" spans="1:3">
      <c r="A1009" s="767" t="s">
        <v>5594</v>
      </c>
      <c r="B1009" s="767" t="s">
        <v>5595</v>
      </c>
      <c r="C1009" s="408"/>
    </row>
    <row r="1010" spans="1:3">
      <c r="A1010" s="767" t="s">
        <v>3507</v>
      </c>
      <c r="B1010" s="767" t="s">
        <v>5596</v>
      </c>
      <c r="C1010" s="408"/>
    </row>
    <row r="1011" spans="1:3">
      <c r="A1011" s="767" t="s">
        <v>3506</v>
      </c>
      <c r="B1011" s="767" t="s">
        <v>5597</v>
      </c>
      <c r="C1011" s="408"/>
    </row>
    <row r="1012" spans="1:3">
      <c r="A1012" s="767" t="s">
        <v>3504</v>
      </c>
      <c r="B1012" s="767" t="s">
        <v>5598</v>
      </c>
      <c r="C1012" s="408"/>
    </row>
    <row r="1013" spans="1:3">
      <c r="A1013" s="767" t="s">
        <v>5599</v>
      </c>
      <c r="B1013" s="767" t="s">
        <v>5600</v>
      </c>
      <c r="C1013" s="408"/>
    </row>
    <row r="1014" spans="1:3">
      <c r="A1014" s="767" t="s">
        <v>5601</v>
      </c>
      <c r="B1014" s="767" t="s">
        <v>5602</v>
      </c>
      <c r="C1014" s="408"/>
    </row>
    <row r="1015" spans="1:3">
      <c r="A1015" s="767" t="s">
        <v>5603</v>
      </c>
      <c r="B1015" s="767" t="s">
        <v>5604</v>
      </c>
      <c r="C1015" s="408"/>
    </row>
    <row r="1016" spans="1:3">
      <c r="A1016" s="767" t="s">
        <v>5605</v>
      </c>
      <c r="B1016" s="767" t="s">
        <v>5606</v>
      </c>
      <c r="C1016" s="408"/>
    </row>
    <row r="1017" spans="1:3">
      <c r="A1017" s="767" t="s">
        <v>3503</v>
      </c>
      <c r="B1017" s="767" t="s">
        <v>5607</v>
      </c>
      <c r="C1017" s="408"/>
    </row>
    <row r="1018" spans="1:3">
      <c r="A1018" s="767" t="s">
        <v>5608</v>
      </c>
      <c r="B1018" s="767" t="s">
        <v>5609</v>
      </c>
      <c r="C1018" s="408"/>
    </row>
    <row r="1019" spans="1:3">
      <c r="A1019" s="767" t="s">
        <v>5610</v>
      </c>
      <c r="B1019" s="767" t="s">
        <v>5611</v>
      </c>
      <c r="C1019" s="408"/>
    </row>
    <row r="1020" spans="1:3">
      <c r="A1020" s="767" t="s">
        <v>5612</v>
      </c>
      <c r="B1020" s="767" t="s">
        <v>5613</v>
      </c>
      <c r="C1020" s="408"/>
    </row>
    <row r="1021" spans="1:3">
      <c r="A1021" s="767" t="s">
        <v>3500</v>
      </c>
      <c r="B1021" s="767" t="s">
        <v>5614</v>
      </c>
      <c r="C1021" s="408"/>
    </row>
    <row r="1022" spans="1:3">
      <c r="A1022" s="767" t="s">
        <v>5615</v>
      </c>
      <c r="B1022" s="767" t="s">
        <v>5616</v>
      </c>
      <c r="C1022" s="408"/>
    </row>
    <row r="1023" spans="1:3">
      <c r="A1023" s="767" t="s">
        <v>3499</v>
      </c>
      <c r="B1023" s="767" t="s">
        <v>5617</v>
      </c>
      <c r="C1023" s="408"/>
    </row>
    <row r="1024" spans="1:3">
      <c r="A1024" s="767" t="s">
        <v>5618</v>
      </c>
      <c r="B1024" s="767" t="s">
        <v>5619</v>
      </c>
      <c r="C1024" s="408"/>
    </row>
    <row r="1025" spans="1:3">
      <c r="A1025" s="767" t="s">
        <v>3497</v>
      </c>
      <c r="B1025" s="767" t="s">
        <v>5620</v>
      </c>
      <c r="C1025" s="408"/>
    </row>
    <row r="1026" spans="1:3">
      <c r="A1026" s="767" t="s">
        <v>3496</v>
      </c>
      <c r="B1026" s="767" t="s">
        <v>5621</v>
      </c>
      <c r="C1026" s="408"/>
    </row>
    <row r="1027" spans="1:3">
      <c r="A1027" s="767" t="s">
        <v>3495</v>
      </c>
      <c r="B1027" s="767" t="s">
        <v>5622</v>
      </c>
      <c r="C1027" s="408"/>
    </row>
    <row r="1028" spans="1:3">
      <c r="A1028" s="767" t="s">
        <v>3494</v>
      </c>
      <c r="B1028" s="767" t="s">
        <v>5623</v>
      </c>
      <c r="C1028" s="408"/>
    </row>
    <row r="1029" spans="1:3">
      <c r="A1029" s="767" t="s">
        <v>5624</v>
      </c>
      <c r="B1029" s="767" t="s">
        <v>5625</v>
      </c>
      <c r="C1029" s="408"/>
    </row>
    <row r="1030" spans="1:3">
      <c r="A1030" s="767" t="s">
        <v>5626</v>
      </c>
      <c r="B1030" s="767" t="s">
        <v>5627</v>
      </c>
      <c r="C1030" s="408"/>
    </row>
    <row r="1031" spans="1:3">
      <c r="A1031" s="767" t="s">
        <v>5628</v>
      </c>
      <c r="B1031" s="767" t="s">
        <v>5629</v>
      </c>
      <c r="C1031" s="408"/>
    </row>
    <row r="1032" spans="1:3">
      <c r="A1032" s="767" t="s">
        <v>3493</v>
      </c>
      <c r="B1032" s="767" t="s">
        <v>5630</v>
      </c>
      <c r="C1032" s="408"/>
    </row>
    <row r="1033" spans="1:3">
      <c r="A1033" s="767" t="s">
        <v>5631</v>
      </c>
      <c r="B1033" s="767" t="s">
        <v>5632</v>
      </c>
      <c r="C1033" s="408"/>
    </row>
    <row r="1034" spans="1:3">
      <c r="A1034" s="767" t="s">
        <v>3492</v>
      </c>
      <c r="B1034" s="767" t="s">
        <v>5633</v>
      </c>
      <c r="C1034" s="408"/>
    </row>
    <row r="1035" spans="1:3">
      <c r="A1035" s="767" t="s">
        <v>3490</v>
      </c>
      <c r="B1035" s="767" t="s">
        <v>5634</v>
      </c>
      <c r="C1035" s="408"/>
    </row>
    <row r="1036" spans="1:3">
      <c r="A1036" s="767" t="s">
        <v>3488</v>
      </c>
      <c r="B1036" s="767" t="s">
        <v>5635</v>
      </c>
      <c r="C1036" s="408"/>
    </row>
    <row r="1037" spans="1:3">
      <c r="A1037" s="767" t="s">
        <v>3484</v>
      </c>
      <c r="B1037" s="767" t="s">
        <v>5636</v>
      </c>
      <c r="C1037" s="408"/>
    </row>
    <row r="1038" spans="1:3">
      <c r="A1038" s="767" t="s">
        <v>3483</v>
      </c>
      <c r="B1038" s="767" t="s">
        <v>5637</v>
      </c>
      <c r="C1038" s="408"/>
    </row>
    <row r="1039" spans="1:3">
      <c r="A1039" s="767" t="s">
        <v>5638</v>
      </c>
      <c r="B1039" s="767" t="s">
        <v>5639</v>
      </c>
      <c r="C1039" s="408"/>
    </row>
    <row r="1040" spans="1:3">
      <c r="A1040" s="767" t="s">
        <v>3481</v>
      </c>
      <c r="B1040" s="767" t="s">
        <v>5640</v>
      </c>
      <c r="C1040" s="408"/>
    </row>
    <row r="1041" spans="1:3">
      <c r="A1041" s="767" t="s">
        <v>3479</v>
      </c>
      <c r="B1041" s="767" t="s">
        <v>5641</v>
      </c>
      <c r="C1041" s="408"/>
    </row>
    <row r="1042" spans="1:3">
      <c r="A1042" s="767" t="s">
        <v>3477</v>
      </c>
      <c r="B1042" s="767" t="s">
        <v>5642</v>
      </c>
      <c r="C1042" s="408"/>
    </row>
    <row r="1043" spans="1:3">
      <c r="A1043" s="767" t="s">
        <v>3475</v>
      </c>
      <c r="B1043" s="767" t="s">
        <v>5643</v>
      </c>
      <c r="C1043" s="408"/>
    </row>
    <row r="1044" spans="1:3">
      <c r="A1044" s="767" t="s">
        <v>3473</v>
      </c>
      <c r="B1044" s="767" t="s">
        <v>5644</v>
      </c>
      <c r="C1044" s="408"/>
    </row>
    <row r="1045" spans="1:3">
      <c r="A1045" s="767" t="s">
        <v>5645</v>
      </c>
      <c r="B1045" s="767" t="s">
        <v>5646</v>
      </c>
      <c r="C1045" s="408"/>
    </row>
    <row r="1046" spans="1:3">
      <c r="A1046" s="767" t="s">
        <v>3469</v>
      </c>
      <c r="B1046" s="767" t="s">
        <v>5647</v>
      </c>
      <c r="C1046" s="408"/>
    </row>
    <row r="1047" spans="1:3">
      <c r="A1047" s="767" t="s">
        <v>5648</v>
      </c>
      <c r="B1047" s="767" t="s">
        <v>5649</v>
      </c>
      <c r="C1047" s="408"/>
    </row>
    <row r="1048" spans="1:3">
      <c r="A1048" s="767" t="s">
        <v>3466</v>
      </c>
      <c r="B1048" s="767" t="s">
        <v>5650</v>
      </c>
      <c r="C1048" s="408"/>
    </row>
    <row r="1049" spans="1:3">
      <c r="A1049" s="767" t="s">
        <v>3465</v>
      </c>
      <c r="B1049" s="767" t="s">
        <v>5651</v>
      </c>
      <c r="C1049" s="408"/>
    </row>
    <row r="1050" spans="1:3">
      <c r="A1050" s="767" t="s">
        <v>3464</v>
      </c>
      <c r="B1050" s="767" t="s">
        <v>5652</v>
      </c>
      <c r="C1050" s="408"/>
    </row>
    <row r="1051" spans="1:3">
      <c r="A1051" s="767" t="s">
        <v>3463</v>
      </c>
      <c r="B1051" s="767" t="s">
        <v>5653</v>
      </c>
      <c r="C1051" s="408"/>
    </row>
    <row r="1052" spans="1:3">
      <c r="A1052" s="767" t="s">
        <v>3462</v>
      </c>
      <c r="B1052" s="767" t="s">
        <v>5654</v>
      </c>
      <c r="C1052" s="408"/>
    </row>
    <row r="1053" spans="1:3">
      <c r="A1053" s="767" t="s">
        <v>3461</v>
      </c>
      <c r="B1053" s="767" t="s">
        <v>5655</v>
      </c>
      <c r="C1053" s="408"/>
    </row>
    <row r="1054" spans="1:3">
      <c r="A1054" s="767" t="s">
        <v>3459</v>
      </c>
      <c r="B1054" s="767" t="s">
        <v>5094</v>
      </c>
      <c r="C1054" s="408"/>
    </row>
    <row r="1055" spans="1:3">
      <c r="A1055" s="767" t="s">
        <v>5656</v>
      </c>
      <c r="B1055" s="767" t="s">
        <v>5657</v>
      </c>
      <c r="C1055" s="408"/>
    </row>
    <row r="1056" spans="1:3">
      <c r="A1056" s="767" t="s">
        <v>3454</v>
      </c>
      <c r="B1056" s="767" t="s">
        <v>5658</v>
      </c>
      <c r="C1056" s="408"/>
    </row>
    <row r="1057" spans="1:3">
      <c r="A1057" s="767" t="s">
        <v>3453</v>
      </c>
      <c r="B1057" s="767" t="s">
        <v>5659</v>
      </c>
      <c r="C1057" s="408"/>
    </row>
    <row r="1058" spans="1:3">
      <c r="A1058" s="767" t="s">
        <v>5660</v>
      </c>
      <c r="B1058" s="767" t="s">
        <v>5661</v>
      </c>
      <c r="C1058" s="408"/>
    </row>
    <row r="1059" spans="1:3">
      <c r="A1059" s="767" t="s">
        <v>5662</v>
      </c>
      <c r="B1059" s="767" t="s">
        <v>5663</v>
      </c>
      <c r="C1059" s="408"/>
    </row>
    <row r="1060" spans="1:3">
      <c r="A1060" s="767" t="s">
        <v>5664</v>
      </c>
      <c r="B1060" s="767" t="s">
        <v>5665</v>
      </c>
      <c r="C1060" s="408"/>
    </row>
    <row r="1061" spans="1:3">
      <c r="A1061" s="767" t="s">
        <v>5666</v>
      </c>
      <c r="B1061" s="767" t="s">
        <v>5667</v>
      </c>
      <c r="C1061" s="408"/>
    </row>
    <row r="1062" spans="1:3">
      <c r="A1062" s="767" t="s">
        <v>5668</v>
      </c>
      <c r="B1062" s="767" t="s">
        <v>5669</v>
      </c>
      <c r="C1062" s="408"/>
    </row>
    <row r="1063" spans="1:3">
      <c r="A1063" s="767" t="s">
        <v>5670</v>
      </c>
      <c r="B1063" s="767" t="s">
        <v>5671</v>
      </c>
      <c r="C1063" s="408"/>
    </row>
    <row r="1064" spans="1:3">
      <c r="A1064" s="767" t="s">
        <v>3445</v>
      </c>
      <c r="B1064" s="767" t="s">
        <v>5672</v>
      </c>
      <c r="C1064" s="408"/>
    </row>
    <row r="1065" spans="1:3">
      <c r="A1065" s="767" t="s">
        <v>5673</v>
      </c>
      <c r="B1065" s="767" t="s">
        <v>5674</v>
      </c>
      <c r="C1065" s="408"/>
    </row>
    <row r="1066" spans="1:3">
      <c r="A1066" s="767" t="s">
        <v>5675</v>
      </c>
      <c r="B1066" s="767" t="s">
        <v>5676</v>
      </c>
      <c r="C1066" s="408"/>
    </row>
    <row r="1067" spans="1:3">
      <c r="A1067" s="767" t="s">
        <v>5677</v>
      </c>
      <c r="B1067" s="767" t="s">
        <v>5678</v>
      </c>
      <c r="C1067" s="408"/>
    </row>
    <row r="1068" spans="1:3">
      <c r="A1068" s="767" t="s">
        <v>5679</v>
      </c>
      <c r="B1068" s="767" t="s">
        <v>5680</v>
      </c>
      <c r="C1068" s="408"/>
    </row>
    <row r="1069" spans="1:3">
      <c r="A1069" s="767" t="s">
        <v>5681</v>
      </c>
      <c r="B1069" s="767" t="s">
        <v>5682</v>
      </c>
      <c r="C1069" s="408"/>
    </row>
    <row r="1070" spans="1:3">
      <c r="A1070" s="767" t="s">
        <v>5683</v>
      </c>
      <c r="B1070" s="767" t="s">
        <v>5684</v>
      </c>
      <c r="C1070" s="408"/>
    </row>
    <row r="1071" spans="1:3">
      <c r="A1071" s="767" t="s">
        <v>5685</v>
      </c>
      <c r="B1071" s="767" t="s">
        <v>5686</v>
      </c>
      <c r="C1071" s="408"/>
    </row>
    <row r="1072" spans="1:3">
      <c r="A1072" s="767" t="s">
        <v>5687</v>
      </c>
      <c r="B1072" s="767" t="s">
        <v>5688</v>
      </c>
      <c r="C1072" s="408"/>
    </row>
    <row r="1073" spans="1:3">
      <c r="A1073" s="767" t="s">
        <v>5689</v>
      </c>
      <c r="B1073" s="767" t="s">
        <v>5690</v>
      </c>
      <c r="C1073" s="408"/>
    </row>
    <row r="1074" spans="1:3">
      <c r="A1074" s="767" t="s">
        <v>5691</v>
      </c>
      <c r="B1074" s="767" t="s">
        <v>5692</v>
      </c>
      <c r="C1074" s="408"/>
    </row>
    <row r="1075" spans="1:3">
      <c r="A1075" s="767" t="s">
        <v>5693</v>
      </c>
      <c r="B1075" s="767" t="s">
        <v>5141</v>
      </c>
      <c r="C1075" s="408"/>
    </row>
    <row r="1076" spans="1:3">
      <c r="A1076" s="767" t="s">
        <v>5694</v>
      </c>
      <c r="B1076" s="767" t="s">
        <v>5695</v>
      </c>
      <c r="C1076" s="408"/>
    </row>
    <row r="1077" spans="1:3">
      <c r="A1077" s="767" t="s">
        <v>5696</v>
      </c>
      <c r="B1077" s="767" t="s">
        <v>5697</v>
      </c>
      <c r="C1077" s="408"/>
    </row>
    <row r="1078" spans="1:3">
      <c r="A1078" s="767" t="s">
        <v>5698</v>
      </c>
      <c r="B1078" s="767" t="s">
        <v>5699</v>
      </c>
      <c r="C1078" s="408"/>
    </row>
    <row r="1079" spans="1:3">
      <c r="A1079" s="767" t="s">
        <v>5700</v>
      </c>
      <c r="B1079" s="767" t="s">
        <v>5701</v>
      </c>
      <c r="C1079" s="408"/>
    </row>
    <row r="1080" spans="1:3">
      <c r="A1080" s="767" t="s">
        <v>5702</v>
      </c>
      <c r="B1080" s="767" t="s">
        <v>5703</v>
      </c>
      <c r="C1080" s="408"/>
    </row>
    <row r="1081" spans="1:3">
      <c r="A1081" s="767" t="s">
        <v>5704</v>
      </c>
      <c r="B1081" s="767" t="s">
        <v>5705</v>
      </c>
      <c r="C1081" s="408"/>
    </row>
    <row r="1082" spans="1:3">
      <c r="A1082" s="767" t="s">
        <v>5706</v>
      </c>
      <c r="B1082" s="767" t="s">
        <v>5035</v>
      </c>
      <c r="C1082" s="408"/>
    </row>
    <row r="1083" spans="1:3">
      <c r="A1083" s="767" t="s">
        <v>5707</v>
      </c>
      <c r="B1083" s="767" t="s">
        <v>5708</v>
      </c>
      <c r="C1083" s="408"/>
    </row>
    <row r="1084" spans="1:3">
      <c r="A1084" s="767" t="s">
        <v>5709</v>
      </c>
      <c r="B1084" s="767" t="s">
        <v>5710</v>
      </c>
      <c r="C1084" s="408"/>
    </row>
    <row r="1085" spans="1:3">
      <c r="A1085" s="767" t="s">
        <v>5711</v>
      </c>
      <c r="B1085" s="767" t="s">
        <v>4217</v>
      </c>
      <c r="C1085" s="408"/>
    </row>
    <row r="1086" spans="1:3">
      <c r="A1086" s="767" t="s">
        <v>5712</v>
      </c>
      <c r="B1086" s="767" t="s">
        <v>5713</v>
      </c>
      <c r="C1086" s="408"/>
    </row>
    <row r="1087" spans="1:3">
      <c r="A1087" s="767" t="s">
        <v>5714</v>
      </c>
      <c r="B1087" s="767" t="s">
        <v>5715</v>
      </c>
      <c r="C1087" s="408"/>
    </row>
    <row r="1088" spans="1:3">
      <c r="A1088" s="767" t="s">
        <v>5716</v>
      </c>
      <c r="B1088" s="767" t="s">
        <v>5717</v>
      </c>
      <c r="C1088" s="408"/>
    </row>
    <row r="1089" spans="1:3">
      <c r="A1089" s="767" t="s">
        <v>5718</v>
      </c>
      <c r="B1089" s="767" t="s">
        <v>5719</v>
      </c>
      <c r="C1089" s="408"/>
    </row>
    <row r="1090" spans="1:3">
      <c r="A1090" s="767" t="s">
        <v>5720</v>
      </c>
      <c r="B1090" s="767" t="s">
        <v>5721</v>
      </c>
      <c r="C1090" s="408"/>
    </row>
    <row r="1091" spans="1:3">
      <c r="A1091" s="767" t="s">
        <v>5722</v>
      </c>
      <c r="B1091" s="767" t="s">
        <v>5723</v>
      </c>
      <c r="C1091" s="408"/>
    </row>
    <row r="1092" spans="1:3">
      <c r="A1092" s="767" t="s">
        <v>5724</v>
      </c>
      <c r="B1092" s="767" t="s">
        <v>5725</v>
      </c>
      <c r="C1092" s="408"/>
    </row>
    <row r="1093" spans="1:3">
      <c r="A1093" s="767" t="s">
        <v>5726</v>
      </c>
      <c r="B1093" s="767" t="s">
        <v>5727</v>
      </c>
      <c r="C1093" s="408"/>
    </row>
    <row r="1094" spans="1:3">
      <c r="A1094" s="767" t="s">
        <v>5728</v>
      </c>
      <c r="B1094" s="767" t="s">
        <v>5729</v>
      </c>
      <c r="C1094" s="408"/>
    </row>
    <row r="1095" spans="1:3">
      <c r="A1095" s="767" t="s">
        <v>5730</v>
      </c>
      <c r="B1095" s="767" t="s">
        <v>5731</v>
      </c>
      <c r="C1095" s="408"/>
    </row>
    <row r="1096" spans="1:3">
      <c r="A1096" s="767" t="s">
        <v>5732</v>
      </c>
      <c r="B1096" s="767" t="s">
        <v>5733</v>
      </c>
      <c r="C1096" s="408"/>
    </row>
    <row r="1097" spans="1:3">
      <c r="A1097" s="767" t="s">
        <v>5734</v>
      </c>
      <c r="B1097" s="767" t="s">
        <v>5735</v>
      </c>
      <c r="C1097" s="408"/>
    </row>
    <row r="1098" spans="1:3">
      <c r="A1098" s="767" t="s">
        <v>5736</v>
      </c>
      <c r="B1098" s="767" t="s">
        <v>5737</v>
      </c>
      <c r="C1098" s="408"/>
    </row>
    <row r="1099" spans="1:3">
      <c r="A1099" s="767" t="s">
        <v>5738</v>
      </c>
      <c r="B1099" s="767" t="s">
        <v>5739</v>
      </c>
      <c r="C1099" s="408"/>
    </row>
    <row r="1100" spans="1:3">
      <c r="A1100" s="767" t="s">
        <v>5740</v>
      </c>
      <c r="B1100" s="767" t="s">
        <v>5741</v>
      </c>
      <c r="C1100" s="408"/>
    </row>
    <row r="1101" spans="1:3">
      <c r="A1101" s="767" t="s">
        <v>5742</v>
      </c>
      <c r="B1101" s="767" t="s">
        <v>5743</v>
      </c>
      <c r="C1101" s="408"/>
    </row>
    <row r="1102" spans="1:3">
      <c r="A1102" s="767" t="s">
        <v>5744</v>
      </c>
      <c r="B1102" s="767" t="s">
        <v>5745</v>
      </c>
      <c r="C1102" s="408"/>
    </row>
    <row r="1103" spans="1:3">
      <c r="A1103" s="767" t="s">
        <v>5746</v>
      </c>
      <c r="B1103" s="767" t="s">
        <v>5747</v>
      </c>
      <c r="C1103" s="408"/>
    </row>
    <row r="1104" spans="1:3">
      <c r="A1104" s="767" t="s">
        <v>5748</v>
      </c>
      <c r="B1104" s="767" t="s">
        <v>5749</v>
      </c>
      <c r="C1104" s="408"/>
    </row>
    <row r="1105" spans="1:3">
      <c r="A1105" s="767" t="s">
        <v>5750</v>
      </c>
      <c r="B1105" s="767" t="s">
        <v>5751</v>
      </c>
      <c r="C1105" s="408"/>
    </row>
    <row r="1106" spans="1:3">
      <c r="A1106" s="767" t="s">
        <v>5752</v>
      </c>
      <c r="B1106" s="767" t="s">
        <v>5753</v>
      </c>
      <c r="C1106" s="408"/>
    </row>
    <row r="1107" spans="1:3">
      <c r="A1107" s="767" t="s">
        <v>5754</v>
      </c>
      <c r="B1107" s="767" t="s">
        <v>5755</v>
      </c>
      <c r="C1107" s="408"/>
    </row>
    <row r="1108" spans="1:3">
      <c r="A1108" s="767" t="s">
        <v>5756</v>
      </c>
      <c r="B1108" s="767" t="s">
        <v>5757</v>
      </c>
      <c r="C1108" s="408"/>
    </row>
    <row r="1109" spans="1:3">
      <c r="A1109" s="767" t="s">
        <v>5758</v>
      </c>
      <c r="B1109" s="767" t="s">
        <v>5759</v>
      </c>
      <c r="C1109" s="408"/>
    </row>
    <row r="1110" spans="1:3">
      <c r="A1110" s="767" t="s">
        <v>5760</v>
      </c>
      <c r="B1110" s="767" t="s">
        <v>5761</v>
      </c>
      <c r="C1110" s="408"/>
    </row>
    <row r="1111" spans="1:3">
      <c r="A1111" s="767" t="s">
        <v>5762</v>
      </c>
      <c r="B1111" s="767" t="s">
        <v>5763</v>
      </c>
      <c r="C1111" s="408"/>
    </row>
    <row r="1112" spans="1:3">
      <c r="A1112" s="767" t="s">
        <v>5764</v>
      </c>
      <c r="B1112" s="767" t="s">
        <v>5765</v>
      </c>
      <c r="C1112" s="408"/>
    </row>
    <row r="1113" spans="1:3">
      <c r="A1113" s="767" t="s">
        <v>5766</v>
      </c>
      <c r="B1113" s="767" t="s">
        <v>5767</v>
      </c>
      <c r="C1113" s="408"/>
    </row>
    <row r="1114" spans="1:3">
      <c r="A1114" s="767" t="s">
        <v>5768</v>
      </c>
      <c r="B1114" s="767" t="s">
        <v>5769</v>
      </c>
      <c r="C1114" s="408"/>
    </row>
    <row r="1115" spans="1:3">
      <c r="A1115" s="767" t="s">
        <v>5770</v>
      </c>
      <c r="B1115" s="767" t="s">
        <v>5771</v>
      </c>
      <c r="C1115" s="408"/>
    </row>
    <row r="1116" spans="1:3">
      <c r="A1116" s="767" t="s">
        <v>5772</v>
      </c>
      <c r="B1116" s="767" t="s">
        <v>5773</v>
      </c>
      <c r="C1116" s="408"/>
    </row>
    <row r="1117" spans="1:3">
      <c r="A1117" s="767" t="s">
        <v>5774</v>
      </c>
      <c r="B1117" s="767" t="s">
        <v>5775</v>
      </c>
      <c r="C1117" s="408"/>
    </row>
    <row r="1118" spans="1:3">
      <c r="A1118" s="767" t="s">
        <v>5776</v>
      </c>
      <c r="B1118" s="767" t="s">
        <v>5777</v>
      </c>
      <c r="C1118" s="408"/>
    </row>
    <row r="1119" spans="1:3">
      <c r="A1119" s="767" t="s">
        <v>5778</v>
      </c>
      <c r="B1119" s="767" t="s">
        <v>5779</v>
      </c>
      <c r="C1119" s="408"/>
    </row>
    <row r="1120" spans="1:3">
      <c r="A1120" s="767" t="s">
        <v>5780</v>
      </c>
      <c r="B1120" s="767" t="s">
        <v>5781</v>
      </c>
      <c r="C1120" s="408"/>
    </row>
    <row r="1121" spans="1:3">
      <c r="A1121" s="767" t="s">
        <v>5782</v>
      </c>
      <c r="B1121" s="767" t="s">
        <v>5783</v>
      </c>
      <c r="C1121" s="408"/>
    </row>
    <row r="1122" spans="1:3">
      <c r="A1122" s="767" t="s">
        <v>5784</v>
      </c>
      <c r="B1122" s="767" t="s">
        <v>5785</v>
      </c>
      <c r="C1122" s="408"/>
    </row>
    <row r="1123" spans="1:3">
      <c r="A1123" s="767" t="s">
        <v>5786</v>
      </c>
      <c r="B1123" s="767" t="s">
        <v>5787</v>
      </c>
      <c r="C1123" s="408"/>
    </row>
    <row r="1124" spans="1:3">
      <c r="A1124" s="767" t="s">
        <v>5788</v>
      </c>
      <c r="B1124" s="767" t="s">
        <v>5789</v>
      </c>
      <c r="C1124" s="408"/>
    </row>
    <row r="1125" spans="1:3">
      <c r="A1125" s="767" t="s">
        <v>5790</v>
      </c>
      <c r="B1125" s="767" t="s">
        <v>5791</v>
      </c>
      <c r="C1125" s="408"/>
    </row>
    <row r="1126" spans="1:3">
      <c r="A1126" s="767" t="s">
        <v>2978</v>
      </c>
      <c r="B1126" s="767" t="s">
        <v>5792</v>
      </c>
      <c r="C1126" s="408"/>
    </row>
    <row r="1127" spans="1:3">
      <c r="A1127" s="767" t="s">
        <v>5793</v>
      </c>
      <c r="B1127" s="767" t="s">
        <v>5794</v>
      </c>
      <c r="C1127" s="408"/>
    </row>
    <row r="1128" spans="1:3">
      <c r="A1128" s="767" t="s">
        <v>5795</v>
      </c>
      <c r="B1128" s="767" t="s">
        <v>5796</v>
      </c>
      <c r="C1128" s="408"/>
    </row>
    <row r="1129" spans="1:3">
      <c r="A1129" s="767" t="s">
        <v>5797</v>
      </c>
      <c r="B1129" s="767" t="s">
        <v>5798</v>
      </c>
      <c r="C1129" s="408"/>
    </row>
    <row r="1130" spans="1:3">
      <c r="A1130" s="767" t="s">
        <v>5799</v>
      </c>
      <c r="B1130" s="767" t="s">
        <v>5800</v>
      </c>
      <c r="C1130" s="408"/>
    </row>
    <row r="1131" spans="1:3">
      <c r="A1131" s="767" t="s">
        <v>5801</v>
      </c>
      <c r="B1131" s="767" t="s">
        <v>5802</v>
      </c>
      <c r="C1131" s="408"/>
    </row>
    <row r="1132" spans="1:3">
      <c r="A1132" s="767" t="s">
        <v>5803</v>
      </c>
      <c r="B1132" s="767" t="s">
        <v>5804</v>
      </c>
      <c r="C1132" s="408"/>
    </row>
    <row r="1133" spans="1:3">
      <c r="A1133" s="767" t="s">
        <v>5805</v>
      </c>
      <c r="B1133" s="767" t="s">
        <v>5806</v>
      </c>
      <c r="C1133" s="408"/>
    </row>
    <row r="1134" spans="1:3">
      <c r="A1134" s="767" t="s">
        <v>5807</v>
      </c>
      <c r="B1134" s="767" t="s">
        <v>5808</v>
      </c>
      <c r="C1134" s="408"/>
    </row>
    <row r="1135" spans="1:3">
      <c r="A1135" s="767" t="s">
        <v>5809</v>
      </c>
      <c r="B1135" s="767" t="s">
        <v>5810</v>
      </c>
      <c r="C1135" s="408"/>
    </row>
    <row r="1136" spans="1:3">
      <c r="A1136" s="767" t="s">
        <v>5811</v>
      </c>
      <c r="B1136" s="767" t="s">
        <v>5812</v>
      </c>
      <c r="C1136" s="408"/>
    </row>
    <row r="1137" spans="1:3">
      <c r="A1137" s="767" t="s">
        <v>5813</v>
      </c>
      <c r="B1137" s="767" t="s">
        <v>5814</v>
      </c>
      <c r="C1137" s="408"/>
    </row>
    <row r="1138" spans="1:3">
      <c r="A1138" s="767" t="s">
        <v>5815</v>
      </c>
      <c r="B1138" s="767" t="s">
        <v>5816</v>
      </c>
      <c r="C1138" s="408"/>
    </row>
    <row r="1139" spans="1:3">
      <c r="A1139" s="767" t="s">
        <v>5817</v>
      </c>
      <c r="B1139" s="767" t="s">
        <v>5818</v>
      </c>
      <c r="C1139" s="408"/>
    </row>
    <row r="1140" spans="1:3">
      <c r="A1140" s="767" t="s">
        <v>5819</v>
      </c>
      <c r="B1140" s="767" t="s">
        <v>5820</v>
      </c>
      <c r="C1140" s="408"/>
    </row>
    <row r="1141" spans="1:3">
      <c r="A1141" s="767" t="s">
        <v>5821</v>
      </c>
      <c r="B1141" s="767" t="s">
        <v>5822</v>
      </c>
      <c r="C1141" s="408"/>
    </row>
    <row r="1142" spans="1:3">
      <c r="A1142" s="767" t="s">
        <v>5823</v>
      </c>
      <c r="B1142" s="767" t="s">
        <v>5824</v>
      </c>
      <c r="C1142" s="408"/>
    </row>
    <row r="1143" spans="1:3">
      <c r="A1143" s="767" t="s">
        <v>5825</v>
      </c>
      <c r="B1143" s="767" t="s">
        <v>5826</v>
      </c>
      <c r="C1143" s="408"/>
    </row>
    <row r="1144" spans="1:3">
      <c r="A1144" s="767" t="s">
        <v>5827</v>
      </c>
      <c r="B1144" s="767" t="s">
        <v>5828</v>
      </c>
      <c r="C1144" s="408"/>
    </row>
    <row r="1145" spans="1:3">
      <c r="A1145" s="767" t="s">
        <v>5829</v>
      </c>
      <c r="B1145" s="767" t="s">
        <v>5830</v>
      </c>
      <c r="C1145" s="408"/>
    </row>
    <row r="1146" spans="1:3">
      <c r="A1146" s="767" t="s">
        <v>5831</v>
      </c>
      <c r="B1146" s="767" t="s">
        <v>5832</v>
      </c>
      <c r="C1146" s="408"/>
    </row>
    <row r="1147" spans="1:3">
      <c r="A1147" s="767" t="s">
        <v>5833</v>
      </c>
      <c r="B1147" s="767" t="s">
        <v>5834</v>
      </c>
      <c r="C1147" s="408"/>
    </row>
    <row r="1148" spans="1:3">
      <c r="A1148" s="767" t="s">
        <v>5835</v>
      </c>
      <c r="B1148" s="767" t="s">
        <v>5836</v>
      </c>
      <c r="C1148" s="408"/>
    </row>
    <row r="1149" spans="1:3">
      <c r="A1149" s="767" t="s">
        <v>5837</v>
      </c>
      <c r="B1149" s="767" t="s">
        <v>5838</v>
      </c>
      <c r="C1149" s="408"/>
    </row>
    <row r="1150" spans="1:3">
      <c r="A1150" s="767" t="s">
        <v>5839</v>
      </c>
      <c r="B1150" s="767" t="s">
        <v>5840</v>
      </c>
      <c r="C1150" s="408"/>
    </row>
    <row r="1151" spans="1:3">
      <c r="A1151" s="767" t="s">
        <v>5841</v>
      </c>
      <c r="B1151" s="767" t="s">
        <v>5842</v>
      </c>
      <c r="C1151" s="408"/>
    </row>
    <row r="1152" spans="1:3">
      <c r="A1152" s="767" t="s">
        <v>5843</v>
      </c>
      <c r="B1152" s="767" t="s">
        <v>5844</v>
      </c>
      <c r="C1152" s="408"/>
    </row>
    <row r="1153" spans="1:3">
      <c r="A1153" s="767" t="s">
        <v>5845</v>
      </c>
      <c r="B1153" s="767" t="s">
        <v>5846</v>
      </c>
      <c r="C1153" s="408"/>
    </row>
    <row r="1154" spans="1:3">
      <c r="A1154" s="767" t="s">
        <v>5847</v>
      </c>
      <c r="B1154" s="767" t="s">
        <v>5848</v>
      </c>
      <c r="C1154" s="408"/>
    </row>
    <row r="1155" spans="1:3">
      <c r="A1155" s="767" t="s">
        <v>5849</v>
      </c>
      <c r="B1155" s="767" t="s">
        <v>4879</v>
      </c>
      <c r="C1155" s="408"/>
    </row>
    <row r="1156" spans="1:3">
      <c r="A1156" s="767" t="s">
        <v>3149</v>
      </c>
      <c r="B1156" s="767" t="s">
        <v>5850</v>
      </c>
      <c r="C1156" s="408"/>
    </row>
    <row r="1157" spans="1:3">
      <c r="A1157" s="767" t="s">
        <v>5851</v>
      </c>
      <c r="B1157" s="767" t="s">
        <v>5852</v>
      </c>
      <c r="C1157" s="408"/>
    </row>
    <row r="1158" spans="1:3">
      <c r="A1158" s="767" t="s">
        <v>5853</v>
      </c>
      <c r="B1158" s="767" t="s">
        <v>5854</v>
      </c>
      <c r="C1158" s="408"/>
    </row>
    <row r="1159" spans="1:3">
      <c r="A1159" s="767" t="s">
        <v>3090</v>
      </c>
      <c r="B1159" s="767" t="s">
        <v>5855</v>
      </c>
      <c r="C1159" s="408"/>
    </row>
    <row r="1160" spans="1:3">
      <c r="A1160" s="767" t="s">
        <v>5856</v>
      </c>
      <c r="B1160" s="767" t="s">
        <v>5857</v>
      </c>
      <c r="C1160" s="408"/>
    </row>
    <row r="1161" spans="1:3">
      <c r="A1161" s="767" t="s">
        <v>5858</v>
      </c>
      <c r="B1161" s="767" t="s">
        <v>5859</v>
      </c>
      <c r="C1161" s="408"/>
    </row>
    <row r="1162" spans="1:3">
      <c r="A1162" s="767" t="s">
        <v>5860</v>
      </c>
      <c r="B1162" s="767" t="s">
        <v>5861</v>
      </c>
      <c r="C1162" s="408"/>
    </row>
    <row r="1163" spans="1:3">
      <c r="A1163" s="767" t="s">
        <v>5862</v>
      </c>
      <c r="B1163" s="767" t="s">
        <v>5863</v>
      </c>
      <c r="C1163" s="408"/>
    </row>
    <row r="1164" spans="1:3">
      <c r="A1164" s="767" t="s">
        <v>5864</v>
      </c>
      <c r="B1164" s="767" t="s">
        <v>5865</v>
      </c>
      <c r="C1164" s="408"/>
    </row>
    <row r="1165" spans="1:3">
      <c r="A1165" s="767" t="s">
        <v>5866</v>
      </c>
      <c r="B1165" s="767" t="s">
        <v>5867</v>
      </c>
      <c r="C1165" s="408"/>
    </row>
    <row r="1166" spans="1:3">
      <c r="A1166" s="767" t="s">
        <v>5868</v>
      </c>
      <c r="B1166" s="767" t="s">
        <v>5869</v>
      </c>
      <c r="C1166" s="408"/>
    </row>
    <row r="1167" spans="1:3">
      <c r="A1167" s="767" t="s">
        <v>5870</v>
      </c>
      <c r="B1167" s="767" t="s">
        <v>5871</v>
      </c>
      <c r="C1167" s="408"/>
    </row>
    <row r="1168" spans="1:3">
      <c r="A1168" s="767" t="s">
        <v>5872</v>
      </c>
      <c r="B1168" s="767" t="s">
        <v>5873</v>
      </c>
      <c r="C1168" s="408"/>
    </row>
    <row r="1169" spans="1:3">
      <c r="A1169" s="767" t="s">
        <v>5874</v>
      </c>
      <c r="B1169" s="767" t="s">
        <v>5875</v>
      </c>
      <c r="C1169" s="408"/>
    </row>
    <row r="1170" spans="1:3">
      <c r="A1170" s="767" t="s">
        <v>5876</v>
      </c>
      <c r="B1170" s="767" t="s">
        <v>5877</v>
      </c>
      <c r="C1170" s="408"/>
    </row>
    <row r="1171" spans="1:3">
      <c r="A1171" s="767" t="s">
        <v>5878</v>
      </c>
      <c r="B1171" s="767" t="s">
        <v>5879</v>
      </c>
      <c r="C1171" s="408"/>
    </row>
    <row r="1172" spans="1:3">
      <c r="A1172" s="767" t="s">
        <v>5880</v>
      </c>
      <c r="B1172" s="767" t="s">
        <v>5881</v>
      </c>
      <c r="C1172" s="408"/>
    </row>
    <row r="1173" spans="1:3">
      <c r="A1173" s="767" t="s">
        <v>5882</v>
      </c>
      <c r="B1173" s="767" t="s">
        <v>5883</v>
      </c>
      <c r="C1173" s="408"/>
    </row>
    <row r="1174" spans="1:3">
      <c r="A1174" s="767" t="s">
        <v>5884</v>
      </c>
      <c r="B1174" s="767" t="s">
        <v>5885</v>
      </c>
      <c r="C1174" s="408"/>
    </row>
    <row r="1175" spans="1:3">
      <c r="A1175" s="767" t="s">
        <v>5886</v>
      </c>
      <c r="B1175" s="767" t="s">
        <v>5887</v>
      </c>
      <c r="C1175" s="408"/>
    </row>
    <row r="1176" spans="1:3">
      <c r="A1176" s="767" t="s">
        <v>5888</v>
      </c>
      <c r="B1176" s="767" t="s">
        <v>5889</v>
      </c>
      <c r="C1176" s="408"/>
    </row>
    <row r="1177" spans="1:3">
      <c r="A1177" s="767" t="s">
        <v>5890</v>
      </c>
      <c r="B1177" s="767" t="s">
        <v>5891</v>
      </c>
      <c r="C1177" s="408"/>
    </row>
    <row r="1178" spans="1:3">
      <c r="A1178" s="767" t="s">
        <v>5892</v>
      </c>
      <c r="B1178" s="767" t="s">
        <v>5893</v>
      </c>
      <c r="C1178" s="408"/>
    </row>
    <row r="1179" spans="1:3">
      <c r="A1179" s="767" t="s">
        <v>5894</v>
      </c>
      <c r="B1179" s="767" t="s">
        <v>5895</v>
      </c>
      <c r="C1179" s="408"/>
    </row>
    <row r="1180" spans="1:3">
      <c r="A1180" s="767" t="s">
        <v>5896</v>
      </c>
      <c r="B1180" s="767" t="s">
        <v>5897</v>
      </c>
      <c r="C1180" s="408"/>
    </row>
    <row r="1181" spans="1:3">
      <c r="A1181" s="767" t="s">
        <v>5898</v>
      </c>
      <c r="B1181" s="767" t="s">
        <v>5899</v>
      </c>
      <c r="C1181" s="408"/>
    </row>
    <row r="1182" spans="1:3">
      <c r="A1182" s="767" t="s">
        <v>5900</v>
      </c>
      <c r="B1182" s="767" t="s">
        <v>5901</v>
      </c>
      <c r="C1182" s="408"/>
    </row>
    <row r="1183" spans="1:3">
      <c r="A1183" s="767" t="s">
        <v>5902</v>
      </c>
      <c r="B1183" s="767" t="s">
        <v>5903</v>
      </c>
      <c r="C1183" s="408"/>
    </row>
    <row r="1184" spans="1:3">
      <c r="A1184" s="767" t="s">
        <v>5904</v>
      </c>
      <c r="B1184" s="767" t="s">
        <v>5905</v>
      </c>
      <c r="C1184" s="408"/>
    </row>
    <row r="1185" spans="1:3">
      <c r="A1185" s="767" t="s">
        <v>5906</v>
      </c>
      <c r="B1185" s="767" t="s">
        <v>4994</v>
      </c>
      <c r="C1185" s="408"/>
    </row>
    <row r="1186" spans="1:3">
      <c r="A1186" s="767" t="s">
        <v>5907</v>
      </c>
      <c r="B1186" s="767" t="s">
        <v>5908</v>
      </c>
      <c r="C1186" s="408"/>
    </row>
    <row r="1187" spans="1:3">
      <c r="A1187" s="767" t="s">
        <v>5909</v>
      </c>
      <c r="B1187" s="767" t="s">
        <v>5910</v>
      </c>
      <c r="C1187" s="408"/>
    </row>
    <row r="1188" spans="1:3">
      <c r="A1188" s="767" t="s">
        <v>5911</v>
      </c>
      <c r="B1188" s="767" t="s">
        <v>5912</v>
      </c>
      <c r="C1188" s="408"/>
    </row>
    <row r="1189" spans="1:3">
      <c r="A1189" s="767" t="s">
        <v>5913</v>
      </c>
      <c r="B1189" s="767" t="s">
        <v>5914</v>
      </c>
      <c r="C1189" s="408"/>
    </row>
    <row r="1190" spans="1:3">
      <c r="A1190" s="767" t="s">
        <v>5915</v>
      </c>
      <c r="B1190" s="767" t="s">
        <v>5916</v>
      </c>
      <c r="C1190" s="408"/>
    </row>
    <row r="1191" spans="1:3">
      <c r="A1191" s="767" t="s">
        <v>5917</v>
      </c>
      <c r="B1191" s="767" t="s">
        <v>5918</v>
      </c>
      <c r="C1191" s="408"/>
    </row>
    <row r="1192" spans="1:3">
      <c r="A1192" s="767" t="s">
        <v>5919</v>
      </c>
      <c r="B1192" s="767" t="s">
        <v>5920</v>
      </c>
      <c r="C1192" s="408"/>
    </row>
    <row r="1193" spans="1:3">
      <c r="A1193" s="767" t="s">
        <v>5921</v>
      </c>
      <c r="B1193" s="767" t="s">
        <v>5922</v>
      </c>
      <c r="C1193" s="408"/>
    </row>
    <row r="1194" spans="1:3">
      <c r="A1194" s="767" t="s">
        <v>5923</v>
      </c>
      <c r="B1194" s="767" t="s">
        <v>5924</v>
      </c>
      <c r="C1194" s="408"/>
    </row>
    <row r="1195" spans="1:3">
      <c r="A1195" s="767" t="s">
        <v>5925</v>
      </c>
      <c r="B1195" s="767" t="s">
        <v>5926</v>
      </c>
      <c r="C1195" s="408"/>
    </row>
    <row r="1196" spans="1:3">
      <c r="A1196" s="767" t="s">
        <v>5927</v>
      </c>
      <c r="B1196" s="767" t="s">
        <v>5928</v>
      </c>
      <c r="C1196" s="408"/>
    </row>
    <row r="1197" spans="1:3">
      <c r="A1197" s="767" t="s">
        <v>5929</v>
      </c>
      <c r="B1197" s="767" t="s">
        <v>5930</v>
      </c>
      <c r="C1197" s="408"/>
    </row>
    <row r="1198" spans="1:3">
      <c r="A1198" s="767" t="s">
        <v>5931</v>
      </c>
      <c r="B1198" s="767" t="s">
        <v>5932</v>
      </c>
      <c r="C1198" s="408"/>
    </row>
    <row r="1199" spans="1:3">
      <c r="A1199" s="767" t="s">
        <v>5933</v>
      </c>
      <c r="B1199" s="767" t="s">
        <v>4640</v>
      </c>
      <c r="C1199" s="408"/>
    </row>
    <row r="1200" spans="1:3">
      <c r="A1200" s="767" t="s">
        <v>5934</v>
      </c>
      <c r="B1200" s="767" t="s">
        <v>5935</v>
      </c>
      <c r="C1200" s="408"/>
    </row>
    <row r="1201" spans="1:3">
      <c r="A1201" s="767" t="s">
        <v>5936</v>
      </c>
      <c r="B1201" s="767" t="s">
        <v>5937</v>
      </c>
      <c r="C1201" s="408"/>
    </row>
    <row r="1202" spans="1:3">
      <c r="A1202" s="767" t="s">
        <v>5938</v>
      </c>
      <c r="B1202" s="767" t="s">
        <v>5939</v>
      </c>
      <c r="C1202" s="408"/>
    </row>
    <row r="1203" spans="1:3">
      <c r="A1203" s="767" t="s">
        <v>5940</v>
      </c>
      <c r="B1203" s="767" t="s">
        <v>5941</v>
      </c>
      <c r="C1203" s="408"/>
    </row>
    <row r="1204" spans="1:3">
      <c r="A1204" s="767" t="s">
        <v>5942</v>
      </c>
      <c r="B1204" s="767" t="s">
        <v>5943</v>
      </c>
      <c r="C1204" s="408"/>
    </row>
    <row r="1205" spans="1:3">
      <c r="A1205" s="767" t="s">
        <v>5944</v>
      </c>
      <c r="B1205" s="767" t="s">
        <v>5945</v>
      </c>
      <c r="C1205" s="408"/>
    </row>
    <row r="1206" spans="1:3">
      <c r="A1206" s="767" t="s">
        <v>5946</v>
      </c>
      <c r="B1206" s="767" t="s">
        <v>5947</v>
      </c>
      <c r="C1206" s="408"/>
    </row>
    <row r="1207" spans="1:3">
      <c r="A1207" s="767" t="s">
        <v>5948</v>
      </c>
      <c r="B1207" s="767" t="s">
        <v>5949</v>
      </c>
      <c r="C1207" s="408"/>
    </row>
    <row r="1208" spans="1:3">
      <c r="A1208" s="767" t="s">
        <v>5950</v>
      </c>
      <c r="B1208" s="767" t="s">
        <v>4640</v>
      </c>
      <c r="C1208" s="408"/>
    </row>
    <row r="1209" spans="1:3">
      <c r="A1209" s="767" t="s">
        <v>5951</v>
      </c>
      <c r="B1209" s="767" t="s">
        <v>5952</v>
      </c>
      <c r="C1209" s="408"/>
    </row>
    <row r="1210" spans="1:3">
      <c r="A1210" s="767" t="s">
        <v>5953</v>
      </c>
      <c r="B1210" s="767" t="s">
        <v>5954</v>
      </c>
      <c r="C1210" s="408"/>
    </row>
    <row r="1211" spans="1:3">
      <c r="A1211" s="767" t="s">
        <v>5955</v>
      </c>
      <c r="B1211" s="767" t="s">
        <v>5956</v>
      </c>
      <c r="C1211" s="408"/>
    </row>
    <row r="1212" spans="1:3">
      <c r="A1212" s="767" t="s">
        <v>5957</v>
      </c>
      <c r="B1212" s="767" t="s">
        <v>5958</v>
      </c>
      <c r="C1212" s="408"/>
    </row>
    <row r="1213" spans="1:3">
      <c r="A1213" s="767" t="s">
        <v>5959</v>
      </c>
      <c r="B1213" s="767" t="s">
        <v>5960</v>
      </c>
      <c r="C1213" s="408"/>
    </row>
    <row r="1214" spans="1:3">
      <c r="A1214" s="767" t="s">
        <v>5961</v>
      </c>
      <c r="B1214" s="767" t="s">
        <v>5962</v>
      </c>
      <c r="C1214" s="408"/>
    </row>
    <row r="1215" spans="1:3">
      <c r="A1215" s="767" t="s">
        <v>5963</v>
      </c>
      <c r="B1215" s="767" t="s">
        <v>5964</v>
      </c>
      <c r="C1215" s="408"/>
    </row>
    <row r="1216" spans="1:3">
      <c r="A1216" s="767" t="s">
        <v>5965</v>
      </c>
      <c r="B1216" s="767" t="s">
        <v>5966</v>
      </c>
      <c r="C1216" s="408"/>
    </row>
    <row r="1217" spans="1:3">
      <c r="A1217" s="767" t="s">
        <v>5967</v>
      </c>
      <c r="B1217" s="767" t="s">
        <v>5968</v>
      </c>
      <c r="C1217" s="408"/>
    </row>
    <row r="1218" spans="1:3">
      <c r="A1218" s="767" t="s">
        <v>5969</v>
      </c>
      <c r="B1218" s="767" t="s">
        <v>5970</v>
      </c>
      <c r="C1218" s="408"/>
    </row>
    <row r="1219" spans="1:3">
      <c r="A1219" s="767" t="s">
        <v>5971</v>
      </c>
      <c r="B1219" s="767" t="s">
        <v>5972</v>
      </c>
      <c r="C1219" s="408"/>
    </row>
    <row r="1220" spans="1:3">
      <c r="A1220" s="767" t="s">
        <v>5973</v>
      </c>
      <c r="B1220" s="767" t="s">
        <v>5974</v>
      </c>
      <c r="C1220" s="408"/>
    </row>
    <row r="1221" spans="1:3">
      <c r="A1221" s="767" t="s">
        <v>5975</v>
      </c>
      <c r="B1221" s="767" t="s">
        <v>5976</v>
      </c>
      <c r="C1221" s="408"/>
    </row>
    <row r="1222" spans="1:3">
      <c r="A1222" s="767" t="s">
        <v>5977</v>
      </c>
      <c r="B1222" s="767" t="s">
        <v>5978</v>
      </c>
      <c r="C1222" s="408"/>
    </row>
    <row r="1223" spans="1:3">
      <c r="A1223" s="767" t="s">
        <v>5979</v>
      </c>
      <c r="B1223" s="767" t="s">
        <v>5980</v>
      </c>
      <c r="C1223" s="408"/>
    </row>
    <row r="1224" spans="1:3">
      <c r="A1224" s="767" t="s">
        <v>5981</v>
      </c>
      <c r="B1224" s="767" t="s">
        <v>5982</v>
      </c>
      <c r="C1224" s="408"/>
    </row>
    <row r="1225" spans="1:3">
      <c r="A1225" s="767" t="s">
        <v>5983</v>
      </c>
      <c r="B1225" s="767" t="s">
        <v>5984</v>
      </c>
      <c r="C1225" s="408"/>
    </row>
    <row r="1226" spans="1:3">
      <c r="A1226" s="767" t="s">
        <v>5985</v>
      </c>
      <c r="B1226" s="767" t="s">
        <v>5986</v>
      </c>
      <c r="C1226" s="408"/>
    </row>
    <row r="1227" spans="1:3">
      <c r="A1227" s="767" t="s">
        <v>5987</v>
      </c>
      <c r="B1227" s="767" t="s">
        <v>5988</v>
      </c>
      <c r="C1227" s="408"/>
    </row>
    <row r="1228" spans="1:3">
      <c r="A1228" s="767" t="s">
        <v>5989</v>
      </c>
      <c r="B1228" s="767" t="s">
        <v>5990</v>
      </c>
      <c r="C1228" s="408"/>
    </row>
    <row r="1229" spans="1:3">
      <c r="A1229" s="767" t="s">
        <v>5991</v>
      </c>
      <c r="B1229" s="767" t="s">
        <v>5992</v>
      </c>
      <c r="C1229" s="408"/>
    </row>
    <row r="1230" spans="1:3">
      <c r="A1230" s="767" t="s">
        <v>5993</v>
      </c>
      <c r="B1230" s="767" t="s">
        <v>5994</v>
      </c>
      <c r="C1230" s="408"/>
    </row>
    <row r="1231" spans="1:3">
      <c r="A1231" s="767" t="s">
        <v>5995</v>
      </c>
      <c r="B1231" s="767" t="s">
        <v>4364</v>
      </c>
      <c r="C1231" s="408"/>
    </row>
    <row r="1232" spans="1:3">
      <c r="A1232" s="767" t="s">
        <v>5996</v>
      </c>
      <c r="B1232" s="767" t="s">
        <v>5997</v>
      </c>
      <c r="C1232" s="408"/>
    </row>
    <row r="1233" spans="1:3">
      <c r="A1233" s="767" t="s">
        <v>5998</v>
      </c>
      <c r="B1233" s="767" t="s">
        <v>5999</v>
      </c>
      <c r="C1233" s="408"/>
    </row>
    <row r="1234" spans="1:3">
      <c r="A1234" s="767" t="s">
        <v>6000</v>
      </c>
      <c r="B1234" s="767" t="s">
        <v>6001</v>
      </c>
      <c r="C1234" s="408"/>
    </row>
    <row r="1235" spans="1:3">
      <c r="A1235" s="767" t="s">
        <v>6002</v>
      </c>
      <c r="B1235" s="767" t="s">
        <v>6003</v>
      </c>
      <c r="C1235" s="408"/>
    </row>
    <row r="1236" spans="1:3">
      <c r="A1236" s="767" t="s">
        <v>6004</v>
      </c>
      <c r="B1236" s="767" t="s">
        <v>6005</v>
      </c>
      <c r="C1236" s="408"/>
    </row>
    <row r="1237" spans="1:3">
      <c r="A1237" s="767" t="s">
        <v>6006</v>
      </c>
      <c r="B1237" s="767" t="s">
        <v>6007</v>
      </c>
      <c r="C1237" s="408"/>
    </row>
    <row r="1238" spans="1:3">
      <c r="A1238" s="767" t="s">
        <v>6008</v>
      </c>
      <c r="B1238" s="767" t="s">
        <v>6009</v>
      </c>
      <c r="C1238" s="408"/>
    </row>
    <row r="1239" spans="1:3">
      <c r="A1239" s="767" t="s">
        <v>6010</v>
      </c>
      <c r="B1239" s="767" t="s">
        <v>6011</v>
      </c>
      <c r="C1239" s="408"/>
    </row>
    <row r="1240" spans="1:3">
      <c r="A1240" s="767" t="s">
        <v>6012</v>
      </c>
      <c r="B1240" s="767" t="s">
        <v>6013</v>
      </c>
      <c r="C1240" s="408"/>
    </row>
    <row r="1241" spans="1:3">
      <c r="A1241" s="767" t="s">
        <v>6014</v>
      </c>
      <c r="B1241" s="767" t="s">
        <v>6015</v>
      </c>
      <c r="C1241" s="408"/>
    </row>
    <row r="1242" spans="1:3">
      <c r="A1242" s="767" t="s">
        <v>6016</v>
      </c>
      <c r="B1242" s="767" t="s">
        <v>6017</v>
      </c>
      <c r="C1242" s="408"/>
    </row>
    <row r="1243" spans="1:3">
      <c r="A1243" s="767" t="s">
        <v>6018</v>
      </c>
      <c r="B1243" s="767" t="s">
        <v>6019</v>
      </c>
      <c r="C1243" s="408"/>
    </row>
    <row r="1244" spans="1:3">
      <c r="A1244" s="767" t="s">
        <v>5496</v>
      </c>
      <c r="B1244" s="767" t="s">
        <v>6020</v>
      </c>
      <c r="C1244" s="408"/>
    </row>
    <row r="1245" spans="1:3">
      <c r="A1245" s="767" t="s">
        <v>6021</v>
      </c>
      <c r="B1245" s="767" t="s">
        <v>6022</v>
      </c>
      <c r="C1245" s="408"/>
    </row>
    <row r="1246" spans="1:3">
      <c r="A1246" s="767" t="s">
        <v>6023</v>
      </c>
      <c r="B1246" s="767" t="s">
        <v>6024</v>
      </c>
      <c r="C1246" s="408"/>
    </row>
    <row r="1247" spans="1:3">
      <c r="A1247" s="767" t="s">
        <v>6025</v>
      </c>
      <c r="B1247" s="767" t="s">
        <v>6026</v>
      </c>
      <c r="C1247" s="408"/>
    </row>
    <row r="1248" spans="1:3">
      <c r="A1248" s="767" t="s">
        <v>6027</v>
      </c>
      <c r="B1248" s="767" t="s">
        <v>6028</v>
      </c>
      <c r="C1248" s="408"/>
    </row>
    <row r="1249" spans="1:3">
      <c r="A1249" s="767" t="s">
        <v>6029</v>
      </c>
      <c r="B1249" s="767" t="s">
        <v>6030</v>
      </c>
      <c r="C1249" s="408"/>
    </row>
    <row r="1250" spans="1:3">
      <c r="A1250" s="767" t="s">
        <v>6031</v>
      </c>
      <c r="B1250" s="767" t="s">
        <v>6032</v>
      </c>
      <c r="C1250" s="408"/>
    </row>
    <row r="1251" spans="1:3">
      <c r="A1251" s="767" t="s">
        <v>6033</v>
      </c>
      <c r="B1251" s="767" t="s">
        <v>6034</v>
      </c>
      <c r="C1251" s="408"/>
    </row>
    <row r="1252" spans="1:3">
      <c r="A1252" s="767" t="s">
        <v>6035</v>
      </c>
      <c r="B1252" s="767" t="s">
        <v>6036</v>
      </c>
      <c r="C1252" s="408"/>
    </row>
    <row r="1253" spans="1:3">
      <c r="A1253" s="767" t="s">
        <v>6037</v>
      </c>
      <c r="B1253" s="767" t="s">
        <v>6038</v>
      </c>
      <c r="C1253" s="408"/>
    </row>
    <row r="1254" spans="1:3">
      <c r="A1254" s="767" t="s">
        <v>6039</v>
      </c>
      <c r="B1254" s="767" t="s">
        <v>6040</v>
      </c>
      <c r="C1254" s="408"/>
    </row>
    <row r="1255" spans="1:3">
      <c r="A1255" s="767" t="s">
        <v>6041</v>
      </c>
      <c r="B1255" s="767" t="s">
        <v>6042</v>
      </c>
      <c r="C1255" s="408"/>
    </row>
    <row r="1256" spans="1:3">
      <c r="A1256" s="767" t="s">
        <v>6043</v>
      </c>
      <c r="B1256" s="767" t="s">
        <v>6044</v>
      </c>
      <c r="C1256" s="408"/>
    </row>
    <row r="1257" spans="1:3">
      <c r="A1257" s="767" t="s">
        <v>6045</v>
      </c>
      <c r="B1257" s="767" t="s">
        <v>6046</v>
      </c>
      <c r="C1257" s="408"/>
    </row>
    <row r="1258" spans="1:3">
      <c r="A1258" s="767" t="s">
        <v>6047</v>
      </c>
      <c r="B1258" s="767" t="s">
        <v>6048</v>
      </c>
      <c r="C1258" s="408"/>
    </row>
    <row r="1259" spans="1:3">
      <c r="A1259" s="767" t="s">
        <v>6049</v>
      </c>
      <c r="B1259" s="767" t="s">
        <v>6050</v>
      </c>
      <c r="C1259" s="408"/>
    </row>
    <row r="1260" spans="1:3">
      <c r="A1260" s="767" t="s">
        <v>6051</v>
      </c>
      <c r="B1260" s="767" t="s">
        <v>6052</v>
      </c>
      <c r="C1260" s="408"/>
    </row>
    <row r="1261" spans="1:3">
      <c r="A1261" s="767" t="s">
        <v>6053</v>
      </c>
      <c r="B1261" s="767" t="s">
        <v>6054</v>
      </c>
      <c r="C1261" s="408"/>
    </row>
    <row r="1262" spans="1:3">
      <c r="A1262" s="767" t="s">
        <v>6055</v>
      </c>
      <c r="B1262" s="767" t="s">
        <v>6056</v>
      </c>
      <c r="C1262" s="408"/>
    </row>
    <row r="1263" spans="1:3">
      <c r="A1263" s="767" t="s">
        <v>6057</v>
      </c>
      <c r="B1263" s="767" t="s">
        <v>6058</v>
      </c>
      <c r="C1263" s="408"/>
    </row>
    <row r="1264" spans="1:3">
      <c r="A1264" s="767" t="s">
        <v>6059</v>
      </c>
      <c r="B1264" s="767" t="s">
        <v>6060</v>
      </c>
      <c r="C1264" s="408"/>
    </row>
    <row r="1265" spans="1:3">
      <c r="A1265" s="767" t="s">
        <v>6061</v>
      </c>
      <c r="B1265" s="767" t="s">
        <v>6062</v>
      </c>
      <c r="C1265" s="408"/>
    </row>
    <row r="1266" spans="1:3">
      <c r="A1266" s="767" t="s">
        <v>6063</v>
      </c>
      <c r="B1266" s="767" t="s">
        <v>6064</v>
      </c>
      <c r="C1266" s="408"/>
    </row>
    <row r="1267" spans="1:3">
      <c r="A1267" s="767" t="s">
        <v>6065</v>
      </c>
      <c r="B1267" s="767" t="s">
        <v>6066</v>
      </c>
      <c r="C1267" s="408"/>
    </row>
    <row r="1268" spans="1:3">
      <c r="A1268" s="767" t="s">
        <v>6067</v>
      </c>
      <c r="B1268" s="767" t="s">
        <v>6068</v>
      </c>
      <c r="C1268" s="408"/>
    </row>
    <row r="1269" spans="1:3">
      <c r="A1269" s="767" t="s">
        <v>6069</v>
      </c>
      <c r="B1269" s="767" t="s">
        <v>6070</v>
      </c>
      <c r="C1269" s="408"/>
    </row>
    <row r="1270" spans="1:3">
      <c r="A1270" s="767" t="s">
        <v>6071</v>
      </c>
      <c r="B1270" s="767" t="s">
        <v>6072</v>
      </c>
      <c r="C1270" s="408"/>
    </row>
    <row r="1271" spans="1:3">
      <c r="A1271" s="767" t="s">
        <v>6073</v>
      </c>
      <c r="B1271" s="767" t="s">
        <v>6074</v>
      </c>
      <c r="C1271" s="408"/>
    </row>
    <row r="1272" spans="1:3">
      <c r="A1272" s="767" t="s">
        <v>6075</v>
      </c>
      <c r="B1272" s="767" t="s">
        <v>6076</v>
      </c>
      <c r="C1272" s="408"/>
    </row>
    <row r="1273" spans="1:3">
      <c r="A1273" s="767" t="s">
        <v>6077</v>
      </c>
      <c r="B1273" s="767" t="s">
        <v>6078</v>
      </c>
      <c r="C1273" s="408"/>
    </row>
    <row r="1274" spans="1:3">
      <c r="A1274" s="767" t="s">
        <v>6079</v>
      </c>
      <c r="B1274" s="767" t="s">
        <v>6080</v>
      </c>
      <c r="C1274" s="408"/>
    </row>
    <row r="1275" spans="1:3">
      <c r="A1275" s="767" t="s">
        <v>6081</v>
      </c>
      <c r="B1275" s="767" t="s">
        <v>6082</v>
      </c>
      <c r="C1275" s="408"/>
    </row>
    <row r="1276" spans="1:3">
      <c r="A1276" s="767" t="s">
        <v>6083</v>
      </c>
      <c r="B1276" s="767" t="s">
        <v>6084</v>
      </c>
      <c r="C1276" s="408"/>
    </row>
    <row r="1277" spans="1:3">
      <c r="A1277" s="767" t="s">
        <v>6085</v>
      </c>
      <c r="B1277" s="767" t="s">
        <v>6086</v>
      </c>
      <c r="C1277" s="408"/>
    </row>
    <row r="1278" spans="1:3">
      <c r="A1278" s="767" t="s">
        <v>6087</v>
      </c>
      <c r="B1278" s="767" t="s">
        <v>6088</v>
      </c>
      <c r="C1278" s="408"/>
    </row>
    <row r="1279" spans="1:3">
      <c r="A1279" s="767" t="s">
        <v>6089</v>
      </c>
      <c r="B1279" s="767" t="s">
        <v>6090</v>
      </c>
      <c r="C1279" s="408"/>
    </row>
    <row r="1280" spans="1:3">
      <c r="A1280" s="767" t="s">
        <v>6091</v>
      </c>
      <c r="B1280" s="767" t="s">
        <v>6092</v>
      </c>
      <c r="C1280" s="408"/>
    </row>
    <row r="1281" spans="1:3">
      <c r="A1281" s="767" t="s">
        <v>6093</v>
      </c>
      <c r="B1281" s="767" t="s">
        <v>6094</v>
      </c>
      <c r="C1281" s="408"/>
    </row>
    <row r="1282" spans="1:3">
      <c r="A1282" s="767" t="s">
        <v>6095</v>
      </c>
      <c r="B1282" s="767" t="s">
        <v>6096</v>
      </c>
      <c r="C1282" s="408"/>
    </row>
    <row r="1283" spans="1:3">
      <c r="A1283" s="767" t="s">
        <v>6097</v>
      </c>
      <c r="B1283" s="767" t="s">
        <v>6098</v>
      </c>
      <c r="C1283" s="408"/>
    </row>
    <row r="1284" spans="1:3">
      <c r="A1284" s="767" t="s">
        <v>6099</v>
      </c>
      <c r="B1284" s="767" t="s">
        <v>6100</v>
      </c>
      <c r="C1284" s="408"/>
    </row>
    <row r="1285" spans="1:3">
      <c r="A1285" s="767" t="s">
        <v>6101</v>
      </c>
      <c r="B1285" s="767" t="s">
        <v>6102</v>
      </c>
      <c r="C1285" s="408"/>
    </row>
    <row r="1286" spans="1:3">
      <c r="A1286" s="767" t="s">
        <v>6103</v>
      </c>
      <c r="B1286" s="767" t="s">
        <v>6104</v>
      </c>
      <c r="C1286" s="408"/>
    </row>
    <row r="1287" spans="1:3">
      <c r="A1287" s="767" t="s">
        <v>6105</v>
      </c>
      <c r="B1287" s="767" t="s">
        <v>6106</v>
      </c>
      <c r="C1287" s="408"/>
    </row>
    <row r="1288" spans="1:3">
      <c r="A1288" s="767" t="s">
        <v>6107</v>
      </c>
      <c r="B1288" s="767" t="s">
        <v>6108</v>
      </c>
      <c r="C1288" s="408"/>
    </row>
    <row r="1289" spans="1:3">
      <c r="A1289" s="767" t="s">
        <v>6109</v>
      </c>
      <c r="B1289" s="767" t="s">
        <v>6110</v>
      </c>
      <c r="C1289" s="408"/>
    </row>
    <row r="1290" spans="1:3">
      <c r="A1290" s="767" t="s">
        <v>6111</v>
      </c>
      <c r="B1290" s="767" t="s">
        <v>6112</v>
      </c>
      <c r="C1290" s="408"/>
    </row>
    <row r="1291" spans="1:3">
      <c r="A1291" s="767" t="s">
        <v>6113</v>
      </c>
      <c r="B1291" s="767" t="s">
        <v>6114</v>
      </c>
      <c r="C1291" s="408"/>
    </row>
    <row r="1292" spans="1:3">
      <c r="A1292" s="767" t="s">
        <v>6115</v>
      </c>
      <c r="B1292" s="767" t="s">
        <v>6116</v>
      </c>
      <c r="C1292" s="408"/>
    </row>
    <row r="1293" spans="1:3">
      <c r="A1293" s="767" t="s">
        <v>6117</v>
      </c>
      <c r="B1293" s="767" t="s">
        <v>6118</v>
      </c>
      <c r="C1293" s="408"/>
    </row>
    <row r="1294" spans="1:3">
      <c r="A1294" s="767" t="s">
        <v>6119</v>
      </c>
      <c r="B1294" s="767" t="s">
        <v>6098</v>
      </c>
      <c r="C1294" s="408"/>
    </row>
    <row r="1295" spans="1:3">
      <c r="A1295" s="767" t="s">
        <v>6120</v>
      </c>
      <c r="B1295" s="767" t="s">
        <v>6121</v>
      </c>
      <c r="C1295" s="408"/>
    </row>
    <row r="1296" spans="1:3">
      <c r="A1296" s="767" t="s">
        <v>6122</v>
      </c>
      <c r="B1296" s="767" t="s">
        <v>6123</v>
      </c>
      <c r="C1296" s="408"/>
    </row>
    <row r="1297" spans="1:3">
      <c r="A1297" s="767" t="s">
        <v>6124</v>
      </c>
      <c r="B1297" s="767" t="s">
        <v>6125</v>
      </c>
      <c r="C1297" s="408"/>
    </row>
    <row r="1298" spans="1:3">
      <c r="A1298" s="767" t="s">
        <v>6126</v>
      </c>
      <c r="B1298" s="767" t="s">
        <v>6127</v>
      </c>
      <c r="C1298" s="408"/>
    </row>
    <row r="1299" spans="1:3">
      <c r="A1299" s="767" t="s">
        <v>6128</v>
      </c>
      <c r="B1299" s="767" t="s">
        <v>6129</v>
      </c>
      <c r="C1299" s="408"/>
    </row>
    <row r="1300" spans="1:3">
      <c r="A1300" s="767" t="s">
        <v>6130</v>
      </c>
      <c r="B1300" s="767" t="s">
        <v>6131</v>
      </c>
      <c r="C1300" s="408"/>
    </row>
    <row r="1301" spans="1:3">
      <c r="A1301" s="767" t="s">
        <v>6132</v>
      </c>
      <c r="B1301" s="767" t="s">
        <v>6133</v>
      </c>
      <c r="C1301" s="408"/>
    </row>
    <row r="1302" spans="1:3">
      <c r="A1302" s="767" t="s">
        <v>6134</v>
      </c>
      <c r="B1302" s="767" t="s">
        <v>6135</v>
      </c>
      <c r="C1302" s="408"/>
    </row>
    <row r="1303" spans="1:3">
      <c r="A1303" s="767" t="s">
        <v>6136</v>
      </c>
      <c r="B1303" s="767" t="s">
        <v>6137</v>
      </c>
      <c r="C1303" s="408"/>
    </row>
    <row r="1304" spans="1:3">
      <c r="A1304" s="767" t="s">
        <v>6138</v>
      </c>
      <c r="B1304" s="767" t="s">
        <v>6139</v>
      </c>
      <c r="C1304" s="408"/>
    </row>
    <row r="1305" spans="1:3">
      <c r="A1305" s="767" t="s">
        <v>6140</v>
      </c>
      <c r="B1305" s="767" t="s">
        <v>6141</v>
      </c>
      <c r="C1305" s="408"/>
    </row>
    <row r="1306" spans="1:3">
      <c r="A1306" s="767" t="s">
        <v>6142</v>
      </c>
      <c r="B1306" s="767" t="s">
        <v>6143</v>
      </c>
      <c r="C1306" s="408"/>
    </row>
    <row r="1307" spans="1:3">
      <c r="A1307" s="767" t="s">
        <v>6144</v>
      </c>
      <c r="B1307" s="767" t="s">
        <v>6145</v>
      </c>
      <c r="C1307" s="408"/>
    </row>
    <row r="1308" spans="1:3">
      <c r="A1308" s="767" t="s">
        <v>6146</v>
      </c>
      <c r="B1308" s="767" t="s">
        <v>6147</v>
      </c>
      <c r="C1308" s="408"/>
    </row>
    <row r="1309" spans="1:3">
      <c r="A1309" s="767" t="s">
        <v>6148</v>
      </c>
      <c r="B1309" s="767" t="s">
        <v>6149</v>
      </c>
      <c r="C1309" s="408"/>
    </row>
    <row r="1310" spans="1:3">
      <c r="A1310" s="767" t="s">
        <v>6150</v>
      </c>
      <c r="B1310" s="767" t="s">
        <v>6151</v>
      </c>
      <c r="C1310" s="408"/>
    </row>
    <row r="1311" spans="1:3">
      <c r="A1311" s="767" t="s">
        <v>6152</v>
      </c>
      <c r="B1311" s="767" t="s">
        <v>6153</v>
      </c>
      <c r="C1311" s="408"/>
    </row>
    <row r="1312" spans="1:3">
      <c r="A1312" s="767" t="s">
        <v>6154</v>
      </c>
      <c r="B1312" s="767" t="s">
        <v>6155</v>
      </c>
      <c r="C1312" s="408"/>
    </row>
    <row r="1313" spans="1:3">
      <c r="A1313" s="767" t="s">
        <v>6156</v>
      </c>
      <c r="B1313" s="767" t="s">
        <v>6157</v>
      </c>
      <c r="C1313" s="408"/>
    </row>
    <row r="1314" spans="1:3">
      <c r="A1314" s="767" t="s">
        <v>6158</v>
      </c>
      <c r="B1314" s="767" t="s">
        <v>6159</v>
      </c>
      <c r="C1314" s="408"/>
    </row>
    <row r="1315" spans="1:3">
      <c r="A1315" s="767" t="s">
        <v>6160</v>
      </c>
      <c r="B1315" s="767" t="s">
        <v>6161</v>
      </c>
      <c r="C1315" s="408"/>
    </row>
    <row r="1316" spans="1:3">
      <c r="A1316" s="767" t="s">
        <v>6162</v>
      </c>
      <c r="B1316" s="767" t="s">
        <v>5765</v>
      </c>
      <c r="C1316" s="408"/>
    </row>
    <row r="1317" spans="1:3">
      <c r="A1317" s="767" t="s">
        <v>6163</v>
      </c>
      <c r="B1317" s="767" t="s">
        <v>6164</v>
      </c>
      <c r="C1317" s="408"/>
    </row>
    <row r="1318" spans="1:3">
      <c r="A1318" s="767" t="s">
        <v>6165</v>
      </c>
      <c r="B1318" s="767" t="s">
        <v>6166</v>
      </c>
      <c r="C1318" s="408"/>
    </row>
    <row r="1319" spans="1:3">
      <c r="A1319" s="767" t="s">
        <v>6167</v>
      </c>
      <c r="B1319" s="767" t="s">
        <v>5382</v>
      </c>
      <c r="C1319" s="408"/>
    </row>
    <row r="1320" spans="1:3">
      <c r="A1320" s="767" t="s">
        <v>6168</v>
      </c>
      <c r="B1320" s="767" t="s">
        <v>6169</v>
      </c>
      <c r="C1320" s="408"/>
    </row>
    <row r="1321" spans="1:3">
      <c r="A1321" s="767" t="s">
        <v>6170</v>
      </c>
      <c r="B1321" s="767" t="s">
        <v>6171</v>
      </c>
      <c r="C1321" s="408"/>
    </row>
    <row r="1322" spans="1:3">
      <c r="A1322" s="767" t="s">
        <v>6172</v>
      </c>
      <c r="B1322" s="767" t="s">
        <v>6173</v>
      </c>
      <c r="C1322" s="408"/>
    </row>
    <row r="1323" spans="1:3">
      <c r="A1323" s="767" t="s">
        <v>4356</v>
      </c>
      <c r="B1323" s="767" t="s">
        <v>6174</v>
      </c>
      <c r="C1323" s="408"/>
    </row>
    <row r="1324" spans="1:3">
      <c r="A1324" s="767" t="s">
        <v>6175</v>
      </c>
      <c r="B1324" s="767" t="s">
        <v>6176</v>
      </c>
      <c r="C1324" s="408"/>
    </row>
    <row r="1325" spans="1:3">
      <c r="A1325" s="767" t="s">
        <v>6177</v>
      </c>
      <c r="B1325" s="767" t="s">
        <v>6178</v>
      </c>
      <c r="C1325" s="408"/>
    </row>
    <row r="1326" spans="1:3">
      <c r="A1326" s="767" t="s">
        <v>6179</v>
      </c>
      <c r="B1326" s="767" t="s">
        <v>6180</v>
      </c>
      <c r="C1326" s="408"/>
    </row>
    <row r="1327" spans="1:3">
      <c r="A1327" s="767" t="s">
        <v>6181</v>
      </c>
      <c r="B1327" s="767" t="s">
        <v>6141</v>
      </c>
      <c r="C1327" s="408"/>
    </row>
    <row r="1328" spans="1:3">
      <c r="A1328" s="767" t="s">
        <v>6182</v>
      </c>
      <c r="B1328" s="767" t="s">
        <v>6183</v>
      </c>
      <c r="C1328" s="408"/>
    </row>
    <row r="1329" spans="1:3">
      <c r="A1329" s="767" t="s">
        <v>6184</v>
      </c>
      <c r="B1329" s="767" t="s">
        <v>6185</v>
      </c>
      <c r="C1329" s="408"/>
    </row>
    <row r="1330" spans="1:3">
      <c r="A1330" s="767" t="s">
        <v>6186</v>
      </c>
      <c r="B1330" s="767" t="s">
        <v>6187</v>
      </c>
      <c r="C1330" s="408"/>
    </row>
    <row r="1331" spans="1:3">
      <c r="A1331" s="767" t="s">
        <v>6188</v>
      </c>
      <c r="B1331" s="767" t="s">
        <v>6189</v>
      </c>
      <c r="C1331" s="408"/>
    </row>
    <row r="1332" spans="1:3">
      <c r="A1332" s="767" t="s">
        <v>6190</v>
      </c>
      <c r="B1332" s="767" t="s">
        <v>6191</v>
      </c>
      <c r="C1332" s="408"/>
    </row>
    <row r="1333" spans="1:3">
      <c r="A1333" s="767" t="s">
        <v>6192</v>
      </c>
      <c r="B1333" s="767" t="s">
        <v>6193</v>
      </c>
      <c r="C1333" s="408"/>
    </row>
    <row r="1334" spans="1:3">
      <c r="A1334" s="767" t="s">
        <v>6194</v>
      </c>
      <c r="B1334" s="767" t="s">
        <v>6195</v>
      </c>
      <c r="C1334" s="408"/>
    </row>
    <row r="1335" spans="1:3">
      <c r="A1335" s="767" t="s">
        <v>6196</v>
      </c>
      <c r="B1335" s="767" t="s">
        <v>6197</v>
      </c>
      <c r="C1335" s="408"/>
    </row>
    <row r="1336" spans="1:3">
      <c r="A1336" s="767" t="s">
        <v>6198</v>
      </c>
      <c r="B1336" s="767" t="s">
        <v>6199</v>
      </c>
      <c r="C1336" s="408"/>
    </row>
    <row r="1337" spans="1:3">
      <c r="A1337" s="767" t="s">
        <v>6200</v>
      </c>
      <c r="B1337" s="767" t="s">
        <v>6201</v>
      </c>
      <c r="C1337" s="408"/>
    </row>
    <row r="1338" spans="1:3">
      <c r="A1338" s="767" t="s">
        <v>6202</v>
      </c>
      <c r="B1338" s="767" t="s">
        <v>6203</v>
      </c>
      <c r="C1338" s="408"/>
    </row>
    <row r="1339" spans="1:3">
      <c r="A1339" s="767" t="s">
        <v>6204</v>
      </c>
      <c r="B1339" s="767" t="s">
        <v>6205</v>
      </c>
      <c r="C1339" s="408"/>
    </row>
    <row r="1340" spans="1:3">
      <c r="A1340" s="767" t="s">
        <v>6206</v>
      </c>
      <c r="B1340" s="767" t="s">
        <v>6207</v>
      </c>
      <c r="C1340" s="408"/>
    </row>
    <row r="1341" spans="1:3">
      <c r="A1341" s="767" t="s">
        <v>6208</v>
      </c>
      <c r="B1341" s="767" t="s">
        <v>6209</v>
      </c>
      <c r="C1341" s="408"/>
    </row>
    <row r="1342" spans="1:3">
      <c r="A1342" s="767" t="s">
        <v>6210</v>
      </c>
      <c r="B1342" s="767" t="s">
        <v>6211</v>
      </c>
      <c r="C1342" s="408"/>
    </row>
    <row r="1343" spans="1:3">
      <c r="A1343" s="767" t="s">
        <v>6212</v>
      </c>
      <c r="B1343" s="767" t="s">
        <v>6213</v>
      </c>
      <c r="C1343" s="408"/>
    </row>
    <row r="1344" spans="1:3">
      <c r="A1344" s="767" t="s">
        <v>6214</v>
      </c>
      <c r="B1344" s="767" t="s">
        <v>6215</v>
      </c>
      <c r="C1344" s="408"/>
    </row>
    <row r="1345" spans="1:3">
      <c r="A1345" s="767" t="s">
        <v>6216</v>
      </c>
      <c r="B1345" s="767" t="s">
        <v>6217</v>
      </c>
      <c r="C1345" s="408"/>
    </row>
    <row r="1346" spans="1:3">
      <c r="A1346" s="767" t="s">
        <v>6218</v>
      </c>
      <c r="B1346" s="767" t="s">
        <v>6219</v>
      </c>
      <c r="C1346" s="408"/>
    </row>
    <row r="1347" spans="1:3">
      <c r="A1347" s="767" t="s">
        <v>6220</v>
      </c>
      <c r="B1347" s="767" t="s">
        <v>6221</v>
      </c>
      <c r="C1347" s="408"/>
    </row>
    <row r="1348" spans="1:3">
      <c r="A1348" s="767" t="s">
        <v>6222</v>
      </c>
      <c r="B1348" s="767" t="s">
        <v>6223</v>
      </c>
      <c r="C1348" s="408"/>
    </row>
    <row r="1349" spans="1:3">
      <c r="A1349" s="767" t="s">
        <v>6224</v>
      </c>
      <c r="B1349" s="767" t="s">
        <v>6225</v>
      </c>
      <c r="C1349" s="408"/>
    </row>
    <row r="1350" spans="1:3">
      <c r="A1350" s="767" t="s">
        <v>6226</v>
      </c>
      <c r="B1350" s="767" t="s">
        <v>6227</v>
      </c>
      <c r="C1350" s="408"/>
    </row>
    <row r="1351" spans="1:3">
      <c r="A1351" s="767" t="s">
        <v>6228</v>
      </c>
      <c r="B1351" s="767" t="s">
        <v>6229</v>
      </c>
      <c r="C1351" s="408"/>
    </row>
    <row r="1352" spans="1:3">
      <c r="A1352" s="767" t="s">
        <v>6230</v>
      </c>
      <c r="B1352" s="767" t="s">
        <v>6231</v>
      </c>
      <c r="C1352" s="408"/>
    </row>
    <row r="1353" spans="1:3">
      <c r="A1353" s="767" t="s">
        <v>4349</v>
      </c>
      <c r="B1353" s="767" t="s">
        <v>6232</v>
      </c>
      <c r="C1353" s="408"/>
    </row>
    <row r="1354" spans="1:3">
      <c r="A1354" s="767" t="s">
        <v>4347</v>
      </c>
      <c r="B1354" s="767" t="s">
        <v>6233</v>
      </c>
      <c r="C1354" s="408"/>
    </row>
    <row r="1355" spans="1:3">
      <c r="A1355" s="767" t="s">
        <v>6234</v>
      </c>
      <c r="B1355" s="767" t="s">
        <v>6235</v>
      </c>
      <c r="C1355" s="408"/>
    </row>
    <row r="1356" spans="1:3">
      <c r="A1356" s="767" t="s">
        <v>6236</v>
      </c>
      <c r="B1356" s="767" t="s">
        <v>6237</v>
      </c>
      <c r="C1356" s="408"/>
    </row>
    <row r="1357" spans="1:3">
      <c r="A1357" s="767" t="s">
        <v>6238</v>
      </c>
      <c r="B1357" s="767" t="s">
        <v>6239</v>
      </c>
      <c r="C1357" s="408"/>
    </row>
    <row r="1358" spans="1:3">
      <c r="A1358" s="767" t="s">
        <v>6240</v>
      </c>
      <c r="B1358" s="767" t="s">
        <v>6241</v>
      </c>
      <c r="C1358" s="408"/>
    </row>
    <row r="1359" spans="1:3">
      <c r="A1359" s="767" t="s">
        <v>6242</v>
      </c>
      <c r="B1359" s="767" t="s">
        <v>6243</v>
      </c>
      <c r="C1359" s="408"/>
    </row>
    <row r="1360" spans="1:3">
      <c r="A1360" s="767" t="s">
        <v>6244</v>
      </c>
      <c r="B1360" s="767" t="s">
        <v>6245</v>
      </c>
      <c r="C1360" s="408"/>
    </row>
    <row r="1361" spans="1:3">
      <c r="A1361" s="767" t="s">
        <v>6246</v>
      </c>
      <c r="B1361" s="767" t="s">
        <v>6247</v>
      </c>
      <c r="C1361" s="408"/>
    </row>
    <row r="1362" spans="1:3">
      <c r="A1362" s="767" t="s">
        <v>6248</v>
      </c>
      <c r="B1362" s="767" t="s">
        <v>6249</v>
      </c>
      <c r="C1362" s="408"/>
    </row>
    <row r="1363" spans="1:3">
      <c r="A1363" s="767" t="s">
        <v>6250</v>
      </c>
      <c r="B1363" s="767" t="s">
        <v>6251</v>
      </c>
      <c r="C1363" s="408"/>
    </row>
    <row r="1364" spans="1:3">
      <c r="A1364" s="767" t="s">
        <v>6252</v>
      </c>
      <c r="B1364" s="767" t="s">
        <v>6253</v>
      </c>
      <c r="C1364" s="408"/>
    </row>
    <row r="1365" spans="1:3">
      <c r="A1365" s="767" t="s">
        <v>6254</v>
      </c>
      <c r="B1365" s="767" t="s">
        <v>6255</v>
      </c>
      <c r="C1365" s="408"/>
    </row>
    <row r="1366" spans="1:3">
      <c r="A1366" s="767" t="s">
        <v>6256</v>
      </c>
      <c r="B1366" s="767" t="s">
        <v>6257</v>
      </c>
      <c r="C1366" s="408"/>
    </row>
    <row r="1367" spans="1:3">
      <c r="A1367" s="767" t="s">
        <v>6258</v>
      </c>
      <c r="B1367" s="767" t="s">
        <v>6259</v>
      </c>
      <c r="C1367" s="408"/>
    </row>
    <row r="1368" spans="1:3">
      <c r="A1368" s="767" t="s">
        <v>6260</v>
      </c>
      <c r="B1368" s="767" t="s">
        <v>6261</v>
      </c>
      <c r="C1368" s="408"/>
    </row>
    <row r="1369" spans="1:3">
      <c r="A1369" s="767" t="s">
        <v>6262</v>
      </c>
      <c r="B1369" s="767" t="s">
        <v>6263</v>
      </c>
      <c r="C1369" s="408"/>
    </row>
    <row r="1370" spans="1:3">
      <c r="A1370" s="767" t="s">
        <v>6264</v>
      </c>
      <c r="B1370" s="767" t="s">
        <v>6265</v>
      </c>
      <c r="C1370" s="408"/>
    </row>
    <row r="1371" spans="1:3">
      <c r="A1371" s="767" t="s">
        <v>6266</v>
      </c>
      <c r="B1371" s="767" t="s">
        <v>6267</v>
      </c>
      <c r="C1371" s="408"/>
    </row>
    <row r="1372" spans="1:3">
      <c r="A1372" s="767" t="s">
        <v>6268</v>
      </c>
      <c r="B1372" s="767" t="s">
        <v>6269</v>
      </c>
      <c r="C1372" s="408"/>
    </row>
    <row r="1373" spans="1:3">
      <c r="A1373" s="767" t="s">
        <v>6270</v>
      </c>
      <c r="B1373" s="767" t="s">
        <v>6271</v>
      </c>
      <c r="C1373" s="408"/>
    </row>
    <row r="1374" spans="1:3">
      <c r="A1374" s="767" t="s">
        <v>6272</v>
      </c>
      <c r="B1374" s="767" t="s">
        <v>6273</v>
      </c>
      <c r="C1374" s="408"/>
    </row>
    <row r="1375" spans="1:3">
      <c r="A1375" s="767" t="s">
        <v>6274</v>
      </c>
      <c r="B1375" s="767" t="s">
        <v>6275</v>
      </c>
      <c r="C1375" s="408"/>
    </row>
    <row r="1376" spans="1:3">
      <c r="A1376" s="767" t="s">
        <v>6276</v>
      </c>
      <c r="B1376" s="767" t="s">
        <v>6277</v>
      </c>
      <c r="C1376" s="408"/>
    </row>
    <row r="1377" spans="1:3">
      <c r="A1377" s="767" t="s">
        <v>6278</v>
      </c>
      <c r="B1377" s="767" t="s">
        <v>6279</v>
      </c>
      <c r="C1377" s="408"/>
    </row>
    <row r="1378" spans="1:3">
      <c r="A1378" s="767" t="s">
        <v>6280</v>
      </c>
      <c r="B1378" s="767" t="s">
        <v>6281</v>
      </c>
      <c r="C1378" s="408"/>
    </row>
    <row r="1379" spans="1:3">
      <c r="A1379" s="767" t="s">
        <v>6282</v>
      </c>
      <c r="B1379" s="767" t="s">
        <v>6283</v>
      </c>
      <c r="C1379" s="408"/>
    </row>
    <row r="1380" spans="1:3">
      <c r="A1380" s="767" t="s">
        <v>6284</v>
      </c>
      <c r="B1380" s="767" t="s">
        <v>6285</v>
      </c>
      <c r="C1380" s="408"/>
    </row>
    <row r="1381" spans="1:3">
      <c r="A1381" s="767" t="s">
        <v>6286</v>
      </c>
      <c r="B1381" s="767" t="s">
        <v>6287</v>
      </c>
      <c r="C1381" s="408"/>
    </row>
    <row r="1382" spans="1:3">
      <c r="A1382" s="767" t="s">
        <v>6288</v>
      </c>
      <c r="B1382" s="767" t="s">
        <v>6289</v>
      </c>
      <c r="C1382" s="408"/>
    </row>
    <row r="1383" spans="1:3">
      <c r="A1383" s="767" t="s">
        <v>6290</v>
      </c>
      <c r="B1383" s="767" t="s">
        <v>6291</v>
      </c>
      <c r="C1383" s="408"/>
    </row>
    <row r="1384" spans="1:3">
      <c r="A1384" s="767" t="s">
        <v>6292</v>
      </c>
      <c r="B1384" s="767" t="s">
        <v>6293</v>
      </c>
      <c r="C1384" s="408"/>
    </row>
    <row r="1385" spans="1:3">
      <c r="A1385" s="767" t="s">
        <v>6294</v>
      </c>
      <c r="B1385" s="767" t="s">
        <v>6295</v>
      </c>
      <c r="C1385" s="408"/>
    </row>
    <row r="1386" spans="1:3">
      <c r="A1386" s="767" t="s">
        <v>6296</v>
      </c>
      <c r="B1386" s="767" t="s">
        <v>6297</v>
      </c>
      <c r="C1386" s="408"/>
    </row>
    <row r="1387" spans="1:3">
      <c r="A1387" s="767" t="s">
        <v>6298</v>
      </c>
      <c r="B1387" s="767" t="s">
        <v>6299</v>
      </c>
      <c r="C1387" s="408"/>
    </row>
    <row r="1388" spans="1:3">
      <c r="A1388" s="767" t="s">
        <v>6300</v>
      </c>
      <c r="B1388" s="767" t="s">
        <v>6301</v>
      </c>
      <c r="C1388" s="408"/>
    </row>
    <row r="1389" spans="1:3">
      <c r="A1389" s="767" t="s">
        <v>6302</v>
      </c>
      <c r="B1389" s="767" t="s">
        <v>6303</v>
      </c>
      <c r="C1389" s="408"/>
    </row>
    <row r="1390" spans="1:3">
      <c r="A1390" s="767" t="s">
        <v>6304</v>
      </c>
      <c r="B1390" s="767" t="s">
        <v>6305</v>
      </c>
      <c r="C1390" s="408"/>
    </row>
    <row r="1391" spans="1:3">
      <c r="A1391" s="767" t="s">
        <v>6306</v>
      </c>
      <c r="B1391" s="767" t="s">
        <v>6307</v>
      </c>
      <c r="C1391" s="408"/>
    </row>
    <row r="1392" spans="1:3">
      <c r="A1392" s="767" t="s">
        <v>6308</v>
      </c>
      <c r="B1392" s="767" t="s">
        <v>6309</v>
      </c>
      <c r="C1392" s="408"/>
    </row>
    <row r="1393" spans="1:3">
      <c r="A1393" s="767" t="s">
        <v>6310</v>
      </c>
      <c r="B1393" s="767" t="s">
        <v>6311</v>
      </c>
      <c r="C1393" s="408"/>
    </row>
    <row r="1394" spans="1:3">
      <c r="A1394" s="767" t="s">
        <v>6312</v>
      </c>
      <c r="B1394" s="767" t="s">
        <v>6313</v>
      </c>
      <c r="C1394" s="408"/>
    </row>
    <row r="1395" spans="1:3">
      <c r="A1395" s="767" t="s">
        <v>6314</v>
      </c>
      <c r="B1395" s="767" t="s">
        <v>6315</v>
      </c>
      <c r="C1395" s="408"/>
    </row>
    <row r="1396" spans="1:3">
      <c r="A1396" s="767" t="s">
        <v>6316</v>
      </c>
      <c r="B1396" s="767" t="s">
        <v>6317</v>
      </c>
      <c r="C1396" s="408"/>
    </row>
    <row r="1397" spans="1:3">
      <c r="A1397" s="767" t="s">
        <v>6318</v>
      </c>
      <c r="B1397" s="767" t="s">
        <v>6319</v>
      </c>
      <c r="C1397" s="408"/>
    </row>
    <row r="1398" spans="1:3">
      <c r="A1398" s="767" t="s">
        <v>6320</v>
      </c>
      <c r="B1398" s="767" t="s">
        <v>6321</v>
      </c>
      <c r="C1398" s="408"/>
    </row>
    <row r="1399" spans="1:3">
      <c r="A1399" s="767" t="s">
        <v>6322</v>
      </c>
      <c r="B1399" s="767" t="s">
        <v>6323</v>
      </c>
      <c r="C1399" s="408"/>
    </row>
    <row r="1400" spans="1:3">
      <c r="A1400" s="767" t="s">
        <v>6324</v>
      </c>
      <c r="B1400" s="767" t="s">
        <v>6325</v>
      </c>
      <c r="C1400" s="408"/>
    </row>
    <row r="1401" spans="1:3">
      <c r="A1401" s="767" t="s">
        <v>6326</v>
      </c>
      <c r="B1401" s="767" t="s">
        <v>6327</v>
      </c>
      <c r="C1401" s="408"/>
    </row>
    <row r="1402" spans="1:3">
      <c r="A1402" s="767" t="s">
        <v>6328</v>
      </c>
      <c r="B1402" s="767" t="s">
        <v>6329</v>
      </c>
      <c r="C1402" s="408"/>
    </row>
    <row r="1403" spans="1:3">
      <c r="A1403" s="767" t="s">
        <v>4446</v>
      </c>
      <c r="B1403" s="767" t="s">
        <v>4447</v>
      </c>
      <c r="C1403" s="408"/>
    </row>
    <row r="1404" spans="1:3">
      <c r="A1404" s="767" t="s">
        <v>6330</v>
      </c>
      <c r="B1404" s="767" t="s">
        <v>6331</v>
      </c>
      <c r="C1404" s="408"/>
    </row>
    <row r="1405" spans="1:3">
      <c r="A1405" s="767" t="s">
        <v>6332</v>
      </c>
      <c r="B1405" s="767" t="s">
        <v>6333</v>
      </c>
      <c r="C1405" s="408"/>
    </row>
    <row r="1406" spans="1:3">
      <c r="A1406" s="767" t="s">
        <v>6334</v>
      </c>
      <c r="B1406" s="767" t="s">
        <v>6335</v>
      </c>
      <c r="C1406" s="408"/>
    </row>
    <row r="1407" spans="1:3">
      <c r="A1407" s="767" t="s">
        <v>6336</v>
      </c>
      <c r="B1407" s="767" t="s">
        <v>6337</v>
      </c>
      <c r="C1407" s="408"/>
    </row>
    <row r="1408" spans="1:3">
      <c r="A1408" s="767" t="s">
        <v>6338</v>
      </c>
      <c r="B1408" s="767" t="s">
        <v>6339</v>
      </c>
      <c r="C1408" s="408"/>
    </row>
    <row r="1409" spans="1:3">
      <c r="A1409" s="767" t="s">
        <v>6340</v>
      </c>
      <c r="B1409" s="767" t="s">
        <v>6341</v>
      </c>
      <c r="C1409" s="408"/>
    </row>
    <row r="1410" spans="1:3">
      <c r="A1410" s="767" t="s">
        <v>6342</v>
      </c>
      <c r="B1410" s="767" t="s">
        <v>6343</v>
      </c>
      <c r="C1410" s="408"/>
    </row>
    <row r="1411" spans="1:3">
      <c r="A1411" s="767" t="s">
        <v>6344</v>
      </c>
      <c r="B1411" s="767" t="s">
        <v>6345</v>
      </c>
      <c r="C1411" s="408"/>
    </row>
    <row r="1412" spans="1:3">
      <c r="A1412" s="767" t="s">
        <v>6346</v>
      </c>
      <c r="B1412" s="767" t="s">
        <v>6347</v>
      </c>
      <c r="C1412" s="408"/>
    </row>
    <row r="1413" spans="1:3">
      <c r="A1413" s="767" t="s">
        <v>6348</v>
      </c>
      <c r="B1413" s="767" t="s">
        <v>6349</v>
      </c>
      <c r="C1413" s="408"/>
    </row>
    <row r="1414" spans="1:3">
      <c r="A1414" s="767" t="s">
        <v>6350</v>
      </c>
      <c r="B1414" s="767" t="s">
        <v>6351</v>
      </c>
      <c r="C1414" s="408"/>
    </row>
    <row r="1415" spans="1:3">
      <c r="A1415" s="767" t="s">
        <v>6352</v>
      </c>
      <c r="B1415" s="767" t="s">
        <v>6353</v>
      </c>
      <c r="C1415" s="408"/>
    </row>
    <row r="1416" spans="1:3">
      <c r="A1416" s="767" t="s">
        <v>6354</v>
      </c>
      <c r="B1416" s="767" t="s">
        <v>6355</v>
      </c>
      <c r="C1416" s="408"/>
    </row>
    <row r="1417" spans="1:3">
      <c r="A1417" s="767" t="s">
        <v>6356</v>
      </c>
      <c r="B1417" s="767" t="s">
        <v>6357</v>
      </c>
      <c r="C1417" s="408"/>
    </row>
    <row r="1418" spans="1:3">
      <c r="A1418" s="767" t="s">
        <v>6358</v>
      </c>
      <c r="B1418" s="767" t="s">
        <v>6359</v>
      </c>
      <c r="C1418" s="408"/>
    </row>
    <row r="1419" spans="1:3">
      <c r="A1419" s="767" t="s">
        <v>6360</v>
      </c>
      <c r="B1419" s="767" t="s">
        <v>6361</v>
      </c>
      <c r="C1419" s="408"/>
    </row>
    <row r="1420" spans="1:3">
      <c r="A1420" s="767" t="s">
        <v>6362</v>
      </c>
      <c r="B1420" s="767" t="s">
        <v>6363</v>
      </c>
      <c r="C1420" s="408"/>
    </row>
    <row r="1421" spans="1:3">
      <c r="A1421" s="767" t="s">
        <v>6364</v>
      </c>
      <c r="B1421" s="767" t="s">
        <v>6365</v>
      </c>
      <c r="C1421" s="408"/>
    </row>
    <row r="1422" spans="1:3">
      <c r="A1422" s="767" t="s">
        <v>6366</v>
      </c>
      <c r="B1422" s="767" t="s">
        <v>6367</v>
      </c>
      <c r="C1422" s="408"/>
    </row>
    <row r="1423" spans="1:3">
      <c r="A1423" s="767" t="s">
        <v>6368</v>
      </c>
      <c r="B1423" s="767" t="s">
        <v>6369</v>
      </c>
      <c r="C1423" s="408"/>
    </row>
    <row r="1424" spans="1:3">
      <c r="A1424" s="767" t="s">
        <v>6370</v>
      </c>
      <c r="B1424" s="767" t="s">
        <v>6371</v>
      </c>
      <c r="C1424" s="408"/>
    </row>
    <row r="1425" spans="1:3">
      <c r="A1425" s="767" t="s">
        <v>6372</v>
      </c>
      <c r="B1425" s="767" t="s">
        <v>6373</v>
      </c>
      <c r="C1425" s="408"/>
    </row>
    <row r="1426" spans="1:3">
      <c r="A1426" s="767" t="s">
        <v>6374</v>
      </c>
      <c r="B1426" s="767" t="s">
        <v>6375</v>
      </c>
      <c r="C1426" s="408"/>
    </row>
    <row r="1427" spans="1:3">
      <c r="A1427" s="767" t="s">
        <v>6376</v>
      </c>
      <c r="B1427" s="767" t="s">
        <v>6377</v>
      </c>
      <c r="C1427" s="408"/>
    </row>
    <row r="1428" spans="1:3">
      <c r="A1428" s="767" t="s">
        <v>6378</v>
      </c>
      <c r="B1428" s="767" t="s">
        <v>6379</v>
      </c>
      <c r="C1428" s="408"/>
    </row>
    <row r="1429" spans="1:3">
      <c r="A1429" s="767" t="s">
        <v>6380</v>
      </c>
      <c r="B1429" s="767" t="s">
        <v>6381</v>
      </c>
      <c r="C1429" s="408"/>
    </row>
    <row r="1430" spans="1:3">
      <c r="A1430" s="767" t="s">
        <v>6382</v>
      </c>
      <c r="B1430" s="767" t="s">
        <v>6383</v>
      </c>
      <c r="C1430" s="408"/>
    </row>
    <row r="1431" spans="1:3">
      <c r="A1431" s="767" t="s">
        <v>6384</v>
      </c>
      <c r="B1431" s="767" t="s">
        <v>6385</v>
      </c>
      <c r="C1431" s="408"/>
    </row>
    <row r="1432" spans="1:3">
      <c r="A1432" s="767" t="s">
        <v>6386</v>
      </c>
      <c r="B1432" s="767" t="s">
        <v>6387</v>
      </c>
      <c r="C1432" s="408"/>
    </row>
    <row r="1433" spans="1:3">
      <c r="A1433" s="767" t="s">
        <v>6388</v>
      </c>
      <c r="B1433" s="767" t="s">
        <v>6389</v>
      </c>
      <c r="C1433" s="408"/>
    </row>
    <row r="1434" spans="1:3">
      <c r="A1434" s="767" t="s">
        <v>6390</v>
      </c>
      <c r="B1434" s="767" t="s">
        <v>6391</v>
      </c>
      <c r="C1434" s="408"/>
    </row>
    <row r="1435" spans="1:3">
      <c r="A1435" s="767" t="s">
        <v>6392</v>
      </c>
      <c r="B1435" s="767" t="s">
        <v>6393</v>
      </c>
      <c r="C1435" s="408"/>
    </row>
    <row r="1436" spans="1:3">
      <c r="A1436" s="767" t="s">
        <v>6394</v>
      </c>
      <c r="B1436" s="767" t="s">
        <v>6395</v>
      </c>
      <c r="C1436" s="408"/>
    </row>
    <row r="1437" spans="1:3">
      <c r="A1437" s="767" t="s">
        <v>6396</v>
      </c>
      <c r="B1437" s="767" t="s">
        <v>6397</v>
      </c>
      <c r="C1437" s="408"/>
    </row>
    <row r="1438" spans="1:3">
      <c r="A1438" s="767" t="s">
        <v>6398</v>
      </c>
      <c r="B1438" s="767" t="s">
        <v>6399</v>
      </c>
      <c r="C1438" s="408"/>
    </row>
    <row r="1439" spans="1:3">
      <c r="A1439" s="767" t="s">
        <v>6400</v>
      </c>
      <c r="B1439" s="767" t="s">
        <v>6401</v>
      </c>
      <c r="C1439" s="408"/>
    </row>
    <row r="1440" spans="1:3">
      <c r="A1440" s="767" t="s">
        <v>6402</v>
      </c>
      <c r="B1440" s="767" t="s">
        <v>6403</v>
      </c>
      <c r="C1440" s="408"/>
    </row>
    <row r="1441" spans="1:3">
      <c r="A1441" s="767" t="s">
        <v>6404</v>
      </c>
      <c r="B1441" s="767" t="s">
        <v>6405</v>
      </c>
      <c r="C1441" s="408"/>
    </row>
    <row r="1442" spans="1:3">
      <c r="A1442" s="767" t="s">
        <v>6406</v>
      </c>
      <c r="B1442" s="767" t="s">
        <v>6407</v>
      </c>
      <c r="C1442" s="408"/>
    </row>
    <row r="1443" spans="1:3">
      <c r="A1443" s="767" t="s">
        <v>6408</v>
      </c>
      <c r="B1443" s="767" t="s">
        <v>6409</v>
      </c>
      <c r="C1443" s="408"/>
    </row>
    <row r="1444" spans="1:3">
      <c r="A1444" s="767" t="s">
        <v>6410</v>
      </c>
      <c r="B1444" s="767" t="s">
        <v>6411</v>
      </c>
      <c r="C1444" s="408"/>
    </row>
    <row r="1445" spans="1:3">
      <c r="A1445" s="767" t="s">
        <v>6412</v>
      </c>
      <c r="B1445" s="767" t="s">
        <v>6413</v>
      </c>
      <c r="C1445" s="408"/>
    </row>
    <row r="1446" spans="1:3">
      <c r="A1446" s="767" t="s">
        <v>6414</v>
      </c>
      <c r="B1446" s="767" t="s">
        <v>6415</v>
      </c>
      <c r="C1446" s="408"/>
    </row>
    <row r="1447" spans="1:3">
      <c r="A1447" s="767" t="s">
        <v>6416</v>
      </c>
      <c r="B1447" s="767" t="s">
        <v>6417</v>
      </c>
      <c r="C1447" s="408"/>
    </row>
    <row r="1448" spans="1:3">
      <c r="A1448" s="767" t="s">
        <v>6418</v>
      </c>
      <c r="B1448" s="767" t="s">
        <v>6419</v>
      </c>
      <c r="C1448" s="408"/>
    </row>
    <row r="1449" spans="1:3">
      <c r="A1449" s="767" t="s">
        <v>6420</v>
      </c>
      <c r="B1449" s="767" t="s">
        <v>6421</v>
      </c>
      <c r="C1449" s="408"/>
    </row>
    <row r="1450" spans="1:3">
      <c r="A1450" s="767" t="s">
        <v>6422</v>
      </c>
      <c r="B1450" s="767" t="s">
        <v>6423</v>
      </c>
      <c r="C1450" s="408"/>
    </row>
    <row r="1451" spans="1:3">
      <c r="A1451" s="767" t="s">
        <v>6424</v>
      </c>
      <c r="B1451" s="767" t="s">
        <v>6425</v>
      </c>
      <c r="C1451" s="408"/>
    </row>
    <row r="1452" spans="1:3">
      <c r="A1452" s="767" t="s">
        <v>6426</v>
      </c>
      <c r="B1452" s="767" t="s">
        <v>6427</v>
      </c>
      <c r="C1452" s="408"/>
    </row>
    <row r="1453" spans="1:3">
      <c r="A1453" s="767" t="s">
        <v>6428</v>
      </c>
      <c r="B1453" s="767" t="s">
        <v>6429</v>
      </c>
      <c r="C1453" s="408"/>
    </row>
    <row r="1454" spans="1:3">
      <c r="A1454" s="767" t="s">
        <v>6430</v>
      </c>
      <c r="B1454" s="767" t="s">
        <v>6431</v>
      </c>
      <c r="C1454" s="408"/>
    </row>
    <row r="1455" spans="1:3">
      <c r="A1455" s="767" t="s">
        <v>3743</v>
      </c>
      <c r="B1455" s="767" t="s">
        <v>4976</v>
      </c>
      <c r="C1455" s="408"/>
    </row>
    <row r="1456" spans="1:3">
      <c r="A1456" s="767" t="s">
        <v>6432</v>
      </c>
      <c r="B1456" s="767" t="s">
        <v>6433</v>
      </c>
      <c r="C1456" s="408"/>
    </row>
    <row r="1457" spans="1:3">
      <c r="A1457" s="767" t="s">
        <v>6434</v>
      </c>
      <c r="B1457" s="767" t="s">
        <v>6435</v>
      </c>
      <c r="C1457" s="408"/>
    </row>
    <row r="1458" spans="1:3">
      <c r="A1458" s="767" t="s">
        <v>6436</v>
      </c>
      <c r="B1458" s="767" t="s">
        <v>6437</v>
      </c>
      <c r="C1458" s="408"/>
    </row>
    <row r="1459" spans="1:3">
      <c r="A1459" s="767" t="s">
        <v>6438</v>
      </c>
      <c r="B1459" s="767" t="s">
        <v>6439</v>
      </c>
      <c r="C1459" s="408"/>
    </row>
    <row r="1460" spans="1:3">
      <c r="A1460" s="767" t="s">
        <v>6440</v>
      </c>
      <c r="B1460" s="767" t="s">
        <v>6441</v>
      </c>
      <c r="C1460" s="408"/>
    </row>
    <row r="1461" spans="1:3">
      <c r="A1461" s="767" t="s">
        <v>6442</v>
      </c>
      <c r="B1461" s="767" t="s">
        <v>6443</v>
      </c>
      <c r="C1461" s="408"/>
    </row>
    <row r="1462" spans="1:3">
      <c r="A1462" s="767" t="s">
        <v>6444</v>
      </c>
      <c r="B1462" s="767" t="s">
        <v>6445</v>
      </c>
      <c r="C1462" s="408"/>
    </row>
    <row r="1463" spans="1:3">
      <c r="A1463" s="767" t="s">
        <v>6446</v>
      </c>
      <c r="B1463" s="767" t="s">
        <v>6447</v>
      </c>
      <c r="C1463" s="408"/>
    </row>
    <row r="1464" spans="1:3">
      <c r="A1464" s="767" t="s">
        <v>6448</v>
      </c>
      <c r="B1464" s="767" t="s">
        <v>6449</v>
      </c>
      <c r="C1464" s="408"/>
    </row>
    <row r="1465" spans="1:3">
      <c r="A1465" s="767" t="s">
        <v>6450</v>
      </c>
      <c r="B1465" s="767" t="s">
        <v>6451</v>
      </c>
      <c r="C1465" s="408"/>
    </row>
    <row r="1466" spans="1:3">
      <c r="A1466" s="767" t="s">
        <v>6452</v>
      </c>
      <c r="B1466" s="767" t="s">
        <v>6453</v>
      </c>
      <c r="C1466" s="408"/>
    </row>
    <row r="1467" spans="1:3">
      <c r="A1467" s="767" t="s">
        <v>6454</v>
      </c>
      <c r="B1467" s="767" t="s">
        <v>6455</v>
      </c>
      <c r="C1467" s="408"/>
    </row>
    <row r="1468" spans="1:3">
      <c r="A1468" s="767" t="s">
        <v>6456</v>
      </c>
      <c r="B1468" s="767" t="s">
        <v>6457</v>
      </c>
      <c r="C1468" s="408"/>
    </row>
    <row r="1469" spans="1:3">
      <c r="A1469" s="767" t="s">
        <v>6304</v>
      </c>
      <c r="B1469" s="767" t="s">
        <v>6458</v>
      </c>
      <c r="C1469" s="408"/>
    </row>
    <row r="1470" spans="1:3">
      <c r="A1470" s="767" t="s">
        <v>6459</v>
      </c>
      <c r="B1470" s="767" t="s">
        <v>6460</v>
      </c>
      <c r="C1470" s="408"/>
    </row>
    <row r="1471" spans="1:3">
      <c r="A1471" s="767" t="s">
        <v>6461</v>
      </c>
      <c r="B1471" s="767" t="s">
        <v>6462</v>
      </c>
      <c r="C1471" s="408"/>
    </row>
    <row r="1472" spans="1:3">
      <c r="A1472" s="767" t="s">
        <v>6463</v>
      </c>
      <c r="B1472" s="767" t="s">
        <v>6464</v>
      </c>
      <c r="C1472" s="408"/>
    </row>
    <row r="1473" spans="1:3">
      <c r="A1473" s="767" t="s">
        <v>6465</v>
      </c>
      <c r="B1473" s="767" t="s">
        <v>6466</v>
      </c>
      <c r="C1473" s="408"/>
    </row>
    <row r="1474" spans="1:3">
      <c r="A1474" s="767" t="s">
        <v>6467</v>
      </c>
      <c r="B1474" s="767" t="s">
        <v>6468</v>
      </c>
      <c r="C1474" s="408"/>
    </row>
    <row r="1475" spans="1:3">
      <c r="A1475" s="767" t="s">
        <v>6469</v>
      </c>
      <c r="B1475" s="767" t="s">
        <v>6470</v>
      </c>
      <c r="C1475" s="408"/>
    </row>
    <row r="1476" spans="1:3">
      <c r="A1476" s="767" t="s">
        <v>6471</v>
      </c>
      <c r="B1476" s="767" t="s">
        <v>6472</v>
      </c>
      <c r="C1476" s="408"/>
    </row>
    <row r="1477" spans="1:3">
      <c r="A1477" s="767" t="s">
        <v>6473</v>
      </c>
      <c r="B1477" s="767" t="s">
        <v>6474</v>
      </c>
      <c r="C1477" s="408"/>
    </row>
    <row r="1478" spans="1:3">
      <c r="A1478" s="767" t="s">
        <v>6475</v>
      </c>
      <c r="B1478" s="767" t="s">
        <v>6476</v>
      </c>
      <c r="C1478" s="408"/>
    </row>
    <row r="1479" spans="1:3">
      <c r="A1479" s="767" t="s">
        <v>6477</v>
      </c>
      <c r="B1479" s="767" t="s">
        <v>6478</v>
      </c>
      <c r="C1479" s="408"/>
    </row>
    <row r="1480" spans="1:3">
      <c r="A1480" s="767" t="s">
        <v>6479</v>
      </c>
      <c r="B1480" s="767" t="s">
        <v>6480</v>
      </c>
      <c r="C1480" s="408"/>
    </row>
    <row r="1481" spans="1:3">
      <c r="A1481" s="767" t="s">
        <v>6481</v>
      </c>
      <c r="B1481" s="767" t="s">
        <v>6482</v>
      </c>
      <c r="C1481" s="408"/>
    </row>
    <row r="1482" spans="1:3">
      <c r="A1482" s="767" t="s">
        <v>6483</v>
      </c>
      <c r="B1482" s="767" t="s">
        <v>6484</v>
      </c>
      <c r="C1482" s="408"/>
    </row>
    <row r="1483" spans="1:3">
      <c r="A1483" s="767" t="s">
        <v>6485</v>
      </c>
      <c r="B1483" s="767" t="s">
        <v>6486</v>
      </c>
      <c r="C1483" s="408"/>
    </row>
    <row r="1484" spans="1:3">
      <c r="A1484" s="767" t="s">
        <v>6487</v>
      </c>
      <c r="B1484" s="767" t="s">
        <v>6488</v>
      </c>
      <c r="C1484" s="408"/>
    </row>
    <row r="1485" spans="1:3">
      <c r="A1485" s="767" t="s">
        <v>6489</v>
      </c>
      <c r="B1485" s="767" t="s">
        <v>6490</v>
      </c>
      <c r="C1485" s="408"/>
    </row>
    <row r="1486" spans="1:3">
      <c r="A1486" s="767" t="s">
        <v>6491</v>
      </c>
      <c r="B1486" s="767" t="s">
        <v>6492</v>
      </c>
      <c r="C1486" s="408"/>
    </row>
    <row r="1487" spans="1:3">
      <c r="A1487" s="767" t="s">
        <v>6493</v>
      </c>
      <c r="B1487" s="767" t="s">
        <v>6494</v>
      </c>
      <c r="C1487" s="408"/>
    </row>
    <row r="1488" spans="1:3">
      <c r="A1488" s="767" t="s">
        <v>6495</v>
      </c>
      <c r="B1488" s="767" t="s">
        <v>6496</v>
      </c>
      <c r="C1488" s="408"/>
    </row>
    <row r="1489" spans="1:3">
      <c r="A1489" s="767" t="s">
        <v>6497</v>
      </c>
      <c r="B1489" s="767" t="s">
        <v>6498</v>
      </c>
      <c r="C1489" s="408"/>
    </row>
    <row r="1490" spans="1:3">
      <c r="A1490" s="767" t="s">
        <v>6499</v>
      </c>
      <c r="B1490" s="767" t="s">
        <v>6500</v>
      </c>
      <c r="C1490" s="408"/>
    </row>
    <row r="1491" spans="1:3">
      <c r="A1491" s="767" t="s">
        <v>6501</v>
      </c>
      <c r="B1491" s="767" t="s">
        <v>6502</v>
      </c>
      <c r="C1491" s="408"/>
    </row>
    <row r="1492" spans="1:3">
      <c r="A1492" s="767" t="s">
        <v>6503</v>
      </c>
      <c r="B1492" s="767" t="s">
        <v>6504</v>
      </c>
      <c r="C1492" s="408"/>
    </row>
    <row r="1493" spans="1:3">
      <c r="A1493" s="767" t="s">
        <v>6505</v>
      </c>
      <c r="B1493" s="767" t="s">
        <v>6506</v>
      </c>
      <c r="C1493" s="408"/>
    </row>
    <row r="1494" spans="1:3">
      <c r="A1494" s="767" t="s">
        <v>6507</v>
      </c>
      <c r="B1494" s="767" t="s">
        <v>6508</v>
      </c>
      <c r="C1494" s="408"/>
    </row>
    <row r="1495" spans="1:3">
      <c r="A1495" s="767" t="s">
        <v>6509</v>
      </c>
      <c r="B1495" s="767" t="s">
        <v>6510</v>
      </c>
      <c r="C1495" s="408"/>
    </row>
    <row r="1496" spans="1:3">
      <c r="A1496" s="767" t="s">
        <v>6511</v>
      </c>
      <c r="B1496" s="767" t="s">
        <v>6512</v>
      </c>
      <c r="C1496" s="408"/>
    </row>
    <row r="1497" spans="1:3">
      <c r="A1497" s="767" t="s">
        <v>6513</v>
      </c>
      <c r="B1497" s="767" t="s">
        <v>6514</v>
      </c>
      <c r="C1497" s="408"/>
    </row>
    <row r="1498" spans="1:3">
      <c r="A1498" s="767" t="s">
        <v>6515</v>
      </c>
      <c r="B1498" s="767" t="s">
        <v>6516</v>
      </c>
      <c r="C1498" s="408"/>
    </row>
    <row r="1499" spans="1:3">
      <c r="A1499" s="767" t="s">
        <v>6517</v>
      </c>
      <c r="B1499" s="767" t="s">
        <v>6518</v>
      </c>
      <c r="C1499" s="408"/>
    </row>
    <row r="1500" spans="1:3">
      <c r="A1500" s="767" t="s">
        <v>6519</v>
      </c>
      <c r="B1500" s="767" t="s">
        <v>6520</v>
      </c>
      <c r="C1500" s="408"/>
    </row>
    <row r="1501" spans="1:3">
      <c r="A1501" s="767" t="s">
        <v>6521</v>
      </c>
      <c r="B1501" s="767" t="s">
        <v>6522</v>
      </c>
      <c r="C1501" s="408"/>
    </row>
    <row r="1502" spans="1:3">
      <c r="A1502" s="767" t="s">
        <v>6523</v>
      </c>
      <c r="B1502" s="767" t="s">
        <v>6524</v>
      </c>
      <c r="C1502" s="408"/>
    </row>
    <row r="1503" spans="1:3">
      <c r="A1503" s="767" t="s">
        <v>6525</v>
      </c>
      <c r="B1503" s="767" t="s">
        <v>6526</v>
      </c>
      <c r="C1503" s="408"/>
    </row>
    <row r="1504" spans="1:3">
      <c r="A1504" s="767" t="s">
        <v>6527</v>
      </c>
      <c r="B1504" s="767" t="s">
        <v>6528</v>
      </c>
      <c r="C1504" s="408"/>
    </row>
    <row r="1505" spans="1:3">
      <c r="A1505" s="767" t="s">
        <v>6529</v>
      </c>
      <c r="B1505" s="767" t="s">
        <v>6530</v>
      </c>
      <c r="C1505" s="408"/>
    </row>
    <row r="1506" spans="1:3">
      <c r="A1506" s="767" t="s">
        <v>6531</v>
      </c>
      <c r="B1506" s="767" t="s">
        <v>6532</v>
      </c>
      <c r="C1506" s="408"/>
    </row>
    <row r="1507" spans="1:3">
      <c r="A1507" s="767" t="s">
        <v>6533</v>
      </c>
      <c r="B1507" s="767" t="s">
        <v>6534</v>
      </c>
      <c r="C1507" s="408"/>
    </row>
    <row r="1508" spans="1:3">
      <c r="A1508" s="767" t="s">
        <v>6535</v>
      </c>
      <c r="B1508" s="767" t="s">
        <v>6536</v>
      </c>
      <c r="C1508" s="408"/>
    </row>
    <row r="1509" spans="1:3">
      <c r="A1509" s="767" t="s">
        <v>6537</v>
      </c>
      <c r="B1509" s="767" t="s">
        <v>6538</v>
      </c>
      <c r="C1509" s="408"/>
    </row>
    <row r="1510" spans="1:3">
      <c r="A1510" s="767" t="s">
        <v>6539</v>
      </c>
      <c r="B1510" s="767" t="s">
        <v>6540</v>
      </c>
      <c r="C1510" s="408"/>
    </row>
    <row r="1511" spans="1:3">
      <c r="A1511" s="767" t="s">
        <v>3734</v>
      </c>
      <c r="B1511" s="767" t="s">
        <v>6541</v>
      </c>
      <c r="C1511" s="408"/>
    </row>
    <row r="1512" spans="1:3">
      <c r="A1512" s="767" t="s">
        <v>6542</v>
      </c>
      <c r="B1512" s="767" t="s">
        <v>6543</v>
      </c>
      <c r="C1512" s="408"/>
    </row>
    <row r="1513" spans="1:3">
      <c r="A1513" s="767" t="s">
        <v>6544</v>
      </c>
      <c r="B1513" s="767" t="s">
        <v>6545</v>
      </c>
      <c r="C1513" s="408"/>
    </row>
    <row r="1514" spans="1:3">
      <c r="A1514" s="767" t="s">
        <v>6546</v>
      </c>
      <c r="B1514" s="767" t="s">
        <v>6547</v>
      </c>
      <c r="C1514" s="408"/>
    </row>
    <row r="1515" spans="1:3">
      <c r="A1515" s="767" t="s">
        <v>6548</v>
      </c>
      <c r="B1515" s="767" t="s">
        <v>6549</v>
      </c>
      <c r="C1515" s="408"/>
    </row>
    <row r="1516" spans="1:3">
      <c r="A1516" s="767" t="s">
        <v>6550</v>
      </c>
      <c r="B1516" s="767" t="s">
        <v>6551</v>
      </c>
      <c r="C1516" s="408"/>
    </row>
    <row r="1517" spans="1:3">
      <c r="A1517" s="767" t="s">
        <v>6552</v>
      </c>
      <c r="B1517" s="767" t="s">
        <v>6553</v>
      </c>
      <c r="C1517" s="408"/>
    </row>
    <row r="1518" spans="1:3">
      <c r="A1518" s="767" t="s">
        <v>6554</v>
      </c>
      <c r="B1518" s="767" t="s">
        <v>6313</v>
      </c>
      <c r="C1518" s="408"/>
    </row>
    <row r="1519" spans="1:3">
      <c r="A1519" s="767" t="s">
        <v>6555</v>
      </c>
      <c r="B1519" s="767" t="s">
        <v>6556</v>
      </c>
      <c r="C1519" s="408"/>
    </row>
    <row r="1520" spans="1:3">
      <c r="A1520" s="767" t="s">
        <v>6557</v>
      </c>
      <c r="B1520" s="767" t="s">
        <v>6558</v>
      </c>
      <c r="C1520" s="408"/>
    </row>
    <row r="1521" spans="1:3">
      <c r="A1521" s="767" t="s">
        <v>6559</v>
      </c>
      <c r="B1521" s="767" t="s">
        <v>6560</v>
      </c>
      <c r="C1521" s="408"/>
    </row>
    <row r="1522" spans="1:3">
      <c r="A1522" s="767" t="s">
        <v>6561</v>
      </c>
      <c r="B1522" s="767" t="s">
        <v>6562</v>
      </c>
      <c r="C1522" s="408"/>
    </row>
    <row r="1523" spans="1:3">
      <c r="A1523" s="767" t="s">
        <v>6563</v>
      </c>
      <c r="B1523" s="767" t="s">
        <v>6564</v>
      </c>
      <c r="C1523" s="408"/>
    </row>
    <row r="1524" spans="1:3">
      <c r="A1524" s="767" t="s">
        <v>6565</v>
      </c>
      <c r="B1524" s="767" t="s">
        <v>6566</v>
      </c>
      <c r="C1524" s="408"/>
    </row>
    <row r="1525" spans="1:3">
      <c r="A1525" s="767" t="s">
        <v>6567</v>
      </c>
      <c r="B1525" s="767" t="s">
        <v>6568</v>
      </c>
      <c r="C1525" s="408"/>
    </row>
    <row r="1526" spans="1:3">
      <c r="A1526" s="767" t="s">
        <v>6569</v>
      </c>
      <c r="B1526" s="767" t="s">
        <v>6570</v>
      </c>
      <c r="C1526" s="408"/>
    </row>
    <row r="1527" spans="1:3">
      <c r="A1527" s="767" t="s">
        <v>6571</v>
      </c>
      <c r="B1527" s="767" t="s">
        <v>6572</v>
      </c>
      <c r="C1527" s="408"/>
    </row>
    <row r="1528" spans="1:3">
      <c r="A1528" s="767" t="s">
        <v>6573</v>
      </c>
      <c r="B1528" s="767" t="s">
        <v>6574</v>
      </c>
      <c r="C1528" s="408"/>
    </row>
    <row r="1529" spans="1:3">
      <c r="A1529" s="767" t="s">
        <v>6575</v>
      </c>
      <c r="B1529" s="767" t="s">
        <v>6576</v>
      </c>
      <c r="C1529" s="408"/>
    </row>
    <row r="1530" spans="1:3">
      <c r="A1530" s="767" t="s">
        <v>6577</v>
      </c>
      <c r="B1530" s="767" t="s">
        <v>6578</v>
      </c>
      <c r="C1530" s="408"/>
    </row>
    <row r="1531" spans="1:3">
      <c r="A1531" s="767" t="s">
        <v>6579</v>
      </c>
      <c r="B1531" s="767" t="s">
        <v>6578</v>
      </c>
      <c r="C1531" s="408"/>
    </row>
    <row r="1532" spans="1:3">
      <c r="A1532" s="767" t="s">
        <v>6580</v>
      </c>
      <c r="B1532" s="767" t="s">
        <v>6581</v>
      </c>
      <c r="C1532" s="408"/>
    </row>
    <row r="1533" spans="1:3">
      <c r="A1533" s="767" t="s">
        <v>6582</v>
      </c>
      <c r="B1533" s="767" t="s">
        <v>6583</v>
      </c>
      <c r="C1533" s="408"/>
    </row>
    <row r="1534" spans="1:3">
      <c r="A1534" s="767" t="s">
        <v>6584</v>
      </c>
      <c r="B1534" s="767" t="s">
        <v>6585</v>
      </c>
      <c r="C1534" s="408"/>
    </row>
    <row r="1535" spans="1:3">
      <c r="A1535" s="767" t="s">
        <v>6586</v>
      </c>
      <c r="B1535" s="767" t="s">
        <v>6587</v>
      </c>
      <c r="C1535" s="408"/>
    </row>
    <row r="1536" spans="1:3">
      <c r="A1536" s="767" t="s">
        <v>6588</v>
      </c>
      <c r="B1536" s="767" t="s">
        <v>6589</v>
      </c>
      <c r="C1536" s="408"/>
    </row>
    <row r="1537" spans="1:3">
      <c r="A1537" s="767" t="s">
        <v>6590</v>
      </c>
      <c r="B1537" s="767" t="s">
        <v>6589</v>
      </c>
      <c r="C1537" s="408"/>
    </row>
    <row r="1538" spans="1:3">
      <c r="A1538" s="767" t="s">
        <v>6591</v>
      </c>
      <c r="B1538" s="767" t="s">
        <v>6592</v>
      </c>
      <c r="C1538" s="408"/>
    </row>
    <row r="1539" spans="1:3">
      <c r="A1539" s="767" t="s">
        <v>6593</v>
      </c>
      <c r="B1539" s="767" t="s">
        <v>6594</v>
      </c>
      <c r="C1539" s="408"/>
    </row>
    <row r="1540" spans="1:3">
      <c r="A1540" s="767" t="s">
        <v>6595</v>
      </c>
      <c r="B1540" s="767" t="s">
        <v>6596</v>
      </c>
      <c r="C1540" s="408"/>
    </row>
    <row r="1541" spans="1:3">
      <c r="A1541" s="767" t="s">
        <v>6597</v>
      </c>
      <c r="B1541" s="767" t="s">
        <v>6598</v>
      </c>
      <c r="C1541" s="408"/>
    </row>
    <row r="1542" spans="1:3">
      <c r="A1542" s="767" t="s">
        <v>6599</v>
      </c>
      <c r="B1542" s="767" t="s">
        <v>6600</v>
      </c>
      <c r="C1542" s="408"/>
    </row>
    <row r="1543" spans="1:3">
      <c r="A1543" s="767" t="s">
        <v>6601</v>
      </c>
      <c r="B1543" s="767" t="s">
        <v>6401</v>
      </c>
      <c r="C1543" s="408"/>
    </row>
    <row r="1544" spans="1:3">
      <c r="A1544" s="767" t="s">
        <v>6602</v>
      </c>
      <c r="B1544" s="767" t="s">
        <v>6603</v>
      </c>
      <c r="C1544" s="408"/>
    </row>
    <row r="1545" spans="1:3">
      <c r="A1545" s="767" t="s">
        <v>6604</v>
      </c>
      <c r="B1545" s="767" t="s">
        <v>6605</v>
      </c>
      <c r="C1545" s="408"/>
    </row>
    <row r="1546" spans="1:3">
      <c r="A1546" s="767" t="s">
        <v>6606</v>
      </c>
      <c r="B1546" s="767" t="s">
        <v>6607</v>
      </c>
      <c r="C1546" s="408"/>
    </row>
    <row r="1547" spans="1:3">
      <c r="A1547" s="767" t="s">
        <v>6608</v>
      </c>
      <c r="B1547" s="767" t="s">
        <v>6609</v>
      </c>
      <c r="C1547" s="408"/>
    </row>
    <row r="1548" spans="1:3">
      <c r="A1548" s="767" t="s">
        <v>6610</v>
      </c>
      <c r="B1548" s="767" t="s">
        <v>6611</v>
      </c>
      <c r="C1548" s="408"/>
    </row>
    <row r="1549" spans="1:3">
      <c r="A1549" s="767" t="s">
        <v>6612</v>
      </c>
      <c r="B1549" s="767" t="s">
        <v>6613</v>
      </c>
      <c r="C1549" s="408"/>
    </row>
    <row r="1550" spans="1:3">
      <c r="A1550" s="767" t="s">
        <v>6614</v>
      </c>
      <c r="B1550" s="767" t="s">
        <v>6615</v>
      </c>
      <c r="C1550" s="408"/>
    </row>
    <row r="1551" spans="1:3">
      <c r="A1551" s="767" t="s">
        <v>6616</v>
      </c>
      <c r="B1551" s="767" t="s">
        <v>6395</v>
      </c>
      <c r="C1551" s="408"/>
    </row>
    <row r="1552" spans="1:3">
      <c r="A1552" s="767" t="s">
        <v>6617</v>
      </c>
      <c r="B1552" s="767" t="s">
        <v>6618</v>
      </c>
      <c r="C1552" s="408"/>
    </row>
    <row r="1553" spans="1:3">
      <c r="A1553" s="767" t="s">
        <v>6619</v>
      </c>
      <c r="B1553" s="767" t="s">
        <v>6620</v>
      </c>
      <c r="C1553" s="408"/>
    </row>
    <row r="1554" spans="1:3">
      <c r="A1554" s="767" t="s">
        <v>6621</v>
      </c>
      <c r="B1554" s="767" t="s">
        <v>6622</v>
      </c>
      <c r="C1554" s="408"/>
    </row>
    <row r="1555" spans="1:3">
      <c r="A1555" s="767" t="s">
        <v>6623</v>
      </c>
      <c r="B1555" s="767" t="s">
        <v>6624</v>
      </c>
      <c r="C1555" s="408"/>
    </row>
    <row r="1556" spans="1:3">
      <c r="A1556" s="767" t="s">
        <v>6625</v>
      </c>
      <c r="B1556" s="767" t="s">
        <v>6626</v>
      </c>
      <c r="C1556" s="408"/>
    </row>
    <row r="1557" spans="1:3">
      <c r="A1557" s="767" t="s">
        <v>6627</v>
      </c>
      <c r="B1557" s="767" t="s">
        <v>6628</v>
      </c>
      <c r="C1557" s="408"/>
    </row>
    <row r="1558" spans="1:3">
      <c r="A1558" s="767" t="s">
        <v>6629</v>
      </c>
      <c r="B1558" s="767" t="s">
        <v>6630</v>
      </c>
      <c r="C1558" s="408"/>
    </row>
    <row r="1559" spans="1:3">
      <c r="A1559" s="767" t="s">
        <v>6631</v>
      </c>
      <c r="B1559" s="767" t="s">
        <v>6632</v>
      </c>
      <c r="C1559" s="408"/>
    </row>
    <row r="1560" spans="1:3">
      <c r="A1560" s="767" t="s">
        <v>6633</v>
      </c>
      <c r="B1560" s="767" t="s">
        <v>6634</v>
      </c>
      <c r="C1560" s="408"/>
    </row>
    <row r="1561" spans="1:3">
      <c r="A1561" s="767" t="s">
        <v>6635</v>
      </c>
      <c r="B1561" s="767" t="s">
        <v>6636</v>
      </c>
      <c r="C1561" s="408"/>
    </row>
    <row r="1562" spans="1:3">
      <c r="A1562" s="767" t="s">
        <v>6637</v>
      </c>
      <c r="B1562" s="767" t="s">
        <v>6638</v>
      </c>
      <c r="C1562" s="408"/>
    </row>
    <row r="1563" spans="1:3">
      <c r="A1563" s="767" t="s">
        <v>6639</v>
      </c>
      <c r="B1563" s="767" t="s">
        <v>6640</v>
      </c>
      <c r="C1563" s="408"/>
    </row>
    <row r="1564" spans="1:3">
      <c r="A1564" s="767" t="s">
        <v>6641</v>
      </c>
      <c r="B1564" s="767" t="s">
        <v>6642</v>
      </c>
      <c r="C1564" s="408"/>
    </row>
    <row r="1565" spans="1:3">
      <c r="A1565" s="767" t="s">
        <v>6643</v>
      </c>
      <c r="B1565" s="767" t="s">
        <v>6644</v>
      </c>
      <c r="C1565" s="408"/>
    </row>
    <row r="1566" spans="1:3">
      <c r="A1566" s="767" t="s">
        <v>6645</v>
      </c>
      <c r="B1566" s="767" t="s">
        <v>6646</v>
      </c>
      <c r="C1566" s="408"/>
    </row>
    <row r="1567" spans="1:3">
      <c r="A1567" s="767" t="s">
        <v>6647</v>
      </c>
      <c r="B1567" s="767" t="s">
        <v>6648</v>
      </c>
      <c r="C1567" s="408"/>
    </row>
    <row r="1568" spans="1:3">
      <c r="A1568" s="767" t="s">
        <v>6649</v>
      </c>
      <c r="B1568" s="767" t="s">
        <v>6650</v>
      </c>
      <c r="C1568" s="408"/>
    </row>
    <row r="1569" spans="1:3">
      <c r="A1569" s="767" t="s">
        <v>6651</v>
      </c>
      <c r="B1569" s="767" t="s">
        <v>6652</v>
      </c>
      <c r="C1569" s="408"/>
    </row>
    <row r="1570" spans="1:3">
      <c r="A1570" s="767" t="s">
        <v>6653</v>
      </c>
      <c r="B1570" s="767" t="s">
        <v>6654</v>
      </c>
      <c r="C1570" s="408"/>
    </row>
    <row r="1571" spans="1:3">
      <c r="A1571" s="767" t="s">
        <v>6655</v>
      </c>
      <c r="B1571" s="767" t="s">
        <v>6656</v>
      </c>
      <c r="C1571" s="408"/>
    </row>
    <row r="1572" spans="1:3">
      <c r="A1572" s="767" t="s">
        <v>6657</v>
      </c>
      <c r="B1572" s="767" t="s">
        <v>6658</v>
      </c>
      <c r="C1572" s="408"/>
    </row>
    <row r="1573" spans="1:3">
      <c r="A1573" s="767" t="s">
        <v>6659</v>
      </c>
      <c r="B1573" s="767" t="s">
        <v>6660</v>
      </c>
      <c r="C1573" s="408"/>
    </row>
    <row r="1574" spans="1:3">
      <c r="A1574" s="767" t="s">
        <v>6661</v>
      </c>
      <c r="B1574" s="767" t="s">
        <v>6662</v>
      </c>
      <c r="C1574" s="408"/>
    </row>
    <row r="1575" spans="1:3">
      <c r="A1575" s="767" t="s">
        <v>6663</v>
      </c>
      <c r="B1575" s="767" t="s">
        <v>6664</v>
      </c>
      <c r="C1575" s="408"/>
    </row>
    <row r="1576" spans="1:3">
      <c r="A1576" s="767" t="s">
        <v>6665</v>
      </c>
      <c r="B1576" s="767" t="s">
        <v>6666</v>
      </c>
      <c r="C1576" s="408"/>
    </row>
    <row r="1577" spans="1:3">
      <c r="A1577" s="767" t="s">
        <v>6667</v>
      </c>
      <c r="B1577" s="767" t="s">
        <v>6668</v>
      </c>
      <c r="C1577" s="408"/>
    </row>
    <row r="1578" spans="1:3">
      <c r="A1578" s="767" t="s">
        <v>6669</v>
      </c>
      <c r="B1578" s="767" t="s">
        <v>6670</v>
      </c>
      <c r="C1578" s="408"/>
    </row>
    <row r="1579" spans="1:3">
      <c r="A1579" s="767" t="s">
        <v>6671</v>
      </c>
      <c r="B1579" s="767" t="s">
        <v>6672</v>
      </c>
      <c r="C1579" s="408"/>
    </row>
    <row r="1580" spans="1:3">
      <c r="A1580" s="767" t="s">
        <v>6673</v>
      </c>
      <c r="B1580" s="767" t="s">
        <v>6674</v>
      </c>
      <c r="C1580" s="408"/>
    </row>
    <row r="1581" spans="1:3">
      <c r="A1581" s="767" t="s">
        <v>6675</v>
      </c>
      <c r="B1581" s="767" t="s">
        <v>6676</v>
      </c>
      <c r="C1581" s="408"/>
    </row>
    <row r="1582" spans="1:3">
      <c r="A1582" s="767" t="s">
        <v>6677</v>
      </c>
      <c r="B1582" s="767" t="s">
        <v>6678</v>
      </c>
      <c r="C1582" s="408"/>
    </row>
    <row r="1583" spans="1:3">
      <c r="A1583" s="767" t="s">
        <v>6679</v>
      </c>
      <c r="B1583" s="767" t="s">
        <v>6680</v>
      </c>
      <c r="C1583" s="408"/>
    </row>
    <row r="1584" spans="1:3">
      <c r="A1584" s="767" t="s">
        <v>6681</v>
      </c>
      <c r="B1584" s="767" t="s">
        <v>6682</v>
      </c>
      <c r="C1584" s="408"/>
    </row>
    <row r="1585" spans="1:3">
      <c r="A1585" s="767" t="s">
        <v>6683</v>
      </c>
      <c r="B1585" s="767" t="s">
        <v>6684</v>
      </c>
      <c r="C1585" s="408"/>
    </row>
    <row r="1586" spans="1:3">
      <c r="A1586" s="767" t="s">
        <v>6685</v>
      </c>
      <c r="B1586" s="767" t="s">
        <v>6686</v>
      </c>
      <c r="C1586" s="408"/>
    </row>
    <row r="1587" spans="1:3">
      <c r="A1587" s="767" t="s">
        <v>6687</v>
      </c>
      <c r="B1587" s="767" t="s">
        <v>6688</v>
      </c>
      <c r="C1587" s="408"/>
    </row>
    <row r="1588" spans="1:3">
      <c r="A1588" s="767" t="s">
        <v>6689</v>
      </c>
      <c r="B1588" s="767" t="s">
        <v>6690</v>
      </c>
      <c r="C1588" s="408"/>
    </row>
    <row r="1589" spans="1:3">
      <c r="A1589" s="767" t="s">
        <v>6691</v>
      </c>
      <c r="B1589" s="767" t="s">
        <v>6692</v>
      </c>
      <c r="C1589" s="408"/>
    </row>
    <row r="1590" spans="1:3">
      <c r="A1590" s="767" t="s">
        <v>6693</v>
      </c>
      <c r="B1590" s="767" t="s">
        <v>6694</v>
      </c>
      <c r="C1590" s="408"/>
    </row>
    <row r="1591" spans="1:3">
      <c r="A1591" s="767" t="s">
        <v>6695</v>
      </c>
      <c r="B1591" s="767" t="s">
        <v>6696</v>
      </c>
      <c r="C1591" s="408"/>
    </row>
    <row r="1592" spans="1:3">
      <c r="A1592" s="767" t="s">
        <v>6697</v>
      </c>
      <c r="B1592" s="767" t="s">
        <v>6698</v>
      </c>
      <c r="C1592" s="408"/>
    </row>
    <row r="1593" spans="1:3">
      <c r="A1593" s="767" t="s">
        <v>6699</v>
      </c>
      <c r="B1593" s="767" t="s">
        <v>6700</v>
      </c>
      <c r="C1593" s="408"/>
    </row>
    <row r="1594" spans="1:3">
      <c r="A1594" s="767" t="s">
        <v>6701</v>
      </c>
      <c r="B1594" s="767" t="s">
        <v>6702</v>
      </c>
      <c r="C1594" s="408"/>
    </row>
    <row r="1595" spans="1:3">
      <c r="A1595" s="767" t="s">
        <v>6703</v>
      </c>
      <c r="B1595" s="767" t="s">
        <v>6704</v>
      </c>
      <c r="C1595" s="408"/>
    </row>
    <row r="1596" spans="1:3">
      <c r="A1596" s="767" t="s">
        <v>6705</v>
      </c>
      <c r="B1596" s="767" t="s">
        <v>6706</v>
      </c>
      <c r="C1596" s="408"/>
    </row>
    <row r="1597" spans="1:3">
      <c r="A1597" s="767" t="s">
        <v>6707</v>
      </c>
      <c r="B1597" s="767" t="s">
        <v>6708</v>
      </c>
      <c r="C1597" s="408"/>
    </row>
    <row r="1598" spans="1:3">
      <c r="A1598" s="767" t="s">
        <v>6709</v>
      </c>
      <c r="B1598" s="767" t="s">
        <v>6710</v>
      </c>
      <c r="C1598" s="408"/>
    </row>
    <row r="1599" spans="1:3">
      <c r="A1599" s="767" t="s">
        <v>6711</v>
      </c>
      <c r="B1599" s="767" t="s">
        <v>6712</v>
      </c>
      <c r="C1599" s="408"/>
    </row>
    <row r="1600" spans="1:3">
      <c r="A1600" s="767" t="s">
        <v>6713</v>
      </c>
      <c r="B1600" s="767" t="s">
        <v>5604</v>
      </c>
      <c r="C1600" s="408"/>
    </row>
    <row r="1601" spans="1:3">
      <c r="A1601" s="767" t="s">
        <v>6714</v>
      </c>
      <c r="B1601" s="767" t="s">
        <v>6715</v>
      </c>
      <c r="C1601" s="408"/>
    </row>
    <row r="1602" spans="1:3">
      <c r="A1602" s="767" t="s">
        <v>6716</v>
      </c>
      <c r="B1602" s="767" t="s">
        <v>6717</v>
      </c>
      <c r="C1602" s="408"/>
    </row>
    <row r="1603" spans="1:3">
      <c r="A1603" s="767" t="s">
        <v>6718</v>
      </c>
      <c r="B1603" s="767" t="s">
        <v>6719</v>
      </c>
      <c r="C1603" s="408"/>
    </row>
    <row r="1604" spans="1:3">
      <c r="A1604" s="767" t="s">
        <v>6720</v>
      </c>
      <c r="B1604" s="767" t="s">
        <v>4215</v>
      </c>
      <c r="C1604" s="408"/>
    </row>
    <row r="1605" spans="1:3">
      <c r="A1605" s="767" t="s">
        <v>6721</v>
      </c>
      <c r="B1605" s="767" t="s">
        <v>6722</v>
      </c>
      <c r="C1605" s="408"/>
    </row>
    <row r="1606" spans="1:3">
      <c r="A1606" s="767" t="s">
        <v>6723</v>
      </c>
      <c r="B1606" s="767" t="s">
        <v>6724</v>
      </c>
      <c r="C1606" s="408"/>
    </row>
    <row r="1607" spans="1:3">
      <c r="A1607" s="767" t="s">
        <v>6725</v>
      </c>
      <c r="B1607" s="767" t="s">
        <v>6726</v>
      </c>
      <c r="C1607" s="408"/>
    </row>
    <row r="1608" spans="1:3">
      <c r="A1608" s="767" t="s">
        <v>6727</v>
      </c>
      <c r="B1608" s="767" t="s">
        <v>6728</v>
      </c>
      <c r="C1608" s="408"/>
    </row>
    <row r="1609" spans="1:3">
      <c r="A1609" s="767" t="s">
        <v>6729</v>
      </c>
      <c r="B1609" s="767" t="s">
        <v>6730</v>
      </c>
      <c r="C1609" s="408"/>
    </row>
    <row r="1610" spans="1:3">
      <c r="A1610" s="767" t="s">
        <v>6731</v>
      </c>
      <c r="B1610" s="767" t="s">
        <v>6732</v>
      </c>
      <c r="C1610" s="408"/>
    </row>
    <row r="1611" spans="1:3">
      <c r="A1611" s="767" t="s">
        <v>6733</v>
      </c>
      <c r="B1611" s="767" t="s">
        <v>6734</v>
      </c>
      <c r="C1611" s="408"/>
    </row>
    <row r="1612" spans="1:3">
      <c r="A1612" s="767" t="s">
        <v>6735</v>
      </c>
      <c r="B1612" s="767" t="s">
        <v>6736</v>
      </c>
      <c r="C1612" s="408"/>
    </row>
    <row r="1613" spans="1:3">
      <c r="A1613" s="767" t="s">
        <v>6737</v>
      </c>
      <c r="B1613" s="767" t="s">
        <v>6738</v>
      </c>
      <c r="C1613" s="408"/>
    </row>
    <row r="1614" spans="1:3">
      <c r="A1614" s="767" t="s">
        <v>6739</v>
      </c>
      <c r="B1614" s="767" t="s">
        <v>6740</v>
      </c>
      <c r="C1614" s="408"/>
    </row>
    <row r="1615" spans="1:3">
      <c r="A1615" s="767" t="s">
        <v>6741</v>
      </c>
      <c r="B1615" s="767" t="s">
        <v>6742</v>
      </c>
      <c r="C1615" s="408"/>
    </row>
    <row r="1616" spans="1:3">
      <c r="A1616" s="767" t="s">
        <v>6743</v>
      </c>
      <c r="B1616" s="767" t="s">
        <v>6744</v>
      </c>
      <c r="C1616" s="408"/>
    </row>
    <row r="1617" spans="1:3">
      <c r="A1617" s="767" t="s">
        <v>6745</v>
      </c>
      <c r="B1617" s="767" t="s">
        <v>6746</v>
      </c>
      <c r="C1617" s="408"/>
    </row>
    <row r="1618" spans="1:3">
      <c r="A1618" s="767" t="s">
        <v>3413</v>
      </c>
      <c r="B1618" s="767" t="s">
        <v>6747</v>
      </c>
      <c r="C1618" s="408"/>
    </row>
    <row r="1619" spans="1:3">
      <c r="A1619" s="767" t="s">
        <v>6748</v>
      </c>
      <c r="B1619" s="767" t="s">
        <v>6749</v>
      </c>
      <c r="C1619" s="408"/>
    </row>
    <row r="1620" spans="1:3">
      <c r="A1620" s="767" t="s">
        <v>6750</v>
      </c>
      <c r="B1620" s="767" t="s">
        <v>6751</v>
      </c>
      <c r="C1620" s="408"/>
    </row>
    <row r="1621" spans="1:3">
      <c r="A1621" s="767" t="s">
        <v>6752</v>
      </c>
      <c r="B1621" s="767" t="s">
        <v>6753</v>
      </c>
      <c r="C1621" s="408"/>
    </row>
    <row r="1622" spans="1:3">
      <c r="A1622" s="767" t="s">
        <v>6754</v>
      </c>
      <c r="B1622" s="767" t="s">
        <v>6755</v>
      </c>
      <c r="C1622" s="408"/>
    </row>
    <row r="1623" spans="1:3">
      <c r="A1623" s="767" t="s">
        <v>6756</v>
      </c>
      <c r="B1623" s="767" t="s">
        <v>6757</v>
      </c>
      <c r="C1623" s="408"/>
    </row>
    <row r="1624" spans="1:3">
      <c r="A1624" s="767" t="s">
        <v>6758</v>
      </c>
      <c r="B1624" s="767" t="s">
        <v>6759</v>
      </c>
      <c r="C1624" s="408"/>
    </row>
    <row r="1625" spans="1:3">
      <c r="A1625" s="767" t="s">
        <v>6760</v>
      </c>
      <c r="B1625" s="767" t="s">
        <v>6761</v>
      </c>
      <c r="C1625" s="408"/>
    </row>
    <row r="1626" spans="1:3">
      <c r="A1626" s="767" t="s">
        <v>6762</v>
      </c>
      <c r="B1626" s="767" t="s">
        <v>6763</v>
      </c>
      <c r="C1626" s="408"/>
    </row>
    <row r="1627" spans="1:3">
      <c r="A1627" s="767" t="s">
        <v>6764</v>
      </c>
      <c r="B1627" s="767" t="s">
        <v>6765</v>
      </c>
      <c r="C1627" s="408"/>
    </row>
    <row r="1628" spans="1:3">
      <c r="A1628" s="767" t="s">
        <v>6766</v>
      </c>
      <c r="B1628" s="767" t="s">
        <v>6767</v>
      </c>
      <c r="C1628" s="408"/>
    </row>
    <row r="1629" spans="1:3">
      <c r="A1629" s="767" t="s">
        <v>6768</v>
      </c>
      <c r="B1629" s="767" t="s">
        <v>6769</v>
      </c>
      <c r="C1629" s="408"/>
    </row>
    <row r="1630" spans="1:3">
      <c r="A1630" s="767" t="s">
        <v>6770</v>
      </c>
      <c r="B1630" s="767" t="s">
        <v>6771</v>
      </c>
      <c r="C1630" s="408"/>
    </row>
    <row r="1631" spans="1:3">
      <c r="A1631" s="767" t="s">
        <v>6772</v>
      </c>
      <c r="B1631" s="767" t="s">
        <v>6773</v>
      </c>
      <c r="C1631" s="408"/>
    </row>
    <row r="1632" spans="1:3">
      <c r="A1632" s="767" t="s">
        <v>6774</v>
      </c>
      <c r="B1632" s="767" t="s">
        <v>6775</v>
      </c>
      <c r="C1632" s="408"/>
    </row>
    <row r="1633" spans="1:3">
      <c r="A1633" s="767" t="s">
        <v>6776</v>
      </c>
      <c r="B1633" s="767" t="s">
        <v>6777</v>
      </c>
      <c r="C1633" s="408"/>
    </row>
    <row r="1634" spans="1:3">
      <c r="A1634" s="767" t="s">
        <v>6778</v>
      </c>
      <c r="B1634" s="767" t="s">
        <v>6779</v>
      </c>
      <c r="C1634" s="408"/>
    </row>
    <row r="1635" spans="1:3">
      <c r="A1635" s="767" t="s">
        <v>6780</v>
      </c>
      <c r="B1635" s="767" t="s">
        <v>6781</v>
      </c>
      <c r="C1635" s="408"/>
    </row>
    <row r="1636" spans="1:3">
      <c r="A1636" s="767" t="s">
        <v>6782</v>
      </c>
      <c r="B1636" s="767" t="s">
        <v>6783</v>
      </c>
      <c r="C1636" s="408"/>
    </row>
    <row r="1637" spans="1:3">
      <c r="A1637" s="767" t="s">
        <v>6784</v>
      </c>
      <c r="B1637" s="767" t="s">
        <v>6785</v>
      </c>
      <c r="C1637" s="408"/>
    </row>
    <row r="1638" spans="1:3">
      <c r="A1638" s="767" t="s">
        <v>6786</v>
      </c>
      <c r="B1638" s="767" t="s">
        <v>6787</v>
      </c>
      <c r="C1638" s="408"/>
    </row>
    <row r="1639" spans="1:3">
      <c r="A1639" s="767" t="s">
        <v>6788</v>
      </c>
      <c r="B1639" s="767" t="s">
        <v>6789</v>
      </c>
      <c r="C1639" s="408"/>
    </row>
    <row r="1640" spans="1:3">
      <c r="A1640" s="767" t="s">
        <v>6790</v>
      </c>
      <c r="B1640" s="767" t="s">
        <v>6791</v>
      </c>
      <c r="C1640" s="408"/>
    </row>
    <row r="1641" spans="1:3">
      <c r="A1641" s="767" t="s">
        <v>6792</v>
      </c>
      <c r="B1641" s="767" t="s">
        <v>6793</v>
      </c>
      <c r="C1641" s="408"/>
    </row>
    <row r="1642" spans="1:3">
      <c r="A1642" s="767" t="s">
        <v>6794</v>
      </c>
      <c r="B1642" s="767" t="s">
        <v>6795</v>
      </c>
      <c r="C1642" s="408"/>
    </row>
    <row r="1643" spans="1:3">
      <c r="A1643" s="767" t="s">
        <v>6796</v>
      </c>
      <c r="B1643" s="767" t="s">
        <v>6797</v>
      </c>
      <c r="C1643" s="408"/>
    </row>
    <row r="1644" spans="1:3">
      <c r="A1644" s="767" t="s">
        <v>6798</v>
      </c>
      <c r="B1644" s="767" t="s">
        <v>6313</v>
      </c>
      <c r="C1644" s="408"/>
    </row>
    <row r="1645" spans="1:3">
      <c r="A1645" s="767" t="s">
        <v>6799</v>
      </c>
      <c r="B1645" s="767" t="s">
        <v>6800</v>
      </c>
      <c r="C1645" s="408"/>
    </row>
    <row r="1646" spans="1:3">
      <c r="A1646" s="767" t="s">
        <v>6801</v>
      </c>
      <c r="B1646" s="767" t="s">
        <v>6802</v>
      </c>
      <c r="C1646" s="408"/>
    </row>
    <row r="1647" spans="1:3">
      <c r="A1647" s="767" t="s">
        <v>6803</v>
      </c>
      <c r="B1647" s="767" t="s">
        <v>6804</v>
      </c>
      <c r="C1647" s="408"/>
    </row>
    <row r="1648" spans="1:3">
      <c r="A1648" s="767" t="s">
        <v>6805</v>
      </c>
      <c r="B1648" s="767" t="s">
        <v>6806</v>
      </c>
      <c r="C1648" s="408"/>
    </row>
    <row r="1649" spans="1:3">
      <c r="A1649" s="767" t="s">
        <v>6807</v>
      </c>
      <c r="B1649" s="767" t="s">
        <v>6808</v>
      </c>
      <c r="C1649" s="408"/>
    </row>
    <row r="1650" spans="1:3">
      <c r="A1650" s="767" t="s">
        <v>6809</v>
      </c>
      <c r="B1650" s="767" t="s">
        <v>6810</v>
      </c>
      <c r="C1650" s="408"/>
    </row>
    <row r="1651" spans="1:3">
      <c r="A1651" s="767" t="s">
        <v>6811</v>
      </c>
      <c r="B1651" s="767" t="s">
        <v>6812</v>
      </c>
      <c r="C1651" s="408"/>
    </row>
    <row r="1652" spans="1:3">
      <c r="A1652" s="767" t="s">
        <v>6813</v>
      </c>
      <c r="B1652" s="767" t="s">
        <v>6814</v>
      </c>
      <c r="C1652" s="408"/>
    </row>
    <row r="1653" spans="1:3">
      <c r="A1653" s="767" t="s">
        <v>6815</v>
      </c>
      <c r="B1653" s="767" t="s">
        <v>6816</v>
      </c>
      <c r="C1653" s="408"/>
    </row>
    <row r="1654" spans="1:3">
      <c r="A1654" s="767" t="s">
        <v>6817</v>
      </c>
      <c r="B1654" s="767" t="s">
        <v>6818</v>
      </c>
      <c r="C1654" s="408"/>
    </row>
    <row r="1655" spans="1:3">
      <c r="A1655" s="767" t="s">
        <v>6819</v>
      </c>
      <c r="B1655" s="767" t="s">
        <v>6820</v>
      </c>
      <c r="C1655" s="408"/>
    </row>
    <row r="1656" spans="1:3">
      <c r="A1656" s="767" t="s">
        <v>6821</v>
      </c>
      <c r="B1656" s="767" t="s">
        <v>6822</v>
      </c>
      <c r="C1656" s="408"/>
    </row>
    <row r="1657" spans="1:3">
      <c r="A1657" s="767" t="s">
        <v>6823</v>
      </c>
      <c r="B1657" s="767" t="s">
        <v>6824</v>
      </c>
      <c r="C1657" s="408"/>
    </row>
    <row r="1658" spans="1:3">
      <c r="A1658" s="767" t="s">
        <v>6825</v>
      </c>
      <c r="B1658" s="767" t="s">
        <v>6826</v>
      </c>
      <c r="C1658" s="408"/>
    </row>
    <row r="1659" spans="1:3">
      <c r="A1659" s="767" t="s">
        <v>6827</v>
      </c>
      <c r="B1659" s="767" t="s">
        <v>6828</v>
      </c>
      <c r="C1659" s="408"/>
    </row>
    <row r="1660" spans="1:3">
      <c r="A1660" s="767" t="s">
        <v>6829</v>
      </c>
      <c r="B1660" s="767" t="s">
        <v>6830</v>
      </c>
      <c r="C1660" s="408"/>
    </row>
    <row r="1661" spans="1:3">
      <c r="A1661" s="767" t="s">
        <v>6831</v>
      </c>
      <c r="B1661" s="767" t="s">
        <v>6832</v>
      </c>
      <c r="C1661" s="408"/>
    </row>
    <row r="1662" spans="1:3">
      <c r="A1662" s="767" t="s">
        <v>6833</v>
      </c>
      <c r="B1662" s="767" t="s">
        <v>6139</v>
      </c>
      <c r="C1662" s="408"/>
    </row>
    <row r="1663" spans="1:3">
      <c r="A1663" s="767" t="s">
        <v>6834</v>
      </c>
      <c r="B1663" s="767" t="s">
        <v>6835</v>
      </c>
      <c r="C1663" s="408"/>
    </row>
    <row r="1664" spans="1:3">
      <c r="A1664" s="767" t="s">
        <v>6836</v>
      </c>
      <c r="B1664" s="767" t="s">
        <v>6837</v>
      </c>
      <c r="C1664" s="408"/>
    </row>
    <row r="1665" spans="1:3">
      <c r="A1665" s="767" t="s">
        <v>6838</v>
      </c>
      <c r="B1665" s="767" t="s">
        <v>6839</v>
      </c>
      <c r="C1665" s="408"/>
    </row>
    <row r="1666" spans="1:3">
      <c r="A1666" s="767" t="s">
        <v>6840</v>
      </c>
      <c r="B1666" s="767" t="s">
        <v>6841</v>
      </c>
      <c r="C1666" s="408"/>
    </row>
    <row r="1667" spans="1:3">
      <c r="A1667" s="767" t="s">
        <v>6842</v>
      </c>
      <c r="B1667" s="767" t="s">
        <v>6843</v>
      </c>
      <c r="C1667" s="408"/>
    </row>
    <row r="1668" spans="1:3">
      <c r="A1668" s="767" t="s">
        <v>6844</v>
      </c>
      <c r="B1668" s="767" t="s">
        <v>6845</v>
      </c>
      <c r="C1668" s="408"/>
    </row>
    <row r="1669" spans="1:3">
      <c r="A1669" s="767" t="s">
        <v>6846</v>
      </c>
      <c r="B1669" s="767" t="s">
        <v>6847</v>
      </c>
      <c r="C1669" s="408"/>
    </row>
    <row r="1670" spans="1:3">
      <c r="A1670" s="767" t="s">
        <v>6848</v>
      </c>
      <c r="B1670" s="767" t="s">
        <v>6849</v>
      </c>
      <c r="C1670" s="408"/>
    </row>
    <row r="1671" spans="1:3">
      <c r="A1671" s="767" t="s">
        <v>6850</v>
      </c>
      <c r="B1671" s="767" t="s">
        <v>6851</v>
      </c>
      <c r="C1671" s="408"/>
    </row>
    <row r="1672" spans="1:3">
      <c r="A1672" s="767" t="s">
        <v>6852</v>
      </c>
      <c r="B1672" s="767" t="s">
        <v>6853</v>
      </c>
      <c r="C1672" s="408"/>
    </row>
    <row r="1673" spans="1:3">
      <c r="A1673" s="767" t="s">
        <v>6854</v>
      </c>
      <c r="B1673" s="767" t="s">
        <v>6855</v>
      </c>
      <c r="C1673" s="408"/>
    </row>
    <row r="1674" spans="1:3">
      <c r="A1674" s="767" t="s">
        <v>6856</v>
      </c>
      <c r="B1674" s="767" t="s">
        <v>6857</v>
      </c>
      <c r="C1674" s="408"/>
    </row>
    <row r="1675" spans="1:3">
      <c r="A1675" s="767" t="s">
        <v>6858</v>
      </c>
      <c r="B1675" s="767" t="s">
        <v>6859</v>
      </c>
      <c r="C1675" s="408"/>
    </row>
    <row r="1676" spans="1:3">
      <c r="A1676" s="767" t="s">
        <v>6860</v>
      </c>
      <c r="B1676" s="767" t="s">
        <v>6861</v>
      </c>
      <c r="C1676" s="408"/>
    </row>
    <row r="1677" spans="1:3">
      <c r="A1677" s="767" t="s">
        <v>6862</v>
      </c>
      <c r="B1677" s="767" t="s">
        <v>6863</v>
      </c>
      <c r="C1677" s="408"/>
    </row>
    <row r="1678" spans="1:3">
      <c r="A1678" s="767" t="s">
        <v>6304</v>
      </c>
      <c r="B1678" s="767" t="s">
        <v>6864</v>
      </c>
      <c r="C1678" s="408"/>
    </row>
    <row r="1679" spans="1:3">
      <c r="A1679" s="767" t="s">
        <v>6865</v>
      </c>
      <c r="B1679" s="767" t="s">
        <v>6866</v>
      </c>
      <c r="C1679" s="408"/>
    </row>
    <row r="1680" spans="1:3">
      <c r="A1680" s="767" t="s">
        <v>6867</v>
      </c>
      <c r="B1680" s="767" t="s">
        <v>6868</v>
      </c>
      <c r="C1680" s="408"/>
    </row>
    <row r="1681" spans="1:3">
      <c r="A1681" s="767" t="s">
        <v>6869</v>
      </c>
      <c r="B1681" s="767" t="s">
        <v>6870</v>
      </c>
      <c r="C1681" s="408"/>
    </row>
    <row r="1682" spans="1:3">
      <c r="A1682" s="767" t="s">
        <v>6871</v>
      </c>
      <c r="B1682" s="767" t="s">
        <v>6872</v>
      </c>
      <c r="C1682" s="408"/>
    </row>
    <row r="1683" spans="1:3">
      <c r="A1683" s="767" t="s">
        <v>6873</v>
      </c>
      <c r="B1683" s="767" t="s">
        <v>6874</v>
      </c>
      <c r="C1683" s="408"/>
    </row>
    <row r="1684" spans="1:3">
      <c r="A1684" s="767" t="s">
        <v>6875</v>
      </c>
      <c r="B1684" s="767" t="s">
        <v>6876</v>
      </c>
      <c r="C1684" s="408"/>
    </row>
    <row r="1685" spans="1:3">
      <c r="A1685" s="767" t="s">
        <v>6877</v>
      </c>
      <c r="B1685" s="767" t="s">
        <v>6878</v>
      </c>
      <c r="C1685" s="408"/>
    </row>
    <row r="1686" spans="1:3">
      <c r="A1686" s="767" t="s">
        <v>6879</v>
      </c>
      <c r="B1686" s="767" t="s">
        <v>6880</v>
      </c>
      <c r="C1686" s="408"/>
    </row>
    <row r="1687" spans="1:3">
      <c r="A1687" s="767" t="s">
        <v>6881</v>
      </c>
      <c r="B1687" s="767" t="s">
        <v>6882</v>
      </c>
      <c r="C1687" s="408"/>
    </row>
    <row r="1688" spans="1:3">
      <c r="A1688" s="767" t="s">
        <v>6883</v>
      </c>
      <c r="B1688" s="767" t="s">
        <v>6884</v>
      </c>
      <c r="C1688" s="408"/>
    </row>
    <row r="1689" spans="1:3">
      <c r="A1689" s="767" t="s">
        <v>6885</v>
      </c>
      <c r="B1689" s="767" t="s">
        <v>6886</v>
      </c>
      <c r="C1689" s="408"/>
    </row>
    <row r="1690" spans="1:3">
      <c r="A1690" s="767" t="s">
        <v>6887</v>
      </c>
      <c r="B1690" s="767" t="s">
        <v>6888</v>
      </c>
      <c r="C1690" s="408"/>
    </row>
    <row r="1691" spans="1:3">
      <c r="A1691" s="767" t="s">
        <v>6889</v>
      </c>
      <c r="B1691" s="767" t="s">
        <v>6890</v>
      </c>
      <c r="C1691" s="408"/>
    </row>
    <row r="1692" spans="1:3">
      <c r="A1692" s="767" t="s">
        <v>6891</v>
      </c>
      <c r="B1692" s="767" t="s">
        <v>6892</v>
      </c>
      <c r="C1692" s="408"/>
    </row>
    <row r="1693" spans="1:3">
      <c r="A1693" s="767" t="s">
        <v>6893</v>
      </c>
      <c r="B1693" s="767" t="s">
        <v>6894</v>
      </c>
      <c r="C1693" s="408"/>
    </row>
    <row r="1694" spans="1:3">
      <c r="A1694" s="767" t="s">
        <v>6895</v>
      </c>
      <c r="B1694" s="767" t="s">
        <v>6896</v>
      </c>
      <c r="C1694" s="408"/>
    </row>
    <row r="1695" spans="1:3">
      <c r="A1695" s="767" t="s">
        <v>6897</v>
      </c>
      <c r="B1695" s="767" t="s">
        <v>6898</v>
      </c>
      <c r="C1695" s="408"/>
    </row>
    <row r="1696" spans="1:3">
      <c r="A1696" s="767" t="s">
        <v>6899</v>
      </c>
      <c r="B1696" s="767" t="s">
        <v>6900</v>
      </c>
      <c r="C1696" s="408"/>
    </row>
    <row r="1697" spans="1:3">
      <c r="A1697" s="767" t="s">
        <v>6901</v>
      </c>
      <c r="B1697" s="767" t="s">
        <v>6902</v>
      </c>
      <c r="C1697" s="408"/>
    </row>
    <row r="1698" spans="1:3">
      <c r="A1698" s="767" t="s">
        <v>6903</v>
      </c>
      <c r="B1698" s="767" t="s">
        <v>6904</v>
      </c>
      <c r="C1698" s="408"/>
    </row>
    <row r="1699" spans="1:3">
      <c r="A1699" s="767" t="s">
        <v>6905</v>
      </c>
      <c r="B1699" s="767" t="s">
        <v>6906</v>
      </c>
      <c r="C1699" s="408"/>
    </row>
    <row r="1700" spans="1:3">
      <c r="A1700" s="767" t="s">
        <v>6907</v>
      </c>
      <c r="B1700" s="767" t="s">
        <v>6908</v>
      </c>
      <c r="C1700" s="408"/>
    </row>
    <row r="1701" spans="1:3">
      <c r="A1701" s="767" t="s">
        <v>6909</v>
      </c>
      <c r="B1701" s="767" t="s">
        <v>6910</v>
      </c>
      <c r="C1701" s="408"/>
    </row>
    <row r="1702" spans="1:3">
      <c r="A1702" s="767" t="s">
        <v>6911</v>
      </c>
      <c r="B1702" s="767" t="s">
        <v>6912</v>
      </c>
      <c r="C1702" s="408"/>
    </row>
    <row r="1703" spans="1:3">
      <c r="A1703" s="767" t="s">
        <v>6913</v>
      </c>
      <c r="B1703" s="767" t="s">
        <v>6914</v>
      </c>
      <c r="C1703" s="408"/>
    </row>
    <row r="1704" spans="1:3">
      <c r="A1704" s="767" t="s">
        <v>6915</v>
      </c>
      <c r="B1704" s="767" t="s">
        <v>6916</v>
      </c>
      <c r="C1704" s="408"/>
    </row>
    <row r="1705" spans="1:3">
      <c r="A1705" s="767" t="s">
        <v>6917</v>
      </c>
      <c r="B1705" s="767" t="s">
        <v>6918</v>
      </c>
      <c r="C1705" s="408"/>
    </row>
    <row r="1706" spans="1:3">
      <c r="A1706" s="767" t="s">
        <v>6919</v>
      </c>
      <c r="B1706" s="767" t="s">
        <v>6920</v>
      </c>
      <c r="C1706" s="408"/>
    </row>
    <row r="1707" spans="1:3">
      <c r="A1707" s="767" t="s">
        <v>6921</v>
      </c>
      <c r="B1707" s="767" t="s">
        <v>6922</v>
      </c>
      <c r="C1707" s="408"/>
    </row>
    <row r="1708" spans="1:3">
      <c r="A1708" s="767" t="s">
        <v>6923</v>
      </c>
      <c r="B1708" s="767" t="s">
        <v>6924</v>
      </c>
      <c r="C1708" s="408"/>
    </row>
    <row r="1709" spans="1:3">
      <c r="A1709" s="767" t="s">
        <v>6925</v>
      </c>
      <c r="B1709" s="767" t="s">
        <v>6926</v>
      </c>
      <c r="C1709" s="408"/>
    </row>
    <row r="1710" spans="1:3">
      <c r="A1710" s="767" t="s">
        <v>6927</v>
      </c>
      <c r="B1710" s="767" t="s">
        <v>6928</v>
      </c>
      <c r="C1710" s="408"/>
    </row>
    <row r="1711" spans="1:3">
      <c r="A1711" s="767" t="s">
        <v>6929</v>
      </c>
      <c r="B1711" s="767" t="s">
        <v>6435</v>
      </c>
      <c r="C1711" s="408"/>
    </row>
    <row r="1712" spans="1:3">
      <c r="A1712" s="767" t="s">
        <v>6930</v>
      </c>
      <c r="B1712" s="767" t="s">
        <v>6931</v>
      </c>
      <c r="C1712" s="408"/>
    </row>
    <row r="1713" spans="1:3">
      <c r="A1713" s="767" t="s">
        <v>6932</v>
      </c>
      <c r="B1713" s="767" t="s">
        <v>6933</v>
      </c>
      <c r="C1713" s="408"/>
    </row>
    <row r="1714" spans="1:3">
      <c r="A1714" s="767" t="s">
        <v>6934</v>
      </c>
      <c r="B1714" s="767" t="s">
        <v>6935</v>
      </c>
      <c r="C1714" s="408"/>
    </row>
    <row r="1715" spans="1:3">
      <c r="A1715" s="767" t="s">
        <v>6936</v>
      </c>
      <c r="B1715" s="767" t="s">
        <v>6937</v>
      </c>
      <c r="C1715" s="408"/>
    </row>
    <row r="1716" spans="1:3">
      <c r="A1716" s="767" t="s">
        <v>6938</v>
      </c>
      <c r="B1716" s="767" t="s">
        <v>6939</v>
      </c>
      <c r="C1716" s="408"/>
    </row>
    <row r="1717" spans="1:3">
      <c r="A1717" s="767" t="s">
        <v>6940</v>
      </c>
      <c r="B1717" s="767" t="s">
        <v>6941</v>
      </c>
      <c r="C1717" s="408"/>
    </row>
    <row r="1718" spans="1:3">
      <c r="A1718" s="767" t="s">
        <v>6942</v>
      </c>
      <c r="B1718" s="767" t="s">
        <v>6943</v>
      </c>
      <c r="C1718" s="408"/>
    </row>
    <row r="1719" spans="1:3">
      <c r="A1719" s="767" t="s">
        <v>6944</v>
      </c>
      <c r="B1719" s="767" t="s">
        <v>6945</v>
      </c>
      <c r="C1719" s="408"/>
    </row>
    <row r="1720" spans="1:3">
      <c r="A1720" s="767" t="s">
        <v>6946</v>
      </c>
      <c r="B1720" s="767" t="s">
        <v>6947</v>
      </c>
      <c r="C1720" s="408"/>
    </row>
    <row r="1721" spans="1:3">
      <c r="A1721" s="767" t="s">
        <v>6948</v>
      </c>
      <c r="B1721" s="767" t="s">
        <v>6949</v>
      </c>
      <c r="C1721" s="408"/>
    </row>
    <row r="1722" spans="1:3">
      <c r="A1722" s="767" t="s">
        <v>6950</v>
      </c>
      <c r="B1722" s="767" t="s">
        <v>6951</v>
      </c>
      <c r="C1722" s="408"/>
    </row>
    <row r="1723" spans="1:3">
      <c r="A1723" s="767" t="s">
        <v>6952</v>
      </c>
      <c r="B1723" s="767" t="s">
        <v>6953</v>
      </c>
      <c r="C1723" s="408"/>
    </row>
    <row r="1724" spans="1:3">
      <c r="A1724" s="767" t="s">
        <v>6954</v>
      </c>
      <c r="B1724" s="767" t="s">
        <v>6955</v>
      </c>
      <c r="C1724" s="408"/>
    </row>
    <row r="1725" spans="1:3">
      <c r="A1725" s="767" t="s">
        <v>6956</v>
      </c>
      <c r="B1725" s="767" t="s">
        <v>6957</v>
      </c>
      <c r="C1725" s="408"/>
    </row>
    <row r="1726" spans="1:3">
      <c r="A1726" s="767" t="s">
        <v>6958</v>
      </c>
      <c r="B1726" s="767" t="s">
        <v>6959</v>
      </c>
      <c r="C1726" s="408"/>
    </row>
    <row r="1727" spans="1:3">
      <c r="A1727" s="767" t="s">
        <v>6960</v>
      </c>
      <c r="B1727" s="767" t="s">
        <v>6961</v>
      </c>
      <c r="C1727" s="408"/>
    </row>
    <row r="1728" spans="1:3">
      <c r="A1728" s="767" t="s">
        <v>6962</v>
      </c>
      <c r="B1728" s="767" t="s">
        <v>6963</v>
      </c>
      <c r="C1728" s="408"/>
    </row>
    <row r="1729" spans="1:3">
      <c r="A1729" s="767" t="s">
        <v>6964</v>
      </c>
      <c r="B1729" s="767" t="s">
        <v>6965</v>
      </c>
      <c r="C1729" s="408"/>
    </row>
    <row r="1730" spans="1:3">
      <c r="A1730" s="767" t="s">
        <v>6966</v>
      </c>
      <c r="B1730" s="767" t="s">
        <v>6967</v>
      </c>
      <c r="C1730" s="408"/>
    </row>
    <row r="1731" spans="1:3">
      <c r="A1731" s="767" t="s">
        <v>6968</v>
      </c>
      <c r="B1731" s="767" t="s">
        <v>6969</v>
      </c>
      <c r="C1731" s="408"/>
    </row>
    <row r="1732" spans="1:3">
      <c r="A1732" s="767" t="s">
        <v>6970</v>
      </c>
      <c r="B1732" s="767" t="s">
        <v>6971</v>
      </c>
      <c r="C1732" s="408"/>
    </row>
    <row r="1733" spans="1:3">
      <c r="A1733" s="767" t="s">
        <v>6972</v>
      </c>
      <c r="B1733" s="767" t="s">
        <v>6973</v>
      </c>
      <c r="C1733" s="408"/>
    </row>
    <row r="1734" spans="1:3">
      <c r="A1734" s="767" t="s">
        <v>6974</v>
      </c>
      <c r="B1734" s="767" t="s">
        <v>6975</v>
      </c>
      <c r="C1734" s="408"/>
    </row>
    <row r="1735" spans="1:3">
      <c r="A1735" s="767" t="s">
        <v>6976</v>
      </c>
      <c r="B1735" s="767" t="s">
        <v>6977</v>
      </c>
      <c r="C1735" s="408"/>
    </row>
    <row r="1736" spans="1:3">
      <c r="A1736" s="767" t="s">
        <v>6978</v>
      </c>
      <c r="B1736" s="767" t="s">
        <v>6979</v>
      </c>
      <c r="C1736" s="408"/>
    </row>
    <row r="1737" spans="1:3">
      <c r="A1737" s="767" t="s">
        <v>6980</v>
      </c>
      <c r="B1737" s="767" t="s">
        <v>6981</v>
      </c>
      <c r="C1737" s="408"/>
    </row>
    <row r="1738" spans="1:3">
      <c r="A1738" s="767" t="s">
        <v>6982</v>
      </c>
      <c r="B1738" s="767" t="s">
        <v>6983</v>
      </c>
      <c r="C1738" s="408"/>
    </row>
    <row r="1739" spans="1:3">
      <c r="A1739" s="767" t="s">
        <v>6984</v>
      </c>
      <c r="B1739" s="767" t="s">
        <v>6985</v>
      </c>
      <c r="C1739" s="408"/>
    </row>
    <row r="1740" spans="1:3">
      <c r="A1740" s="767" t="s">
        <v>6986</v>
      </c>
      <c r="B1740" s="767" t="s">
        <v>6987</v>
      </c>
      <c r="C1740" s="408"/>
    </row>
    <row r="1741" spans="1:3">
      <c r="A1741" s="767" t="s">
        <v>6988</v>
      </c>
      <c r="B1741" s="767" t="s">
        <v>6989</v>
      </c>
      <c r="C1741" s="408"/>
    </row>
    <row r="1742" spans="1:3">
      <c r="A1742" s="767" t="s">
        <v>6990</v>
      </c>
      <c r="B1742" s="767" t="s">
        <v>6991</v>
      </c>
      <c r="C1742" s="408"/>
    </row>
    <row r="1743" spans="1:3">
      <c r="A1743" s="767" t="s">
        <v>6992</v>
      </c>
      <c r="B1743" s="767" t="s">
        <v>6993</v>
      </c>
      <c r="C1743" s="408"/>
    </row>
    <row r="1744" spans="1:3">
      <c r="A1744" s="767" t="s">
        <v>6994</v>
      </c>
      <c r="B1744" s="767" t="s">
        <v>6995</v>
      </c>
      <c r="C1744" s="408"/>
    </row>
    <row r="1745" spans="1:3">
      <c r="A1745" s="767" t="s">
        <v>6996</v>
      </c>
      <c r="B1745" s="767" t="s">
        <v>6997</v>
      </c>
      <c r="C1745" s="408"/>
    </row>
    <row r="1746" spans="1:3">
      <c r="A1746" s="767" t="s">
        <v>6998</v>
      </c>
      <c r="B1746" s="767" t="s">
        <v>6999</v>
      </c>
      <c r="C1746" s="408"/>
    </row>
    <row r="1747" spans="1:3">
      <c r="A1747" s="767" t="s">
        <v>7000</v>
      </c>
      <c r="B1747" s="767" t="s">
        <v>7001</v>
      </c>
      <c r="C1747" s="408"/>
    </row>
    <row r="1748" spans="1:3">
      <c r="A1748" s="767" t="s">
        <v>7002</v>
      </c>
      <c r="B1748" s="767" t="s">
        <v>7003</v>
      </c>
      <c r="C1748" s="408"/>
    </row>
    <row r="1749" spans="1:3">
      <c r="A1749" s="767" t="s">
        <v>7004</v>
      </c>
      <c r="B1749" s="767" t="s">
        <v>7005</v>
      </c>
      <c r="C1749" s="408"/>
    </row>
    <row r="1750" spans="1:3">
      <c r="A1750" s="767" t="s">
        <v>7006</v>
      </c>
      <c r="B1750" s="767" t="s">
        <v>7007</v>
      </c>
      <c r="C1750" s="408"/>
    </row>
    <row r="1751" spans="1:3">
      <c r="A1751" s="767" t="s">
        <v>7008</v>
      </c>
      <c r="B1751" s="767" t="s">
        <v>7009</v>
      </c>
      <c r="C1751" s="408"/>
    </row>
    <row r="1752" spans="1:3">
      <c r="A1752" s="767" t="s">
        <v>7010</v>
      </c>
      <c r="B1752" s="767" t="s">
        <v>7011</v>
      </c>
      <c r="C1752" s="408"/>
    </row>
    <row r="1753" spans="1:3">
      <c r="A1753" s="767" t="s">
        <v>7012</v>
      </c>
      <c r="B1753" s="767" t="s">
        <v>7013</v>
      </c>
      <c r="C1753" s="408"/>
    </row>
    <row r="1754" spans="1:3">
      <c r="A1754" s="767" t="s">
        <v>7014</v>
      </c>
      <c r="B1754" s="767" t="s">
        <v>7015</v>
      </c>
      <c r="C1754" s="408"/>
    </row>
    <row r="1755" spans="1:3">
      <c r="A1755" s="767" t="s">
        <v>7016</v>
      </c>
      <c r="B1755" s="767" t="s">
        <v>7017</v>
      </c>
      <c r="C1755" s="408"/>
    </row>
    <row r="1756" spans="1:3">
      <c r="A1756" s="767" t="s">
        <v>7018</v>
      </c>
      <c r="B1756" s="767" t="s">
        <v>7019</v>
      </c>
      <c r="C1756" s="408"/>
    </row>
    <row r="1757" spans="1:3">
      <c r="A1757" s="767" t="s">
        <v>7020</v>
      </c>
      <c r="B1757" s="767" t="s">
        <v>7021</v>
      </c>
      <c r="C1757" s="408"/>
    </row>
    <row r="1758" spans="1:3">
      <c r="A1758" s="767" t="s">
        <v>7022</v>
      </c>
      <c r="B1758" s="767" t="s">
        <v>7023</v>
      </c>
      <c r="C1758" s="408"/>
    </row>
    <row r="1759" spans="1:3">
      <c r="A1759" s="767" t="s">
        <v>7024</v>
      </c>
      <c r="B1759" s="767" t="s">
        <v>7025</v>
      </c>
      <c r="C1759" s="408"/>
    </row>
    <row r="1760" spans="1:3">
      <c r="A1760" s="767" t="s">
        <v>7026</v>
      </c>
      <c r="B1760" s="767" t="s">
        <v>7027</v>
      </c>
      <c r="C1760" s="408"/>
    </row>
    <row r="1761" spans="1:3">
      <c r="A1761" s="767" t="s">
        <v>7028</v>
      </c>
      <c r="B1761" s="767" t="s">
        <v>7029</v>
      </c>
      <c r="C1761" s="408"/>
    </row>
    <row r="1762" spans="1:3">
      <c r="A1762" s="767" t="s">
        <v>7030</v>
      </c>
      <c r="B1762" s="767" t="s">
        <v>7031</v>
      </c>
      <c r="C1762" s="408"/>
    </row>
    <row r="1763" spans="1:3">
      <c r="A1763" s="767" t="s">
        <v>7032</v>
      </c>
      <c r="B1763" s="767" t="s">
        <v>7033</v>
      </c>
      <c r="C1763" s="408"/>
    </row>
    <row r="1764" spans="1:3">
      <c r="A1764" s="767" t="s">
        <v>7034</v>
      </c>
      <c r="B1764" s="767" t="s">
        <v>7035</v>
      </c>
      <c r="C1764" s="408"/>
    </row>
    <row r="1765" spans="1:3">
      <c r="A1765" s="767" t="s">
        <v>7036</v>
      </c>
      <c r="B1765" s="767" t="s">
        <v>7037</v>
      </c>
      <c r="C1765" s="408"/>
    </row>
    <row r="1766" spans="1:3">
      <c r="A1766" s="767" t="s">
        <v>7038</v>
      </c>
      <c r="B1766" s="767" t="s">
        <v>7039</v>
      </c>
      <c r="C1766" s="408"/>
    </row>
    <row r="1767" spans="1:3">
      <c r="A1767" s="767" t="s">
        <v>7040</v>
      </c>
      <c r="B1767" s="767" t="s">
        <v>7041</v>
      </c>
      <c r="C1767" s="408"/>
    </row>
    <row r="1768" spans="1:3">
      <c r="A1768" s="767" t="s">
        <v>7042</v>
      </c>
      <c r="B1768" s="767" t="s">
        <v>7043</v>
      </c>
      <c r="C1768" s="408"/>
    </row>
    <row r="1769" spans="1:3">
      <c r="A1769" s="767" t="s">
        <v>7044</v>
      </c>
      <c r="B1769" s="767" t="s">
        <v>7045</v>
      </c>
      <c r="C1769" s="408"/>
    </row>
    <row r="1770" spans="1:3">
      <c r="A1770" s="767" t="s">
        <v>7046</v>
      </c>
      <c r="B1770" s="767" t="s">
        <v>7047</v>
      </c>
      <c r="C1770" s="408"/>
    </row>
    <row r="1771" spans="1:3">
      <c r="A1771" s="767" t="s">
        <v>7014</v>
      </c>
      <c r="B1771" s="767" t="s">
        <v>7048</v>
      </c>
      <c r="C1771" s="408"/>
    </row>
    <row r="1772" spans="1:3">
      <c r="A1772" s="767" t="s">
        <v>7049</v>
      </c>
      <c r="B1772" s="767" t="s">
        <v>7050</v>
      </c>
      <c r="C1772" s="408"/>
    </row>
    <row r="1773" spans="1:3">
      <c r="A1773" s="767" t="s">
        <v>7051</v>
      </c>
      <c r="B1773" s="767" t="s">
        <v>7052</v>
      </c>
      <c r="C1773" s="408"/>
    </row>
    <row r="1774" spans="1:3">
      <c r="A1774" s="767" t="s">
        <v>7053</v>
      </c>
      <c r="B1774" s="767" t="s">
        <v>7054</v>
      </c>
      <c r="C1774" s="408"/>
    </row>
    <row r="1775" spans="1:3">
      <c r="A1775" s="767" t="s">
        <v>7055</v>
      </c>
      <c r="B1775" s="767" t="s">
        <v>7056</v>
      </c>
      <c r="C1775" s="408"/>
    </row>
    <row r="1776" spans="1:3">
      <c r="A1776" s="767" t="s">
        <v>7057</v>
      </c>
      <c r="B1776" s="767" t="s">
        <v>7058</v>
      </c>
      <c r="C1776" s="408"/>
    </row>
    <row r="1777" spans="1:3">
      <c r="A1777" s="767" t="s">
        <v>7059</v>
      </c>
      <c r="B1777" s="767" t="s">
        <v>7060</v>
      </c>
      <c r="C1777" s="408"/>
    </row>
    <row r="1778" spans="1:3">
      <c r="A1778" s="767" t="s">
        <v>7061</v>
      </c>
      <c r="B1778" s="767" t="s">
        <v>7062</v>
      </c>
      <c r="C1778" s="408"/>
    </row>
    <row r="1779" spans="1:3">
      <c r="A1779" s="767" t="s">
        <v>7063</v>
      </c>
      <c r="B1779" s="767" t="s">
        <v>7064</v>
      </c>
      <c r="C1779" s="408"/>
    </row>
    <row r="1780" spans="1:3">
      <c r="A1780" s="767" t="s">
        <v>7065</v>
      </c>
      <c r="B1780" s="767" t="s">
        <v>7066</v>
      </c>
      <c r="C1780" s="408"/>
    </row>
    <row r="1781" spans="1:3">
      <c r="A1781" s="767" t="s">
        <v>7067</v>
      </c>
      <c r="B1781" s="767" t="s">
        <v>7068</v>
      </c>
      <c r="C1781" s="408"/>
    </row>
    <row r="1782" spans="1:3">
      <c r="A1782" s="767" t="s">
        <v>7069</v>
      </c>
      <c r="B1782" s="767" t="s">
        <v>7070</v>
      </c>
      <c r="C1782" s="408"/>
    </row>
    <row r="1783" spans="1:3">
      <c r="A1783" s="767" t="s">
        <v>7071</v>
      </c>
      <c r="B1783" s="767" t="s">
        <v>6005</v>
      </c>
      <c r="C1783" s="408"/>
    </row>
    <row r="1784" spans="1:3">
      <c r="A1784" s="767" t="s">
        <v>7072</v>
      </c>
      <c r="B1784" s="767" t="s">
        <v>7073</v>
      </c>
      <c r="C1784" s="408"/>
    </row>
    <row r="1785" spans="1:3">
      <c r="A1785" s="767" t="s">
        <v>7074</v>
      </c>
      <c r="B1785" s="767" t="s">
        <v>7075</v>
      </c>
      <c r="C1785" s="408"/>
    </row>
    <row r="1786" spans="1:3">
      <c r="A1786" s="767" t="s">
        <v>7076</v>
      </c>
      <c r="B1786" s="767" t="s">
        <v>7077</v>
      </c>
      <c r="C1786" s="408"/>
    </row>
    <row r="1787" spans="1:3">
      <c r="A1787" s="767" t="s">
        <v>7078</v>
      </c>
      <c r="B1787" s="767" t="s">
        <v>7079</v>
      </c>
      <c r="C1787" s="408"/>
    </row>
    <row r="1788" spans="1:3">
      <c r="A1788" s="767" t="s">
        <v>7080</v>
      </c>
      <c r="B1788" s="767" t="s">
        <v>7081</v>
      </c>
      <c r="C1788" s="408"/>
    </row>
    <row r="1789" spans="1:3">
      <c r="A1789" s="767" t="s">
        <v>7082</v>
      </c>
      <c r="B1789" s="767" t="s">
        <v>7083</v>
      </c>
      <c r="C1789" s="408"/>
    </row>
    <row r="1790" spans="1:3">
      <c r="A1790" s="767" t="s">
        <v>7084</v>
      </c>
      <c r="B1790" s="767" t="s">
        <v>7085</v>
      </c>
      <c r="C1790" s="408"/>
    </row>
    <row r="1791" spans="1:3">
      <c r="A1791" s="767" t="s">
        <v>7086</v>
      </c>
      <c r="B1791" s="768" t="s">
        <v>7087</v>
      </c>
      <c r="C1791" s="408"/>
    </row>
    <row r="1792" spans="1:3">
      <c r="A1792" s="767" t="s">
        <v>7088</v>
      </c>
      <c r="B1792" s="767" t="s">
        <v>7089</v>
      </c>
      <c r="C1792" s="408"/>
    </row>
    <row r="1793" spans="1:3">
      <c r="A1793" s="767" t="s">
        <v>7090</v>
      </c>
      <c r="B1793" s="767" t="s">
        <v>7091</v>
      </c>
      <c r="C1793" s="408"/>
    </row>
    <row r="1794" spans="1:3">
      <c r="A1794" s="767" t="s">
        <v>7092</v>
      </c>
      <c r="B1794" s="767" t="s">
        <v>7093</v>
      </c>
      <c r="C1794" s="408"/>
    </row>
    <row r="1795" spans="1:3">
      <c r="A1795" s="767" t="s">
        <v>7094</v>
      </c>
      <c r="B1795" s="767" t="s">
        <v>7095</v>
      </c>
      <c r="C1795" s="408"/>
    </row>
    <row r="1796" spans="1:3">
      <c r="A1796" s="767" t="s">
        <v>7096</v>
      </c>
      <c r="B1796" s="767" t="s">
        <v>7097</v>
      </c>
      <c r="C1796" s="408"/>
    </row>
    <row r="1797" spans="1:3">
      <c r="A1797" s="767" t="s">
        <v>7098</v>
      </c>
      <c r="B1797" s="767" t="s">
        <v>7099</v>
      </c>
      <c r="C1797" s="408"/>
    </row>
    <row r="1798" spans="1:3">
      <c r="A1798" s="767" t="s">
        <v>7100</v>
      </c>
      <c r="B1798" s="767" t="s">
        <v>7101</v>
      </c>
      <c r="C1798" s="408"/>
    </row>
    <row r="1799" spans="1:3">
      <c r="A1799" s="767" t="s">
        <v>7102</v>
      </c>
      <c r="B1799" s="767" t="s">
        <v>7103</v>
      </c>
      <c r="C1799" s="408"/>
    </row>
    <row r="1800" spans="1:3">
      <c r="A1800" s="767" t="s">
        <v>7104</v>
      </c>
      <c r="B1800" s="767" t="s">
        <v>7105</v>
      </c>
      <c r="C1800" s="408"/>
    </row>
    <row r="1801" spans="1:3">
      <c r="A1801" s="767" t="s">
        <v>7106</v>
      </c>
      <c r="B1801" s="767" t="s">
        <v>7107</v>
      </c>
      <c r="C1801" s="408"/>
    </row>
    <row r="1802" spans="1:3">
      <c r="A1802" s="767" t="s">
        <v>7108</v>
      </c>
      <c r="B1802" s="767" t="s">
        <v>7109</v>
      </c>
      <c r="C1802" s="408"/>
    </row>
    <row r="1803" spans="1:3">
      <c r="A1803" s="767" t="s">
        <v>7110</v>
      </c>
      <c r="B1803" s="767" t="s">
        <v>7111</v>
      </c>
      <c r="C1803" s="408"/>
    </row>
    <row r="1804" spans="1:3">
      <c r="A1804" s="767" t="s">
        <v>7112</v>
      </c>
      <c r="B1804" s="767" t="s">
        <v>5397</v>
      </c>
      <c r="C1804" s="408"/>
    </row>
    <row r="1805" spans="1:3">
      <c r="A1805" s="767" t="s">
        <v>7113</v>
      </c>
      <c r="B1805" s="767" t="s">
        <v>7114</v>
      </c>
      <c r="C1805" s="408"/>
    </row>
    <row r="1806" spans="1:3">
      <c r="A1806" s="767" t="s">
        <v>7115</v>
      </c>
      <c r="B1806" s="767" t="s">
        <v>7116</v>
      </c>
      <c r="C1806" s="408"/>
    </row>
    <row r="1807" spans="1:3">
      <c r="A1807" s="767" t="s">
        <v>7117</v>
      </c>
      <c r="B1807" s="767" t="s">
        <v>7118</v>
      </c>
      <c r="C1807" s="408"/>
    </row>
    <row r="1808" spans="1:3">
      <c r="A1808" s="767" t="s">
        <v>7119</v>
      </c>
      <c r="B1808" s="767" t="s">
        <v>7120</v>
      </c>
      <c r="C1808" s="408"/>
    </row>
    <row r="1809" spans="1:3">
      <c r="A1809" s="767" t="s">
        <v>7121</v>
      </c>
      <c r="B1809" s="767" t="s">
        <v>7122</v>
      </c>
      <c r="C1809" s="408"/>
    </row>
    <row r="1810" spans="1:3">
      <c r="A1810" s="767" t="s">
        <v>7123</v>
      </c>
      <c r="B1810" s="767" t="s">
        <v>7124</v>
      </c>
      <c r="C1810" s="408"/>
    </row>
    <row r="1811" spans="1:3">
      <c r="A1811" s="767" t="s">
        <v>7125</v>
      </c>
      <c r="B1811" s="767" t="s">
        <v>7126</v>
      </c>
      <c r="C1811" s="408"/>
    </row>
    <row r="1812" spans="1:3">
      <c r="A1812" s="767" t="s">
        <v>7127</v>
      </c>
      <c r="B1812" s="767" t="s">
        <v>7128</v>
      </c>
      <c r="C1812" s="408"/>
    </row>
    <row r="1813" spans="1:3">
      <c r="A1813" s="767" t="s">
        <v>7129</v>
      </c>
      <c r="B1813" s="767" t="s">
        <v>7130</v>
      </c>
      <c r="C1813" s="408"/>
    </row>
    <row r="1814" spans="1:3">
      <c r="A1814" s="767" t="s">
        <v>7131</v>
      </c>
      <c r="B1814" s="767" t="s">
        <v>7132</v>
      </c>
      <c r="C1814" s="408"/>
    </row>
    <row r="1815" spans="1:3">
      <c r="A1815" s="767" t="s">
        <v>7133</v>
      </c>
      <c r="B1815" s="767" t="s">
        <v>7134</v>
      </c>
      <c r="C1815" s="408"/>
    </row>
    <row r="1816" spans="1:3">
      <c r="A1816" s="767" t="s">
        <v>7135</v>
      </c>
      <c r="B1816" s="767" t="s">
        <v>7136</v>
      </c>
      <c r="C1816" s="408"/>
    </row>
    <row r="1817" spans="1:3">
      <c r="A1817" s="767" t="s">
        <v>7137</v>
      </c>
      <c r="B1817" s="767" t="s">
        <v>7066</v>
      </c>
      <c r="C1817" s="408"/>
    </row>
    <row r="1818" spans="1:3">
      <c r="A1818" s="767" t="s">
        <v>7138</v>
      </c>
      <c r="B1818" s="767" t="s">
        <v>7139</v>
      </c>
      <c r="C1818" s="408"/>
    </row>
    <row r="1819" spans="1:3">
      <c r="A1819" s="767" t="s">
        <v>7140</v>
      </c>
      <c r="B1819" s="767" t="s">
        <v>7141</v>
      </c>
      <c r="C1819" s="408"/>
    </row>
    <row r="1820" spans="1:3">
      <c r="A1820" s="767" t="s">
        <v>7142</v>
      </c>
      <c r="B1820" s="767" t="s">
        <v>7143</v>
      </c>
      <c r="C1820" s="408"/>
    </row>
    <row r="1821" spans="1:3">
      <c r="A1821" s="767" t="s">
        <v>7144</v>
      </c>
      <c r="B1821" s="767" t="s">
        <v>7145</v>
      </c>
      <c r="C1821" s="408"/>
    </row>
    <row r="1822" spans="1:3">
      <c r="A1822" s="767" t="s">
        <v>7146</v>
      </c>
      <c r="B1822" s="767" t="s">
        <v>5935</v>
      </c>
      <c r="C1822" s="408"/>
    </row>
    <row r="1823" spans="1:3">
      <c r="A1823" s="767" t="s">
        <v>7147</v>
      </c>
      <c r="B1823" s="767" t="s">
        <v>7148</v>
      </c>
      <c r="C1823" s="408"/>
    </row>
    <row r="1824" spans="1:3">
      <c r="A1824" s="767" t="s">
        <v>7149</v>
      </c>
      <c r="B1824" s="767" t="s">
        <v>7150</v>
      </c>
      <c r="C1824" s="408"/>
    </row>
    <row r="1825" spans="1:3">
      <c r="A1825" s="767" t="s">
        <v>7151</v>
      </c>
      <c r="B1825" s="767" t="s">
        <v>7152</v>
      </c>
      <c r="C1825" s="408"/>
    </row>
    <row r="1826" spans="1:3">
      <c r="A1826" s="767" t="s">
        <v>7153</v>
      </c>
      <c r="B1826" s="767" t="s">
        <v>7154</v>
      </c>
      <c r="C1826" s="408"/>
    </row>
    <row r="1827" spans="1:3">
      <c r="A1827" s="767" t="s">
        <v>7155</v>
      </c>
      <c r="B1827" s="767" t="s">
        <v>7156</v>
      </c>
      <c r="C1827" s="408"/>
    </row>
    <row r="1828" spans="1:3">
      <c r="A1828" s="767" t="s">
        <v>7157</v>
      </c>
      <c r="B1828" s="767" t="s">
        <v>7158</v>
      </c>
      <c r="C1828" s="408"/>
    </row>
    <row r="1829" spans="1:3">
      <c r="A1829" s="767" t="s">
        <v>7159</v>
      </c>
      <c r="B1829" s="767" t="s">
        <v>7160</v>
      </c>
      <c r="C1829" s="408"/>
    </row>
    <row r="1830" spans="1:3">
      <c r="A1830" s="767" t="s">
        <v>7161</v>
      </c>
      <c r="B1830" s="767" t="s">
        <v>7162</v>
      </c>
      <c r="C1830" s="408"/>
    </row>
    <row r="1831" spans="1:3">
      <c r="A1831" s="767" t="s">
        <v>7163</v>
      </c>
      <c r="B1831" s="767" t="s">
        <v>7164</v>
      </c>
      <c r="C1831" s="408"/>
    </row>
    <row r="1832" spans="1:3">
      <c r="A1832" s="767" t="s">
        <v>7165</v>
      </c>
      <c r="B1832" s="767" t="s">
        <v>7166</v>
      </c>
      <c r="C1832" s="408"/>
    </row>
    <row r="1833" spans="1:3">
      <c r="A1833" s="767" t="s">
        <v>7167</v>
      </c>
      <c r="B1833" s="767" t="s">
        <v>7168</v>
      </c>
      <c r="C1833" s="408"/>
    </row>
    <row r="1834" spans="1:3">
      <c r="A1834" s="767" t="s">
        <v>7169</v>
      </c>
      <c r="B1834" s="767" t="s">
        <v>4157</v>
      </c>
      <c r="C1834" s="408"/>
    </row>
    <row r="1835" spans="1:3">
      <c r="A1835" s="767" t="s">
        <v>7170</v>
      </c>
      <c r="B1835" s="767" t="s">
        <v>7171</v>
      </c>
      <c r="C1835" s="408"/>
    </row>
    <row r="1836" spans="1:3">
      <c r="A1836" s="767" t="s">
        <v>7172</v>
      </c>
      <c r="B1836" s="767" t="s">
        <v>7173</v>
      </c>
      <c r="C1836" s="408"/>
    </row>
    <row r="1837" spans="1:3">
      <c r="A1837" s="767" t="s">
        <v>7174</v>
      </c>
      <c r="B1837" s="767" t="s">
        <v>7175</v>
      </c>
      <c r="C1837" s="408"/>
    </row>
    <row r="1838" spans="1:3">
      <c r="A1838" s="767" t="s">
        <v>7176</v>
      </c>
      <c r="B1838" s="767" t="s">
        <v>7177</v>
      </c>
      <c r="C1838" s="408"/>
    </row>
    <row r="1839" spans="1:3">
      <c r="A1839" s="767" t="s">
        <v>7178</v>
      </c>
      <c r="B1839" s="767" t="s">
        <v>5796</v>
      </c>
      <c r="C1839" s="408"/>
    </row>
    <row r="1840" spans="1:3">
      <c r="A1840" s="767" t="s">
        <v>7179</v>
      </c>
      <c r="B1840" s="767" t="s">
        <v>7180</v>
      </c>
      <c r="C1840" s="408"/>
    </row>
    <row r="1841" spans="1:3">
      <c r="A1841" s="767" t="s">
        <v>7181</v>
      </c>
      <c r="B1841" s="767" t="s">
        <v>7182</v>
      </c>
      <c r="C1841" s="408"/>
    </row>
    <row r="1842" spans="1:3">
      <c r="A1842" s="767" t="s">
        <v>7183</v>
      </c>
      <c r="B1842" s="767" t="s">
        <v>7184</v>
      </c>
      <c r="C1842" s="408"/>
    </row>
    <row r="1843" spans="1:3">
      <c r="A1843" s="767" t="s">
        <v>7185</v>
      </c>
      <c r="B1843" s="767" t="s">
        <v>7186</v>
      </c>
      <c r="C1843" s="408"/>
    </row>
    <row r="1844" spans="1:3">
      <c r="A1844" s="767" t="s">
        <v>7187</v>
      </c>
      <c r="B1844" s="767" t="s">
        <v>7188</v>
      </c>
      <c r="C1844" s="408"/>
    </row>
    <row r="1845" spans="1:3">
      <c r="A1845" s="767" t="s">
        <v>7189</v>
      </c>
      <c r="B1845" s="767" t="s">
        <v>7190</v>
      </c>
      <c r="C1845" s="408"/>
    </row>
    <row r="1846" spans="1:3">
      <c r="A1846" s="767" t="s">
        <v>7191</v>
      </c>
      <c r="B1846" s="767" t="s">
        <v>7192</v>
      </c>
      <c r="C1846" s="408"/>
    </row>
    <row r="1847" spans="1:3">
      <c r="A1847" s="767" t="s">
        <v>7193</v>
      </c>
      <c r="B1847" s="767" t="s">
        <v>7194</v>
      </c>
      <c r="C1847" s="408"/>
    </row>
    <row r="1848" spans="1:3">
      <c r="A1848" s="767" t="s">
        <v>7195</v>
      </c>
      <c r="B1848" s="767" t="s">
        <v>7196</v>
      </c>
      <c r="C1848" s="408"/>
    </row>
    <row r="1849" spans="1:3">
      <c r="A1849" s="767" t="s">
        <v>7197</v>
      </c>
      <c r="B1849" s="767" t="s">
        <v>7198</v>
      </c>
      <c r="C1849" s="408"/>
    </row>
    <row r="1850" spans="1:3">
      <c r="A1850" s="767" t="s">
        <v>7199</v>
      </c>
      <c r="B1850" s="767" t="s">
        <v>7200</v>
      </c>
      <c r="C1850" s="408"/>
    </row>
    <row r="1851" spans="1:3">
      <c r="A1851" s="767" t="s">
        <v>7201</v>
      </c>
      <c r="B1851" s="767" t="s">
        <v>7202</v>
      </c>
      <c r="C1851" s="408"/>
    </row>
    <row r="1852" spans="1:3">
      <c r="A1852" s="767" t="s">
        <v>7203</v>
      </c>
      <c r="B1852" s="767" t="s">
        <v>7204</v>
      </c>
      <c r="C1852" s="408"/>
    </row>
    <row r="1853" spans="1:3">
      <c r="A1853" s="767" t="s">
        <v>7205</v>
      </c>
      <c r="B1853" s="767" t="s">
        <v>7206</v>
      </c>
      <c r="C1853" s="408"/>
    </row>
    <row r="1854" spans="1:3">
      <c r="A1854" s="767" t="s">
        <v>7207</v>
      </c>
      <c r="B1854" s="767" t="s">
        <v>7208</v>
      </c>
      <c r="C1854" s="408"/>
    </row>
    <row r="1855" spans="1:3">
      <c r="A1855" s="767" t="s">
        <v>4355</v>
      </c>
      <c r="B1855" s="767" t="s">
        <v>7209</v>
      </c>
      <c r="C1855" s="408"/>
    </row>
    <row r="1856" spans="1:3">
      <c r="A1856" s="767" t="s">
        <v>7210</v>
      </c>
      <c r="B1856" s="767" t="s">
        <v>7211</v>
      </c>
      <c r="C1856" s="408"/>
    </row>
    <row r="1857" spans="1:3">
      <c r="A1857" s="767" t="s">
        <v>7212</v>
      </c>
      <c r="B1857" s="767" t="s">
        <v>7213</v>
      </c>
      <c r="C1857" s="408"/>
    </row>
    <row r="1858" spans="1:3">
      <c r="A1858" s="767" t="s">
        <v>7214</v>
      </c>
      <c r="B1858" s="767" t="s">
        <v>7215</v>
      </c>
      <c r="C1858" s="408"/>
    </row>
    <row r="1859" spans="1:3">
      <c r="A1859" s="767" t="s">
        <v>7216</v>
      </c>
      <c r="B1859" s="767" t="s">
        <v>7217</v>
      </c>
      <c r="C1859" s="408"/>
    </row>
    <row r="1860" spans="1:3">
      <c r="A1860" s="767" t="s">
        <v>7218</v>
      </c>
      <c r="B1860" s="767" t="s">
        <v>7219</v>
      </c>
      <c r="C1860" s="408"/>
    </row>
    <row r="1861" spans="1:3">
      <c r="A1861" s="767" t="s">
        <v>7220</v>
      </c>
      <c r="B1861" s="767" t="s">
        <v>7221</v>
      </c>
      <c r="C1861" s="408"/>
    </row>
    <row r="1862" spans="1:3">
      <c r="A1862" s="767" t="s">
        <v>7222</v>
      </c>
      <c r="B1862" s="767" t="s">
        <v>7223</v>
      </c>
      <c r="C1862" s="408"/>
    </row>
    <row r="1863" spans="1:3">
      <c r="A1863" s="767" t="s">
        <v>7224</v>
      </c>
      <c r="B1863" s="767" t="s">
        <v>7225</v>
      </c>
      <c r="C1863" s="408"/>
    </row>
    <row r="1864" spans="1:3">
      <c r="A1864" s="767" t="s">
        <v>7226</v>
      </c>
      <c r="B1864" s="767" t="s">
        <v>7227</v>
      </c>
      <c r="C1864" s="408"/>
    </row>
    <row r="1865" spans="1:3">
      <c r="A1865" s="767" t="s">
        <v>7228</v>
      </c>
      <c r="B1865" s="767" t="s">
        <v>7229</v>
      </c>
      <c r="C1865" s="408"/>
    </row>
    <row r="1866" spans="1:3">
      <c r="A1866" s="767" t="s">
        <v>7230</v>
      </c>
      <c r="B1866" s="767" t="s">
        <v>7231</v>
      </c>
      <c r="C1866" s="408"/>
    </row>
    <row r="1867" spans="1:3">
      <c r="A1867" s="767" t="s">
        <v>7232</v>
      </c>
      <c r="B1867" s="767" t="s">
        <v>7233</v>
      </c>
      <c r="C1867" s="408"/>
    </row>
    <row r="1868" spans="1:3">
      <c r="A1868" s="767" t="s">
        <v>7234</v>
      </c>
      <c r="B1868" s="767" t="s">
        <v>7235</v>
      </c>
      <c r="C1868" s="408"/>
    </row>
    <row r="1869" spans="1:3">
      <c r="A1869" s="767" t="s">
        <v>7236</v>
      </c>
      <c r="B1869" s="767" t="s">
        <v>7237</v>
      </c>
      <c r="C1869" s="408"/>
    </row>
    <row r="1870" spans="1:3">
      <c r="A1870" s="767" t="s">
        <v>7238</v>
      </c>
      <c r="B1870" s="767" t="s">
        <v>7239</v>
      </c>
      <c r="C1870" s="408"/>
    </row>
    <row r="1871" spans="1:3">
      <c r="A1871" s="767" t="s">
        <v>7240</v>
      </c>
      <c r="B1871" s="767" t="s">
        <v>7241</v>
      </c>
      <c r="C1871" s="408"/>
    </row>
    <row r="1872" spans="1:3">
      <c r="A1872" s="767" t="s">
        <v>7242</v>
      </c>
      <c r="B1872" s="767" t="s">
        <v>7243</v>
      </c>
      <c r="C1872" s="408"/>
    </row>
    <row r="1873" spans="1:3">
      <c r="A1873" s="767" t="s">
        <v>7244</v>
      </c>
      <c r="B1873" s="767" t="s">
        <v>7245</v>
      </c>
      <c r="C1873" s="408"/>
    </row>
    <row r="1874" spans="1:3">
      <c r="A1874" s="767" t="s">
        <v>7246</v>
      </c>
      <c r="B1874" s="767" t="s">
        <v>7247</v>
      </c>
      <c r="C1874" s="408"/>
    </row>
    <row r="1875" spans="1:3">
      <c r="A1875" s="767" t="s">
        <v>7248</v>
      </c>
      <c r="B1875" s="767" t="s">
        <v>7249</v>
      </c>
      <c r="C1875" s="408"/>
    </row>
    <row r="1876" spans="1:3">
      <c r="A1876" s="767" t="s">
        <v>7250</v>
      </c>
      <c r="B1876" s="767" t="s">
        <v>7251</v>
      </c>
      <c r="C1876" s="408"/>
    </row>
    <row r="1877" spans="1:3">
      <c r="A1877" s="767" t="s">
        <v>7252</v>
      </c>
      <c r="B1877" s="767" t="s">
        <v>7253</v>
      </c>
      <c r="C1877" s="408"/>
    </row>
    <row r="1878" spans="1:3">
      <c r="A1878" s="767" t="s">
        <v>7254</v>
      </c>
      <c r="B1878" s="767" t="s">
        <v>7255</v>
      </c>
      <c r="C1878" s="408"/>
    </row>
    <row r="1879" spans="1:3">
      <c r="A1879" s="767" t="s">
        <v>7256</v>
      </c>
      <c r="B1879" s="767" t="s">
        <v>7257</v>
      </c>
      <c r="C1879" s="408"/>
    </row>
    <row r="1880" spans="1:3">
      <c r="A1880" s="767" t="s">
        <v>7258</v>
      </c>
      <c r="B1880" s="767" t="s">
        <v>7259</v>
      </c>
      <c r="C1880" s="408"/>
    </row>
    <row r="1881" spans="1:3">
      <c r="A1881" s="767" t="s">
        <v>7260</v>
      </c>
      <c r="B1881" s="767" t="s">
        <v>4456</v>
      </c>
      <c r="C1881" s="408"/>
    </row>
    <row r="1882" spans="1:3">
      <c r="A1882" s="767" t="s">
        <v>7261</v>
      </c>
      <c r="B1882" s="767" t="s">
        <v>7262</v>
      </c>
      <c r="C1882" s="408"/>
    </row>
    <row r="1883" spans="1:3">
      <c r="A1883" s="767" t="s">
        <v>7263</v>
      </c>
      <c r="B1883" s="767" t="s">
        <v>7264</v>
      </c>
      <c r="C1883" s="408"/>
    </row>
    <row r="1884" spans="1:3">
      <c r="A1884" s="767" t="s">
        <v>7265</v>
      </c>
      <c r="B1884" s="767" t="s">
        <v>7266</v>
      </c>
      <c r="C1884" s="408"/>
    </row>
    <row r="1885" spans="1:3">
      <c r="A1885" s="767" t="s">
        <v>7267</v>
      </c>
      <c r="B1885" s="767" t="s">
        <v>7268</v>
      </c>
      <c r="C1885" s="408"/>
    </row>
    <row r="1886" spans="1:3">
      <c r="A1886" s="767" t="s">
        <v>7269</v>
      </c>
      <c r="B1886" s="767" t="s">
        <v>7270</v>
      </c>
      <c r="C1886" s="408"/>
    </row>
    <row r="1887" spans="1:3">
      <c r="A1887" s="767" t="s">
        <v>7271</v>
      </c>
      <c r="B1887" s="767" t="s">
        <v>7272</v>
      </c>
      <c r="C1887" s="408"/>
    </row>
    <row r="1888" spans="1:3">
      <c r="A1888" s="767" t="s">
        <v>7273</v>
      </c>
      <c r="B1888" s="767" t="s">
        <v>7274</v>
      </c>
      <c r="C1888" s="408"/>
    </row>
    <row r="1889" spans="1:3">
      <c r="A1889" s="767" t="s">
        <v>7275</v>
      </c>
      <c r="B1889" s="767" t="s">
        <v>7276</v>
      </c>
      <c r="C1889" s="408"/>
    </row>
    <row r="1890" spans="1:3">
      <c r="A1890" s="767" t="s">
        <v>7277</v>
      </c>
      <c r="B1890" s="767" t="s">
        <v>7278</v>
      </c>
      <c r="C1890" s="408"/>
    </row>
    <row r="1891" spans="1:3">
      <c r="A1891" s="767" t="s">
        <v>7279</v>
      </c>
      <c r="B1891" s="767" t="s">
        <v>7280</v>
      </c>
      <c r="C1891" s="408"/>
    </row>
    <row r="1892" spans="1:3">
      <c r="A1892" s="767" t="s">
        <v>7281</v>
      </c>
      <c r="B1892" s="767" t="s">
        <v>7282</v>
      </c>
      <c r="C1892" s="408"/>
    </row>
    <row r="1893" spans="1:3">
      <c r="A1893" s="767" t="s">
        <v>7283</v>
      </c>
      <c r="B1893" s="767" t="s">
        <v>7284</v>
      </c>
      <c r="C1893" s="408"/>
    </row>
    <row r="1894" spans="1:3">
      <c r="A1894" s="767" t="s">
        <v>7285</v>
      </c>
      <c r="B1894" s="767" t="s">
        <v>7286</v>
      </c>
      <c r="C1894" s="408"/>
    </row>
    <row r="1895" spans="1:3">
      <c r="A1895" s="767" t="s">
        <v>7287</v>
      </c>
      <c r="B1895" s="767" t="s">
        <v>7288</v>
      </c>
      <c r="C1895" s="408"/>
    </row>
    <row r="1896" spans="1:3">
      <c r="A1896" s="767" t="s">
        <v>7289</v>
      </c>
      <c r="B1896" s="767" t="s">
        <v>7290</v>
      </c>
      <c r="C1896" s="408"/>
    </row>
    <row r="1897" spans="1:3">
      <c r="A1897" s="767" t="s">
        <v>7291</v>
      </c>
      <c r="B1897" s="767" t="s">
        <v>7292</v>
      </c>
      <c r="C1897" s="408"/>
    </row>
    <row r="1898" spans="1:3">
      <c r="A1898" s="767" t="s">
        <v>7293</v>
      </c>
      <c r="B1898" s="767" t="s">
        <v>7294</v>
      </c>
      <c r="C1898" s="408"/>
    </row>
    <row r="1899" spans="1:3">
      <c r="A1899" s="767" t="s">
        <v>7295</v>
      </c>
      <c r="B1899" s="767" t="s">
        <v>7296</v>
      </c>
      <c r="C1899" s="408"/>
    </row>
    <row r="1900" spans="1:3">
      <c r="A1900" s="767" t="s">
        <v>7297</v>
      </c>
      <c r="B1900" s="767" t="s">
        <v>7298</v>
      </c>
      <c r="C1900" s="408"/>
    </row>
    <row r="1901" spans="1:3">
      <c r="A1901" s="767" t="s">
        <v>7299</v>
      </c>
      <c r="B1901" s="767" t="s">
        <v>7300</v>
      </c>
      <c r="C1901" s="408"/>
    </row>
    <row r="1902" spans="1:3">
      <c r="A1902" s="767" t="s">
        <v>7301</v>
      </c>
      <c r="B1902" s="767" t="s">
        <v>7302</v>
      </c>
      <c r="C1902" s="408"/>
    </row>
    <row r="1903" spans="1:3">
      <c r="A1903" s="767" t="s">
        <v>7303</v>
      </c>
      <c r="B1903" s="767" t="s">
        <v>7304</v>
      </c>
      <c r="C1903" s="408"/>
    </row>
    <row r="1904" spans="1:3">
      <c r="A1904" s="767" t="s">
        <v>7305</v>
      </c>
      <c r="B1904" s="767" t="s">
        <v>7306</v>
      </c>
      <c r="C1904" s="408"/>
    </row>
    <row r="1905" spans="1:3">
      <c r="A1905" s="767" t="s">
        <v>7307</v>
      </c>
      <c r="B1905" s="767" t="s">
        <v>7308</v>
      </c>
      <c r="C1905" s="408"/>
    </row>
    <row r="1906" spans="1:3">
      <c r="A1906" s="767" t="s">
        <v>7309</v>
      </c>
      <c r="B1906" s="767" t="s">
        <v>7310</v>
      </c>
      <c r="C1906" s="408"/>
    </row>
    <row r="1907" spans="1:3">
      <c r="A1907" s="767" t="s">
        <v>7311</v>
      </c>
      <c r="B1907" s="767" t="s">
        <v>7312</v>
      </c>
      <c r="C1907" s="408"/>
    </row>
    <row r="1908" spans="1:3">
      <c r="A1908" s="767" t="s">
        <v>7313</v>
      </c>
      <c r="B1908" s="767" t="s">
        <v>7314</v>
      </c>
      <c r="C1908" s="408"/>
    </row>
    <row r="1909" spans="1:3">
      <c r="A1909" s="767" t="s">
        <v>7315</v>
      </c>
      <c r="B1909" s="767" t="s">
        <v>5164</v>
      </c>
      <c r="C1909" s="408"/>
    </row>
    <row r="1910" spans="1:3">
      <c r="A1910" s="767" t="s">
        <v>7316</v>
      </c>
      <c r="B1910" s="767" t="s">
        <v>7317</v>
      </c>
      <c r="C1910" s="408"/>
    </row>
    <row r="1911" spans="1:3">
      <c r="A1911" s="767" t="s">
        <v>7318</v>
      </c>
      <c r="B1911" s="767" t="s">
        <v>7319</v>
      </c>
      <c r="C1911" s="408"/>
    </row>
    <row r="1912" spans="1:3">
      <c r="A1912" s="767" t="s">
        <v>7320</v>
      </c>
      <c r="B1912" s="767" t="s">
        <v>7321</v>
      </c>
      <c r="C1912" s="408"/>
    </row>
    <row r="1913" spans="1:3">
      <c r="A1913" s="767" t="s">
        <v>7322</v>
      </c>
      <c r="B1913" s="767" t="s">
        <v>7323</v>
      </c>
      <c r="C1913" s="408"/>
    </row>
    <row r="1914" spans="1:3">
      <c r="A1914" s="767" t="s">
        <v>7324</v>
      </c>
      <c r="B1914" s="767" t="s">
        <v>7325</v>
      </c>
      <c r="C1914" s="408"/>
    </row>
    <row r="1915" spans="1:3">
      <c r="A1915" s="767" t="s">
        <v>7326</v>
      </c>
      <c r="B1915" s="767" t="s">
        <v>7327</v>
      </c>
      <c r="C1915" s="408"/>
    </row>
    <row r="1916" spans="1:3">
      <c r="A1916" s="767" t="s">
        <v>7328</v>
      </c>
      <c r="B1916" s="767" t="s">
        <v>7329</v>
      </c>
      <c r="C1916" s="408"/>
    </row>
    <row r="1917" spans="1:3">
      <c r="A1917" s="767" t="s">
        <v>7330</v>
      </c>
      <c r="B1917" s="767" t="s">
        <v>7331</v>
      </c>
      <c r="C1917" s="408"/>
    </row>
    <row r="1918" spans="1:3">
      <c r="A1918" s="767" t="s">
        <v>7332</v>
      </c>
      <c r="B1918" s="767" t="s">
        <v>7333</v>
      </c>
      <c r="C1918" s="408"/>
    </row>
    <row r="1919" spans="1:3">
      <c r="A1919" s="767" t="s">
        <v>7334</v>
      </c>
      <c r="B1919" s="767" t="s">
        <v>7335</v>
      </c>
      <c r="C1919" s="408"/>
    </row>
    <row r="1920" spans="1:3">
      <c r="A1920" s="767" t="s">
        <v>7336</v>
      </c>
      <c r="B1920" s="767" t="s">
        <v>7337</v>
      </c>
      <c r="C1920" s="40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6C194-8686-462E-8FE1-C1E059D42AFE}">
  <dimension ref="A1:F55"/>
  <sheetViews>
    <sheetView topLeftCell="A39" workbookViewId="0">
      <selection activeCell="A53" sqref="A53"/>
    </sheetView>
  </sheetViews>
  <sheetFormatPr defaultRowHeight="15"/>
  <cols>
    <col min="1" max="1" width="27.5703125" bestFit="1" customWidth="1"/>
    <col min="2" max="2" width="43.42578125" bestFit="1" customWidth="1"/>
    <col min="3" max="3" width="14" style="658" bestFit="1" customWidth="1"/>
    <col min="5" max="5" width="11.28515625" customWidth="1"/>
    <col min="6" max="6" width="12" customWidth="1"/>
  </cols>
  <sheetData>
    <row r="1" spans="1:6">
      <c r="A1" s="149" t="s">
        <v>7338</v>
      </c>
      <c r="B1" s="149" t="s">
        <v>7339</v>
      </c>
      <c r="C1" s="654" t="s">
        <v>7340</v>
      </c>
      <c r="D1" s="149" t="s">
        <v>7341</v>
      </c>
      <c r="E1" s="149" t="s">
        <v>7342</v>
      </c>
      <c r="F1" s="149" t="s">
        <v>7343</v>
      </c>
    </row>
    <row r="2" spans="1:6">
      <c r="A2" s="192" t="s">
        <v>1828</v>
      </c>
      <c r="B2" s="149" t="s">
        <v>7344</v>
      </c>
      <c r="C2" s="655">
        <v>99.9</v>
      </c>
      <c r="D2" s="512">
        <v>150</v>
      </c>
      <c r="E2" s="150" t="s">
        <v>7345</v>
      </c>
      <c r="F2" s="150" t="s">
        <v>7346</v>
      </c>
    </row>
    <row r="3" spans="1:6">
      <c r="A3" s="192" t="s">
        <v>3636</v>
      </c>
      <c r="B3" s="149" t="s">
        <v>7347</v>
      </c>
      <c r="C3" s="656">
        <v>99.9</v>
      </c>
      <c r="D3" s="512">
        <v>150</v>
      </c>
      <c r="E3" s="150">
        <v>45150</v>
      </c>
      <c r="F3" s="150">
        <v>45635</v>
      </c>
    </row>
    <row r="4" spans="1:6">
      <c r="A4" s="192" t="s">
        <v>6308</v>
      </c>
      <c r="B4" s="295" t="s">
        <v>7348</v>
      </c>
      <c r="C4" s="657">
        <v>99.9</v>
      </c>
      <c r="D4" s="185">
        <v>150</v>
      </c>
      <c r="E4" s="150">
        <v>45179</v>
      </c>
      <c r="F4" s="150">
        <v>45545</v>
      </c>
    </row>
    <row r="5" spans="1:6">
      <c r="A5" s="192" t="s">
        <v>6374</v>
      </c>
      <c r="B5" s="149" t="s">
        <v>7349</v>
      </c>
      <c r="C5" s="654">
        <v>70</v>
      </c>
      <c r="D5" s="149">
        <v>150</v>
      </c>
      <c r="E5" s="150">
        <v>45188</v>
      </c>
      <c r="F5" s="150">
        <v>45554</v>
      </c>
    </row>
    <row r="6" spans="1:6">
      <c r="A6" s="192" t="s">
        <v>6408</v>
      </c>
      <c r="B6" s="149" t="s">
        <v>7350</v>
      </c>
      <c r="C6" s="658">
        <v>99.9</v>
      </c>
      <c r="D6" s="149">
        <v>150</v>
      </c>
      <c r="E6" s="150">
        <v>45179</v>
      </c>
      <c r="F6" s="150">
        <v>45545</v>
      </c>
    </row>
    <row r="7" spans="1:6">
      <c r="A7" s="149" t="s">
        <v>7351</v>
      </c>
      <c r="B7" s="149" t="s">
        <v>7352</v>
      </c>
      <c r="C7" s="657">
        <v>99.9</v>
      </c>
      <c r="D7" s="149">
        <v>500</v>
      </c>
      <c r="E7" s="149" t="s">
        <v>7353</v>
      </c>
      <c r="F7" s="149" t="s">
        <v>7354</v>
      </c>
    </row>
    <row r="8" spans="1:6">
      <c r="A8" s="149" t="s">
        <v>6852</v>
      </c>
      <c r="B8" s="149" t="s">
        <v>7355</v>
      </c>
      <c r="C8" s="654">
        <v>89.9</v>
      </c>
      <c r="D8" s="149">
        <v>500</v>
      </c>
      <c r="E8" s="150">
        <v>45343</v>
      </c>
      <c r="F8" s="149" t="s">
        <v>7356</v>
      </c>
    </row>
    <row r="9" spans="1:6">
      <c r="A9" s="149" t="s">
        <v>6846</v>
      </c>
      <c r="B9" s="149" t="s">
        <v>7355</v>
      </c>
      <c r="C9" s="654">
        <v>89.9</v>
      </c>
      <c r="D9" s="149">
        <v>500</v>
      </c>
      <c r="E9" s="150">
        <v>45347</v>
      </c>
      <c r="F9" s="150">
        <v>45713</v>
      </c>
    </row>
    <row r="10" spans="1:6">
      <c r="A10" s="149" t="s">
        <v>6827</v>
      </c>
      <c r="B10" s="149" t="s">
        <v>7357</v>
      </c>
      <c r="C10" s="654">
        <v>99.9</v>
      </c>
      <c r="D10" s="149">
        <v>500</v>
      </c>
      <c r="E10" s="150">
        <v>45537</v>
      </c>
      <c r="F10" s="150">
        <v>45902</v>
      </c>
    </row>
    <row r="11" spans="1:6">
      <c r="A11" s="149" t="s">
        <v>7358</v>
      </c>
      <c r="B11" s="149" t="s">
        <v>7359</v>
      </c>
      <c r="C11" s="654">
        <v>150</v>
      </c>
      <c r="D11" s="149">
        <v>500</v>
      </c>
      <c r="E11" s="150">
        <v>45362</v>
      </c>
      <c r="F11" s="150">
        <v>45964</v>
      </c>
    </row>
    <row r="12" spans="1:6">
      <c r="A12" s="186" t="s">
        <v>6932</v>
      </c>
      <c r="B12" s="149" t="s">
        <v>7355</v>
      </c>
      <c r="C12" s="657">
        <v>89.9</v>
      </c>
      <c r="D12" s="186">
        <v>500</v>
      </c>
      <c r="E12" s="431">
        <v>45364</v>
      </c>
      <c r="F12" s="431" t="s">
        <v>7360</v>
      </c>
    </row>
    <row r="13" spans="1:6">
      <c r="A13" s="149" t="s">
        <v>7361</v>
      </c>
      <c r="B13" s="149" t="s">
        <v>7355</v>
      </c>
      <c r="C13" s="657">
        <v>89.9</v>
      </c>
      <c r="D13" s="186">
        <v>500</v>
      </c>
      <c r="E13" s="150">
        <v>45376</v>
      </c>
      <c r="F13" s="149" t="s">
        <v>7362</v>
      </c>
    </row>
    <row r="14" spans="1:6">
      <c r="A14" s="149" t="s">
        <v>6956</v>
      </c>
      <c r="B14" s="186" t="s">
        <v>7355</v>
      </c>
      <c r="C14" s="657">
        <v>89.9</v>
      </c>
      <c r="D14" s="186">
        <v>500</v>
      </c>
      <c r="E14" s="150">
        <v>45392</v>
      </c>
      <c r="F14" s="150">
        <v>45757</v>
      </c>
    </row>
    <row r="15" spans="1:6">
      <c r="A15" s="149" t="s">
        <v>7363</v>
      </c>
      <c r="B15" s="186" t="s">
        <v>7355</v>
      </c>
      <c r="C15" s="657">
        <v>89.9</v>
      </c>
      <c r="D15" s="186">
        <v>500</v>
      </c>
      <c r="E15" s="150">
        <v>45397</v>
      </c>
      <c r="F15" s="150">
        <v>45762</v>
      </c>
    </row>
    <row r="16" spans="1:6">
      <c r="A16" s="149" t="s">
        <v>7012</v>
      </c>
      <c r="B16" s="186" t="s">
        <v>7355</v>
      </c>
      <c r="C16" s="657">
        <v>89.9</v>
      </c>
      <c r="D16" s="149">
        <v>500</v>
      </c>
      <c r="E16" s="149" t="s">
        <v>7364</v>
      </c>
      <c r="F16" s="149" t="s">
        <v>7365</v>
      </c>
    </row>
    <row r="17" spans="1:6">
      <c r="A17" s="149" t="s">
        <v>6122</v>
      </c>
      <c r="B17" s="186" t="s">
        <v>7355</v>
      </c>
      <c r="C17" s="654">
        <v>79.900000000000006</v>
      </c>
      <c r="D17" s="149">
        <v>500</v>
      </c>
      <c r="E17" s="701">
        <v>45394</v>
      </c>
      <c r="F17" s="701">
        <v>45759</v>
      </c>
    </row>
    <row r="18" spans="1:6">
      <c r="A18" t="s">
        <v>7366</v>
      </c>
      <c r="B18" s="186" t="s">
        <v>7355</v>
      </c>
      <c r="C18" s="657">
        <v>89.9</v>
      </c>
      <c r="D18" s="149">
        <v>500</v>
      </c>
      <c r="E18" s="149" t="s">
        <v>7367</v>
      </c>
      <c r="F18" s="149" t="s">
        <v>7368</v>
      </c>
    </row>
    <row r="19" spans="1:6">
      <c r="A19" s="149" t="s">
        <v>3653</v>
      </c>
      <c r="B19" s="186" t="s">
        <v>7355</v>
      </c>
      <c r="C19" s="657">
        <v>89.9</v>
      </c>
      <c r="D19" s="149">
        <v>500</v>
      </c>
      <c r="E19" s="150">
        <v>45377</v>
      </c>
      <c r="F19" s="150">
        <v>45742</v>
      </c>
    </row>
    <row r="20" spans="1:6">
      <c r="A20" s="149" t="s">
        <v>7042</v>
      </c>
      <c r="B20" s="186" t="s">
        <v>7355</v>
      </c>
      <c r="C20" s="657">
        <v>89.9</v>
      </c>
      <c r="D20" s="149">
        <v>500</v>
      </c>
      <c r="E20" s="150">
        <v>45408</v>
      </c>
      <c r="F20" s="150">
        <v>45773</v>
      </c>
    </row>
    <row r="21" spans="1:6">
      <c r="A21" s="149" t="s">
        <v>7049</v>
      </c>
      <c r="B21" s="186" t="s">
        <v>7355</v>
      </c>
      <c r="C21" s="654">
        <v>89.9</v>
      </c>
      <c r="D21" s="149">
        <v>500</v>
      </c>
      <c r="E21" s="150">
        <v>45417</v>
      </c>
      <c r="F21" s="150">
        <v>45782</v>
      </c>
    </row>
    <row r="22" spans="1:6">
      <c r="A22" s="353" t="s">
        <v>7369</v>
      </c>
      <c r="B22" s="186" t="s">
        <v>7355</v>
      </c>
      <c r="C22" s="706">
        <v>89.9</v>
      </c>
      <c r="D22" s="186">
        <v>500</v>
      </c>
      <c r="E22" s="431">
        <v>45411</v>
      </c>
      <c r="F22" s="431">
        <v>45776</v>
      </c>
    </row>
    <row r="23" spans="1:6">
      <c r="A23" s="186" t="s">
        <v>7370</v>
      </c>
      <c r="B23" s="186" t="s">
        <v>7355</v>
      </c>
      <c r="C23" s="657">
        <v>89.9</v>
      </c>
      <c r="D23" s="186">
        <v>500</v>
      </c>
      <c r="E23" s="431">
        <v>45387</v>
      </c>
      <c r="F23" s="186" t="s">
        <v>7371</v>
      </c>
    </row>
    <row r="24" spans="1:6">
      <c r="A24" s="149" t="s">
        <v>6854</v>
      </c>
      <c r="B24" s="186" t="s">
        <v>7355</v>
      </c>
      <c r="C24" s="657">
        <v>89.9</v>
      </c>
      <c r="D24" s="186">
        <v>500</v>
      </c>
      <c r="E24" s="150">
        <v>45419</v>
      </c>
      <c r="F24" s="150">
        <v>45784</v>
      </c>
    </row>
    <row r="25" spans="1:6">
      <c r="A25" s="149" t="s">
        <v>7038</v>
      </c>
      <c r="B25" s="186" t="s">
        <v>7355</v>
      </c>
      <c r="C25" s="657">
        <v>89.9</v>
      </c>
      <c r="D25" s="186">
        <v>500</v>
      </c>
      <c r="E25" s="150">
        <v>45422</v>
      </c>
      <c r="F25" s="150">
        <v>45787</v>
      </c>
    </row>
    <row r="26" spans="1:6">
      <c r="A26" s="149" t="s">
        <v>7096</v>
      </c>
      <c r="B26" s="186" t="s">
        <v>7355</v>
      </c>
      <c r="C26" s="657">
        <v>89.9</v>
      </c>
      <c r="D26" s="186">
        <v>500</v>
      </c>
      <c r="E26" s="150">
        <v>45427</v>
      </c>
      <c r="F26" s="150">
        <v>45792</v>
      </c>
    </row>
    <row r="27" spans="1:6">
      <c r="A27" s="186" t="s">
        <v>7133</v>
      </c>
      <c r="B27" s="186" t="s">
        <v>7355</v>
      </c>
      <c r="C27" s="657">
        <v>89.9</v>
      </c>
      <c r="D27" s="186">
        <v>500</v>
      </c>
      <c r="E27" s="431">
        <v>45571</v>
      </c>
      <c r="F27" s="431">
        <v>45936</v>
      </c>
    </row>
    <row r="28" spans="1:6">
      <c r="A28" s="149" t="s">
        <v>830</v>
      </c>
      <c r="B28" s="149" t="s">
        <v>7372</v>
      </c>
      <c r="C28" s="654">
        <v>79.900000000000006</v>
      </c>
      <c r="D28" s="149">
        <v>500</v>
      </c>
      <c r="E28" s="424">
        <v>45418</v>
      </c>
      <c r="F28" s="150">
        <v>45783</v>
      </c>
    </row>
    <row r="29" spans="1:6">
      <c r="A29" s="149" t="s">
        <v>7373</v>
      </c>
      <c r="B29" s="186" t="s">
        <v>7355</v>
      </c>
      <c r="C29" s="657">
        <v>89.9</v>
      </c>
      <c r="D29" s="186">
        <v>500</v>
      </c>
      <c r="E29" s="424">
        <v>45571</v>
      </c>
      <c r="F29" s="150">
        <v>45936</v>
      </c>
    </row>
    <row r="30" spans="1:6">
      <c r="A30" s="149" t="s">
        <v>7140</v>
      </c>
      <c r="B30" s="186" t="s">
        <v>7355</v>
      </c>
      <c r="C30" s="657">
        <v>89.9</v>
      </c>
      <c r="D30" s="149">
        <v>500</v>
      </c>
      <c r="E30" s="424">
        <v>45453</v>
      </c>
      <c r="F30" s="150">
        <v>45818</v>
      </c>
    </row>
    <row r="31" spans="1:6">
      <c r="A31" s="149" t="s">
        <v>5577</v>
      </c>
      <c r="B31" s="149" t="s">
        <v>7374</v>
      </c>
      <c r="C31" s="654">
        <v>79.900000000000006</v>
      </c>
      <c r="D31" s="149">
        <v>500</v>
      </c>
      <c r="E31" s="424">
        <v>45456</v>
      </c>
      <c r="F31" s="150">
        <v>45821</v>
      </c>
    </row>
    <row r="32" spans="1:6">
      <c r="A32" s="149" t="s">
        <v>7375</v>
      </c>
      <c r="B32" s="186" t="s">
        <v>7355</v>
      </c>
      <c r="C32" s="654">
        <v>89.9</v>
      </c>
      <c r="D32" s="149">
        <v>500</v>
      </c>
      <c r="E32" s="424">
        <v>45461</v>
      </c>
      <c r="F32" s="150">
        <v>45826</v>
      </c>
    </row>
    <row r="33" spans="1:6">
      <c r="A33" s="149" t="s">
        <v>3685</v>
      </c>
      <c r="B33" s="186" t="s">
        <v>7357</v>
      </c>
      <c r="C33" s="654">
        <v>89.9</v>
      </c>
      <c r="D33" s="149">
        <v>500</v>
      </c>
      <c r="E33" s="295" t="s">
        <v>7376</v>
      </c>
      <c r="F33" s="149" t="s">
        <v>7377</v>
      </c>
    </row>
    <row r="34" spans="1:6">
      <c r="A34" s="149" t="s">
        <v>7303</v>
      </c>
      <c r="B34" s="186" t="s">
        <v>7355</v>
      </c>
      <c r="C34" s="654">
        <v>89.9</v>
      </c>
      <c r="D34" s="149">
        <v>500</v>
      </c>
      <c r="E34" s="424">
        <v>45526</v>
      </c>
      <c r="F34" s="150">
        <v>45891</v>
      </c>
    </row>
    <row r="35" spans="1:6">
      <c r="A35" s="149" t="s">
        <v>7169</v>
      </c>
      <c r="B35" s="186" t="s">
        <v>7355</v>
      </c>
      <c r="C35" s="654">
        <v>89.9</v>
      </c>
      <c r="D35" s="149">
        <v>500</v>
      </c>
      <c r="E35" s="424">
        <v>45463</v>
      </c>
      <c r="F35" s="150">
        <v>45828</v>
      </c>
    </row>
    <row r="36" spans="1:6">
      <c r="A36" s="149" t="s">
        <v>7378</v>
      </c>
      <c r="B36" s="186" t="s">
        <v>7357</v>
      </c>
      <c r="C36" s="655">
        <v>99.9</v>
      </c>
      <c r="D36" s="149">
        <v>500</v>
      </c>
      <c r="E36" s="295" t="s">
        <v>7379</v>
      </c>
      <c r="F36" s="149" t="s">
        <v>7380</v>
      </c>
    </row>
    <row r="37" spans="1:6">
      <c r="A37" s="149" t="s">
        <v>7381</v>
      </c>
      <c r="B37" s="149" t="s">
        <v>7355</v>
      </c>
      <c r="C37" s="654">
        <v>89.9</v>
      </c>
      <c r="D37" s="149">
        <v>500</v>
      </c>
      <c r="E37" s="295" t="s">
        <v>7379</v>
      </c>
      <c r="F37" s="150">
        <v>45896</v>
      </c>
    </row>
    <row r="38" spans="1:6">
      <c r="A38" s="149" t="s">
        <v>7382</v>
      </c>
      <c r="B38" s="149" t="s">
        <v>7357</v>
      </c>
      <c r="C38" s="654">
        <v>99.9</v>
      </c>
      <c r="D38" s="149">
        <v>500</v>
      </c>
      <c r="E38" s="295" t="s">
        <v>7379</v>
      </c>
      <c r="F38" s="150">
        <v>45896</v>
      </c>
    </row>
    <row r="39" spans="1:6">
      <c r="A39" s="149" t="s">
        <v>7383</v>
      </c>
      <c r="B39" s="149" t="s">
        <v>7355</v>
      </c>
      <c r="C39" s="654">
        <v>89.9</v>
      </c>
      <c r="D39" s="149">
        <v>500</v>
      </c>
      <c r="E39" s="424">
        <v>45468</v>
      </c>
      <c r="F39" s="150">
        <v>45833</v>
      </c>
    </row>
    <row r="40" spans="1:6">
      <c r="A40" s="149" t="s">
        <v>7384</v>
      </c>
      <c r="B40" s="149" t="s">
        <v>7355</v>
      </c>
      <c r="C40" s="654">
        <v>89.9</v>
      </c>
      <c r="D40" s="149">
        <v>500</v>
      </c>
      <c r="E40" s="424">
        <v>45554</v>
      </c>
      <c r="F40" s="150">
        <v>45919</v>
      </c>
    </row>
    <row r="41" spans="1:6">
      <c r="A41" s="149" t="s">
        <v>7385</v>
      </c>
      <c r="B41" s="149" t="s">
        <v>7355</v>
      </c>
      <c r="C41" s="654">
        <v>89.9</v>
      </c>
      <c r="D41" s="149">
        <v>500</v>
      </c>
      <c r="E41" s="424">
        <v>45565</v>
      </c>
      <c r="F41" s="150">
        <v>45930</v>
      </c>
    </row>
    <row r="42" spans="1:6">
      <c r="A42" s="149" t="s">
        <v>7386</v>
      </c>
      <c r="B42" s="149" t="s">
        <v>7355</v>
      </c>
      <c r="C42" s="654">
        <v>89.9</v>
      </c>
      <c r="D42" s="149">
        <v>500</v>
      </c>
      <c r="E42" s="424">
        <v>45567</v>
      </c>
      <c r="F42" s="150">
        <v>45932</v>
      </c>
    </row>
    <row r="43" spans="1:6">
      <c r="A43" s="186" t="s">
        <v>7387</v>
      </c>
      <c r="B43" s="186" t="s">
        <v>7388</v>
      </c>
      <c r="C43" s="657">
        <v>99.9</v>
      </c>
      <c r="D43" s="186">
        <v>500</v>
      </c>
      <c r="E43" s="622">
        <v>45568</v>
      </c>
      <c r="F43" s="431">
        <v>45933</v>
      </c>
    </row>
    <row r="44" spans="1:6">
      <c r="A44" s="149" t="s">
        <v>5408</v>
      </c>
      <c r="B44" s="149" t="s">
        <v>7355</v>
      </c>
      <c r="C44" s="654">
        <v>89.9</v>
      </c>
      <c r="D44" s="149">
        <v>500</v>
      </c>
      <c r="E44" s="150">
        <v>45575</v>
      </c>
      <c r="F44" s="150">
        <v>45940</v>
      </c>
    </row>
    <row r="45" spans="1:6">
      <c r="A45" s="149" t="s">
        <v>7389</v>
      </c>
      <c r="B45" s="149" t="s">
        <v>7357</v>
      </c>
      <c r="C45" s="654">
        <v>99.9</v>
      </c>
      <c r="D45" s="149">
        <v>500</v>
      </c>
      <c r="E45" s="150">
        <v>45575</v>
      </c>
      <c r="F45" s="150">
        <v>45940</v>
      </c>
    </row>
    <row r="46" spans="1:6">
      <c r="A46" s="149" t="s">
        <v>4057</v>
      </c>
      <c r="B46" s="149" t="s">
        <v>7355</v>
      </c>
      <c r="C46" s="654">
        <v>89.9</v>
      </c>
      <c r="D46" s="149">
        <v>500</v>
      </c>
      <c r="E46" s="150" t="s">
        <v>4362</v>
      </c>
      <c r="F46" s="150">
        <v>45940</v>
      </c>
    </row>
    <row r="47" spans="1:6">
      <c r="A47" t="s">
        <v>7390</v>
      </c>
      <c r="B47" s="149" t="s">
        <v>7355</v>
      </c>
      <c r="C47" s="654">
        <v>89.9</v>
      </c>
      <c r="D47" s="149">
        <v>500</v>
      </c>
      <c r="E47" s="149" t="s">
        <v>7391</v>
      </c>
      <c r="F47" s="149" t="s">
        <v>7392</v>
      </c>
    </row>
    <row r="48" spans="1:6">
      <c r="A48" s="149" t="s">
        <v>7393</v>
      </c>
      <c r="B48" s="149" t="s">
        <v>7355</v>
      </c>
      <c r="C48" s="654">
        <v>89.9</v>
      </c>
      <c r="D48" s="149">
        <v>500</v>
      </c>
      <c r="E48" s="149" t="s">
        <v>7394</v>
      </c>
      <c r="F48" s="149" t="s">
        <v>7395</v>
      </c>
    </row>
    <row r="49" spans="1:6">
      <c r="A49" t="s">
        <v>7396</v>
      </c>
      <c r="B49" s="149" t="s">
        <v>7355</v>
      </c>
      <c r="C49" s="654">
        <v>89.9</v>
      </c>
      <c r="D49" s="149">
        <v>500</v>
      </c>
      <c r="E49" s="149" t="s">
        <v>7394</v>
      </c>
      <c r="F49" s="149" t="s">
        <v>7395</v>
      </c>
    </row>
    <row r="50" spans="1:6">
      <c r="A50" s="149" t="s">
        <v>3502</v>
      </c>
      <c r="B50" s="149" t="s">
        <v>7388</v>
      </c>
      <c r="C50" s="654">
        <v>99.9</v>
      </c>
      <c r="D50" s="149">
        <v>500</v>
      </c>
      <c r="E50" s="149" t="s">
        <v>7394</v>
      </c>
      <c r="F50" s="149" t="s">
        <v>7395</v>
      </c>
    </row>
    <row r="51" spans="1:6">
      <c r="A51" s="149" t="s">
        <v>7397</v>
      </c>
      <c r="B51" s="149" t="s">
        <v>7355</v>
      </c>
      <c r="C51" s="654">
        <v>89.9</v>
      </c>
      <c r="D51" s="149">
        <v>500</v>
      </c>
      <c r="E51" s="149" t="s">
        <v>7394</v>
      </c>
      <c r="F51" s="149" t="s">
        <v>7395</v>
      </c>
    </row>
    <row r="52" spans="1:6">
      <c r="A52" s="149" t="s">
        <v>7398</v>
      </c>
      <c r="B52" s="149" t="s">
        <v>7355</v>
      </c>
      <c r="C52" s="654">
        <v>89.9</v>
      </c>
      <c r="D52" s="149">
        <v>500</v>
      </c>
      <c r="E52" s="150">
        <v>45584</v>
      </c>
      <c r="F52" s="150">
        <v>45949</v>
      </c>
    </row>
    <row r="53" spans="1:6">
      <c r="A53" s="149" t="s">
        <v>7399</v>
      </c>
      <c r="B53" s="149" t="s">
        <v>7355</v>
      </c>
      <c r="C53" s="654">
        <v>89.9</v>
      </c>
      <c r="D53" s="149">
        <v>500</v>
      </c>
      <c r="E53" s="150">
        <v>45588</v>
      </c>
      <c r="F53" s="150">
        <v>45953</v>
      </c>
    </row>
    <row r="54" spans="1:6">
      <c r="A54" s="149" t="s">
        <v>7400</v>
      </c>
      <c r="B54" s="149" t="s">
        <v>7355</v>
      </c>
      <c r="C54" s="654">
        <v>89.9</v>
      </c>
      <c r="D54" s="149">
        <v>500</v>
      </c>
      <c r="E54" s="150">
        <v>45580</v>
      </c>
      <c r="F54" s="150">
        <v>45945</v>
      </c>
    </row>
    <row r="55" spans="1:6">
      <c r="A55" s="149"/>
      <c r="B55" s="149"/>
      <c r="C55" s="654"/>
      <c r="D55" s="149"/>
      <c r="E55" s="149"/>
      <c r="F55" s="149"/>
    </row>
  </sheetData>
  <autoFilter ref="A1:A13" xr:uid="{C026C194-8686-462E-8FE1-C1E059D42AF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0E01A-6187-4CD9-A1E3-2F69454AE9CA}">
  <dimension ref="A1:Q246"/>
  <sheetViews>
    <sheetView topLeftCell="A194" workbookViewId="0">
      <selection activeCell="E214" sqref="E214"/>
    </sheetView>
  </sheetViews>
  <sheetFormatPr defaultRowHeight="15"/>
  <cols>
    <col min="1" max="1" width="31" customWidth="1"/>
    <col min="2" max="2" width="23" bestFit="1" customWidth="1"/>
    <col min="3" max="3" width="14" customWidth="1"/>
    <col min="4" max="4" width="15.140625" style="24" bestFit="1" customWidth="1"/>
    <col min="5" max="5" width="12.7109375" customWidth="1"/>
    <col min="6" max="6" width="35.42578125" bestFit="1" customWidth="1"/>
    <col min="7" max="7" width="12" customWidth="1"/>
    <col min="8" max="8" width="11.42578125" bestFit="1" customWidth="1"/>
    <col min="9" max="9" width="19.7109375" customWidth="1"/>
    <col min="10" max="10" width="9.140625" bestFit="1" customWidth="1"/>
    <col min="12" max="12" width="11.42578125" bestFit="1" customWidth="1"/>
    <col min="17" max="17" width="10.140625" customWidth="1"/>
  </cols>
  <sheetData>
    <row r="1" spans="1:13">
      <c r="A1" s="803" t="s">
        <v>7401</v>
      </c>
      <c r="B1" s="803"/>
      <c r="C1" s="803"/>
      <c r="D1" s="803"/>
      <c r="E1" s="803"/>
    </row>
    <row r="2" spans="1:13">
      <c r="A2" s="149" t="s">
        <v>7402</v>
      </c>
      <c r="B2" s="149" t="s">
        <v>7403</v>
      </c>
      <c r="C2" s="149" t="s">
        <v>7404</v>
      </c>
      <c r="D2" s="59" t="s">
        <v>4346</v>
      </c>
      <c r="E2" s="149" t="s">
        <v>7405</v>
      </c>
      <c r="F2" t="s">
        <v>7406</v>
      </c>
      <c r="H2" t="s">
        <v>7407</v>
      </c>
      <c r="I2" t="s">
        <v>7408</v>
      </c>
      <c r="L2" t="s">
        <v>7409</v>
      </c>
      <c r="M2" t="s">
        <v>7408</v>
      </c>
    </row>
    <row r="3" spans="1:13">
      <c r="A3" s="149" t="s">
        <v>7410</v>
      </c>
      <c r="B3" s="149" t="s">
        <v>7411</v>
      </c>
      <c r="C3" s="149" t="s">
        <v>7412</v>
      </c>
      <c r="D3" s="60">
        <v>44993</v>
      </c>
      <c r="E3" s="149" t="s">
        <v>7413</v>
      </c>
    </row>
    <row r="4" spans="1:13">
      <c r="A4" s="108" t="s">
        <v>7414</v>
      </c>
      <c r="B4" s="149" t="s">
        <v>7411</v>
      </c>
      <c r="C4" s="149" t="s">
        <v>7412</v>
      </c>
      <c r="D4" s="60">
        <v>44993</v>
      </c>
      <c r="E4" s="108" t="s">
        <v>7415</v>
      </c>
    </row>
    <row r="5" spans="1:13">
      <c r="A5" s="149" t="s">
        <v>7416</v>
      </c>
      <c r="B5" s="149" t="s">
        <v>7411</v>
      </c>
      <c r="C5" s="149" t="s">
        <v>7412</v>
      </c>
      <c r="D5" s="60">
        <v>44993</v>
      </c>
      <c r="E5" s="149" t="s">
        <v>7413</v>
      </c>
    </row>
    <row r="6" spans="1:13">
      <c r="A6" s="108" t="s">
        <v>7417</v>
      </c>
      <c r="B6" s="108" t="s">
        <v>7411</v>
      </c>
      <c r="C6" s="149" t="s">
        <v>7412</v>
      </c>
      <c r="D6" s="59" t="s">
        <v>7418</v>
      </c>
      <c r="E6" s="108" t="s">
        <v>7415</v>
      </c>
    </row>
    <row r="7" spans="1:13">
      <c r="A7" s="149" t="s">
        <v>7419</v>
      </c>
      <c r="B7" s="149" t="s">
        <v>7420</v>
      </c>
      <c r="C7" s="149" t="s">
        <v>7421</v>
      </c>
      <c r="D7" s="60">
        <v>44965</v>
      </c>
      <c r="E7" s="149" t="s">
        <v>7413</v>
      </c>
      <c r="H7" s="163">
        <v>45170</v>
      </c>
      <c r="I7" t="s">
        <v>7422</v>
      </c>
    </row>
    <row r="8" spans="1:13">
      <c r="A8" s="149" t="s">
        <v>7423</v>
      </c>
      <c r="B8" s="149" t="s">
        <v>7420</v>
      </c>
      <c r="C8" s="149" t="s">
        <v>7421</v>
      </c>
      <c r="D8" s="60">
        <v>44965</v>
      </c>
      <c r="E8" s="149" t="s">
        <v>7413</v>
      </c>
      <c r="H8" s="163">
        <v>45170</v>
      </c>
      <c r="I8" t="s">
        <v>7424</v>
      </c>
      <c r="L8" s="163">
        <v>45180</v>
      </c>
      <c r="M8" t="s">
        <v>7425</v>
      </c>
    </row>
    <row r="9" spans="1:13">
      <c r="A9" s="192" t="s">
        <v>7426</v>
      </c>
      <c r="B9" s="149" t="s">
        <v>7420</v>
      </c>
      <c r="C9" s="149" t="s">
        <v>7412</v>
      </c>
      <c r="D9" s="60">
        <v>44965</v>
      </c>
      <c r="E9" s="192" t="s">
        <v>7413</v>
      </c>
      <c r="H9" s="163">
        <v>45170</v>
      </c>
      <c r="I9" t="s">
        <v>7424</v>
      </c>
      <c r="L9" s="163">
        <v>45180</v>
      </c>
      <c r="M9" t="s">
        <v>7425</v>
      </c>
    </row>
    <row r="10" spans="1:13">
      <c r="A10" s="149" t="s">
        <v>7427</v>
      </c>
      <c r="B10" s="149" t="s">
        <v>7420</v>
      </c>
      <c r="C10" s="149" t="s">
        <v>7421</v>
      </c>
      <c r="D10" s="60">
        <v>44965</v>
      </c>
      <c r="E10" s="149" t="s">
        <v>7413</v>
      </c>
      <c r="H10" s="163">
        <v>45170</v>
      </c>
      <c r="I10" t="s">
        <v>7424</v>
      </c>
      <c r="L10" s="163">
        <v>45180</v>
      </c>
      <c r="M10" t="s">
        <v>7425</v>
      </c>
    </row>
    <row r="11" spans="1:13">
      <c r="A11" s="149" t="s">
        <v>7428</v>
      </c>
      <c r="B11" s="149" t="s">
        <v>7420</v>
      </c>
      <c r="C11" s="149" t="s">
        <v>7421</v>
      </c>
      <c r="D11" s="60">
        <v>45024</v>
      </c>
      <c r="E11" s="149" t="s">
        <v>7413</v>
      </c>
      <c r="H11" s="163">
        <v>45170</v>
      </c>
      <c r="I11" t="s">
        <v>7429</v>
      </c>
    </row>
    <row r="12" spans="1:13">
      <c r="A12" s="149" t="s">
        <v>7430</v>
      </c>
      <c r="B12" s="149" t="s">
        <v>7420</v>
      </c>
      <c r="C12" s="149" t="s">
        <v>7412</v>
      </c>
      <c r="D12" s="60">
        <v>45146</v>
      </c>
      <c r="E12" s="149" t="s">
        <v>7413</v>
      </c>
      <c r="F12" t="s">
        <v>7431</v>
      </c>
      <c r="H12" s="163">
        <v>45170</v>
      </c>
      <c r="I12" t="s">
        <v>7432</v>
      </c>
    </row>
    <row r="13" spans="1:13">
      <c r="A13" s="149" t="s">
        <v>7433</v>
      </c>
      <c r="B13" s="149" t="s">
        <v>7420</v>
      </c>
      <c r="C13" s="149" t="s">
        <v>7412</v>
      </c>
      <c r="D13" s="60">
        <v>45146</v>
      </c>
      <c r="E13" s="149" t="s">
        <v>7413</v>
      </c>
      <c r="H13" s="163">
        <v>45173</v>
      </c>
      <c r="I13" t="s">
        <v>7424</v>
      </c>
      <c r="L13" s="163">
        <v>45180</v>
      </c>
      <c r="M13" t="s">
        <v>7425</v>
      </c>
    </row>
    <row r="14" spans="1:13">
      <c r="A14" s="108" t="s">
        <v>7434</v>
      </c>
      <c r="B14" s="149" t="s">
        <v>7411</v>
      </c>
      <c r="C14" s="149" t="s">
        <v>7412</v>
      </c>
      <c r="D14" s="59" t="s">
        <v>7435</v>
      </c>
      <c r="E14" s="108" t="s">
        <v>7415</v>
      </c>
    </row>
    <row r="15" spans="1:13">
      <c r="A15" s="149" t="s">
        <v>7436</v>
      </c>
      <c r="B15" s="149" t="s">
        <v>7420</v>
      </c>
      <c r="C15" s="149" t="s">
        <v>7412</v>
      </c>
      <c r="D15" s="59" t="s">
        <v>7437</v>
      </c>
      <c r="E15" s="149" t="s">
        <v>7413</v>
      </c>
      <c r="H15" s="163">
        <v>45173</v>
      </c>
      <c r="I15" t="s">
        <v>7424</v>
      </c>
      <c r="L15" s="163">
        <v>45175</v>
      </c>
      <c r="M15" t="s">
        <v>7425</v>
      </c>
    </row>
    <row r="16" spans="1:13">
      <c r="A16" s="149" t="s">
        <v>7438</v>
      </c>
      <c r="B16" s="149" t="s">
        <v>7420</v>
      </c>
      <c r="C16" s="149" t="s">
        <v>7412</v>
      </c>
      <c r="D16" s="59" t="s">
        <v>7437</v>
      </c>
      <c r="E16" s="149" t="s">
        <v>7413</v>
      </c>
      <c r="F16" t="s">
        <v>7431</v>
      </c>
    </row>
    <row r="17" spans="1:13">
      <c r="A17" s="149" t="s">
        <v>7439</v>
      </c>
      <c r="B17" s="149" t="s">
        <v>7420</v>
      </c>
      <c r="C17" s="149" t="s">
        <v>7412</v>
      </c>
      <c r="D17" s="59" t="s">
        <v>7437</v>
      </c>
      <c r="E17" s="149" t="s">
        <v>7413</v>
      </c>
      <c r="H17" s="163">
        <v>45173</v>
      </c>
      <c r="I17" t="s">
        <v>7424</v>
      </c>
      <c r="L17" s="163">
        <v>45180</v>
      </c>
      <c r="M17" t="s">
        <v>7425</v>
      </c>
    </row>
    <row r="18" spans="1:13">
      <c r="A18" s="149" t="s">
        <v>7440</v>
      </c>
      <c r="B18" s="149" t="s">
        <v>7420</v>
      </c>
      <c r="C18" s="149" t="s">
        <v>7412</v>
      </c>
      <c r="D18" s="59" t="s">
        <v>7437</v>
      </c>
      <c r="E18" s="149" t="s">
        <v>7413</v>
      </c>
      <c r="F18" t="s">
        <v>7431</v>
      </c>
    </row>
    <row r="19" spans="1:13">
      <c r="A19" s="149" t="s">
        <v>7441</v>
      </c>
      <c r="B19" s="149" t="s">
        <v>7420</v>
      </c>
      <c r="C19" s="149" t="s">
        <v>7412</v>
      </c>
      <c r="D19" s="59" t="s">
        <v>7418</v>
      </c>
      <c r="E19" s="149" t="s">
        <v>7413</v>
      </c>
      <c r="F19" t="s">
        <v>7431</v>
      </c>
    </row>
    <row r="20" spans="1:13">
      <c r="A20" s="149" t="s">
        <v>7442</v>
      </c>
      <c r="B20" s="149" t="s">
        <v>7420</v>
      </c>
      <c r="C20" s="149" t="s">
        <v>7412</v>
      </c>
      <c r="D20" s="59" t="s">
        <v>7418</v>
      </c>
      <c r="E20" s="149" t="s">
        <v>7413</v>
      </c>
      <c r="F20" t="s">
        <v>7431</v>
      </c>
    </row>
    <row r="21" spans="1:13">
      <c r="A21" s="149" t="s">
        <v>7443</v>
      </c>
      <c r="B21" s="149" t="s">
        <v>7420</v>
      </c>
      <c r="C21" s="149" t="s">
        <v>7412</v>
      </c>
      <c r="D21" s="59" t="s">
        <v>7418</v>
      </c>
      <c r="E21" s="149" t="s">
        <v>7413</v>
      </c>
      <c r="F21" t="s">
        <v>7431</v>
      </c>
    </row>
    <row r="22" spans="1:13">
      <c r="A22" s="149" t="s">
        <v>7444</v>
      </c>
      <c r="B22" s="149" t="s">
        <v>7420</v>
      </c>
      <c r="C22" s="149" t="s">
        <v>7412</v>
      </c>
      <c r="D22" s="59" t="s">
        <v>7418</v>
      </c>
      <c r="E22" s="149" t="s">
        <v>7413</v>
      </c>
      <c r="H22" s="163">
        <v>45173</v>
      </c>
      <c r="I22" t="s">
        <v>7424</v>
      </c>
      <c r="L22" s="163">
        <v>45180</v>
      </c>
      <c r="M22" t="s">
        <v>7425</v>
      </c>
    </row>
    <row r="23" spans="1:13">
      <c r="A23" s="149" t="s">
        <v>7445</v>
      </c>
      <c r="B23" s="149" t="s">
        <v>7420</v>
      </c>
      <c r="C23" s="149" t="s">
        <v>7412</v>
      </c>
      <c r="D23" s="60" t="s">
        <v>7446</v>
      </c>
      <c r="E23" s="149"/>
      <c r="H23" s="163">
        <v>45173</v>
      </c>
      <c r="I23" t="s">
        <v>7424</v>
      </c>
      <c r="L23" s="163">
        <v>45180</v>
      </c>
      <c r="M23" t="s">
        <v>7425</v>
      </c>
    </row>
    <row r="24" spans="1:13">
      <c r="A24" s="598" t="s">
        <v>7447</v>
      </c>
      <c r="B24" s="192" t="s">
        <v>7420</v>
      </c>
      <c r="C24" s="149" t="s">
        <v>7412</v>
      </c>
      <c r="D24" s="60">
        <v>45177</v>
      </c>
      <c r="E24" s="108" t="s">
        <v>7415</v>
      </c>
      <c r="H24" s="163">
        <v>45173</v>
      </c>
      <c r="I24" t="s">
        <v>7448</v>
      </c>
      <c r="L24" s="163">
        <v>45180</v>
      </c>
      <c r="M24" s="1" t="s">
        <v>7449</v>
      </c>
    </row>
    <row r="25" spans="1:13">
      <c r="A25" s="149" t="s">
        <v>7450</v>
      </c>
      <c r="B25" s="149" t="s">
        <v>7451</v>
      </c>
      <c r="C25" s="149" t="s">
        <v>7421</v>
      </c>
      <c r="D25" s="59" t="s">
        <v>7452</v>
      </c>
      <c r="E25" s="149" t="s">
        <v>7413</v>
      </c>
    </row>
    <row r="26" spans="1:13">
      <c r="A26" s="149" t="s">
        <v>7453</v>
      </c>
      <c r="B26" s="149" t="s">
        <v>7454</v>
      </c>
      <c r="C26" s="149" t="s">
        <v>7421</v>
      </c>
      <c r="D26" s="60">
        <v>44965</v>
      </c>
      <c r="E26" s="149" t="s">
        <v>7413</v>
      </c>
      <c r="F26" t="s">
        <v>7455</v>
      </c>
    </row>
    <row r="27" spans="1:13">
      <c r="A27" s="149" t="s">
        <v>7456</v>
      </c>
      <c r="B27" s="149" t="s">
        <v>7457</v>
      </c>
      <c r="C27" s="149" t="s">
        <v>7421</v>
      </c>
      <c r="D27" s="59" t="s">
        <v>7458</v>
      </c>
      <c r="E27" s="149" t="s">
        <v>7413</v>
      </c>
      <c r="F27" t="s">
        <v>7459</v>
      </c>
    </row>
    <row r="28" spans="1:13">
      <c r="A28" s="149" t="s">
        <v>7460</v>
      </c>
      <c r="B28" s="149" t="s">
        <v>7461</v>
      </c>
      <c r="C28" s="149" t="s">
        <v>7421</v>
      </c>
      <c r="D28" s="60">
        <v>44965</v>
      </c>
      <c r="E28" s="149" t="s">
        <v>7413</v>
      </c>
    </row>
    <row r="29" spans="1:13">
      <c r="A29" s="149" t="s">
        <v>7462</v>
      </c>
      <c r="B29" s="149" t="s">
        <v>7463</v>
      </c>
      <c r="C29" t="s">
        <v>7421</v>
      </c>
      <c r="D29" s="60">
        <v>45024</v>
      </c>
      <c r="E29" s="149" t="s">
        <v>7413</v>
      </c>
    </row>
    <row r="30" spans="1:13">
      <c r="A30" s="108" t="s">
        <v>7464</v>
      </c>
      <c r="B30" s="149" t="s">
        <v>7420</v>
      </c>
      <c r="C30" s="149" t="s">
        <v>7412</v>
      </c>
      <c r="D30" s="60">
        <v>45177</v>
      </c>
      <c r="E30" s="108" t="s">
        <v>7415</v>
      </c>
      <c r="F30" t="s">
        <v>7465</v>
      </c>
      <c r="H30" s="163">
        <v>45173</v>
      </c>
      <c r="I30" t="s">
        <v>7466</v>
      </c>
      <c r="L30" t="s">
        <v>7467</v>
      </c>
      <c r="M30" s="1" t="s">
        <v>7449</v>
      </c>
    </row>
    <row r="31" spans="1:13">
      <c r="A31" s="108" t="s">
        <v>7468</v>
      </c>
      <c r="B31" s="149" t="s">
        <v>7411</v>
      </c>
      <c r="C31" s="149" t="s">
        <v>7412</v>
      </c>
      <c r="D31" s="59" t="s">
        <v>7435</v>
      </c>
      <c r="E31" s="108" t="s">
        <v>7415</v>
      </c>
    </row>
    <row r="32" spans="1:13">
      <c r="A32" s="149" t="s">
        <v>7469</v>
      </c>
      <c r="B32" s="149" t="s">
        <v>7470</v>
      </c>
      <c r="C32" s="149" t="s">
        <v>7421</v>
      </c>
      <c r="D32" s="60">
        <v>45207</v>
      </c>
      <c r="E32" s="149" t="s">
        <v>7413</v>
      </c>
      <c r="F32" t="s">
        <v>7431</v>
      </c>
    </row>
    <row r="33" spans="1:13">
      <c r="A33" s="149" t="s">
        <v>7471</v>
      </c>
      <c r="B33" s="149" t="s">
        <v>7411</v>
      </c>
      <c r="C33" s="149" t="s">
        <v>7412</v>
      </c>
      <c r="D33" s="60">
        <v>45207</v>
      </c>
      <c r="E33" s="149" t="s">
        <v>7413</v>
      </c>
    </row>
    <row r="34" spans="1:13">
      <c r="A34" s="108" t="s">
        <v>7472</v>
      </c>
      <c r="B34" s="192" t="s">
        <v>7420</v>
      </c>
      <c r="C34" s="192" t="s">
        <v>7412</v>
      </c>
      <c r="D34" s="572">
        <v>45207</v>
      </c>
      <c r="E34" s="108" t="s">
        <v>7415</v>
      </c>
      <c r="H34" s="235">
        <v>45173</v>
      </c>
      <c r="I34" s="22" t="s">
        <v>7473</v>
      </c>
      <c r="L34" s="574">
        <v>45175</v>
      </c>
      <c r="M34" s="1" t="s">
        <v>7449</v>
      </c>
    </row>
    <row r="35" spans="1:13">
      <c r="A35" s="149" t="s">
        <v>7474</v>
      </c>
      <c r="B35" s="149" t="s">
        <v>7420</v>
      </c>
      <c r="C35" s="149" t="s">
        <v>7412</v>
      </c>
      <c r="D35" s="60">
        <v>45207</v>
      </c>
      <c r="E35" s="149" t="s">
        <v>7413</v>
      </c>
      <c r="H35" s="163">
        <v>45173</v>
      </c>
      <c r="I35" t="s">
        <v>7424</v>
      </c>
      <c r="L35" s="163">
        <v>45180</v>
      </c>
      <c r="M35" t="s">
        <v>7425</v>
      </c>
    </row>
    <row r="36" spans="1:13">
      <c r="A36" s="149" t="s">
        <v>7475</v>
      </c>
      <c r="B36" s="149" t="s">
        <v>7420</v>
      </c>
      <c r="C36" s="149" t="s">
        <v>7412</v>
      </c>
      <c r="D36" s="60">
        <v>45238</v>
      </c>
      <c r="E36" s="149" t="s">
        <v>7413</v>
      </c>
      <c r="H36" s="163">
        <v>45180</v>
      </c>
    </row>
    <row r="37" spans="1:13">
      <c r="A37" s="149" t="s">
        <v>7476</v>
      </c>
      <c r="B37" s="149" t="s">
        <v>7420</v>
      </c>
      <c r="C37" s="149" t="s">
        <v>7412</v>
      </c>
      <c r="D37" s="59" t="s">
        <v>7435</v>
      </c>
      <c r="E37" s="149" t="s">
        <v>7413</v>
      </c>
      <c r="H37" s="163">
        <v>45173</v>
      </c>
      <c r="I37" t="s">
        <v>7425</v>
      </c>
    </row>
    <row r="38" spans="1:13">
      <c r="A38" s="149" t="s">
        <v>7477</v>
      </c>
      <c r="B38" s="149" t="s">
        <v>7420</v>
      </c>
      <c r="C38" s="149" t="s">
        <v>7412</v>
      </c>
      <c r="D38" s="59" t="s">
        <v>7435</v>
      </c>
      <c r="E38" s="149" t="s">
        <v>7413</v>
      </c>
      <c r="F38" t="s">
        <v>7478</v>
      </c>
    </row>
    <row r="39" spans="1:13">
      <c r="A39" s="149" t="s">
        <v>7479</v>
      </c>
      <c r="B39" s="149" t="s">
        <v>7420</v>
      </c>
      <c r="C39" s="149" t="s">
        <v>7421</v>
      </c>
      <c r="D39" s="59" t="s">
        <v>7435</v>
      </c>
      <c r="E39" s="149" t="s">
        <v>7413</v>
      </c>
      <c r="H39" s="163">
        <v>45173</v>
      </c>
      <c r="I39" t="s">
        <v>7480</v>
      </c>
    </row>
    <row r="40" spans="1:13">
      <c r="A40" s="108" t="s">
        <v>7481</v>
      </c>
      <c r="B40" s="149" t="s">
        <v>7411</v>
      </c>
      <c r="C40" s="149" t="s">
        <v>7412</v>
      </c>
      <c r="D40" s="59" t="s">
        <v>7482</v>
      </c>
      <c r="E40" s="108" t="s">
        <v>7415</v>
      </c>
    </row>
    <row r="41" spans="1:13">
      <c r="A41" s="149" t="s">
        <v>7483</v>
      </c>
      <c r="B41" s="149" t="s">
        <v>7484</v>
      </c>
      <c r="C41" s="149" t="s">
        <v>7412</v>
      </c>
      <c r="D41" s="59" t="s">
        <v>7435</v>
      </c>
      <c r="E41" s="149" t="s">
        <v>7413</v>
      </c>
      <c r="F41" t="s">
        <v>7459</v>
      </c>
    </row>
    <row r="42" spans="1:13">
      <c r="A42" s="108" t="s">
        <v>7485</v>
      </c>
      <c r="B42" s="149" t="s">
        <v>7411</v>
      </c>
      <c r="C42" s="149" t="s">
        <v>7412</v>
      </c>
      <c r="D42" s="59" t="s">
        <v>7486</v>
      </c>
      <c r="E42" s="108" t="s">
        <v>7415</v>
      </c>
      <c r="F42" t="s">
        <v>7487</v>
      </c>
    </row>
    <row r="43" spans="1:13">
      <c r="A43" s="149" t="s">
        <v>7488</v>
      </c>
      <c r="B43" s="149" t="s">
        <v>7420</v>
      </c>
      <c r="C43" s="149" t="s">
        <v>7412</v>
      </c>
      <c r="D43" s="59" t="s">
        <v>7489</v>
      </c>
      <c r="E43" s="149" t="s">
        <v>7413</v>
      </c>
      <c r="H43" s="163">
        <v>45173</v>
      </c>
      <c r="I43" t="s">
        <v>7424</v>
      </c>
      <c r="L43" s="163">
        <v>45180</v>
      </c>
      <c r="M43" t="s">
        <v>7425</v>
      </c>
    </row>
    <row r="44" spans="1:13">
      <c r="A44" s="149" t="s">
        <v>7490</v>
      </c>
      <c r="B44" s="149" t="s">
        <v>7420</v>
      </c>
      <c r="C44" s="149" t="s">
        <v>7421</v>
      </c>
      <c r="D44" s="59" t="s">
        <v>7491</v>
      </c>
      <c r="E44" s="149" t="s">
        <v>7413</v>
      </c>
      <c r="H44" s="163">
        <v>45173</v>
      </c>
      <c r="I44" t="s">
        <v>7424</v>
      </c>
      <c r="L44" s="163">
        <v>45180</v>
      </c>
      <c r="M44" t="s">
        <v>7425</v>
      </c>
    </row>
    <row r="45" spans="1:13">
      <c r="A45" s="149" t="s">
        <v>7492</v>
      </c>
      <c r="B45" s="149" t="s">
        <v>7420</v>
      </c>
      <c r="C45" s="149" t="s">
        <v>7421</v>
      </c>
      <c r="D45" s="59" t="s">
        <v>7493</v>
      </c>
      <c r="E45" s="149" t="s">
        <v>7413</v>
      </c>
      <c r="H45" s="163">
        <v>45173</v>
      </c>
      <c r="I45" t="s">
        <v>7424</v>
      </c>
      <c r="L45" s="163">
        <v>45180</v>
      </c>
      <c r="M45" t="s">
        <v>7425</v>
      </c>
    </row>
    <row r="46" spans="1:13">
      <c r="A46" s="108" t="s">
        <v>7494</v>
      </c>
      <c r="B46" s="149" t="s">
        <v>7411</v>
      </c>
      <c r="C46" s="149" t="s">
        <v>7421</v>
      </c>
      <c r="D46" s="60">
        <v>45164</v>
      </c>
      <c r="E46" s="108" t="s">
        <v>7495</v>
      </c>
      <c r="F46" t="s">
        <v>7496</v>
      </c>
    </row>
    <row r="47" spans="1:13">
      <c r="A47" s="149" t="s">
        <v>7497</v>
      </c>
      <c r="B47" s="149" t="s">
        <v>7411</v>
      </c>
      <c r="C47" s="149" t="s">
        <v>7412</v>
      </c>
      <c r="D47" s="59" t="s">
        <v>7482</v>
      </c>
      <c r="E47" s="149" t="s">
        <v>7498</v>
      </c>
    </row>
    <row r="48" spans="1:13">
      <c r="A48" s="149" t="s">
        <v>7499</v>
      </c>
      <c r="B48" s="149" t="s">
        <v>7411</v>
      </c>
      <c r="C48" s="149" t="s">
        <v>7412</v>
      </c>
      <c r="D48" s="59" t="s">
        <v>7482</v>
      </c>
      <c r="E48" s="149" t="s">
        <v>7498</v>
      </c>
    </row>
    <row r="49" spans="1:13">
      <c r="A49" s="108" t="s">
        <v>7500</v>
      </c>
      <c r="B49" s="149" t="s">
        <v>7411</v>
      </c>
      <c r="C49" s="149" t="s">
        <v>7412</v>
      </c>
      <c r="D49" s="60">
        <v>45166</v>
      </c>
      <c r="E49" s="108" t="s">
        <v>7415</v>
      </c>
    </row>
    <row r="50" spans="1:13">
      <c r="A50" s="192" t="s">
        <v>7501</v>
      </c>
      <c r="B50" s="149" t="s">
        <v>7420</v>
      </c>
      <c r="C50" s="149" t="s">
        <v>7412</v>
      </c>
      <c r="D50" s="60">
        <v>45146</v>
      </c>
      <c r="E50" s="192" t="s">
        <v>7413</v>
      </c>
      <c r="F50" s="22"/>
      <c r="H50" s="163">
        <v>45166</v>
      </c>
      <c r="I50" t="s">
        <v>7425</v>
      </c>
      <c r="L50" s="163">
        <v>45173</v>
      </c>
      <c r="M50" t="s">
        <v>7425</v>
      </c>
    </row>
    <row r="51" spans="1:13">
      <c r="A51" s="108" t="s">
        <v>7502</v>
      </c>
      <c r="B51" s="149" t="s">
        <v>7420</v>
      </c>
      <c r="C51" s="149" t="s">
        <v>7503</v>
      </c>
      <c r="D51" s="60">
        <v>45207</v>
      </c>
      <c r="E51" s="108" t="s">
        <v>7495</v>
      </c>
      <c r="L51" s="1" t="s">
        <v>7504</v>
      </c>
      <c r="M51" s="1" t="s">
        <v>7449</v>
      </c>
    </row>
    <row r="52" spans="1:13">
      <c r="A52" s="108" t="s">
        <v>7505</v>
      </c>
      <c r="B52" s="149" t="s">
        <v>7420</v>
      </c>
      <c r="C52" s="149" t="s">
        <v>7412</v>
      </c>
      <c r="D52" s="59" t="s">
        <v>7482</v>
      </c>
      <c r="E52" s="108" t="s">
        <v>7415</v>
      </c>
      <c r="H52" s="163">
        <v>45166</v>
      </c>
      <c r="I52" t="s">
        <v>7424</v>
      </c>
      <c r="L52" s="574">
        <v>45173</v>
      </c>
      <c r="M52" s="1" t="s">
        <v>7449</v>
      </c>
    </row>
    <row r="53" spans="1:13">
      <c r="A53" s="149" t="s">
        <v>7506</v>
      </c>
      <c r="B53" s="149" t="s">
        <v>7411</v>
      </c>
      <c r="C53" s="149" t="s">
        <v>7412</v>
      </c>
      <c r="D53" s="59" t="s">
        <v>7486</v>
      </c>
      <c r="E53" s="149" t="s">
        <v>7413</v>
      </c>
    </row>
    <row r="54" spans="1:13">
      <c r="A54" s="192" t="s">
        <v>7507</v>
      </c>
      <c r="B54" s="149" t="s">
        <v>7420</v>
      </c>
      <c r="C54" s="149" t="s">
        <v>7412</v>
      </c>
      <c r="D54" s="59" t="s">
        <v>7482</v>
      </c>
      <c r="E54" s="192" t="s">
        <v>7413</v>
      </c>
      <c r="H54" s="163">
        <v>45166</v>
      </c>
      <c r="I54" t="s">
        <v>7425</v>
      </c>
      <c r="L54" s="163">
        <v>45173</v>
      </c>
      <c r="M54" t="s">
        <v>7425</v>
      </c>
    </row>
    <row r="55" spans="1:13">
      <c r="A55" s="149" t="s">
        <v>7500</v>
      </c>
      <c r="B55" s="149" t="s">
        <v>7411</v>
      </c>
      <c r="C55" s="149" t="s">
        <v>7412</v>
      </c>
      <c r="D55" s="59" t="s">
        <v>7508</v>
      </c>
      <c r="E55" s="149" t="s">
        <v>7413</v>
      </c>
    </row>
    <row r="56" spans="1:13">
      <c r="A56" s="149" t="s">
        <v>7509</v>
      </c>
      <c r="B56" s="149" t="s">
        <v>7420</v>
      </c>
      <c r="C56" s="149" t="s">
        <v>7412</v>
      </c>
      <c r="D56" s="59" t="s">
        <v>7508</v>
      </c>
      <c r="E56" s="149" t="s">
        <v>7413</v>
      </c>
      <c r="F56" t="s">
        <v>7431</v>
      </c>
    </row>
    <row r="57" spans="1:13">
      <c r="A57" s="149" t="s">
        <v>7510</v>
      </c>
      <c r="B57" s="149" t="s">
        <v>7420</v>
      </c>
      <c r="C57" s="149" t="s">
        <v>7412</v>
      </c>
      <c r="D57" s="59" t="s">
        <v>7508</v>
      </c>
      <c r="E57" s="149" t="s">
        <v>7413</v>
      </c>
      <c r="F57" t="s">
        <v>7431</v>
      </c>
    </row>
    <row r="58" spans="1:13">
      <c r="A58" s="149" t="s">
        <v>7511</v>
      </c>
      <c r="B58" s="149" t="s">
        <v>7420</v>
      </c>
      <c r="C58" s="149" t="s">
        <v>7412</v>
      </c>
      <c r="D58" s="59" t="s">
        <v>7508</v>
      </c>
      <c r="E58" s="149" t="s">
        <v>7413</v>
      </c>
      <c r="H58" s="163">
        <v>45174</v>
      </c>
      <c r="I58" t="s">
        <v>7424</v>
      </c>
      <c r="L58" s="235">
        <v>45181</v>
      </c>
      <c r="M58" t="s">
        <v>7425</v>
      </c>
    </row>
    <row r="59" spans="1:13">
      <c r="A59" s="149" t="s">
        <v>7512</v>
      </c>
      <c r="B59" s="149" t="s">
        <v>7420</v>
      </c>
      <c r="C59" s="149" t="s">
        <v>7412</v>
      </c>
      <c r="D59" s="59" t="s">
        <v>7508</v>
      </c>
      <c r="E59" s="149" t="s">
        <v>7413</v>
      </c>
      <c r="F59" t="s">
        <v>7431</v>
      </c>
    </row>
    <row r="60" spans="1:13">
      <c r="A60" s="149" t="s">
        <v>7513</v>
      </c>
      <c r="B60" s="149" t="s">
        <v>7420</v>
      </c>
      <c r="C60" s="149" t="s">
        <v>7412</v>
      </c>
      <c r="D60" s="59" t="s">
        <v>7508</v>
      </c>
      <c r="E60" s="149"/>
      <c r="H60" s="163">
        <v>45174</v>
      </c>
      <c r="I60" t="s">
        <v>7424</v>
      </c>
      <c r="L60" s="163">
        <v>45181</v>
      </c>
      <c r="M60" t="s">
        <v>7425</v>
      </c>
    </row>
    <row r="61" spans="1:13">
      <c r="A61" s="192" t="s">
        <v>7514</v>
      </c>
      <c r="B61" s="149" t="s">
        <v>7420</v>
      </c>
      <c r="C61" s="149" t="s">
        <v>7412</v>
      </c>
      <c r="D61" s="59" t="s">
        <v>7486</v>
      </c>
      <c r="E61" s="149" t="s">
        <v>7515</v>
      </c>
      <c r="H61" s="163">
        <v>45174</v>
      </c>
      <c r="I61" t="s">
        <v>7424</v>
      </c>
      <c r="L61" s="163">
        <v>45181</v>
      </c>
      <c r="M61" t="s">
        <v>7425</v>
      </c>
    </row>
    <row r="62" spans="1:13">
      <c r="A62" s="149" t="s">
        <v>7516</v>
      </c>
      <c r="B62" s="149" t="s">
        <v>7420</v>
      </c>
      <c r="C62" s="149" t="s">
        <v>7412</v>
      </c>
      <c r="D62" s="59" t="s">
        <v>7517</v>
      </c>
      <c r="E62" s="149" t="s">
        <v>7413</v>
      </c>
      <c r="F62" t="s">
        <v>7478</v>
      </c>
    </row>
    <row r="63" spans="1:13">
      <c r="A63" s="149" t="s">
        <v>7518</v>
      </c>
      <c r="B63" s="186" t="s">
        <v>7420</v>
      </c>
      <c r="C63" s="186" t="s">
        <v>7412</v>
      </c>
      <c r="D63" s="70" t="s">
        <v>7519</v>
      </c>
      <c r="E63" s="186" t="s">
        <v>7413</v>
      </c>
      <c r="H63" s="163">
        <v>45174</v>
      </c>
      <c r="I63" t="s">
        <v>7424</v>
      </c>
      <c r="L63" s="163">
        <v>45181</v>
      </c>
      <c r="M63" t="s">
        <v>7425</v>
      </c>
    </row>
    <row r="64" spans="1:13">
      <c r="A64" s="295" t="s">
        <v>7520</v>
      </c>
      <c r="B64" s="149"/>
      <c r="C64" s="149" t="s">
        <v>7412</v>
      </c>
      <c r="D64" s="59" t="s">
        <v>7519</v>
      </c>
      <c r="E64" s="149" t="s">
        <v>7413</v>
      </c>
      <c r="F64" t="s">
        <v>7521</v>
      </c>
    </row>
    <row r="65" spans="1:13">
      <c r="A65" s="295" t="s">
        <v>7522</v>
      </c>
      <c r="B65" s="149"/>
      <c r="C65" s="149" t="s">
        <v>7412</v>
      </c>
      <c r="D65" s="59" t="s">
        <v>7519</v>
      </c>
      <c r="E65" s="149" t="s">
        <v>7413</v>
      </c>
      <c r="F65" t="s">
        <v>7521</v>
      </c>
    </row>
    <row r="66" spans="1:13">
      <c r="A66" s="295" t="s">
        <v>7523</v>
      </c>
      <c r="B66" s="149" t="s">
        <v>7420</v>
      </c>
      <c r="C66" s="149" t="s">
        <v>7421</v>
      </c>
      <c r="D66" s="59" t="s">
        <v>7519</v>
      </c>
      <c r="E66" s="149" t="s">
        <v>7413</v>
      </c>
      <c r="H66" s="163">
        <v>45174</v>
      </c>
      <c r="I66" t="s">
        <v>7424</v>
      </c>
      <c r="L66" s="163">
        <v>45180</v>
      </c>
      <c r="M66" t="s">
        <v>7425</v>
      </c>
    </row>
    <row r="67" spans="1:13">
      <c r="A67" s="1" t="s">
        <v>7524</v>
      </c>
      <c r="B67" s="149" t="s">
        <v>7420</v>
      </c>
      <c r="C67" s="149" t="s">
        <v>7412</v>
      </c>
      <c r="D67" s="59" t="s">
        <v>7486</v>
      </c>
      <c r="E67" s="108" t="s">
        <v>7495</v>
      </c>
    </row>
    <row r="68" spans="1:13">
      <c r="A68" s="295" t="s">
        <v>7525</v>
      </c>
      <c r="B68" s="149"/>
      <c r="C68" s="149" t="s">
        <v>7412</v>
      </c>
      <c r="D68" s="60">
        <v>45164</v>
      </c>
      <c r="E68" s="149" t="s">
        <v>7413</v>
      </c>
    </row>
    <row r="69" spans="1:13">
      <c r="A69" s="520" t="s">
        <v>7526</v>
      </c>
      <c r="B69" s="149" t="s">
        <v>7420</v>
      </c>
      <c r="C69" s="149" t="s">
        <v>7412</v>
      </c>
      <c r="D69" s="59" t="s">
        <v>7517</v>
      </c>
      <c r="E69" s="108" t="s">
        <v>7495</v>
      </c>
    </row>
    <row r="70" spans="1:13">
      <c r="A70" s="520" t="s">
        <v>7527</v>
      </c>
      <c r="B70" s="149" t="s">
        <v>7420</v>
      </c>
      <c r="C70" s="149" t="s">
        <v>7412</v>
      </c>
      <c r="D70" s="60">
        <v>45164</v>
      </c>
      <c r="E70" s="108" t="s">
        <v>7415</v>
      </c>
    </row>
    <row r="71" spans="1:13">
      <c r="A71" s="295" t="s">
        <v>7528</v>
      </c>
      <c r="B71" s="149"/>
      <c r="C71" s="149" t="s">
        <v>7412</v>
      </c>
      <c r="D71" s="60">
        <v>45164</v>
      </c>
      <c r="E71" s="149" t="s">
        <v>7413</v>
      </c>
    </row>
    <row r="72" spans="1:13">
      <c r="A72" s="295" t="s">
        <v>7529</v>
      </c>
      <c r="B72" s="149" t="s">
        <v>7530</v>
      </c>
      <c r="C72" s="149" t="s">
        <v>7421</v>
      </c>
      <c r="D72" s="60">
        <v>45164</v>
      </c>
      <c r="E72" s="149" t="s">
        <v>7413</v>
      </c>
      <c r="F72" t="s">
        <v>7531</v>
      </c>
    </row>
    <row r="73" spans="1:13">
      <c r="A73" s="353" t="s">
        <v>7532</v>
      </c>
      <c r="B73" s="186"/>
      <c r="C73" s="186" t="s">
        <v>7412</v>
      </c>
      <c r="D73" s="71"/>
      <c r="E73" s="186"/>
    </row>
    <row r="74" spans="1:13">
      <c r="A74" s="353" t="s">
        <v>7533</v>
      </c>
      <c r="B74" s="186"/>
      <c r="C74" s="186" t="s">
        <v>7412</v>
      </c>
      <c r="D74" s="60">
        <v>45164</v>
      </c>
      <c r="E74" s="186"/>
    </row>
    <row r="75" spans="1:13">
      <c r="A75" s="353" t="s">
        <v>7534</v>
      </c>
      <c r="B75" s="186"/>
      <c r="C75" s="186" t="s">
        <v>7421</v>
      </c>
      <c r="D75" s="70"/>
      <c r="E75" s="186"/>
    </row>
    <row r="76" spans="1:13">
      <c r="A76" s="149" t="s">
        <v>7535</v>
      </c>
      <c r="B76" s="149"/>
      <c r="C76" s="149" t="s">
        <v>7421</v>
      </c>
      <c r="D76" s="60">
        <v>45166</v>
      </c>
      <c r="E76" s="149"/>
    </row>
    <row r="77" spans="1:13">
      <c r="A77" s="149" t="s">
        <v>7536</v>
      </c>
      <c r="B77" s="149"/>
      <c r="C77" s="149" t="s">
        <v>7412</v>
      </c>
      <c r="D77" s="60">
        <v>45166</v>
      </c>
      <c r="E77" s="149"/>
    </row>
    <row r="78" spans="1:13">
      <c r="A78" s="149" t="s">
        <v>7537</v>
      </c>
      <c r="B78" s="149" t="s">
        <v>7538</v>
      </c>
      <c r="C78" s="149" t="s">
        <v>7412</v>
      </c>
      <c r="D78" s="60">
        <v>45166</v>
      </c>
      <c r="E78" s="149" t="s">
        <v>7413</v>
      </c>
    </row>
    <row r="79" spans="1:13">
      <c r="A79" s="108" t="s">
        <v>7539</v>
      </c>
      <c r="B79" s="149" t="s">
        <v>7420</v>
      </c>
      <c r="C79" s="149" t="s">
        <v>7421</v>
      </c>
      <c r="D79" s="60">
        <v>45169</v>
      </c>
      <c r="E79" s="108" t="s">
        <v>7495</v>
      </c>
    </row>
    <row r="80" spans="1:13">
      <c r="A80" s="192" t="s">
        <v>7540</v>
      </c>
      <c r="B80" s="149" t="s">
        <v>7541</v>
      </c>
      <c r="C80" s="149" t="s">
        <v>7542</v>
      </c>
      <c r="D80" s="572">
        <v>45169</v>
      </c>
      <c r="E80" s="192" t="s">
        <v>7515</v>
      </c>
    </row>
    <row r="81" spans="1:17">
      <c r="A81" s="804" t="s">
        <v>7543</v>
      </c>
      <c r="B81" s="804"/>
      <c r="C81" s="804"/>
      <c r="D81" s="804"/>
      <c r="E81" s="804"/>
    </row>
    <row r="82" spans="1:17">
      <c r="A82" s="149" t="s">
        <v>7544</v>
      </c>
      <c r="B82" s="149" t="s">
        <v>7411</v>
      </c>
      <c r="C82" s="149" t="s">
        <v>7421</v>
      </c>
      <c r="D82" s="60">
        <v>45174</v>
      </c>
      <c r="E82" s="149"/>
      <c r="F82" t="s">
        <v>7545</v>
      </c>
      <c r="G82" t="s">
        <v>7546</v>
      </c>
    </row>
    <row r="83" spans="1:17">
      <c r="A83" s="149" t="s">
        <v>7547</v>
      </c>
      <c r="B83" s="149"/>
      <c r="C83" s="149" t="s">
        <v>7421</v>
      </c>
      <c r="D83" s="60">
        <v>45174</v>
      </c>
      <c r="E83" s="149"/>
      <c r="F83" t="s">
        <v>7545</v>
      </c>
      <c r="G83" s="129" t="s">
        <v>7548</v>
      </c>
    </row>
    <row r="84" spans="1:17">
      <c r="A84" s="149" t="s">
        <v>7549</v>
      </c>
      <c r="B84" s="149" t="s">
        <v>7420</v>
      </c>
      <c r="C84" s="149" t="s">
        <v>7412</v>
      </c>
      <c r="D84" s="60">
        <v>45177</v>
      </c>
      <c r="E84" s="149" t="s">
        <v>7515</v>
      </c>
      <c r="F84" t="s">
        <v>7550</v>
      </c>
      <c r="H84" s="163">
        <v>45181</v>
      </c>
      <c r="I84" t="s">
        <v>7551</v>
      </c>
    </row>
    <row r="85" spans="1:17">
      <c r="A85" s="149" t="s">
        <v>7552</v>
      </c>
      <c r="B85" s="149"/>
      <c r="C85" s="149" t="s">
        <v>7412</v>
      </c>
      <c r="D85" s="60">
        <v>45178</v>
      </c>
      <c r="E85" s="149"/>
    </row>
    <row r="86" spans="1:17">
      <c r="A86" s="149" t="s">
        <v>7553</v>
      </c>
      <c r="B86" s="149" t="s">
        <v>7420</v>
      </c>
      <c r="C86" s="149" t="s">
        <v>7412</v>
      </c>
      <c r="D86" s="60">
        <v>45180</v>
      </c>
      <c r="E86" s="149" t="s">
        <v>7554</v>
      </c>
      <c r="G86" s="129"/>
      <c r="H86" s="163">
        <v>45183</v>
      </c>
      <c r="I86" t="s">
        <v>7555</v>
      </c>
    </row>
    <row r="87" spans="1:17">
      <c r="A87" s="149" t="s">
        <v>7556</v>
      </c>
      <c r="B87" s="149" t="s">
        <v>7420</v>
      </c>
      <c r="C87" s="149" t="s">
        <v>7412</v>
      </c>
      <c r="D87" s="60">
        <v>45180</v>
      </c>
      <c r="E87" s="149" t="s">
        <v>7554</v>
      </c>
      <c r="F87" t="s">
        <v>7557</v>
      </c>
    </row>
    <row r="88" spans="1:17">
      <c r="A88" s="149" t="s">
        <v>7558</v>
      </c>
      <c r="B88" s="149" t="s">
        <v>7541</v>
      </c>
      <c r="C88" s="149" t="s">
        <v>7412</v>
      </c>
      <c r="D88" s="60">
        <v>45182</v>
      </c>
      <c r="E88" s="149" t="s">
        <v>7559</v>
      </c>
    </row>
    <row r="89" spans="1:17">
      <c r="A89" s="149" t="s">
        <v>7560</v>
      </c>
      <c r="B89" s="149"/>
      <c r="C89" s="149" t="s">
        <v>7412</v>
      </c>
      <c r="D89" s="60">
        <v>45182</v>
      </c>
      <c r="E89" s="149"/>
      <c r="G89" s="129" t="s">
        <v>7561</v>
      </c>
      <c r="I89" s="1" t="s">
        <v>7562</v>
      </c>
      <c r="Q89" s="1" t="s">
        <v>7563</v>
      </c>
    </row>
    <row r="90" spans="1:17">
      <c r="A90" s="149" t="s">
        <v>7564</v>
      </c>
      <c r="B90" s="149" t="s">
        <v>7541</v>
      </c>
      <c r="C90" s="149" t="s">
        <v>7412</v>
      </c>
      <c r="D90" s="60">
        <v>45182</v>
      </c>
      <c r="E90" s="149" t="s">
        <v>7515</v>
      </c>
      <c r="F90" t="s">
        <v>7565</v>
      </c>
      <c r="G90" s="129" t="s">
        <v>7561</v>
      </c>
    </row>
    <row r="91" spans="1:17">
      <c r="A91" s="108" t="s">
        <v>7566</v>
      </c>
      <c r="B91" s="149" t="s">
        <v>7420</v>
      </c>
      <c r="C91" s="149" t="s">
        <v>7412</v>
      </c>
      <c r="D91" s="60">
        <v>45182</v>
      </c>
      <c r="E91" s="108" t="s">
        <v>7495</v>
      </c>
    </row>
    <row r="92" spans="1:17">
      <c r="A92" s="149" t="s">
        <v>7567</v>
      </c>
      <c r="B92" s="149" t="s">
        <v>7568</v>
      </c>
      <c r="C92" s="149" t="s">
        <v>7412</v>
      </c>
      <c r="D92" s="60">
        <v>45182</v>
      </c>
      <c r="E92" s="149" t="s">
        <v>7413</v>
      </c>
      <c r="F92" t="s">
        <v>7568</v>
      </c>
    </row>
    <row r="93" spans="1:17">
      <c r="A93" s="149" t="s">
        <v>7569</v>
      </c>
      <c r="B93" s="149"/>
      <c r="C93" s="149" t="s">
        <v>7412</v>
      </c>
      <c r="D93" s="60">
        <v>45182</v>
      </c>
      <c r="E93" s="149"/>
      <c r="G93" s="129" t="s">
        <v>7561</v>
      </c>
      <c r="I93" s="1" t="s">
        <v>7570</v>
      </c>
    </row>
    <row r="94" spans="1:17">
      <c r="A94" s="149" t="s">
        <v>7571</v>
      </c>
      <c r="B94" s="149"/>
      <c r="C94" s="149" t="s">
        <v>7412</v>
      </c>
      <c r="D94" s="60">
        <v>45182</v>
      </c>
      <c r="E94" s="149"/>
      <c r="G94" s="129" t="s">
        <v>7561</v>
      </c>
      <c r="I94" s="1" t="s">
        <v>7572</v>
      </c>
    </row>
    <row r="95" spans="1:17">
      <c r="A95" s="149" t="s">
        <v>7573</v>
      </c>
      <c r="B95" s="149" t="s">
        <v>7568</v>
      </c>
      <c r="C95" s="149" t="s">
        <v>7412</v>
      </c>
      <c r="D95" s="60">
        <v>45183</v>
      </c>
      <c r="E95" s="149" t="s">
        <v>7554</v>
      </c>
      <c r="F95" t="s">
        <v>7568</v>
      </c>
    </row>
    <row r="96" spans="1:17">
      <c r="A96" s="149" t="s">
        <v>7574</v>
      </c>
      <c r="B96" s="149" t="s">
        <v>7411</v>
      </c>
      <c r="C96" s="149" t="s">
        <v>7412</v>
      </c>
      <c r="D96" s="60">
        <v>45184</v>
      </c>
      <c r="E96" s="149" t="s">
        <v>7554</v>
      </c>
      <c r="F96" t="s">
        <v>7575</v>
      </c>
    </row>
    <row r="97" spans="1:13">
      <c r="A97" s="107" t="s">
        <v>7576</v>
      </c>
      <c r="B97" s="149"/>
      <c r="C97" s="107" t="s">
        <v>7412</v>
      </c>
      <c r="D97" s="60">
        <v>45188</v>
      </c>
      <c r="E97" s="149"/>
      <c r="G97" s="1" t="s">
        <v>7570</v>
      </c>
    </row>
    <row r="98" spans="1:13">
      <c r="A98" s="340" t="s">
        <v>7577</v>
      </c>
      <c r="B98" s="149" t="s">
        <v>7578</v>
      </c>
      <c r="C98" s="149" t="s">
        <v>7412</v>
      </c>
      <c r="D98" s="60">
        <v>45189</v>
      </c>
      <c r="E98" s="149" t="s">
        <v>7413</v>
      </c>
      <c r="F98" t="s">
        <v>7579</v>
      </c>
    </row>
    <row r="99" spans="1:13">
      <c r="A99" s="149" t="s">
        <v>7580</v>
      </c>
      <c r="B99" s="149"/>
      <c r="C99" s="149" t="s">
        <v>7412</v>
      </c>
      <c r="D99" s="60">
        <v>45189</v>
      </c>
      <c r="E99" s="149"/>
    </row>
    <row r="100" spans="1:13">
      <c r="A100" s="149" t="s">
        <v>7581</v>
      </c>
      <c r="B100" s="149"/>
      <c r="C100" s="149" t="s">
        <v>7421</v>
      </c>
      <c r="D100" s="60">
        <v>45190</v>
      </c>
      <c r="E100" s="149"/>
    </row>
    <row r="101" spans="1:13">
      <c r="A101" s="149" t="s">
        <v>7582</v>
      </c>
      <c r="B101" s="149" t="s">
        <v>7541</v>
      </c>
      <c r="C101" s="149" t="s">
        <v>7412</v>
      </c>
      <c r="D101" s="60">
        <v>45190</v>
      </c>
      <c r="E101" s="149"/>
    </row>
    <row r="102" spans="1:13">
      <c r="A102" s="149" t="s">
        <v>7583</v>
      </c>
      <c r="B102" s="149" t="s">
        <v>7411</v>
      </c>
      <c r="C102" s="149" t="s">
        <v>7421</v>
      </c>
      <c r="D102" s="60">
        <v>45190</v>
      </c>
      <c r="E102" s="149"/>
      <c r="F102" t="s">
        <v>7584</v>
      </c>
    </row>
    <row r="103" spans="1:13">
      <c r="A103" s="149" t="s">
        <v>7585</v>
      </c>
      <c r="B103" s="149"/>
      <c r="C103" s="149" t="s">
        <v>7412</v>
      </c>
      <c r="D103" s="60">
        <v>45191</v>
      </c>
      <c r="E103" s="149"/>
    </row>
    <row r="104" spans="1:13">
      <c r="A104" s="149" t="s">
        <v>7586</v>
      </c>
      <c r="B104" s="149"/>
      <c r="C104" s="149" t="s">
        <v>7412</v>
      </c>
      <c r="D104" s="60">
        <v>45194</v>
      </c>
      <c r="E104" s="149"/>
    </row>
    <row r="105" spans="1:13">
      <c r="A105" s="149" t="s">
        <v>7587</v>
      </c>
      <c r="B105" s="149" t="s">
        <v>7420</v>
      </c>
      <c r="C105" s="149" t="s">
        <v>7412</v>
      </c>
      <c r="D105" s="60">
        <v>45195</v>
      </c>
      <c r="E105" s="149"/>
      <c r="H105" s="163">
        <v>45219</v>
      </c>
      <c r="I105" t="s">
        <v>7425</v>
      </c>
      <c r="L105" s="163">
        <v>45219</v>
      </c>
      <c r="M105" t="s">
        <v>7429</v>
      </c>
    </row>
    <row r="106" spans="1:13">
      <c r="A106" s="149" t="s">
        <v>7588</v>
      </c>
      <c r="B106" s="149" t="s">
        <v>7420</v>
      </c>
      <c r="C106" s="149" t="s">
        <v>7412</v>
      </c>
      <c r="D106" s="60">
        <v>45195</v>
      </c>
      <c r="E106" s="149"/>
      <c r="H106" s="163">
        <v>45220</v>
      </c>
      <c r="I106" t="s">
        <v>7425</v>
      </c>
    </row>
    <row r="107" spans="1:13">
      <c r="A107" s="149" t="s">
        <v>7589</v>
      </c>
      <c r="B107" s="149"/>
      <c r="C107" s="149" t="s">
        <v>7412</v>
      </c>
      <c r="D107" s="60">
        <v>45197</v>
      </c>
      <c r="E107" s="149"/>
    </row>
    <row r="108" spans="1:13">
      <c r="A108" s="149" t="s">
        <v>7590</v>
      </c>
      <c r="B108" s="149" t="s">
        <v>7411</v>
      </c>
      <c r="C108" s="149" t="s">
        <v>7412</v>
      </c>
      <c r="D108" s="60">
        <v>45197</v>
      </c>
      <c r="E108" s="149" t="s">
        <v>7515</v>
      </c>
      <c r="F108" t="s">
        <v>7591</v>
      </c>
    </row>
    <row r="109" spans="1:13">
      <c r="A109" s="108" t="s">
        <v>7592</v>
      </c>
      <c r="B109" s="108" t="s">
        <v>7420</v>
      </c>
      <c r="C109" s="108" t="s">
        <v>7412</v>
      </c>
      <c r="D109" s="579">
        <v>45198</v>
      </c>
      <c r="E109" s="108" t="s">
        <v>7495</v>
      </c>
    </row>
    <row r="110" spans="1:13">
      <c r="A110" s="149" t="s">
        <v>7593</v>
      </c>
      <c r="B110" s="149" t="s">
        <v>7420</v>
      </c>
      <c r="C110" s="149" t="s">
        <v>7412</v>
      </c>
      <c r="D110" s="60">
        <v>45198</v>
      </c>
      <c r="E110" s="149"/>
      <c r="H110" s="163">
        <v>45220</v>
      </c>
      <c r="I110" t="s">
        <v>7594</v>
      </c>
    </row>
    <row r="111" spans="1:13">
      <c r="A111" s="804" t="s">
        <v>4357</v>
      </c>
      <c r="B111" s="804"/>
      <c r="C111" s="804"/>
      <c r="D111" s="804"/>
      <c r="E111" s="804"/>
    </row>
    <row r="112" spans="1:13">
      <c r="A112" s="149" t="s">
        <v>7595</v>
      </c>
      <c r="B112" s="149" t="s">
        <v>7596</v>
      </c>
      <c r="C112" s="149" t="s">
        <v>7421</v>
      </c>
      <c r="D112" s="60">
        <v>45205</v>
      </c>
      <c r="E112" s="149" t="s">
        <v>7554</v>
      </c>
    </row>
    <row r="113" spans="1:13">
      <c r="A113" s="149" t="s">
        <v>7597</v>
      </c>
      <c r="B113" s="149" t="s">
        <v>7411</v>
      </c>
      <c r="C113" s="149" t="s">
        <v>7412</v>
      </c>
      <c r="D113" s="60">
        <v>45206</v>
      </c>
      <c r="E113" s="149" t="s">
        <v>7515</v>
      </c>
      <c r="F113" t="s">
        <v>7598</v>
      </c>
    </row>
    <row r="114" spans="1:13">
      <c r="A114" s="149" t="s">
        <v>7599</v>
      </c>
      <c r="B114" s="149"/>
      <c r="C114" s="149" t="s">
        <v>7412</v>
      </c>
      <c r="D114" s="60">
        <v>45206</v>
      </c>
      <c r="E114" s="149"/>
    </row>
    <row r="115" spans="1:13">
      <c r="A115" s="149" t="s">
        <v>7600</v>
      </c>
      <c r="B115" s="149" t="s">
        <v>7541</v>
      </c>
      <c r="C115" s="149" t="s">
        <v>7412</v>
      </c>
      <c r="D115" s="60">
        <v>45206</v>
      </c>
      <c r="E115" s="149"/>
    </row>
    <row r="116" spans="1:13">
      <c r="A116" s="149" t="s">
        <v>7601</v>
      </c>
      <c r="B116" s="149"/>
      <c r="C116" s="149" t="s">
        <v>7421</v>
      </c>
      <c r="D116" s="60">
        <v>45206</v>
      </c>
      <c r="E116" s="149"/>
    </row>
    <row r="117" spans="1:13">
      <c r="A117" s="149" t="s">
        <v>7602</v>
      </c>
      <c r="B117" s="149" t="s">
        <v>7420</v>
      </c>
      <c r="C117" s="149" t="s">
        <v>7412</v>
      </c>
      <c r="D117" s="60">
        <v>45209</v>
      </c>
      <c r="E117" s="149"/>
      <c r="H117" s="163">
        <v>45220</v>
      </c>
      <c r="I117" t="s">
        <v>7425</v>
      </c>
      <c r="L117" s="163">
        <v>45222</v>
      </c>
      <c r="M117" t="s">
        <v>7521</v>
      </c>
    </row>
    <row r="118" spans="1:13" ht="15.75">
      <c r="A118" s="577" t="s">
        <v>7603</v>
      </c>
      <c r="B118" s="149"/>
      <c r="C118" s="149" t="s">
        <v>7412</v>
      </c>
      <c r="D118" s="60">
        <v>45210</v>
      </c>
      <c r="E118" s="149"/>
    </row>
    <row r="119" spans="1:13">
      <c r="A119" s="108" t="s">
        <v>7604</v>
      </c>
      <c r="B119" s="108" t="s">
        <v>7541</v>
      </c>
      <c r="C119" s="108" t="s">
        <v>7412</v>
      </c>
      <c r="D119" s="579">
        <v>45210</v>
      </c>
      <c r="E119" s="108" t="s">
        <v>7495</v>
      </c>
    </row>
    <row r="120" spans="1:13">
      <c r="A120" s="192" t="s">
        <v>7605</v>
      </c>
      <c r="B120" s="192"/>
      <c r="C120" s="192"/>
      <c r="D120" s="572"/>
      <c r="E120" s="192"/>
      <c r="F120" t="s">
        <v>7606</v>
      </c>
      <c r="H120" s="163">
        <v>45220</v>
      </c>
      <c r="I120" t="s">
        <v>7425</v>
      </c>
    </row>
    <row r="121" spans="1:13">
      <c r="A121" s="192" t="s">
        <v>7607</v>
      </c>
      <c r="B121" s="192" t="s">
        <v>7420</v>
      </c>
      <c r="C121" s="192" t="s">
        <v>7412</v>
      </c>
      <c r="D121" s="572">
        <v>45213</v>
      </c>
      <c r="E121" s="192" t="s">
        <v>7515</v>
      </c>
      <c r="F121" t="s">
        <v>7478</v>
      </c>
    </row>
    <row r="122" spans="1:13">
      <c r="A122" s="149" t="s">
        <v>7608</v>
      </c>
      <c r="B122" s="149" t="s">
        <v>7420</v>
      </c>
      <c r="C122" s="149" t="s">
        <v>7412</v>
      </c>
      <c r="D122" s="60">
        <v>45215</v>
      </c>
      <c r="E122" s="149"/>
      <c r="H122" s="163">
        <v>45220</v>
      </c>
      <c r="I122" t="s">
        <v>7425</v>
      </c>
      <c r="L122" s="163">
        <v>45222</v>
      </c>
      <c r="M122" t="s">
        <v>7448</v>
      </c>
    </row>
    <row r="123" spans="1:13">
      <c r="A123" s="149" t="s">
        <v>7609</v>
      </c>
      <c r="B123" s="149"/>
      <c r="C123" s="149" t="s">
        <v>7412</v>
      </c>
      <c r="D123" s="60">
        <v>45215</v>
      </c>
      <c r="E123" s="149"/>
    </row>
    <row r="124" spans="1:13">
      <c r="A124" s="149" t="s">
        <v>7610</v>
      </c>
      <c r="B124" s="149" t="s">
        <v>7541</v>
      </c>
      <c r="C124" s="149" t="s">
        <v>7412</v>
      </c>
      <c r="D124" s="60">
        <v>45216</v>
      </c>
      <c r="E124" s="149"/>
    </row>
    <row r="125" spans="1:13">
      <c r="A125" s="149" t="s">
        <v>7611</v>
      </c>
      <c r="B125" s="149" t="s">
        <v>7612</v>
      </c>
      <c r="C125" s="149" t="s">
        <v>7412</v>
      </c>
      <c r="D125" s="60">
        <v>45216</v>
      </c>
      <c r="E125" s="149" t="s">
        <v>7515</v>
      </c>
    </row>
    <row r="126" spans="1:13">
      <c r="A126" s="149" t="s">
        <v>7613</v>
      </c>
      <c r="B126" s="149" t="s">
        <v>7420</v>
      </c>
      <c r="C126" s="149" t="s">
        <v>7412</v>
      </c>
      <c r="D126" s="60">
        <v>45218</v>
      </c>
      <c r="E126" s="149"/>
      <c r="H126" s="163">
        <v>45220</v>
      </c>
      <c r="I126" t="s">
        <v>7429</v>
      </c>
    </row>
    <row r="127" spans="1:13">
      <c r="A127" s="108" t="s">
        <v>7614</v>
      </c>
      <c r="B127" s="108" t="s">
        <v>7541</v>
      </c>
      <c r="C127" s="108" t="s">
        <v>7412</v>
      </c>
      <c r="D127" s="579">
        <v>45219</v>
      </c>
      <c r="E127" s="108" t="s">
        <v>7415</v>
      </c>
    </row>
    <row r="128" spans="1:13">
      <c r="A128" s="149" t="s">
        <v>7615</v>
      </c>
      <c r="B128" s="149" t="s">
        <v>7454</v>
      </c>
      <c r="C128" s="149" t="s">
        <v>7412</v>
      </c>
      <c r="D128" s="60">
        <v>45220</v>
      </c>
      <c r="E128" s="149" t="s">
        <v>7515</v>
      </c>
    </row>
    <row r="129" spans="1:6">
      <c r="A129" s="149" t="s">
        <v>7616</v>
      </c>
      <c r="B129" s="149" t="s">
        <v>7617</v>
      </c>
      <c r="C129" s="149" t="s">
        <v>7412</v>
      </c>
      <c r="D129" s="60">
        <v>45222</v>
      </c>
      <c r="E129" s="149" t="s">
        <v>7413</v>
      </c>
    </row>
    <row r="130" spans="1:6">
      <c r="A130" s="149" t="s">
        <v>7618</v>
      </c>
      <c r="B130" s="149" t="s">
        <v>7420</v>
      </c>
      <c r="C130" s="149" t="s">
        <v>7412</v>
      </c>
      <c r="D130" s="60">
        <v>45223</v>
      </c>
      <c r="E130" s="149" t="s">
        <v>7413</v>
      </c>
      <c r="F130" t="s">
        <v>7619</v>
      </c>
    </row>
    <row r="131" spans="1:6">
      <c r="A131" s="149" t="s">
        <v>7620</v>
      </c>
      <c r="B131" s="149" t="s">
        <v>7621</v>
      </c>
      <c r="C131" s="149" t="s">
        <v>7412</v>
      </c>
      <c r="D131" s="60">
        <v>45224</v>
      </c>
      <c r="E131" s="149" t="s">
        <v>7413</v>
      </c>
    </row>
    <row r="132" spans="1:6">
      <c r="A132" s="149" t="s">
        <v>7622</v>
      </c>
      <c r="B132" s="149" t="s">
        <v>7541</v>
      </c>
      <c r="C132" s="149" t="s">
        <v>7412</v>
      </c>
      <c r="D132" s="60">
        <v>45228</v>
      </c>
      <c r="E132" s="149"/>
    </row>
    <row r="133" spans="1:6">
      <c r="A133" s="149" t="s">
        <v>7623</v>
      </c>
      <c r="B133" s="149"/>
      <c r="C133" s="149"/>
      <c r="D133" s="60">
        <v>45229</v>
      </c>
      <c r="E133" s="149" t="s">
        <v>7413</v>
      </c>
    </row>
    <row r="134" spans="1:6">
      <c r="A134" s="149" t="s">
        <v>7624</v>
      </c>
      <c r="B134" s="149" t="s">
        <v>7541</v>
      </c>
      <c r="C134" s="149" t="s">
        <v>7412</v>
      </c>
      <c r="D134" s="60">
        <v>45230</v>
      </c>
      <c r="E134" s="149"/>
      <c r="F134" t="s">
        <v>7625</v>
      </c>
    </row>
    <row r="135" spans="1:6">
      <c r="A135" s="149" t="s">
        <v>7626</v>
      </c>
      <c r="B135" s="149"/>
      <c r="C135" s="149"/>
      <c r="D135" s="60">
        <v>45230</v>
      </c>
      <c r="E135" s="149"/>
    </row>
    <row r="136" spans="1:6">
      <c r="A136" s="149" t="s">
        <v>7627</v>
      </c>
      <c r="B136" s="149"/>
      <c r="C136" s="149"/>
      <c r="D136" s="60">
        <v>45232</v>
      </c>
      <c r="E136" s="149"/>
    </row>
    <row r="137" spans="1:6">
      <c r="A137" s="804" t="s">
        <v>7628</v>
      </c>
      <c r="B137" s="804"/>
      <c r="C137" s="804"/>
      <c r="D137" s="804"/>
      <c r="E137" s="804"/>
    </row>
    <row r="138" spans="1:6">
      <c r="A138" s="149" t="s">
        <v>7629</v>
      </c>
      <c r="B138" s="149"/>
      <c r="C138" s="149" t="s">
        <v>7412</v>
      </c>
      <c r="D138" s="60">
        <v>44938</v>
      </c>
      <c r="E138" s="149"/>
    </row>
    <row r="139" spans="1:6">
      <c r="A139" s="149" t="s">
        <v>7630</v>
      </c>
      <c r="B139" s="149" t="s">
        <v>7420</v>
      </c>
      <c r="C139" s="149" t="s">
        <v>7412</v>
      </c>
      <c r="D139" s="60">
        <v>45058</v>
      </c>
      <c r="E139" s="149"/>
    </row>
    <row r="140" spans="1:6">
      <c r="A140" s="149" t="s">
        <v>7631</v>
      </c>
      <c r="B140" s="149" t="s">
        <v>7541</v>
      </c>
      <c r="C140" s="149" t="s">
        <v>7632</v>
      </c>
      <c r="D140" s="59" t="s">
        <v>7633</v>
      </c>
      <c r="E140" s="149" t="s">
        <v>7495</v>
      </c>
    </row>
    <row r="141" spans="1:6">
      <c r="A141" s="805" t="s">
        <v>7634</v>
      </c>
      <c r="B141" s="805"/>
      <c r="C141" s="805"/>
      <c r="D141" s="805"/>
      <c r="E141" s="805"/>
    </row>
    <row r="142" spans="1:6">
      <c r="A142" s="149" t="s">
        <v>7635</v>
      </c>
      <c r="B142" s="149" t="s">
        <v>7636</v>
      </c>
      <c r="C142" s="149" t="s">
        <v>7412</v>
      </c>
      <c r="D142" s="60">
        <v>45295</v>
      </c>
      <c r="E142" s="149" t="s">
        <v>7413</v>
      </c>
    </row>
    <row r="143" spans="1:6">
      <c r="A143" s="149" t="s">
        <v>7637</v>
      </c>
      <c r="B143" s="149" t="s">
        <v>7638</v>
      </c>
      <c r="C143" s="149" t="s">
        <v>7412</v>
      </c>
      <c r="D143" s="60">
        <v>45295</v>
      </c>
      <c r="E143" s="149" t="s">
        <v>7413</v>
      </c>
    </row>
    <row r="144" spans="1:6">
      <c r="A144" s="149" t="s">
        <v>7639</v>
      </c>
      <c r="B144" s="149" t="s">
        <v>7640</v>
      </c>
      <c r="C144" s="149" t="s">
        <v>7412</v>
      </c>
      <c r="D144" s="60">
        <v>45302</v>
      </c>
      <c r="E144" s="149" t="s">
        <v>7413</v>
      </c>
    </row>
    <row r="145" spans="1:5">
      <c r="A145" s="149" t="s">
        <v>7641</v>
      </c>
      <c r="B145" s="149" t="s">
        <v>7642</v>
      </c>
      <c r="C145" s="149" t="s">
        <v>7412</v>
      </c>
      <c r="D145" s="60">
        <v>45306</v>
      </c>
      <c r="E145" s="149" t="s">
        <v>7413</v>
      </c>
    </row>
    <row r="146" spans="1:5">
      <c r="A146" s="149" t="s">
        <v>7643</v>
      </c>
      <c r="B146" s="149" t="s">
        <v>7411</v>
      </c>
      <c r="C146" s="149" t="s">
        <v>7412</v>
      </c>
      <c r="D146" s="60">
        <v>45308</v>
      </c>
      <c r="E146" s="149" t="s">
        <v>7413</v>
      </c>
    </row>
    <row r="147" spans="1:5">
      <c r="A147" s="149" t="s">
        <v>7644</v>
      </c>
      <c r="B147" s="149" t="s">
        <v>7645</v>
      </c>
      <c r="C147" s="149" t="s">
        <v>7412</v>
      </c>
      <c r="D147" s="60">
        <v>45308</v>
      </c>
      <c r="E147" s="149" t="s">
        <v>7413</v>
      </c>
    </row>
    <row r="148" spans="1:5">
      <c r="A148" s="149" t="s">
        <v>7646</v>
      </c>
      <c r="B148" s="149" t="s">
        <v>7647</v>
      </c>
      <c r="C148" s="149" t="s">
        <v>7412</v>
      </c>
      <c r="D148" s="60">
        <v>45313</v>
      </c>
      <c r="E148" s="149" t="s">
        <v>7413</v>
      </c>
    </row>
    <row r="149" spans="1:5">
      <c r="A149" s="149" t="s">
        <v>7648</v>
      </c>
      <c r="B149" s="149" t="s">
        <v>7649</v>
      </c>
      <c r="C149" s="149" t="s">
        <v>7412</v>
      </c>
      <c r="D149" s="60">
        <v>45314</v>
      </c>
      <c r="E149" s="149" t="s">
        <v>7413</v>
      </c>
    </row>
    <row r="150" spans="1:5">
      <c r="A150" s="108" t="s">
        <v>7650</v>
      </c>
      <c r="B150" s="108" t="s">
        <v>7411</v>
      </c>
      <c r="C150" s="108" t="s">
        <v>7412</v>
      </c>
      <c r="D150" s="579">
        <v>45315</v>
      </c>
      <c r="E150" s="108" t="s">
        <v>7495</v>
      </c>
    </row>
    <row r="151" spans="1:5">
      <c r="A151" s="108" t="s">
        <v>7651</v>
      </c>
      <c r="B151" s="108" t="s">
        <v>7420</v>
      </c>
      <c r="C151" s="108" t="s">
        <v>7412</v>
      </c>
      <c r="D151" s="579">
        <v>45315</v>
      </c>
      <c r="E151" s="108" t="s">
        <v>7415</v>
      </c>
    </row>
    <row r="152" spans="1:5">
      <c r="A152" s="149" t="s">
        <v>7652</v>
      </c>
      <c r="B152" s="149" t="s">
        <v>7653</v>
      </c>
      <c r="C152" s="149" t="s">
        <v>7412</v>
      </c>
      <c r="D152" s="60">
        <v>45319</v>
      </c>
      <c r="E152" s="149" t="s">
        <v>7413</v>
      </c>
    </row>
    <row r="153" spans="1:5">
      <c r="A153" s="149" t="s">
        <v>7654</v>
      </c>
      <c r="B153" s="149" t="s">
        <v>7411</v>
      </c>
      <c r="C153" s="149" t="s">
        <v>7412</v>
      </c>
      <c r="D153" s="60">
        <v>45319</v>
      </c>
      <c r="E153" s="149" t="s">
        <v>7498</v>
      </c>
    </row>
    <row r="154" spans="1:5">
      <c r="A154" s="149" t="s">
        <v>7655</v>
      </c>
      <c r="B154" s="149"/>
      <c r="C154" s="149" t="s">
        <v>7412</v>
      </c>
      <c r="D154" s="60">
        <v>45320</v>
      </c>
      <c r="E154" s="149"/>
    </row>
    <row r="155" spans="1:5">
      <c r="A155" s="805" t="s">
        <v>7656</v>
      </c>
      <c r="B155" s="805"/>
      <c r="C155" s="805"/>
      <c r="D155" s="805"/>
      <c r="E155" s="805"/>
    </row>
    <row r="156" spans="1:5">
      <c r="A156" s="149" t="s">
        <v>7657</v>
      </c>
      <c r="B156" s="149" t="s">
        <v>7411</v>
      </c>
      <c r="C156" s="149" t="s">
        <v>7412</v>
      </c>
      <c r="D156" s="60">
        <v>45328</v>
      </c>
      <c r="E156" s="149"/>
    </row>
    <row r="157" spans="1:5">
      <c r="A157" s="149" t="s">
        <v>7658</v>
      </c>
      <c r="B157" s="149"/>
      <c r="C157" s="149" t="s">
        <v>7412</v>
      </c>
      <c r="D157" s="60">
        <v>45330</v>
      </c>
      <c r="E157" s="149"/>
    </row>
    <row r="158" spans="1:5">
      <c r="A158" s="149" t="s">
        <v>7659</v>
      </c>
      <c r="B158" s="149" t="s">
        <v>7411</v>
      </c>
      <c r="C158" s="149" t="s">
        <v>7412</v>
      </c>
      <c r="D158" s="60">
        <v>45332</v>
      </c>
      <c r="E158" s="149" t="s">
        <v>7498</v>
      </c>
    </row>
    <row r="159" spans="1:5">
      <c r="A159" s="149" t="s">
        <v>7660</v>
      </c>
      <c r="B159" s="149"/>
      <c r="C159" s="149" t="s">
        <v>7412</v>
      </c>
      <c r="D159" s="60">
        <v>45333</v>
      </c>
      <c r="E159" s="149"/>
    </row>
    <row r="160" spans="1:5">
      <c r="A160" s="149" t="s">
        <v>7661</v>
      </c>
      <c r="B160" s="149"/>
      <c r="C160" s="149" t="s">
        <v>7412</v>
      </c>
      <c r="D160" s="60">
        <v>45341</v>
      </c>
      <c r="E160" s="149"/>
    </row>
    <row r="161" spans="1:6">
      <c r="A161" s="149" t="s">
        <v>7662</v>
      </c>
      <c r="B161" s="149" t="s">
        <v>7411</v>
      </c>
      <c r="C161" s="149" t="s">
        <v>7412</v>
      </c>
      <c r="D161" s="60">
        <v>45341</v>
      </c>
      <c r="E161" s="149"/>
    </row>
    <row r="162" spans="1:6">
      <c r="A162" s="149" t="s">
        <v>7663</v>
      </c>
      <c r="B162" s="149" t="s">
        <v>7541</v>
      </c>
      <c r="C162" s="149" t="s">
        <v>7632</v>
      </c>
      <c r="D162" s="59" t="s">
        <v>7353</v>
      </c>
      <c r="E162" s="149"/>
    </row>
    <row r="163" spans="1:6">
      <c r="A163" s="149" t="s">
        <v>7664</v>
      </c>
      <c r="B163" s="149" t="s">
        <v>7411</v>
      </c>
      <c r="C163" s="149" t="s">
        <v>7412</v>
      </c>
      <c r="D163" s="60">
        <v>45346</v>
      </c>
      <c r="E163" s="149" t="s">
        <v>7665</v>
      </c>
      <c r="F163" t="s">
        <v>7666</v>
      </c>
    </row>
    <row r="164" spans="1:6">
      <c r="A164" s="149" t="s">
        <v>7667</v>
      </c>
      <c r="B164" s="149"/>
      <c r="C164" s="149" t="s">
        <v>7412</v>
      </c>
      <c r="D164" s="60">
        <v>45348</v>
      </c>
      <c r="E164" s="149"/>
    </row>
    <row r="165" spans="1:6">
      <c r="A165" s="149" t="s">
        <v>7668</v>
      </c>
      <c r="B165" s="149"/>
      <c r="C165" s="149"/>
      <c r="D165" s="60">
        <v>45348</v>
      </c>
      <c r="E165" s="149"/>
    </row>
    <row r="166" spans="1:6">
      <c r="A166" s="149" t="s">
        <v>7669</v>
      </c>
      <c r="B166" s="149" t="s">
        <v>7411</v>
      </c>
      <c r="C166" s="149" t="s">
        <v>7412</v>
      </c>
      <c r="D166" s="60">
        <v>45348</v>
      </c>
      <c r="E166" s="149"/>
    </row>
    <row r="167" spans="1:6">
      <c r="A167" s="149" t="s">
        <v>7670</v>
      </c>
      <c r="B167" s="149" t="s">
        <v>7411</v>
      </c>
      <c r="C167" s="149" t="s">
        <v>7412</v>
      </c>
      <c r="D167" s="60">
        <v>45350</v>
      </c>
      <c r="E167" s="149"/>
    </row>
    <row r="168" spans="1:6">
      <c r="A168" s="149" t="s">
        <v>7671</v>
      </c>
      <c r="B168" s="149" t="s">
        <v>7420</v>
      </c>
      <c r="C168" s="149" t="s">
        <v>7412</v>
      </c>
      <c r="D168" s="60">
        <v>45350</v>
      </c>
      <c r="E168" s="149"/>
    </row>
    <row r="169" spans="1:6">
      <c r="A169" s="805" t="s">
        <v>7672</v>
      </c>
      <c r="B169" s="805"/>
      <c r="C169" s="805"/>
      <c r="D169" s="805"/>
      <c r="E169" s="805"/>
    </row>
    <row r="170" spans="1:6">
      <c r="A170" s="149" t="s">
        <v>7673</v>
      </c>
      <c r="B170" s="149"/>
      <c r="C170" s="149" t="s">
        <v>7421</v>
      </c>
      <c r="D170" s="60">
        <v>45358</v>
      </c>
      <c r="E170" s="149"/>
    </row>
    <row r="171" spans="1:6">
      <c r="A171" s="149" t="s">
        <v>7674</v>
      </c>
      <c r="B171" s="149" t="s">
        <v>7675</v>
      </c>
      <c r="C171" s="149" t="s">
        <v>7412</v>
      </c>
      <c r="D171" s="60">
        <v>45359</v>
      </c>
      <c r="E171" s="149"/>
    </row>
    <row r="172" spans="1:6">
      <c r="A172" s="149" t="s">
        <v>7676</v>
      </c>
      <c r="B172" s="149"/>
      <c r="C172" s="149" t="s">
        <v>7412</v>
      </c>
      <c r="D172" s="60">
        <v>45599</v>
      </c>
      <c r="E172" s="149"/>
    </row>
    <row r="173" spans="1:6">
      <c r="A173" s="149" t="s">
        <v>7677</v>
      </c>
      <c r="B173" s="149" t="s">
        <v>7638</v>
      </c>
      <c r="C173" s="149" t="s">
        <v>7412</v>
      </c>
      <c r="D173" s="60">
        <v>45599</v>
      </c>
      <c r="E173" s="149"/>
    </row>
    <row r="174" spans="1:6">
      <c r="A174" s="149" t="s">
        <v>7678</v>
      </c>
      <c r="B174" s="149" t="s">
        <v>7679</v>
      </c>
      <c r="C174" s="149" t="s">
        <v>7412</v>
      </c>
      <c r="D174" s="60">
        <v>45599</v>
      </c>
      <c r="E174" s="149"/>
    </row>
    <row r="175" spans="1:6">
      <c r="A175" s="149" t="s">
        <v>7680</v>
      </c>
      <c r="B175" s="149" t="s">
        <v>7679</v>
      </c>
      <c r="C175" s="149" t="s">
        <v>7412</v>
      </c>
      <c r="D175" s="60">
        <v>45599</v>
      </c>
      <c r="E175" s="149"/>
    </row>
    <row r="176" spans="1:6">
      <c r="A176" s="149" t="s">
        <v>7681</v>
      </c>
      <c r="B176" s="149"/>
      <c r="C176" s="149" t="s">
        <v>7412</v>
      </c>
      <c r="D176" s="60">
        <v>45368</v>
      </c>
      <c r="E176" s="149"/>
    </row>
    <row r="177" spans="1:5">
      <c r="A177" s="149" t="s">
        <v>7682</v>
      </c>
      <c r="B177" s="149"/>
      <c r="C177" s="149" t="s">
        <v>7412</v>
      </c>
      <c r="D177" s="60">
        <v>45367</v>
      </c>
      <c r="E177" s="149"/>
    </row>
    <row r="178" spans="1:5">
      <c r="A178" s="149" t="s">
        <v>7683</v>
      </c>
      <c r="B178" s="149" t="s">
        <v>7638</v>
      </c>
      <c r="C178" s="149" t="s">
        <v>7412</v>
      </c>
      <c r="D178" s="60">
        <v>45367</v>
      </c>
      <c r="E178" s="149"/>
    </row>
    <row r="179" spans="1:5">
      <c r="A179" s="802" t="s">
        <v>7684</v>
      </c>
      <c r="B179" s="802"/>
      <c r="C179" s="802"/>
      <c r="D179" s="802"/>
      <c r="E179" s="802"/>
    </row>
    <row r="180" spans="1:5">
      <c r="A180" s="149" t="s">
        <v>7685</v>
      </c>
      <c r="B180" s="149" t="s">
        <v>7541</v>
      </c>
      <c r="C180" s="149" t="s">
        <v>7412</v>
      </c>
      <c r="D180" s="60">
        <v>45326</v>
      </c>
      <c r="E180" s="149" t="s">
        <v>7498</v>
      </c>
    </row>
    <row r="181" spans="1:5">
      <c r="A181" s="108" t="s">
        <v>7686</v>
      </c>
      <c r="B181" s="108" t="s">
        <v>7541</v>
      </c>
      <c r="C181" s="108" t="s">
        <v>7412</v>
      </c>
      <c r="D181" s="579">
        <v>45416</v>
      </c>
      <c r="E181" s="108" t="s">
        <v>7495</v>
      </c>
    </row>
    <row r="182" spans="1:5">
      <c r="A182" s="108" t="s">
        <v>7687</v>
      </c>
      <c r="B182" s="108" t="s">
        <v>7679</v>
      </c>
      <c r="C182" s="108" t="s">
        <v>7412</v>
      </c>
      <c r="D182" s="579">
        <v>45508</v>
      </c>
      <c r="E182" s="108" t="s">
        <v>7495</v>
      </c>
    </row>
    <row r="183" spans="1:5">
      <c r="A183" s="149" t="s">
        <v>7688</v>
      </c>
      <c r="B183" s="149" t="s">
        <v>7638</v>
      </c>
      <c r="C183" s="149" t="s">
        <v>7412</v>
      </c>
      <c r="D183" s="60">
        <v>45569</v>
      </c>
      <c r="E183" s="149" t="s">
        <v>7413</v>
      </c>
    </row>
    <row r="184" spans="1:5">
      <c r="A184" s="149" t="s">
        <v>7689</v>
      </c>
      <c r="B184" s="149" t="s">
        <v>7690</v>
      </c>
      <c r="C184" s="149" t="s">
        <v>7691</v>
      </c>
      <c r="D184" s="60">
        <v>45569</v>
      </c>
      <c r="E184" s="149" t="s">
        <v>7515</v>
      </c>
    </row>
    <row r="185" spans="1:5">
      <c r="A185" s="149" t="s">
        <v>7692</v>
      </c>
      <c r="B185" s="149"/>
      <c r="C185" t="s">
        <v>7412</v>
      </c>
      <c r="D185" s="150">
        <v>45630</v>
      </c>
      <c r="E185" s="149" t="s">
        <v>7413</v>
      </c>
    </row>
    <row r="186" spans="1:5">
      <c r="A186" s="149" t="s">
        <v>7693</v>
      </c>
      <c r="B186" s="149" t="s">
        <v>7694</v>
      </c>
      <c r="C186" t="s">
        <v>7412</v>
      </c>
      <c r="D186" s="60">
        <v>45407</v>
      </c>
      <c r="E186" s="149" t="s">
        <v>7515</v>
      </c>
    </row>
    <row r="187" spans="1:5">
      <c r="A187" s="802" t="s">
        <v>2715</v>
      </c>
      <c r="B187" s="802"/>
      <c r="C187" s="802"/>
      <c r="D187" s="802"/>
      <c r="E187" s="802"/>
    </row>
    <row r="188" spans="1:5">
      <c r="A188" s="149" t="s">
        <v>7695</v>
      </c>
      <c r="B188" s="149" t="s">
        <v>7541</v>
      </c>
      <c r="C188" s="149" t="s">
        <v>7412</v>
      </c>
      <c r="D188" s="60">
        <v>45417</v>
      </c>
      <c r="E188" s="149" t="s">
        <v>7498</v>
      </c>
    </row>
    <row r="189" spans="1:5">
      <c r="A189" s="802" t="s">
        <v>2738</v>
      </c>
      <c r="B189" s="802"/>
      <c r="C189" s="802"/>
      <c r="D189" s="802"/>
      <c r="E189" s="802"/>
    </row>
    <row r="190" spans="1:5">
      <c r="A190" s="197" t="s">
        <v>7696</v>
      </c>
      <c r="B190" s="197" t="s">
        <v>7411</v>
      </c>
      <c r="C190" s="197" t="s">
        <v>7412</v>
      </c>
      <c r="D190" s="716">
        <v>45357</v>
      </c>
      <c r="E190" s="197" t="s">
        <v>7495</v>
      </c>
    </row>
    <row r="191" spans="1:5">
      <c r="A191" s="149" t="s">
        <v>7697</v>
      </c>
      <c r="B191" s="149" t="s">
        <v>7411</v>
      </c>
      <c r="C191" s="149" t="s">
        <v>7412</v>
      </c>
      <c r="D191" s="60">
        <v>45449</v>
      </c>
      <c r="E191" s="149" t="s">
        <v>7413</v>
      </c>
    </row>
    <row r="192" spans="1:5">
      <c r="A192" s="802" t="s">
        <v>2755</v>
      </c>
      <c r="B192" s="802"/>
      <c r="C192" s="802"/>
      <c r="D192" s="802"/>
      <c r="E192" s="802"/>
    </row>
    <row r="193" spans="1:6">
      <c r="A193" s="149" t="s">
        <v>7698</v>
      </c>
      <c r="B193" s="149" t="s">
        <v>7699</v>
      </c>
      <c r="C193" s="149" t="s">
        <v>7412</v>
      </c>
      <c r="D193" s="60">
        <v>45329</v>
      </c>
      <c r="E193" s="149" t="s">
        <v>7700</v>
      </c>
    </row>
    <row r="194" spans="1:6">
      <c r="A194" s="108" t="s">
        <v>7701</v>
      </c>
      <c r="B194" s="108" t="s">
        <v>7702</v>
      </c>
      <c r="C194" s="108" t="s">
        <v>7412</v>
      </c>
      <c r="D194" s="579">
        <v>45358</v>
      </c>
      <c r="E194" s="108" t="s">
        <v>7495</v>
      </c>
    </row>
    <row r="195" spans="1:6">
      <c r="A195" s="149" t="s">
        <v>7703</v>
      </c>
      <c r="B195" s="149" t="s">
        <v>7642</v>
      </c>
      <c r="C195" s="149" t="s">
        <v>7412</v>
      </c>
      <c r="D195" s="60">
        <v>45358</v>
      </c>
      <c r="E195" s="149" t="s">
        <v>7413</v>
      </c>
    </row>
    <row r="196" spans="1:6">
      <c r="A196" s="149" t="s">
        <v>7704</v>
      </c>
      <c r="B196" s="149"/>
      <c r="C196" s="149" t="s">
        <v>7412</v>
      </c>
      <c r="D196" s="60">
        <v>45477</v>
      </c>
      <c r="E196" s="149"/>
    </row>
    <row r="197" spans="1:6">
      <c r="A197" s="149" t="s">
        <v>7705</v>
      </c>
      <c r="B197" s="149" t="s">
        <v>7706</v>
      </c>
      <c r="C197" s="149" t="s">
        <v>7412</v>
      </c>
      <c r="D197" s="60">
        <v>45478</v>
      </c>
      <c r="E197" s="149" t="s">
        <v>7413</v>
      </c>
    </row>
    <row r="198" spans="1:6">
      <c r="A198" s="149" t="s">
        <v>7707</v>
      </c>
      <c r="B198" s="149" t="s">
        <v>7708</v>
      </c>
      <c r="C198" s="149" t="s">
        <v>7632</v>
      </c>
      <c r="D198" s="60">
        <v>45479</v>
      </c>
      <c r="E198" s="149" t="s">
        <v>7515</v>
      </c>
    </row>
    <row r="199" spans="1:6">
      <c r="A199" s="149" t="s">
        <v>7709</v>
      </c>
      <c r="B199" s="149" t="s">
        <v>7710</v>
      </c>
      <c r="C199" s="149" t="s">
        <v>7412</v>
      </c>
      <c r="D199" s="59" t="s">
        <v>7711</v>
      </c>
      <c r="E199" s="149" t="s">
        <v>7413</v>
      </c>
    </row>
    <row r="200" spans="1:6">
      <c r="A200" s="186" t="s">
        <v>7712</v>
      </c>
      <c r="B200" s="186" t="s">
        <v>7713</v>
      </c>
      <c r="C200" s="186" t="s">
        <v>7412</v>
      </c>
      <c r="D200" s="70" t="s">
        <v>7714</v>
      </c>
      <c r="E200" s="186" t="s">
        <v>7413</v>
      </c>
    </row>
    <row r="201" spans="1:6">
      <c r="A201" s="149" t="s">
        <v>7715</v>
      </c>
      <c r="B201" s="149" t="s">
        <v>7716</v>
      </c>
      <c r="C201" s="149" t="s">
        <v>7412</v>
      </c>
      <c r="D201" s="59" t="s">
        <v>7717</v>
      </c>
      <c r="E201" s="149"/>
    </row>
    <row r="202" spans="1:6">
      <c r="A202" s="149" t="s">
        <v>7718</v>
      </c>
      <c r="B202" s="149"/>
      <c r="C202" s="149" t="s">
        <v>7412</v>
      </c>
      <c r="D202" s="59" t="s">
        <v>7719</v>
      </c>
      <c r="E202" s="149"/>
      <c r="F202" s="22"/>
    </row>
    <row r="203" spans="1:6">
      <c r="A203" s="802" t="s">
        <v>7720</v>
      </c>
      <c r="B203" s="802"/>
      <c r="C203" s="802"/>
      <c r="D203" s="802"/>
      <c r="E203" s="802"/>
    </row>
    <row r="204" spans="1:6">
      <c r="A204" s="149" t="s">
        <v>7721</v>
      </c>
      <c r="B204" s="149"/>
      <c r="C204" s="149" t="s">
        <v>7412</v>
      </c>
      <c r="D204" s="59" t="s">
        <v>7722</v>
      </c>
      <c r="E204" s="149" t="s">
        <v>7413</v>
      </c>
    </row>
    <row r="205" spans="1:6">
      <c r="A205" s="149" t="s">
        <v>7723</v>
      </c>
      <c r="B205" s="149"/>
      <c r="C205" s="149" t="s">
        <v>7412</v>
      </c>
      <c r="D205" s="59" t="s">
        <v>7724</v>
      </c>
      <c r="E205" s="149" t="s">
        <v>7515</v>
      </c>
    </row>
    <row r="206" spans="1:6">
      <c r="A206" s="149" t="s">
        <v>7725</v>
      </c>
      <c r="B206" s="149"/>
      <c r="C206" s="149" t="s">
        <v>7412</v>
      </c>
      <c r="D206" s="59" t="s">
        <v>7726</v>
      </c>
      <c r="E206" s="149" t="s">
        <v>7413</v>
      </c>
    </row>
    <row r="207" spans="1:6">
      <c r="A207" s="149" t="s">
        <v>7727</v>
      </c>
      <c r="B207" s="149"/>
      <c r="C207" s="149" t="s">
        <v>7412</v>
      </c>
      <c r="D207" s="59" t="s">
        <v>7728</v>
      </c>
      <c r="E207" s="186" t="s">
        <v>7413</v>
      </c>
    </row>
    <row r="208" spans="1:6">
      <c r="A208" s="149" t="s">
        <v>7729</v>
      </c>
      <c r="B208" s="149" t="s">
        <v>7730</v>
      </c>
      <c r="C208" s="149" t="s">
        <v>7412</v>
      </c>
      <c r="D208" s="59" t="s">
        <v>7731</v>
      </c>
      <c r="E208" s="149" t="s">
        <v>7413</v>
      </c>
    </row>
    <row r="209" spans="1:6">
      <c r="A209" s="802" t="s">
        <v>7543</v>
      </c>
      <c r="B209" s="802"/>
      <c r="C209" s="802"/>
      <c r="D209" s="802"/>
      <c r="E209" s="802"/>
    </row>
    <row r="210" spans="1:6">
      <c r="A210" s="186" t="s">
        <v>7732</v>
      </c>
      <c r="B210" s="186" t="s">
        <v>7733</v>
      </c>
      <c r="C210" s="186" t="s">
        <v>7412</v>
      </c>
      <c r="D210" s="71">
        <v>45391</v>
      </c>
      <c r="E210" s="186" t="s">
        <v>7413</v>
      </c>
    </row>
    <row r="211" spans="1:6">
      <c r="A211" s="149" t="s">
        <v>7734</v>
      </c>
      <c r="B211" s="149" t="s">
        <v>7411</v>
      </c>
      <c r="C211" s="149" t="s">
        <v>7412</v>
      </c>
      <c r="D211" s="60">
        <v>45544</v>
      </c>
      <c r="E211" s="149" t="s">
        <v>7413</v>
      </c>
      <c r="F211" t="s">
        <v>7735</v>
      </c>
    </row>
    <row r="212" spans="1:6">
      <c r="A212" s="149" t="s">
        <v>7736</v>
      </c>
      <c r="B212" s="149" t="s">
        <v>7541</v>
      </c>
      <c r="C212" s="149" t="s">
        <v>7412</v>
      </c>
      <c r="D212" s="59" t="s">
        <v>7737</v>
      </c>
      <c r="E212" s="149"/>
    </row>
    <row r="213" spans="1:6">
      <c r="A213" s="149" t="s">
        <v>7738</v>
      </c>
      <c r="B213" s="149" t="s">
        <v>7739</v>
      </c>
      <c r="C213" s="149" t="s">
        <v>7412</v>
      </c>
      <c r="D213" s="60">
        <v>45553</v>
      </c>
      <c r="E213" s="149" t="s">
        <v>7413</v>
      </c>
    </row>
    <row r="214" spans="1:6">
      <c r="A214" s="149" t="s">
        <v>7740</v>
      </c>
      <c r="B214" s="149" t="s">
        <v>7638</v>
      </c>
      <c r="C214" s="149" t="s">
        <v>7412</v>
      </c>
      <c r="D214" s="59" t="s">
        <v>7741</v>
      </c>
      <c r="E214" s="149" t="s">
        <v>7413</v>
      </c>
    </row>
    <row r="215" spans="1:6">
      <c r="A215" s="149"/>
      <c r="B215" s="149"/>
      <c r="C215" s="149"/>
      <c r="D215" s="59"/>
      <c r="E215" s="149"/>
    </row>
    <row r="216" spans="1:6">
      <c r="A216" s="149"/>
      <c r="B216" s="149"/>
      <c r="C216" s="149"/>
      <c r="D216" s="59"/>
      <c r="E216" s="149"/>
    </row>
    <row r="217" spans="1:6">
      <c r="A217" s="149"/>
      <c r="B217" s="149"/>
      <c r="C217" s="149"/>
      <c r="D217" s="59"/>
      <c r="E217" s="149"/>
    </row>
    <row r="218" spans="1:6">
      <c r="A218" s="149"/>
      <c r="B218" s="149"/>
      <c r="C218" s="149"/>
      <c r="D218" s="59"/>
      <c r="E218" s="149"/>
    </row>
    <row r="219" spans="1:6">
      <c r="A219" s="149"/>
      <c r="B219" s="149"/>
      <c r="C219" s="149"/>
      <c r="D219" s="59"/>
      <c r="E219" s="149"/>
    </row>
    <row r="220" spans="1:6">
      <c r="A220" s="149"/>
      <c r="B220" s="149"/>
      <c r="C220" s="149"/>
      <c r="D220" s="59"/>
      <c r="E220" s="149"/>
    </row>
    <row r="221" spans="1:6">
      <c r="A221" s="149"/>
      <c r="B221" s="149"/>
      <c r="C221" s="149"/>
      <c r="D221" s="59"/>
      <c r="E221" s="149"/>
    </row>
    <row r="222" spans="1:6">
      <c r="A222" s="149"/>
      <c r="B222" s="149"/>
      <c r="C222" s="149"/>
      <c r="D222" s="59"/>
      <c r="E222" s="149"/>
    </row>
    <row r="223" spans="1:6">
      <c r="A223" s="149"/>
      <c r="B223" s="149"/>
      <c r="C223" s="149"/>
      <c r="D223" s="59"/>
      <c r="E223" s="149"/>
    </row>
    <row r="224" spans="1:6">
      <c r="A224" s="149"/>
      <c r="B224" s="149"/>
      <c r="C224" s="149"/>
      <c r="D224" s="59"/>
      <c r="E224" s="149"/>
    </row>
    <row r="225" spans="1:5">
      <c r="A225" s="149"/>
      <c r="B225" s="149"/>
      <c r="C225" s="149"/>
      <c r="D225" s="59"/>
      <c r="E225" s="149"/>
    </row>
    <row r="226" spans="1:5">
      <c r="A226" s="149"/>
      <c r="B226" s="149"/>
      <c r="C226" s="149"/>
      <c r="D226" s="59"/>
      <c r="E226" s="149"/>
    </row>
    <row r="227" spans="1:5">
      <c r="A227" s="149"/>
      <c r="B227" s="149"/>
      <c r="C227" s="149"/>
      <c r="D227" s="59"/>
      <c r="E227" s="149"/>
    </row>
    <row r="228" spans="1:5">
      <c r="A228" s="149"/>
      <c r="B228" s="149"/>
      <c r="C228" s="149"/>
      <c r="D228" s="59"/>
      <c r="E228" s="149"/>
    </row>
    <row r="229" spans="1:5">
      <c r="A229" s="149"/>
      <c r="B229" s="149"/>
      <c r="C229" s="149"/>
      <c r="D229" s="59"/>
      <c r="E229" s="149"/>
    </row>
    <row r="230" spans="1:5">
      <c r="A230" s="149"/>
      <c r="B230" s="149"/>
      <c r="C230" s="149"/>
      <c r="D230" s="59"/>
      <c r="E230" s="149"/>
    </row>
    <row r="231" spans="1:5">
      <c r="A231" s="149"/>
      <c r="B231" s="149"/>
      <c r="C231" s="149"/>
      <c r="D231" s="59"/>
      <c r="E231" s="149"/>
    </row>
    <row r="232" spans="1:5">
      <c r="A232" s="149"/>
      <c r="B232" s="149"/>
      <c r="C232" s="149"/>
      <c r="D232" s="59"/>
      <c r="E232" s="149"/>
    </row>
    <row r="233" spans="1:5">
      <c r="A233" s="149"/>
      <c r="B233" s="149"/>
      <c r="C233" s="149"/>
      <c r="D233" s="59"/>
      <c r="E233" s="149"/>
    </row>
    <row r="234" spans="1:5">
      <c r="A234" s="149"/>
      <c r="B234" s="149"/>
      <c r="C234" s="149"/>
      <c r="D234" s="59"/>
      <c r="E234" s="149"/>
    </row>
    <row r="235" spans="1:5">
      <c r="A235" s="149"/>
      <c r="B235" s="149"/>
      <c r="C235" s="149"/>
      <c r="D235" s="59"/>
      <c r="E235" s="149"/>
    </row>
    <row r="236" spans="1:5">
      <c r="A236" s="149"/>
      <c r="B236" s="149"/>
      <c r="C236" s="149"/>
      <c r="D236" s="59"/>
      <c r="E236" s="149"/>
    </row>
    <row r="237" spans="1:5">
      <c r="A237" s="149"/>
      <c r="B237" s="149"/>
      <c r="C237" s="149"/>
      <c r="D237" s="59"/>
      <c r="E237" s="149"/>
    </row>
    <row r="238" spans="1:5">
      <c r="A238" s="149"/>
      <c r="B238" s="149"/>
      <c r="C238" s="149"/>
      <c r="D238" s="59"/>
      <c r="E238" s="149"/>
    </row>
    <row r="239" spans="1:5">
      <c r="A239" s="149"/>
      <c r="B239" s="149"/>
      <c r="C239" s="149"/>
      <c r="D239" s="59"/>
      <c r="E239" s="149"/>
    </row>
    <row r="240" spans="1:5">
      <c r="A240" s="149"/>
      <c r="B240" s="149"/>
      <c r="C240" s="149"/>
      <c r="D240" s="59"/>
      <c r="E240" s="149"/>
    </row>
    <row r="241" spans="1:5">
      <c r="A241" s="149"/>
      <c r="B241" s="149"/>
      <c r="C241" s="149"/>
      <c r="D241" s="59"/>
      <c r="E241" s="149"/>
    </row>
    <row r="242" spans="1:5">
      <c r="A242" s="149"/>
      <c r="B242" s="149"/>
      <c r="C242" s="149"/>
      <c r="D242" s="59"/>
      <c r="E242" s="149"/>
    </row>
    <row r="243" spans="1:5">
      <c r="A243" s="149"/>
      <c r="B243" s="149"/>
      <c r="C243" s="149"/>
      <c r="D243" s="59"/>
      <c r="E243" s="149"/>
    </row>
    <row r="244" spans="1:5">
      <c r="A244" s="149"/>
      <c r="B244" s="149"/>
      <c r="C244" s="149"/>
      <c r="D244" s="59"/>
      <c r="E244" s="149"/>
    </row>
    <row r="245" spans="1:5">
      <c r="A245" s="149"/>
      <c r="B245" s="149"/>
      <c r="C245" s="149"/>
      <c r="D245" s="59"/>
      <c r="E245" s="149"/>
    </row>
    <row r="246" spans="1:5">
      <c r="A246" s="149"/>
      <c r="B246" s="149"/>
      <c r="C246" s="149"/>
      <c r="D246" s="59"/>
      <c r="E246" s="149"/>
    </row>
  </sheetData>
  <autoFilter ref="A2:F140" xr:uid="{4EA0E01A-6187-4CD9-A1E3-2F69454AE9CA}">
    <sortState xmlns:xlrd2="http://schemas.microsoft.com/office/spreadsheetml/2017/richdata2" ref="A3:F140">
      <sortCondition ref="B2:B139"/>
    </sortState>
  </autoFilter>
  <mergeCells count="13">
    <mergeCell ref="A209:E209"/>
    <mergeCell ref="A203:E203"/>
    <mergeCell ref="A192:E192"/>
    <mergeCell ref="A1:E1"/>
    <mergeCell ref="A81:E81"/>
    <mergeCell ref="A111:E111"/>
    <mergeCell ref="A137:E137"/>
    <mergeCell ref="A141:E141"/>
    <mergeCell ref="A189:E189"/>
    <mergeCell ref="A187:E187"/>
    <mergeCell ref="A179:E179"/>
    <mergeCell ref="A169:E169"/>
    <mergeCell ref="A155:E15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AED8A-69CC-4AB3-8EC0-6D936DD81EF8}">
  <sheetPr filterMode="1"/>
  <dimension ref="A1:I494"/>
  <sheetViews>
    <sheetView workbookViewId="0">
      <selection activeCell="D241" sqref="D241"/>
    </sheetView>
  </sheetViews>
  <sheetFormatPr defaultRowHeight="15"/>
  <cols>
    <col min="1" max="1" width="46.5703125" bestFit="1" customWidth="1"/>
    <col min="2" max="3" width="21.85546875" customWidth="1"/>
    <col min="4" max="4" width="18" bestFit="1" customWidth="1"/>
    <col min="5" max="6" width="43.140625" bestFit="1" customWidth="1"/>
    <col min="7" max="7" width="29.140625" bestFit="1" customWidth="1"/>
    <col min="9" max="9" width="15.28515625" bestFit="1" customWidth="1"/>
  </cols>
  <sheetData>
    <row r="1" spans="1:9">
      <c r="A1" s="762" t="s">
        <v>4074</v>
      </c>
      <c r="B1" s="762" t="s">
        <v>4076</v>
      </c>
      <c r="C1" s="762" t="s">
        <v>7742</v>
      </c>
      <c r="D1" s="762" t="s">
        <v>7743</v>
      </c>
      <c r="E1" s="762" t="s">
        <v>7744</v>
      </c>
      <c r="F1" s="762" t="s">
        <v>7745</v>
      </c>
      <c r="G1" s="762" t="s">
        <v>4</v>
      </c>
      <c r="H1" s="762" t="s">
        <v>3</v>
      </c>
      <c r="I1" s="762" t="s">
        <v>7746</v>
      </c>
    </row>
    <row r="2" spans="1:9" hidden="1">
      <c r="A2" s="763" t="s">
        <v>4072</v>
      </c>
      <c r="B2" s="763" t="s">
        <v>4364</v>
      </c>
      <c r="C2" s="763"/>
      <c r="D2" s="763" t="s">
        <v>7747</v>
      </c>
      <c r="E2" s="763" t="s">
        <v>7748</v>
      </c>
      <c r="F2" s="763" t="s">
        <v>7749</v>
      </c>
      <c r="G2" s="763" t="s">
        <v>7750</v>
      </c>
      <c r="H2" s="763">
        <v>66</v>
      </c>
      <c r="I2" s="763" t="s">
        <v>7751</v>
      </c>
    </row>
    <row r="3" spans="1:9" hidden="1">
      <c r="A3" s="763" t="s">
        <v>4066</v>
      </c>
      <c r="B3" s="763" t="s">
        <v>4371</v>
      </c>
      <c r="C3" s="763"/>
      <c r="D3" s="763" t="s">
        <v>7752</v>
      </c>
      <c r="E3" s="763" t="s">
        <v>7753</v>
      </c>
      <c r="F3" s="763" t="s">
        <v>7749</v>
      </c>
      <c r="G3" s="763" t="s">
        <v>558</v>
      </c>
      <c r="H3" s="763">
        <v>65</v>
      </c>
      <c r="I3" s="763" t="s">
        <v>7754</v>
      </c>
    </row>
    <row r="4" spans="1:9" hidden="1">
      <c r="A4" s="763" t="s">
        <v>4053</v>
      </c>
      <c r="B4" s="763" t="s">
        <v>4383</v>
      </c>
      <c r="C4" s="763"/>
      <c r="D4" s="763" t="s">
        <v>7755</v>
      </c>
      <c r="E4" s="763" t="s">
        <v>7756</v>
      </c>
      <c r="F4" s="763" t="s">
        <v>7749</v>
      </c>
      <c r="G4" s="763" t="s">
        <v>7757</v>
      </c>
      <c r="H4" s="763">
        <v>291</v>
      </c>
      <c r="I4" s="764">
        <v>35040</v>
      </c>
    </row>
    <row r="5" spans="1:9" hidden="1">
      <c r="A5" s="763" t="s">
        <v>4392</v>
      </c>
      <c r="B5" s="763" t="s">
        <v>4393</v>
      </c>
      <c r="C5" s="763"/>
      <c r="D5" s="763" t="s">
        <v>7758</v>
      </c>
      <c r="E5" s="763" t="s">
        <v>7759</v>
      </c>
      <c r="F5" s="763" t="s">
        <v>7749</v>
      </c>
      <c r="G5" s="763" t="s">
        <v>558</v>
      </c>
      <c r="H5" s="763">
        <v>29</v>
      </c>
      <c r="I5" s="764">
        <v>35130</v>
      </c>
    </row>
    <row r="6" spans="1:9" hidden="1">
      <c r="A6" s="763" t="s">
        <v>4046</v>
      </c>
      <c r="B6" s="763" t="s">
        <v>4396</v>
      </c>
      <c r="C6" s="763"/>
      <c r="D6" s="763" t="s">
        <v>7760</v>
      </c>
      <c r="E6" s="763" t="s">
        <v>7761</v>
      </c>
      <c r="F6" s="763" t="s">
        <v>7749</v>
      </c>
      <c r="G6" s="763" t="s">
        <v>7762</v>
      </c>
      <c r="H6" s="763">
        <v>160</v>
      </c>
      <c r="I6" s="764">
        <v>35984</v>
      </c>
    </row>
    <row r="7" spans="1:9" hidden="1">
      <c r="A7" s="763" t="s">
        <v>4037</v>
      </c>
      <c r="B7" s="763" t="s">
        <v>4406</v>
      </c>
      <c r="C7" s="763"/>
      <c r="D7" s="763" t="s">
        <v>7763</v>
      </c>
      <c r="E7" s="763" t="s">
        <v>7764</v>
      </c>
      <c r="F7" s="763" t="s">
        <v>7749</v>
      </c>
      <c r="G7" s="763" t="s">
        <v>7765</v>
      </c>
      <c r="H7" s="763">
        <v>33</v>
      </c>
      <c r="I7" s="763" t="s">
        <v>7766</v>
      </c>
    </row>
    <row r="8" spans="1:9" hidden="1">
      <c r="A8" s="763" t="s">
        <v>4026</v>
      </c>
      <c r="B8" s="763" t="s">
        <v>4413</v>
      </c>
      <c r="C8" s="763"/>
      <c r="D8" s="763" t="s">
        <v>7767</v>
      </c>
      <c r="E8" s="763" t="s">
        <v>7768</v>
      </c>
      <c r="F8" s="763" t="s">
        <v>7749</v>
      </c>
      <c r="G8" s="763" t="s">
        <v>7765</v>
      </c>
      <c r="H8" s="763">
        <v>59</v>
      </c>
      <c r="I8" s="763" t="s">
        <v>7769</v>
      </c>
    </row>
    <row r="9" spans="1:9" hidden="1">
      <c r="A9" s="763" t="s">
        <v>4021</v>
      </c>
      <c r="B9" s="763" t="s">
        <v>4419</v>
      </c>
      <c r="C9" s="763"/>
      <c r="D9" s="763" t="s">
        <v>847</v>
      </c>
      <c r="E9" s="763" t="s">
        <v>7770</v>
      </c>
      <c r="F9" s="763" t="s">
        <v>7749</v>
      </c>
      <c r="G9" s="763" t="s">
        <v>7771</v>
      </c>
      <c r="H9" s="763">
        <v>20</v>
      </c>
      <c r="I9" s="763" t="s">
        <v>7772</v>
      </c>
    </row>
    <row r="10" spans="1:9" hidden="1">
      <c r="A10" s="763" t="s">
        <v>4426</v>
      </c>
      <c r="B10" s="763" t="s">
        <v>4427</v>
      </c>
      <c r="C10" s="763" t="s">
        <v>7773</v>
      </c>
      <c r="D10" s="763" t="s">
        <v>7774</v>
      </c>
      <c r="E10" s="763" t="s">
        <v>7775</v>
      </c>
      <c r="F10" s="763" t="s">
        <v>7749</v>
      </c>
      <c r="G10" s="763" t="s">
        <v>1225</v>
      </c>
      <c r="H10" s="763">
        <v>69</v>
      </c>
      <c r="I10" s="763" t="s">
        <v>7776</v>
      </c>
    </row>
    <row r="11" spans="1:9" hidden="1">
      <c r="A11" s="763" t="s">
        <v>4015</v>
      </c>
      <c r="B11" s="763" t="s">
        <v>4428</v>
      </c>
      <c r="C11" s="763"/>
      <c r="D11" s="763" t="s">
        <v>7777</v>
      </c>
      <c r="E11" s="763" t="s">
        <v>7778</v>
      </c>
      <c r="F11" s="763" t="s">
        <v>7749</v>
      </c>
      <c r="G11" s="763" t="s">
        <v>558</v>
      </c>
      <c r="H11" s="763">
        <v>43</v>
      </c>
      <c r="I11" s="763" t="s">
        <v>7751</v>
      </c>
    </row>
    <row r="12" spans="1:9" hidden="1">
      <c r="A12" s="763" t="s">
        <v>4430</v>
      </c>
      <c r="B12" s="763" t="s">
        <v>4431</v>
      </c>
      <c r="C12" s="763"/>
      <c r="D12" s="763" t="s">
        <v>1712</v>
      </c>
      <c r="E12" s="763" t="s">
        <v>7779</v>
      </c>
      <c r="F12" s="763" t="s">
        <v>7749</v>
      </c>
      <c r="G12" s="763" t="s">
        <v>7780</v>
      </c>
      <c r="H12" s="763">
        <v>117</v>
      </c>
      <c r="I12" s="764">
        <v>34523</v>
      </c>
    </row>
    <row r="13" spans="1:9" hidden="1">
      <c r="A13" s="763" t="s">
        <v>4004</v>
      </c>
      <c r="B13" s="763" t="s">
        <v>4440</v>
      </c>
      <c r="C13" s="763"/>
      <c r="D13" s="763" t="s">
        <v>7781</v>
      </c>
      <c r="E13" s="763" t="s">
        <v>7782</v>
      </c>
      <c r="F13" s="763" t="s">
        <v>7749</v>
      </c>
      <c r="G13" s="763" t="s">
        <v>558</v>
      </c>
      <c r="H13" s="763">
        <v>233</v>
      </c>
      <c r="I13" s="764">
        <v>34858</v>
      </c>
    </row>
    <row r="14" spans="1:9" hidden="1">
      <c r="A14" s="763" t="s">
        <v>3981</v>
      </c>
      <c r="B14" s="763" t="s">
        <v>4466</v>
      </c>
      <c r="C14" s="763"/>
      <c r="D14" s="763" t="s">
        <v>2042</v>
      </c>
      <c r="E14" s="763" t="s">
        <v>7783</v>
      </c>
      <c r="F14" s="763" t="s">
        <v>7749</v>
      </c>
      <c r="G14" s="763" t="s">
        <v>7784</v>
      </c>
      <c r="H14" s="763">
        <v>125</v>
      </c>
      <c r="I14" s="763" t="s">
        <v>7785</v>
      </c>
    </row>
    <row r="15" spans="1:9" hidden="1">
      <c r="A15" s="763" t="s">
        <v>3979</v>
      </c>
      <c r="B15" s="763" t="s">
        <v>914</v>
      </c>
      <c r="C15" s="763"/>
      <c r="D15" s="763" t="s">
        <v>915</v>
      </c>
      <c r="E15" s="763" t="s">
        <v>7786</v>
      </c>
      <c r="F15" s="763" t="s">
        <v>7749</v>
      </c>
      <c r="G15" s="763" t="s">
        <v>1225</v>
      </c>
      <c r="H15" s="763">
        <v>146</v>
      </c>
      <c r="I15" s="763" t="s">
        <v>7787</v>
      </c>
    </row>
    <row r="16" spans="1:9" hidden="1">
      <c r="A16" s="763" t="s">
        <v>3974</v>
      </c>
      <c r="B16" s="763" t="s">
        <v>4472</v>
      </c>
      <c r="C16" s="763"/>
      <c r="D16" s="763" t="s">
        <v>7788</v>
      </c>
      <c r="E16" s="763" t="s">
        <v>7789</v>
      </c>
      <c r="F16" s="763" t="s">
        <v>7749</v>
      </c>
      <c r="G16" s="763" t="s">
        <v>558</v>
      </c>
      <c r="H16" s="763">
        <v>59</v>
      </c>
      <c r="I16" s="763" t="s">
        <v>7790</v>
      </c>
    </row>
    <row r="17" spans="1:9" hidden="1">
      <c r="A17" s="763" t="s">
        <v>3971</v>
      </c>
      <c r="B17" s="763" t="s">
        <v>4475</v>
      </c>
      <c r="C17" s="763"/>
      <c r="D17" s="763" t="s">
        <v>164</v>
      </c>
      <c r="E17" s="763" t="s">
        <v>7791</v>
      </c>
      <c r="F17" s="763" t="s">
        <v>7749</v>
      </c>
      <c r="G17" s="763" t="s">
        <v>7765</v>
      </c>
      <c r="H17" s="763">
        <v>21</v>
      </c>
      <c r="I17" s="764">
        <v>43926</v>
      </c>
    </row>
    <row r="18" spans="1:9" hidden="1">
      <c r="A18" s="763" t="s">
        <v>3966</v>
      </c>
      <c r="B18" s="763" t="s">
        <v>4480</v>
      </c>
      <c r="C18" s="763"/>
      <c r="D18" s="763" t="s">
        <v>7792</v>
      </c>
      <c r="E18" s="763" t="s">
        <v>7793</v>
      </c>
      <c r="F18" s="763" t="s">
        <v>7749</v>
      </c>
      <c r="G18" s="763" t="s">
        <v>7750</v>
      </c>
      <c r="H18" s="763">
        <v>93</v>
      </c>
      <c r="I18" s="763" t="s">
        <v>7794</v>
      </c>
    </row>
    <row r="19" spans="1:9" hidden="1">
      <c r="A19" s="763" t="s">
        <v>4481</v>
      </c>
      <c r="B19" s="763" t="s">
        <v>4482</v>
      </c>
      <c r="C19" s="763"/>
      <c r="D19" s="763" t="s">
        <v>1773</v>
      </c>
      <c r="E19" s="763" t="s">
        <v>7795</v>
      </c>
      <c r="F19" s="763" t="s">
        <v>7749</v>
      </c>
      <c r="G19" s="763" t="s">
        <v>7757</v>
      </c>
      <c r="H19" s="763">
        <v>329</v>
      </c>
      <c r="I19" s="764">
        <v>33032</v>
      </c>
    </row>
    <row r="20" spans="1:9" hidden="1">
      <c r="A20" s="763" t="s">
        <v>2892</v>
      </c>
      <c r="B20" s="763" t="s">
        <v>4485</v>
      </c>
      <c r="C20" s="763"/>
      <c r="D20" s="763" t="s">
        <v>7796</v>
      </c>
      <c r="E20" s="763" t="s">
        <v>7797</v>
      </c>
      <c r="F20" s="763" t="s">
        <v>7749</v>
      </c>
      <c r="G20" s="763" t="s">
        <v>558</v>
      </c>
      <c r="H20" s="763">
        <v>555</v>
      </c>
      <c r="I20" s="763" t="s">
        <v>7798</v>
      </c>
    </row>
    <row r="21" spans="1:9" hidden="1">
      <c r="A21" s="763" t="s">
        <v>4490</v>
      </c>
      <c r="B21" s="763" t="s">
        <v>4491</v>
      </c>
      <c r="C21" s="763"/>
      <c r="D21" s="763" t="s">
        <v>1844</v>
      </c>
      <c r="E21" s="763" t="s">
        <v>7799</v>
      </c>
      <c r="F21" s="763" t="s">
        <v>7749</v>
      </c>
      <c r="G21" s="763" t="s">
        <v>7757</v>
      </c>
      <c r="H21" s="763">
        <v>80</v>
      </c>
      <c r="I21" s="763" t="s">
        <v>7800</v>
      </c>
    </row>
    <row r="22" spans="1:9" hidden="1">
      <c r="A22" s="763" t="s">
        <v>3949</v>
      </c>
      <c r="B22" s="763" t="s">
        <v>4500</v>
      </c>
      <c r="C22" s="763"/>
      <c r="D22" s="763" t="s">
        <v>7801</v>
      </c>
      <c r="E22" s="763" t="s">
        <v>7802</v>
      </c>
      <c r="F22" s="763" t="s">
        <v>7749</v>
      </c>
      <c r="G22" s="763" t="s">
        <v>7757</v>
      </c>
      <c r="H22" s="763">
        <v>130</v>
      </c>
      <c r="I22" s="763" t="s">
        <v>7803</v>
      </c>
    </row>
    <row r="23" spans="1:9" hidden="1">
      <c r="A23" s="763" t="s">
        <v>4505</v>
      </c>
      <c r="B23" s="763" t="s">
        <v>4506</v>
      </c>
      <c r="C23" s="763" t="s">
        <v>7804</v>
      </c>
      <c r="D23" s="763" t="s">
        <v>7805</v>
      </c>
      <c r="E23" s="763" t="s">
        <v>7768</v>
      </c>
      <c r="F23" s="763" t="s">
        <v>7749</v>
      </c>
      <c r="G23" s="763" t="s">
        <v>7765</v>
      </c>
      <c r="H23" s="763">
        <v>39</v>
      </c>
      <c r="I23" s="763" t="s">
        <v>7806</v>
      </c>
    </row>
    <row r="24" spans="1:9" hidden="1">
      <c r="A24" s="763" t="s">
        <v>4508</v>
      </c>
      <c r="B24" s="763" t="s">
        <v>4509</v>
      </c>
      <c r="C24" s="763"/>
      <c r="D24" s="763" t="s">
        <v>1791</v>
      </c>
      <c r="E24" s="763" t="s">
        <v>7807</v>
      </c>
      <c r="F24" s="763" t="s">
        <v>7749</v>
      </c>
      <c r="G24" s="763" t="s">
        <v>7808</v>
      </c>
      <c r="H24" s="763">
        <v>231</v>
      </c>
      <c r="I24" s="763" t="s">
        <v>7809</v>
      </c>
    </row>
    <row r="25" spans="1:9" hidden="1">
      <c r="A25" s="763" t="s">
        <v>3926</v>
      </c>
      <c r="B25" s="763" t="s">
        <v>1382</v>
      </c>
      <c r="C25" s="763" t="s">
        <v>7810</v>
      </c>
      <c r="D25" s="763" t="s">
        <v>1383</v>
      </c>
      <c r="E25" s="763" t="s">
        <v>7811</v>
      </c>
      <c r="F25" s="763" t="s">
        <v>7749</v>
      </c>
      <c r="G25" s="763" t="s">
        <v>7762</v>
      </c>
      <c r="H25" s="763">
        <v>80</v>
      </c>
      <c r="I25" s="764">
        <v>37380</v>
      </c>
    </row>
    <row r="26" spans="1:9" hidden="1">
      <c r="A26" s="763" t="s">
        <v>3910</v>
      </c>
      <c r="B26" s="763" t="s">
        <v>1266</v>
      </c>
      <c r="C26" s="763"/>
      <c r="D26" s="763" t="s">
        <v>1267</v>
      </c>
      <c r="E26" s="763" t="s">
        <v>7812</v>
      </c>
      <c r="F26" s="763" t="s">
        <v>7749</v>
      </c>
      <c r="G26" s="763" t="s">
        <v>7780</v>
      </c>
      <c r="H26" s="763">
        <v>500</v>
      </c>
      <c r="I26" s="763" t="s">
        <v>7813</v>
      </c>
    </row>
    <row r="27" spans="1:9" hidden="1">
      <c r="A27" s="763" t="s">
        <v>4555</v>
      </c>
      <c r="B27" s="763" t="s">
        <v>4556</v>
      </c>
      <c r="C27" s="763"/>
      <c r="D27" s="763" t="s">
        <v>1072</v>
      </c>
      <c r="E27" s="763" t="s">
        <v>7814</v>
      </c>
      <c r="F27" s="763" t="s">
        <v>7749</v>
      </c>
      <c r="G27" s="763" t="s">
        <v>558</v>
      </c>
      <c r="H27" s="763">
        <v>18</v>
      </c>
      <c r="I27" s="763" t="s">
        <v>7815</v>
      </c>
    </row>
    <row r="28" spans="1:9" hidden="1">
      <c r="A28" s="763" t="s">
        <v>4115</v>
      </c>
      <c r="B28" s="763" t="s">
        <v>4116</v>
      </c>
      <c r="C28" s="763"/>
      <c r="D28" s="763" t="s">
        <v>2636</v>
      </c>
      <c r="E28" s="763" t="s">
        <v>7816</v>
      </c>
      <c r="F28" s="763" t="s">
        <v>7749</v>
      </c>
      <c r="G28" s="763" t="s">
        <v>7817</v>
      </c>
      <c r="H28" s="763">
        <v>1127</v>
      </c>
      <c r="I28" s="763" t="s">
        <v>7818</v>
      </c>
    </row>
    <row r="29" spans="1:9" hidden="1">
      <c r="A29" s="763" t="s">
        <v>4585</v>
      </c>
      <c r="B29" s="763" t="s">
        <v>4586</v>
      </c>
      <c r="C29" s="763"/>
      <c r="D29" s="763" t="s">
        <v>7819</v>
      </c>
      <c r="E29" s="763" t="s">
        <v>7820</v>
      </c>
      <c r="F29" s="763" t="s">
        <v>7749</v>
      </c>
      <c r="G29" s="763" t="s">
        <v>7780</v>
      </c>
      <c r="H29" s="763">
        <v>50</v>
      </c>
      <c r="I29" s="763" t="s">
        <v>7821</v>
      </c>
    </row>
    <row r="30" spans="1:9" hidden="1">
      <c r="A30" s="763" t="s">
        <v>3881</v>
      </c>
      <c r="B30" s="763" t="s">
        <v>4588</v>
      </c>
      <c r="C30" s="763"/>
      <c r="D30" s="763" t="s">
        <v>7822</v>
      </c>
      <c r="E30" s="763" t="s">
        <v>7823</v>
      </c>
      <c r="F30" s="763" t="s">
        <v>7749</v>
      </c>
      <c r="G30" s="763" t="s">
        <v>7784</v>
      </c>
      <c r="H30" s="763">
        <v>135</v>
      </c>
      <c r="I30" s="763" t="s">
        <v>7824</v>
      </c>
    </row>
    <row r="31" spans="1:9" hidden="1">
      <c r="A31" s="763" t="s">
        <v>3878</v>
      </c>
      <c r="B31" s="763" t="s">
        <v>4608</v>
      </c>
      <c r="C31" s="763"/>
      <c r="D31" s="763" t="s">
        <v>7825</v>
      </c>
      <c r="E31" s="763" t="s">
        <v>624</v>
      </c>
      <c r="F31" s="763" t="s">
        <v>7749</v>
      </c>
      <c r="G31" s="763" t="s">
        <v>19</v>
      </c>
      <c r="H31" s="763">
        <v>958</v>
      </c>
      <c r="I31" s="763" t="s">
        <v>7826</v>
      </c>
    </row>
    <row r="32" spans="1:9" hidden="1">
      <c r="A32" s="763" t="s">
        <v>1596</v>
      </c>
      <c r="B32" s="763" t="s">
        <v>4613</v>
      </c>
      <c r="C32" s="763"/>
      <c r="D32" s="763" t="s">
        <v>1599</v>
      </c>
      <c r="E32" s="763" t="s">
        <v>1597</v>
      </c>
      <c r="F32" s="763" t="s">
        <v>7749</v>
      </c>
      <c r="G32" s="763" t="s">
        <v>127</v>
      </c>
      <c r="H32" s="763">
        <v>86</v>
      </c>
      <c r="I32" s="764">
        <v>34090</v>
      </c>
    </row>
    <row r="33" spans="1:9" hidden="1">
      <c r="A33" s="763" t="s">
        <v>3870</v>
      </c>
      <c r="B33" s="763" t="s">
        <v>4632</v>
      </c>
      <c r="C33" s="763"/>
      <c r="D33" s="763" t="s">
        <v>7827</v>
      </c>
      <c r="E33" s="763" t="s">
        <v>157</v>
      </c>
      <c r="F33" s="763" t="s">
        <v>7749</v>
      </c>
      <c r="G33" s="763" t="s">
        <v>19</v>
      </c>
      <c r="H33" s="763">
        <v>510</v>
      </c>
      <c r="I33" s="764">
        <v>36104</v>
      </c>
    </row>
    <row r="34" spans="1:9" hidden="1">
      <c r="A34" s="763" t="s">
        <v>1713</v>
      </c>
      <c r="B34" s="763" t="s">
        <v>4636</v>
      </c>
      <c r="C34" s="763"/>
      <c r="D34" s="763" t="s">
        <v>1716</v>
      </c>
      <c r="E34" s="763" t="s">
        <v>7828</v>
      </c>
      <c r="F34" s="763" t="s">
        <v>7749</v>
      </c>
      <c r="G34" s="763" t="s">
        <v>320</v>
      </c>
      <c r="H34" s="763">
        <v>160</v>
      </c>
      <c r="I34" s="763" t="s">
        <v>7829</v>
      </c>
    </row>
    <row r="35" spans="1:9" hidden="1">
      <c r="A35" s="763" t="s">
        <v>3863</v>
      </c>
      <c r="B35" s="763" t="s">
        <v>4655</v>
      </c>
      <c r="C35" s="763"/>
      <c r="D35" s="763" t="s">
        <v>7830</v>
      </c>
      <c r="E35" s="763" t="s">
        <v>7831</v>
      </c>
      <c r="F35" s="763" t="s">
        <v>7749</v>
      </c>
      <c r="G35" s="763" t="s">
        <v>127</v>
      </c>
      <c r="H35" s="763">
        <v>123</v>
      </c>
      <c r="I35" s="764">
        <v>37299</v>
      </c>
    </row>
    <row r="36" spans="1:9" hidden="1">
      <c r="A36" s="763" t="s">
        <v>2234</v>
      </c>
      <c r="B36" s="763" t="s">
        <v>4669</v>
      </c>
      <c r="C36" s="763"/>
      <c r="D36" s="763" t="s">
        <v>2237</v>
      </c>
      <c r="E36" s="763" t="s">
        <v>2235</v>
      </c>
      <c r="F36" s="763" t="s">
        <v>7749</v>
      </c>
      <c r="G36" s="763" t="s">
        <v>7832</v>
      </c>
      <c r="H36" s="763">
        <v>150</v>
      </c>
      <c r="I36" s="763" t="s">
        <v>7833</v>
      </c>
    </row>
    <row r="37" spans="1:9" hidden="1">
      <c r="A37" s="763" t="s">
        <v>1278</v>
      </c>
      <c r="B37" s="763" t="s">
        <v>4705</v>
      </c>
      <c r="C37" s="763"/>
      <c r="D37" s="763" t="s">
        <v>1280</v>
      </c>
      <c r="E37" s="763" t="s">
        <v>901</v>
      </c>
      <c r="F37" s="763" t="s">
        <v>7749</v>
      </c>
      <c r="G37" s="763" t="s">
        <v>270</v>
      </c>
      <c r="H37" s="763">
        <v>149</v>
      </c>
      <c r="I37" s="764">
        <v>35916</v>
      </c>
    </row>
    <row r="38" spans="1:9" hidden="1">
      <c r="A38" s="763" t="s">
        <v>3857</v>
      </c>
      <c r="B38" s="763" t="s">
        <v>4724</v>
      </c>
      <c r="C38" s="763" t="s">
        <v>7804</v>
      </c>
      <c r="D38" s="763" t="s">
        <v>7834</v>
      </c>
      <c r="E38" s="763" t="s">
        <v>7835</v>
      </c>
      <c r="F38" s="763" t="s">
        <v>7749</v>
      </c>
      <c r="G38" s="763" t="s">
        <v>74</v>
      </c>
      <c r="H38" s="763">
        <v>119</v>
      </c>
      <c r="I38" s="763" t="s">
        <v>7836</v>
      </c>
    </row>
    <row r="39" spans="1:9" hidden="1">
      <c r="A39" s="763" t="s">
        <v>859</v>
      </c>
      <c r="B39" s="763" t="s">
        <v>4746</v>
      </c>
      <c r="C39" s="763" t="s">
        <v>7837</v>
      </c>
      <c r="D39" s="763" t="s">
        <v>860</v>
      </c>
      <c r="E39" s="763" t="s">
        <v>167</v>
      </c>
      <c r="F39" s="763" t="s">
        <v>7749</v>
      </c>
      <c r="G39" s="763" t="s">
        <v>64</v>
      </c>
      <c r="H39" s="763">
        <v>859</v>
      </c>
      <c r="I39" s="764">
        <v>37571</v>
      </c>
    </row>
    <row r="40" spans="1:9" hidden="1">
      <c r="A40" s="763" t="s">
        <v>805</v>
      </c>
      <c r="B40" s="763" t="s">
        <v>4768</v>
      </c>
      <c r="C40" s="763"/>
      <c r="D40" s="763" t="s">
        <v>808</v>
      </c>
      <c r="E40" s="763" t="s">
        <v>7838</v>
      </c>
      <c r="F40" s="763" t="s">
        <v>7749</v>
      </c>
      <c r="G40" s="763" t="s">
        <v>7839</v>
      </c>
      <c r="H40" s="763">
        <v>179</v>
      </c>
      <c r="I40" s="763" t="s">
        <v>7840</v>
      </c>
    </row>
    <row r="41" spans="1:9" hidden="1">
      <c r="A41" s="763" t="s">
        <v>824</v>
      </c>
      <c r="B41" s="763" t="s">
        <v>4803</v>
      </c>
      <c r="C41" s="763"/>
      <c r="D41" s="763" t="s">
        <v>827</v>
      </c>
      <c r="E41" s="763" t="s">
        <v>7841</v>
      </c>
      <c r="F41" s="763" t="s">
        <v>7749</v>
      </c>
      <c r="G41" s="763" t="s">
        <v>7771</v>
      </c>
      <c r="H41" s="763">
        <v>30</v>
      </c>
      <c r="I41" s="763" t="s">
        <v>7751</v>
      </c>
    </row>
    <row r="42" spans="1:9" hidden="1">
      <c r="A42" s="763" t="s">
        <v>491</v>
      </c>
      <c r="B42" s="763" t="s">
        <v>4811</v>
      </c>
      <c r="C42" s="763" t="s">
        <v>7842</v>
      </c>
      <c r="D42" s="763" t="s">
        <v>494</v>
      </c>
      <c r="E42" s="763" t="s">
        <v>7843</v>
      </c>
      <c r="F42" s="763" t="s">
        <v>7749</v>
      </c>
      <c r="G42" s="763" t="s">
        <v>7808</v>
      </c>
      <c r="H42" s="763">
        <v>486</v>
      </c>
      <c r="I42" s="764">
        <v>36560</v>
      </c>
    </row>
    <row r="43" spans="1:9" hidden="1">
      <c r="A43" s="763" t="s">
        <v>1725</v>
      </c>
      <c r="B43" s="763" t="s">
        <v>4814</v>
      </c>
      <c r="C43" s="763"/>
      <c r="D43" s="763" t="s">
        <v>1728</v>
      </c>
      <c r="E43" s="763" t="s">
        <v>7844</v>
      </c>
      <c r="F43" s="763" t="s">
        <v>7749</v>
      </c>
      <c r="G43" s="763" t="s">
        <v>7845</v>
      </c>
      <c r="H43" s="763">
        <v>1171</v>
      </c>
      <c r="I43" s="764">
        <v>35857</v>
      </c>
    </row>
    <row r="44" spans="1:9" hidden="1">
      <c r="A44" s="763" t="s">
        <v>3845</v>
      </c>
      <c r="B44" s="763" t="s">
        <v>4817</v>
      </c>
      <c r="C44" s="763"/>
      <c r="D44" s="763" t="s">
        <v>184</v>
      </c>
      <c r="E44" s="763" t="s">
        <v>182</v>
      </c>
      <c r="F44" s="763" t="s">
        <v>7749</v>
      </c>
      <c r="G44" s="763" t="s">
        <v>25</v>
      </c>
      <c r="H44" s="763">
        <v>0</v>
      </c>
      <c r="I44" s="763" t="s">
        <v>7846</v>
      </c>
    </row>
    <row r="45" spans="1:9" hidden="1">
      <c r="A45" s="763" t="s">
        <v>1248</v>
      </c>
      <c r="B45" s="763" t="s">
        <v>4818</v>
      </c>
      <c r="C45" s="763" t="s">
        <v>7837</v>
      </c>
      <c r="D45" s="763" t="s">
        <v>1250</v>
      </c>
      <c r="E45" s="763" t="s">
        <v>7820</v>
      </c>
      <c r="F45" s="763" t="s">
        <v>7749</v>
      </c>
      <c r="G45" s="763" t="s">
        <v>64</v>
      </c>
      <c r="H45" s="763">
        <v>139</v>
      </c>
      <c r="I45" s="763" t="s">
        <v>7847</v>
      </c>
    </row>
    <row r="46" spans="1:9" hidden="1">
      <c r="A46" s="763" t="s">
        <v>4830</v>
      </c>
      <c r="B46" s="763" t="s">
        <v>4831</v>
      </c>
      <c r="C46" s="763"/>
      <c r="D46" s="763" t="s">
        <v>7848</v>
      </c>
      <c r="E46" s="763" t="s">
        <v>7820</v>
      </c>
      <c r="F46" s="763" t="s">
        <v>7749</v>
      </c>
      <c r="G46" s="763" t="s">
        <v>1347</v>
      </c>
      <c r="H46" s="763">
        <v>533</v>
      </c>
      <c r="I46" s="763" t="s">
        <v>7849</v>
      </c>
    </row>
    <row r="47" spans="1:9" hidden="1">
      <c r="A47" s="763" t="s">
        <v>486</v>
      </c>
      <c r="B47" s="763" t="s">
        <v>4835</v>
      </c>
      <c r="C47" s="763"/>
      <c r="D47" s="763" t="s">
        <v>489</v>
      </c>
      <c r="E47" s="763" t="s">
        <v>7748</v>
      </c>
      <c r="F47" s="763" t="s">
        <v>7749</v>
      </c>
      <c r="G47" s="763" t="s">
        <v>7850</v>
      </c>
      <c r="H47" s="763">
        <v>90</v>
      </c>
      <c r="I47" s="763" t="s">
        <v>7851</v>
      </c>
    </row>
    <row r="48" spans="1:9" hidden="1">
      <c r="A48" s="763" t="s">
        <v>593</v>
      </c>
      <c r="B48" s="763" t="s">
        <v>4836</v>
      </c>
      <c r="C48" s="763"/>
      <c r="D48" s="763" t="s">
        <v>596</v>
      </c>
      <c r="E48" s="763" t="s">
        <v>7852</v>
      </c>
      <c r="F48" s="763" t="s">
        <v>7749</v>
      </c>
      <c r="G48" s="763" t="s">
        <v>7853</v>
      </c>
      <c r="H48" s="763">
        <v>69</v>
      </c>
      <c r="I48" s="763" t="s">
        <v>7854</v>
      </c>
    </row>
    <row r="49" spans="1:9" hidden="1">
      <c r="A49" s="763" t="s">
        <v>3843</v>
      </c>
      <c r="B49" s="763" t="s">
        <v>4844</v>
      </c>
      <c r="C49" s="763"/>
      <c r="D49" s="763" t="s">
        <v>550</v>
      </c>
      <c r="E49" s="763" t="s">
        <v>7855</v>
      </c>
      <c r="F49" s="763" t="s">
        <v>7749</v>
      </c>
      <c r="G49" s="763" t="s">
        <v>7817</v>
      </c>
      <c r="H49" s="763">
        <v>292</v>
      </c>
      <c r="I49" s="763" t="s">
        <v>7856</v>
      </c>
    </row>
    <row r="50" spans="1:9" hidden="1">
      <c r="A50" s="763" t="s">
        <v>2096</v>
      </c>
      <c r="B50" s="763" t="s">
        <v>4858</v>
      </c>
      <c r="C50" s="763"/>
      <c r="D50" s="763" t="s">
        <v>2098</v>
      </c>
      <c r="E50" s="763" t="s">
        <v>7768</v>
      </c>
      <c r="F50" s="763" t="s">
        <v>7749</v>
      </c>
      <c r="G50" s="763" t="s">
        <v>105</v>
      </c>
      <c r="H50" s="763">
        <v>60</v>
      </c>
      <c r="I50" s="763" t="s">
        <v>7857</v>
      </c>
    </row>
    <row r="51" spans="1:9" hidden="1">
      <c r="A51" s="763" t="s">
        <v>3838</v>
      </c>
      <c r="B51" s="763" t="s">
        <v>4865</v>
      </c>
      <c r="C51" s="763"/>
      <c r="D51" s="763" t="s">
        <v>7858</v>
      </c>
      <c r="E51" s="763" t="s">
        <v>7859</v>
      </c>
      <c r="F51" s="763" t="s">
        <v>7749</v>
      </c>
      <c r="G51" s="763" t="s">
        <v>7860</v>
      </c>
      <c r="H51" s="763">
        <v>90</v>
      </c>
      <c r="I51" s="764">
        <v>34650</v>
      </c>
    </row>
    <row r="52" spans="1:9" hidden="1">
      <c r="A52" s="763" t="s">
        <v>3829</v>
      </c>
      <c r="B52" s="763" t="s">
        <v>4871</v>
      </c>
      <c r="C52" s="763"/>
      <c r="D52" s="763" t="s">
        <v>7861</v>
      </c>
      <c r="E52" s="763" t="s">
        <v>7862</v>
      </c>
      <c r="F52" s="763" t="s">
        <v>7749</v>
      </c>
      <c r="G52" s="763" t="s">
        <v>1347</v>
      </c>
      <c r="H52" s="763">
        <v>196</v>
      </c>
      <c r="I52" s="764">
        <v>36291</v>
      </c>
    </row>
    <row r="53" spans="1:9" hidden="1">
      <c r="A53" s="763" t="s">
        <v>3827</v>
      </c>
      <c r="B53" s="763" t="s">
        <v>4873</v>
      </c>
      <c r="C53" s="763"/>
      <c r="D53" s="763" t="s">
        <v>7863</v>
      </c>
      <c r="E53" s="763" t="s">
        <v>7864</v>
      </c>
      <c r="F53" s="763" t="s">
        <v>7749</v>
      </c>
      <c r="G53" s="763" t="s">
        <v>7865</v>
      </c>
      <c r="H53" s="763">
        <v>500</v>
      </c>
      <c r="I53" s="763" t="s">
        <v>7866</v>
      </c>
    </row>
    <row r="54" spans="1:9" hidden="1">
      <c r="A54" s="763" t="s">
        <v>3824</v>
      </c>
      <c r="B54" s="763" t="s">
        <v>4876</v>
      </c>
      <c r="C54" s="763"/>
      <c r="D54" s="763" t="s">
        <v>7867</v>
      </c>
      <c r="E54" s="763" t="s">
        <v>7868</v>
      </c>
      <c r="F54" s="763" t="s">
        <v>7749</v>
      </c>
      <c r="G54" s="763" t="s">
        <v>7869</v>
      </c>
      <c r="H54" s="763">
        <v>120</v>
      </c>
      <c r="I54" s="764">
        <v>34100</v>
      </c>
    </row>
    <row r="55" spans="1:9" hidden="1">
      <c r="A55" s="763" t="s">
        <v>3818</v>
      </c>
      <c r="B55" s="763" t="s">
        <v>4886</v>
      </c>
      <c r="C55" s="763"/>
      <c r="D55" s="763" t="s">
        <v>7870</v>
      </c>
      <c r="E55" s="763" t="s">
        <v>7871</v>
      </c>
      <c r="F55" s="763" t="s">
        <v>7749</v>
      </c>
      <c r="G55" s="763" t="s">
        <v>7762</v>
      </c>
      <c r="H55" s="763">
        <v>120</v>
      </c>
      <c r="I55" s="764">
        <v>35923</v>
      </c>
    </row>
    <row r="56" spans="1:9" hidden="1">
      <c r="A56" s="763" t="s">
        <v>3810</v>
      </c>
      <c r="B56" s="763" t="s">
        <v>4894</v>
      </c>
      <c r="C56" s="763"/>
      <c r="D56" s="763" t="s">
        <v>7872</v>
      </c>
      <c r="E56" s="763" t="s">
        <v>7873</v>
      </c>
      <c r="F56" s="763" t="s">
        <v>7749</v>
      </c>
      <c r="G56" s="763" t="s">
        <v>7874</v>
      </c>
      <c r="H56" s="763">
        <v>209</v>
      </c>
      <c r="I56" s="763" t="s">
        <v>7875</v>
      </c>
    </row>
    <row r="57" spans="1:9" hidden="1">
      <c r="A57" s="763" t="s">
        <v>3808</v>
      </c>
      <c r="B57" s="763" t="s">
        <v>4895</v>
      </c>
      <c r="C57" s="763"/>
      <c r="D57" s="763" t="s">
        <v>7876</v>
      </c>
      <c r="E57" s="763" t="s">
        <v>7877</v>
      </c>
      <c r="F57" s="763" t="s">
        <v>7749</v>
      </c>
      <c r="G57" s="763" t="s">
        <v>1225</v>
      </c>
      <c r="H57" s="763">
        <v>110</v>
      </c>
      <c r="I57" s="763" t="s">
        <v>7878</v>
      </c>
    </row>
    <row r="58" spans="1:9" hidden="1">
      <c r="A58" s="763" t="s">
        <v>3806</v>
      </c>
      <c r="B58" s="763" t="s">
        <v>4897</v>
      </c>
      <c r="C58" s="763"/>
      <c r="D58" s="763" t="s">
        <v>7879</v>
      </c>
      <c r="E58" s="763" t="s">
        <v>7880</v>
      </c>
      <c r="F58" s="763" t="s">
        <v>7749</v>
      </c>
      <c r="G58" s="763" t="s">
        <v>1347</v>
      </c>
      <c r="H58" s="763">
        <v>31</v>
      </c>
      <c r="I58" s="763" t="s">
        <v>7881</v>
      </c>
    </row>
    <row r="59" spans="1:9" hidden="1">
      <c r="A59" s="763" t="s">
        <v>3803</v>
      </c>
      <c r="B59" s="763" t="s">
        <v>4901</v>
      </c>
      <c r="C59" s="763"/>
      <c r="D59" s="763" t="s">
        <v>7882</v>
      </c>
      <c r="E59" s="763" t="s">
        <v>7883</v>
      </c>
      <c r="F59" s="763" t="s">
        <v>7749</v>
      </c>
      <c r="G59" s="763" t="s">
        <v>1225</v>
      </c>
      <c r="H59" s="763">
        <v>199</v>
      </c>
      <c r="I59" s="764">
        <v>35228</v>
      </c>
    </row>
    <row r="60" spans="1:9" hidden="1">
      <c r="A60" s="763" t="s">
        <v>3786</v>
      </c>
      <c r="B60" s="763" t="s">
        <v>4922</v>
      </c>
      <c r="C60" s="763"/>
      <c r="D60" s="763" t="s">
        <v>7884</v>
      </c>
      <c r="E60" s="763" t="s">
        <v>7885</v>
      </c>
      <c r="F60" s="763" t="s">
        <v>7749</v>
      </c>
      <c r="G60" s="763" t="s">
        <v>7886</v>
      </c>
      <c r="H60" s="763">
        <v>61</v>
      </c>
      <c r="I60" s="764">
        <v>36045</v>
      </c>
    </row>
    <row r="61" spans="1:9" hidden="1">
      <c r="A61" s="763" t="s">
        <v>3784</v>
      </c>
      <c r="B61" s="763" t="s">
        <v>4924</v>
      </c>
      <c r="C61" s="763"/>
      <c r="D61" s="763" t="s">
        <v>7887</v>
      </c>
      <c r="E61" s="763" t="s">
        <v>7888</v>
      </c>
      <c r="F61" s="763" t="s">
        <v>7749</v>
      </c>
      <c r="G61" s="763" t="s">
        <v>7757</v>
      </c>
      <c r="H61" s="763" t="s">
        <v>7889</v>
      </c>
      <c r="I61" s="764">
        <v>58204</v>
      </c>
    </row>
    <row r="62" spans="1:9" hidden="1">
      <c r="A62" s="763" t="s">
        <v>3778</v>
      </c>
      <c r="B62" s="763" t="s">
        <v>4931</v>
      </c>
      <c r="C62" s="763"/>
      <c r="D62" s="763" t="s">
        <v>7890</v>
      </c>
      <c r="E62" s="763" t="s">
        <v>7748</v>
      </c>
      <c r="F62" s="763" t="s">
        <v>7749</v>
      </c>
      <c r="G62" s="763" t="s">
        <v>7750</v>
      </c>
      <c r="H62" s="763">
        <v>93</v>
      </c>
      <c r="I62" s="764">
        <v>36284</v>
      </c>
    </row>
    <row r="63" spans="1:9" hidden="1">
      <c r="A63" s="763" t="s">
        <v>3773</v>
      </c>
      <c r="B63" s="763" t="s">
        <v>4925</v>
      </c>
      <c r="C63" s="763"/>
      <c r="D63" s="763" t="s">
        <v>7891</v>
      </c>
      <c r="E63" s="763" t="s">
        <v>7892</v>
      </c>
      <c r="F63" s="763" t="s">
        <v>7749</v>
      </c>
      <c r="G63" s="763" t="s">
        <v>7874</v>
      </c>
      <c r="H63" s="763">
        <v>26</v>
      </c>
      <c r="I63" s="763" t="s">
        <v>7893</v>
      </c>
    </row>
    <row r="64" spans="1:9" hidden="1">
      <c r="A64" s="763" t="s">
        <v>3771</v>
      </c>
      <c r="B64" s="763" t="s">
        <v>4938</v>
      </c>
      <c r="C64" s="763"/>
      <c r="D64" s="763" t="s">
        <v>7894</v>
      </c>
      <c r="E64" s="763" t="s">
        <v>7895</v>
      </c>
      <c r="F64" s="763" t="s">
        <v>7749</v>
      </c>
      <c r="G64" s="763" t="s">
        <v>558</v>
      </c>
      <c r="H64" s="763">
        <v>18</v>
      </c>
      <c r="I64" s="763" t="s">
        <v>7896</v>
      </c>
    </row>
    <row r="65" spans="1:9" hidden="1">
      <c r="A65" s="763" t="s">
        <v>3760</v>
      </c>
      <c r="B65" s="763" t="s">
        <v>4953</v>
      </c>
      <c r="C65" s="763"/>
      <c r="D65" s="763" t="s">
        <v>7897</v>
      </c>
      <c r="E65" s="763" t="s">
        <v>7898</v>
      </c>
      <c r="F65" s="763" t="s">
        <v>7749</v>
      </c>
      <c r="G65" s="763" t="s">
        <v>7757</v>
      </c>
      <c r="H65" s="763">
        <v>390</v>
      </c>
      <c r="I65" s="764">
        <v>1935065</v>
      </c>
    </row>
    <row r="66" spans="1:9" hidden="1">
      <c r="A66" s="763" t="s">
        <v>3759</v>
      </c>
      <c r="B66" s="763" t="s">
        <v>4954</v>
      </c>
      <c r="C66" s="763"/>
      <c r="D66" s="763" t="s">
        <v>7899</v>
      </c>
      <c r="E66" s="763" t="s">
        <v>7900</v>
      </c>
      <c r="F66" s="763" t="s">
        <v>7749</v>
      </c>
      <c r="G66" s="763" t="s">
        <v>558</v>
      </c>
      <c r="H66" s="763">
        <v>145</v>
      </c>
      <c r="I66" s="763" t="s">
        <v>7901</v>
      </c>
    </row>
    <row r="67" spans="1:9" hidden="1">
      <c r="A67" s="763" t="s">
        <v>4961</v>
      </c>
      <c r="B67" s="763" t="s">
        <v>4962</v>
      </c>
      <c r="C67" s="763"/>
      <c r="D67" s="763" t="s">
        <v>7902</v>
      </c>
      <c r="E67" s="763" t="s">
        <v>7903</v>
      </c>
      <c r="F67" s="763" t="s">
        <v>7749</v>
      </c>
      <c r="G67" s="763" t="s">
        <v>1347</v>
      </c>
      <c r="H67" s="763">
        <v>174</v>
      </c>
      <c r="I67" s="763" t="s">
        <v>7904</v>
      </c>
    </row>
    <row r="68" spans="1:9" hidden="1">
      <c r="A68" s="763" t="s">
        <v>3753</v>
      </c>
      <c r="B68" s="763" t="s">
        <v>4966</v>
      </c>
      <c r="C68" s="763"/>
      <c r="D68" s="763" t="s">
        <v>7905</v>
      </c>
      <c r="E68" s="763" t="s">
        <v>7906</v>
      </c>
      <c r="F68" s="763" t="s">
        <v>7749</v>
      </c>
      <c r="G68" s="763" t="s">
        <v>558</v>
      </c>
      <c r="H68" s="763">
        <v>167</v>
      </c>
      <c r="I68" s="764">
        <v>34183</v>
      </c>
    </row>
    <row r="69" spans="1:9" hidden="1">
      <c r="A69" s="763" t="s">
        <v>3751</v>
      </c>
      <c r="B69" s="763" t="s">
        <v>4968</v>
      </c>
      <c r="C69" s="763"/>
      <c r="D69" s="763" t="s">
        <v>7907</v>
      </c>
      <c r="E69" s="763" t="s">
        <v>7908</v>
      </c>
      <c r="F69" s="763" t="s">
        <v>7749</v>
      </c>
      <c r="G69" s="763" t="s">
        <v>1225</v>
      </c>
      <c r="H69" s="763">
        <v>325</v>
      </c>
      <c r="I69" s="763" t="s">
        <v>7909</v>
      </c>
    </row>
    <row r="70" spans="1:9" hidden="1">
      <c r="A70" s="763" t="s">
        <v>2905</v>
      </c>
      <c r="B70" s="763" t="s">
        <v>4971</v>
      </c>
      <c r="C70" s="763"/>
      <c r="D70" s="763" t="s">
        <v>7910</v>
      </c>
      <c r="E70" s="763" t="s">
        <v>7911</v>
      </c>
      <c r="F70" s="763" t="s">
        <v>7749</v>
      </c>
      <c r="G70" s="763" t="s">
        <v>558</v>
      </c>
      <c r="H70" s="763">
        <v>88</v>
      </c>
      <c r="I70" s="764">
        <v>34065</v>
      </c>
    </row>
    <row r="71" spans="1:9" hidden="1">
      <c r="A71" s="763" t="s">
        <v>4975</v>
      </c>
      <c r="B71" s="763" t="s">
        <v>4976</v>
      </c>
      <c r="C71" s="763"/>
      <c r="D71" s="763" t="s">
        <v>7912</v>
      </c>
      <c r="E71" s="763" t="s">
        <v>7913</v>
      </c>
      <c r="F71" s="763" t="s">
        <v>7749</v>
      </c>
      <c r="G71" s="763" t="s">
        <v>7784</v>
      </c>
      <c r="H71" s="763">
        <v>69</v>
      </c>
      <c r="I71" s="764">
        <v>34549</v>
      </c>
    </row>
    <row r="72" spans="1:9" hidden="1">
      <c r="A72" s="763" t="s">
        <v>3742</v>
      </c>
      <c r="B72" s="763" t="s">
        <v>4977</v>
      </c>
      <c r="C72" s="763"/>
      <c r="D72" s="763" t="s">
        <v>7914</v>
      </c>
      <c r="E72" s="763" t="s">
        <v>7915</v>
      </c>
      <c r="F72" s="763" t="s">
        <v>7749</v>
      </c>
      <c r="G72" s="763" t="s">
        <v>558</v>
      </c>
      <c r="H72" s="763">
        <v>320</v>
      </c>
      <c r="I72" s="763" t="s">
        <v>7916</v>
      </c>
    </row>
    <row r="73" spans="1:9" hidden="1">
      <c r="A73" s="763" t="s">
        <v>3733</v>
      </c>
      <c r="B73" s="763" t="s">
        <v>4986</v>
      </c>
      <c r="C73" s="763"/>
      <c r="D73" s="763" t="s">
        <v>7917</v>
      </c>
      <c r="E73" s="763" t="s">
        <v>7918</v>
      </c>
      <c r="F73" s="763" t="s">
        <v>7749</v>
      </c>
      <c r="G73" s="763" t="s">
        <v>7765</v>
      </c>
      <c r="H73" s="763">
        <v>120</v>
      </c>
      <c r="I73" s="763" t="s">
        <v>7919</v>
      </c>
    </row>
    <row r="74" spans="1:9" hidden="1">
      <c r="A74" s="763" t="s">
        <v>3732</v>
      </c>
      <c r="B74" s="763" t="s">
        <v>4987</v>
      </c>
      <c r="C74" s="763"/>
      <c r="D74" s="763" t="s">
        <v>7920</v>
      </c>
      <c r="E74" s="763" t="s">
        <v>7921</v>
      </c>
      <c r="F74" s="763" t="s">
        <v>7749</v>
      </c>
      <c r="G74" s="763" t="s">
        <v>7784</v>
      </c>
      <c r="H74" s="763">
        <v>16</v>
      </c>
      <c r="I74" s="764">
        <v>34643</v>
      </c>
    </row>
    <row r="75" spans="1:9" hidden="1">
      <c r="A75" s="763" t="s">
        <v>3725</v>
      </c>
      <c r="B75" s="763" t="s">
        <v>4992</v>
      </c>
      <c r="C75" s="763"/>
      <c r="D75" s="763" t="s">
        <v>7922</v>
      </c>
      <c r="E75" s="763" t="s">
        <v>7923</v>
      </c>
      <c r="F75" s="763" t="s">
        <v>7749</v>
      </c>
      <c r="G75" s="763" t="s">
        <v>558</v>
      </c>
      <c r="H75" s="763">
        <v>7</v>
      </c>
      <c r="I75" s="764">
        <v>35376</v>
      </c>
    </row>
    <row r="76" spans="1:9" hidden="1">
      <c r="A76" s="763" t="s">
        <v>3724</v>
      </c>
      <c r="B76" s="763" t="s">
        <v>4993</v>
      </c>
      <c r="C76" s="763"/>
      <c r="D76" s="763" t="s">
        <v>7924</v>
      </c>
      <c r="E76" s="763" t="s">
        <v>7797</v>
      </c>
      <c r="F76" s="763" t="s">
        <v>7749</v>
      </c>
      <c r="G76" s="763" t="s">
        <v>558</v>
      </c>
      <c r="H76" s="763">
        <v>166</v>
      </c>
      <c r="I76" s="763" t="s">
        <v>7925</v>
      </c>
    </row>
    <row r="77" spans="1:9" hidden="1">
      <c r="A77" s="763" t="s">
        <v>3723</v>
      </c>
      <c r="B77" s="763" t="s">
        <v>4994</v>
      </c>
      <c r="C77" s="763"/>
      <c r="D77" s="763" t="s">
        <v>7926</v>
      </c>
      <c r="E77" s="763" t="s">
        <v>7927</v>
      </c>
      <c r="F77" s="763" t="s">
        <v>7749</v>
      </c>
      <c r="G77" s="763" t="s">
        <v>1225</v>
      </c>
      <c r="H77" s="763">
        <v>365</v>
      </c>
      <c r="I77" s="764">
        <v>35219</v>
      </c>
    </row>
    <row r="78" spans="1:9" hidden="1">
      <c r="A78" s="763" t="s">
        <v>4996</v>
      </c>
      <c r="B78" s="763" t="s">
        <v>4997</v>
      </c>
      <c r="C78" s="763"/>
      <c r="D78" s="763" t="s">
        <v>7928</v>
      </c>
      <c r="E78" s="763" t="s">
        <v>7929</v>
      </c>
      <c r="F78" s="763" t="s">
        <v>7749</v>
      </c>
      <c r="G78" s="763" t="s">
        <v>558</v>
      </c>
      <c r="H78" s="763">
        <v>329</v>
      </c>
      <c r="I78" s="764">
        <v>34456</v>
      </c>
    </row>
    <row r="79" spans="1:9" hidden="1">
      <c r="A79" s="763" t="s">
        <v>3717</v>
      </c>
      <c r="B79" s="763" t="s">
        <v>4999</v>
      </c>
      <c r="C79" s="763"/>
      <c r="D79" s="763" t="s">
        <v>7930</v>
      </c>
      <c r="E79" s="763" t="s">
        <v>7931</v>
      </c>
      <c r="F79" s="763" t="s">
        <v>7749</v>
      </c>
      <c r="G79" s="763" t="s">
        <v>1225</v>
      </c>
      <c r="H79" s="763">
        <v>310</v>
      </c>
      <c r="I79" s="764">
        <v>34860</v>
      </c>
    </row>
    <row r="80" spans="1:9" hidden="1">
      <c r="A80" s="763" t="s">
        <v>3712</v>
      </c>
      <c r="B80" s="763" t="s">
        <v>5007</v>
      </c>
      <c r="C80" s="763"/>
      <c r="D80" s="763" t="s">
        <v>7932</v>
      </c>
      <c r="E80" s="763" t="s">
        <v>7933</v>
      </c>
      <c r="F80" s="763" t="s">
        <v>7749</v>
      </c>
      <c r="G80" s="763" t="s">
        <v>1225</v>
      </c>
      <c r="H80" s="763">
        <v>30</v>
      </c>
      <c r="I80" s="764">
        <v>35316</v>
      </c>
    </row>
    <row r="81" spans="1:9" hidden="1">
      <c r="A81" s="763" t="s">
        <v>3710</v>
      </c>
      <c r="B81" s="763" t="s">
        <v>5009</v>
      </c>
      <c r="C81" s="763"/>
      <c r="D81" s="763" t="s">
        <v>7934</v>
      </c>
      <c r="E81" s="763" t="s">
        <v>7864</v>
      </c>
      <c r="F81" s="763" t="s">
        <v>7749</v>
      </c>
      <c r="G81" s="763" t="s">
        <v>558</v>
      </c>
      <c r="H81" s="763">
        <v>57</v>
      </c>
      <c r="I81" s="763" t="s">
        <v>7935</v>
      </c>
    </row>
    <row r="82" spans="1:9" hidden="1">
      <c r="A82" s="763" t="s">
        <v>3708</v>
      </c>
      <c r="B82" s="763" t="s">
        <v>5011</v>
      </c>
      <c r="C82" s="763"/>
      <c r="D82" s="763" t="s">
        <v>7936</v>
      </c>
      <c r="E82" s="763" t="s">
        <v>7937</v>
      </c>
      <c r="F82" s="763" t="s">
        <v>7749</v>
      </c>
      <c r="G82" s="763" t="s">
        <v>7938</v>
      </c>
      <c r="H82" s="763">
        <v>70</v>
      </c>
      <c r="I82" s="764">
        <v>34428</v>
      </c>
    </row>
    <row r="83" spans="1:9" hidden="1">
      <c r="A83" s="763" t="s">
        <v>3707</v>
      </c>
      <c r="B83" s="763" t="s">
        <v>5014</v>
      </c>
      <c r="C83" s="763"/>
      <c r="D83" s="763" t="s">
        <v>7939</v>
      </c>
      <c r="E83" s="763" t="s">
        <v>7940</v>
      </c>
      <c r="F83" s="763" t="s">
        <v>7749</v>
      </c>
      <c r="G83" s="763" t="s">
        <v>7853</v>
      </c>
      <c r="H83" s="763">
        <v>40</v>
      </c>
      <c r="I83" s="763" t="s">
        <v>7941</v>
      </c>
    </row>
    <row r="84" spans="1:9" hidden="1">
      <c r="A84" s="763" t="s">
        <v>3704</v>
      </c>
      <c r="B84" s="763" t="s">
        <v>5016</v>
      </c>
      <c r="C84" s="763"/>
      <c r="D84" s="763" t="s">
        <v>7942</v>
      </c>
      <c r="E84" s="763" t="s">
        <v>7943</v>
      </c>
      <c r="F84" s="763" t="s">
        <v>7749</v>
      </c>
      <c r="G84" s="763" t="s">
        <v>558</v>
      </c>
      <c r="H84" s="763">
        <v>777</v>
      </c>
      <c r="I84" s="763" t="s">
        <v>7944</v>
      </c>
    </row>
    <row r="85" spans="1:9" hidden="1">
      <c r="A85" s="763" t="s">
        <v>3699</v>
      </c>
      <c r="B85" s="763" t="s">
        <v>5020</v>
      </c>
      <c r="C85" s="763"/>
      <c r="D85" s="763" t="s">
        <v>7945</v>
      </c>
      <c r="E85" s="763" t="s">
        <v>7946</v>
      </c>
      <c r="F85" s="763" t="s">
        <v>7749</v>
      </c>
      <c r="G85" s="763" t="s">
        <v>7757</v>
      </c>
      <c r="H85" s="763">
        <v>249</v>
      </c>
      <c r="I85" s="763" t="s">
        <v>7947</v>
      </c>
    </row>
    <row r="86" spans="1:9" hidden="1">
      <c r="A86" s="763" t="s">
        <v>3693</v>
      </c>
      <c r="B86" s="763" t="s">
        <v>5027</v>
      </c>
      <c r="C86" s="763"/>
      <c r="D86" s="763" t="s">
        <v>7948</v>
      </c>
      <c r="E86" s="763" t="s">
        <v>7949</v>
      </c>
      <c r="F86" s="763" t="s">
        <v>7749</v>
      </c>
      <c r="G86" s="763" t="s">
        <v>7765</v>
      </c>
      <c r="H86" s="763">
        <v>34</v>
      </c>
      <c r="I86" s="764">
        <v>33392</v>
      </c>
    </row>
    <row r="87" spans="1:9" hidden="1">
      <c r="A87" s="763" t="s">
        <v>3689</v>
      </c>
      <c r="B87" s="763" t="s">
        <v>5033</v>
      </c>
      <c r="C87" s="763"/>
      <c r="D87" s="763" t="s">
        <v>7950</v>
      </c>
      <c r="E87" s="763" t="s">
        <v>7951</v>
      </c>
      <c r="F87" s="763" t="s">
        <v>7749</v>
      </c>
      <c r="G87" s="763" t="s">
        <v>7853</v>
      </c>
      <c r="H87" s="763">
        <v>467</v>
      </c>
      <c r="I87" s="764">
        <v>34094</v>
      </c>
    </row>
    <row r="88" spans="1:9" hidden="1">
      <c r="A88" s="763" t="s">
        <v>3688</v>
      </c>
      <c r="B88" s="763" t="s">
        <v>5034</v>
      </c>
      <c r="C88" s="763"/>
      <c r="D88" s="763" t="s">
        <v>7952</v>
      </c>
      <c r="E88" s="763" t="s">
        <v>7933</v>
      </c>
      <c r="F88" s="763" t="s">
        <v>7749</v>
      </c>
      <c r="G88" s="763" t="s">
        <v>1225</v>
      </c>
      <c r="H88" s="763">
        <v>138</v>
      </c>
      <c r="I88" s="763" t="s">
        <v>7953</v>
      </c>
    </row>
    <row r="89" spans="1:9" hidden="1">
      <c r="A89" s="763" t="s">
        <v>3684</v>
      </c>
      <c r="B89" s="763" t="s">
        <v>5039</v>
      </c>
      <c r="C89" s="763"/>
      <c r="D89" s="763" t="s">
        <v>7954</v>
      </c>
      <c r="E89" s="763" t="s">
        <v>7955</v>
      </c>
      <c r="F89" s="763" t="s">
        <v>7749</v>
      </c>
      <c r="G89" s="763" t="s">
        <v>558</v>
      </c>
      <c r="H89" s="763">
        <v>90</v>
      </c>
      <c r="I89" s="763" t="s">
        <v>7956</v>
      </c>
    </row>
    <row r="90" spans="1:9" hidden="1">
      <c r="A90" s="763" t="s">
        <v>3682</v>
      </c>
      <c r="B90" s="763" t="s">
        <v>5041</v>
      </c>
      <c r="C90" s="763"/>
      <c r="D90" s="763" t="s">
        <v>7957</v>
      </c>
      <c r="E90" s="763" t="s">
        <v>7951</v>
      </c>
      <c r="F90" s="763" t="s">
        <v>7749</v>
      </c>
      <c r="G90" s="763" t="s">
        <v>7853</v>
      </c>
      <c r="H90" s="763">
        <v>202</v>
      </c>
      <c r="I90" s="764">
        <v>33827</v>
      </c>
    </row>
    <row r="91" spans="1:9" hidden="1">
      <c r="A91" s="763" t="s">
        <v>3681</v>
      </c>
      <c r="B91" s="763" t="s">
        <v>5042</v>
      </c>
      <c r="C91" s="763"/>
      <c r="D91" s="763" t="s">
        <v>7958</v>
      </c>
      <c r="E91" s="763" t="s">
        <v>7959</v>
      </c>
      <c r="F91" s="763" t="s">
        <v>7749</v>
      </c>
      <c r="G91" s="763" t="s">
        <v>7750</v>
      </c>
      <c r="H91" s="763">
        <v>81</v>
      </c>
      <c r="I91" s="764">
        <v>34222</v>
      </c>
    </row>
    <row r="92" spans="1:9" hidden="1">
      <c r="A92" s="763" t="s">
        <v>3677</v>
      </c>
      <c r="B92" s="763" t="s">
        <v>5045</v>
      </c>
      <c r="C92" s="763"/>
      <c r="D92" s="763" t="s">
        <v>7960</v>
      </c>
      <c r="E92" s="763" t="s">
        <v>7820</v>
      </c>
      <c r="F92" s="763" t="s">
        <v>7749</v>
      </c>
      <c r="G92" s="763" t="s">
        <v>1347</v>
      </c>
      <c r="H92" s="763">
        <v>749</v>
      </c>
      <c r="I92" s="763" t="s">
        <v>7961</v>
      </c>
    </row>
    <row r="93" spans="1:9" hidden="1">
      <c r="A93" s="763" t="s">
        <v>2723</v>
      </c>
      <c r="B93" s="763" t="s">
        <v>5054</v>
      </c>
      <c r="C93" s="763"/>
      <c r="D93" s="763" t="s">
        <v>7962</v>
      </c>
      <c r="E93" s="763" t="s">
        <v>7963</v>
      </c>
      <c r="F93" s="763" t="s">
        <v>7749</v>
      </c>
      <c r="G93" s="763" t="s">
        <v>7771</v>
      </c>
      <c r="H93" s="763">
        <v>104</v>
      </c>
      <c r="I93" s="763" t="s">
        <v>7916</v>
      </c>
    </row>
    <row r="94" spans="1:9" hidden="1">
      <c r="A94" s="763" t="s">
        <v>2726</v>
      </c>
      <c r="B94" s="763" t="s">
        <v>5056</v>
      </c>
      <c r="C94" s="763"/>
      <c r="D94" s="763" t="s">
        <v>7964</v>
      </c>
      <c r="E94" s="763" t="s">
        <v>7965</v>
      </c>
      <c r="F94" s="763" t="s">
        <v>7749</v>
      </c>
      <c r="G94" s="763" t="s">
        <v>1347</v>
      </c>
      <c r="H94" s="763">
        <v>400</v>
      </c>
      <c r="I94" s="763" t="s">
        <v>7966</v>
      </c>
    </row>
    <row r="95" spans="1:9" hidden="1">
      <c r="A95" s="763" t="s">
        <v>3671</v>
      </c>
      <c r="B95" s="763" t="s">
        <v>5059</v>
      </c>
      <c r="C95" s="763"/>
      <c r="D95" s="763" t="s">
        <v>7967</v>
      </c>
      <c r="E95" s="763" t="s">
        <v>7927</v>
      </c>
      <c r="F95" s="763" t="s">
        <v>7749</v>
      </c>
      <c r="G95" s="763" t="s">
        <v>1225</v>
      </c>
      <c r="H95" s="763">
        <v>239</v>
      </c>
      <c r="I95" s="764">
        <v>35866</v>
      </c>
    </row>
    <row r="96" spans="1:9" hidden="1">
      <c r="A96" s="763" t="s">
        <v>2737</v>
      </c>
      <c r="B96" s="763" t="s">
        <v>5066</v>
      </c>
      <c r="C96" s="763" t="s">
        <v>7968</v>
      </c>
      <c r="D96" s="763" t="s">
        <v>7969</v>
      </c>
      <c r="E96" s="763" t="s">
        <v>7820</v>
      </c>
      <c r="F96" s="763" t="s">
        <v>7749</v>
      </c>
      <c r="G96" s="763" t="s">
        <v>1347</v>
      </c>
      <c r="H96" s="763">
        <v>77</v>
      </c>
      <c r="I96" s="763" t="s">
        <v>7970</v>
      </c>
    </row>
    <row r="97" spans="1:9" hidden="1">
      <c r="A97" s="763" t="s">
        <v>3665</v>
      </c>
      <c r="B97" s="763" t="s">
        <v>5067</v>
      </c>
      <c r="C97" s="763"/>
      <c r="D97" s="763" t="s">
        <v>7971</v>
      </c>
      <c r="E97" s="763" t="s">
        <v>7972</v>
      </c>
      <c r="F97" s="763" t="s">
        <v>7749</v>
      </c>
      <c r="G97" s="763" t="s">
        <v>558</v>
      </c>
      <c r="H97" s="763">
        <v>555</v>
      </c>
      <c r="I97" s="764">
        <v>35649</v>
      </c>
    </row>
    <row r="98" spans="1:9" hidden="1">
      <c r="A98" s="763" t="s">
        <v>3664</v>
      </c>
      <c r="B98" s="763" t="s">
        <v>5069</v>
      </c>
      <c r="C98" s="763"/>
      <c r="D98" s="763" t="s">
        <v>7973</v>
      </c>
      <c r="E98" s="763" t="s">
        <v>7974</v>
      </c>
      <c r="F98" s="763" t="s">
        <v>7749</v>
      </c>
      <c r="G98" s="763" t="s">
        <v>7750</v>
      </c>
      <c r="H98" s="763">
        <v>68</v>
      </c>
      <c r="I98" s="763" t="s">
        <v>7975</v>
      </c>
    </row>
    <row r="99" spans="1:9" hidden="1">
      <c r="A99" s="763" t="s">
        <v>3662</v>
      </c>
      <c r="B99" s="763" t="s">
        <v>5071</v>
      </c>
      <c r="C99" s="763"/>
      <c r="D99" s="763" t="s">
        <v>7976</v>
      </c>
      <c r="E99" s="763" t="s">
        <v>7977</v>
      </c>
      <c r="F99" s="763" t="s">
        <v>7749</v>
      </c>
      <c r="G99" s="763" t="s">
        <v>558</v>
      </c>
      <c r="H99" s="763">
        <v>120</v>
      </c>
      <c r="I99" s="763" t="s">
        <v>7978</v>
      </c>
    </row>
    <row r="100" spans="1:9" hidden="1">
      <c r="A100" s="763" t="s">
        <v>4358</v>
      </c>
      <c r="B100" s="763" t="s">
        <v>5073</v>
      </c>
      <c r="C100" s="763"/>
      <c r="D100" s="763" t="s">
        <v>7979</v>
      </c>
      <c r="E100" s="763" t="s">
        <v>7980</v>
      </c>
      <c r="F100" s="763" t="s">
        <v>7749</v>
      </c>
      <c r="G100" s="763" t="s">
        <v>7757</v>
      </c>
      <c r="H100" s="763">
        <v>36</v>
      </c>
      <c r="I100" s="763" t="s">
        <v>7981</v>
      </c>
    </row>
    <row r="101" spans="1:9" hidden="1">
      <c r="A101" s="763" t="s">
        <v>3654</v>
      </c>
      <c r="B101" s="763" t="s">
        <v>5081</v>
      </c>
      <c r="C101" s="763"/>
      <c r="D101" s="763" t="s">
        <v>7982</v>
      </c>
      <c r="E101" s="763" t="s">
        <v>7868</v>
      </c>
      <c r="F101" s="763" t="s">
        <v>7749</v>
      </c>
      <c r="G101" s="763" t="s">
        <v>7757</v>
      </c>
      <c r="H101" s="763">
        <v>321</v>
      </c>
      <c r="I101" s="764">
        <v>33063</v>
      </c>
    </row>
    <row r="102" spans="1:9" hidden="1">
      <c r="A102" s="763" t="s">
        <v>3651</v>
      </c>
      <c r="B102" s="763" t="s">
        <v>5085</v>
      </c>
      <c r="C102" s="763"/>
      <c r="D102" s="763" t="s">
        <v>7983</v>
      </c>
      <c r="E102" s="763" t="s">
        <v>7984</v>
      </c>
      <c r="F102" s="763" t="s">
        <v>7749</v>
      </c>
      <c r="G102" s="763" t="s">
        <v>7750</v>
      </c>
      <c r="H102" s="763">
        <v>285</v>
      </c>
      <c r="I102" s="764">
        <v>35008</v>
      </c>
    </row>
    <row r="103" spans="1:9" hidden="1">
      <c r="A103" s="763" t="s">
        <v>3646</v>
      </c>
      <c r="B103" s="763" t="s">
        <v>5090</v>
      </c>
      <c r="C103" s="763"/>
      <c r="D103" s="763" t="s">
        <v>7985</v>
      </c>
      <c r="E103" s="763" t="s">
        <v>7986</v>
      </c>
      <c r="F103" s="763" t="s">
        <v>7749</v>
      </c>
      <c r="G103" s="763" t="s">
        <v>7750</v>
      </c>
      <c r="H103" s="763">
        <v>210</v>
      </c>
      <c r="I103" s="763" t="s">
        <v>7987</v>
      </c>
    </row>
    <row r="104" spans="1:9" hidden="1">
      <c r="A104" s="763" t="s">
        <v>3645</v>
      </c>
      <c r="B104" s="763" t="s">
        <v>5091</v>
      </c>
      <c r="C104" s="763"/>
      <c r="D104" s="763" t="s">
        <v>7988</v>
      </c>
      <c r="E104" s="763" t="s">
        <v>7989</v>
      </c>
      <c r="F104" s="763" t="s">
        <v>7749</v>
      </c>
      <c r="G104" s="763" t="s">
        <v>7757</v>
      </c>
      <c r="H104" s="763">
        <v>319</v>
      </c>
      <c r="I104" s="764">
        <v>34912</v>
      </c>
    </row>
    <row r="105" spans="1:9" hidden="1">
      <c r="A105" s="763" t="s">
        <v>5105</v>
      </c>
      <c r="B105" s="763" t="s">
        <v>5106</v>
      </c>
      <c r="C105" s="763" t="s">
        <v>7990</v>
      </c>
      <c r="D105" s="763" t="s">
        <v>7991</v>
      </c>
      <c r="E105" s="763" t="s">
        <v>7992</v>
      </c>
      <c r="F105" s="763" t="s">
        <v>7749</v>
      </c>
      <c r="G105" s="763" t="s">
        <v>7993</v>
      </c>
      <c r="H105" s="763" t="s">
        <v>7889</v>
      </c>
      <c r="I105" s="763" t="s">
        <v>7994</v>
      </c>
    </row>
    <row r="106" spans="1:9" hidden="1">
      <c r="A106" s="763" t="s">
        <v>5110</v>
      </c>
      <c r="B106" s="763" t="s">
        <v>5111</v>
      </c>
      <c r="C106" s="763" t="s">
        <v>7995</v>
      </c>
      <c r="D106" s="763" t="s">
        <v>7996</v>
      </c>
      <c r="E106" s="763" t="s">
        <v>7431</v>
      </c>
      <c r="F106" s="763" t="s">
        <v>7749</v>
      </c>
      <c r="G106" s="763" t="s">
        <v>7997</v>
      </c>
      <c r="H106" s="763" t="s">
        <v>7998</v>
      </c>
      <c r="I106" s="763" t="s">
        <v>7999</v>
      </c>
    </row>
    <row r="107" spans="1:9" hidden="1">
      <c r="A107" s="763" t="s">
        <v>3620</v>
      </c>
      <c r="B107" s="763" t="s">
        <v>5128</v>
      </c>
      <c r="C107" s="763"/>
      <c r="D107" s="763" t="s">
        <v>8000</v>
      </c>
      <c r="E107" s="763" t="s">
        <v>8001</v>
      </c>
      <c r="F107" s="763" t="s">
        <v>7749</v>
      </c>
      <c r="G107" s="763" t="s">
        <v>8002</v>
      </c>
      <c r="H107" s="763">
        <v>50</v>
      </c>
      <c r="I107" s="764">
        <v>36259</v>
      </c>
    </row>
    <row r="108" spans="1:9" hidden="1">
      <c r="A108" s="763" t="s">
        <v>2762</v>
      </c>
      <c r="B108" s="763" t="s">
        <v>5132</v>
      </c>
      <c r="C108" s="763"/>
      <c r="D108" s="763" t="s">
        <v>8003</v>
      </c>
      <c r="E108" s="763" t="s">
        <v>8004</v>
      </c>
      <c r="F108" s="763" t="s">
        <v>7749</v>
      </c>
      <c r="G108" s="763" t="s">
        <v>7845</v>
      </c>
      <c r="H108" s="763">
        <v>135</v>
      </c>
      <c r="I108" s="763" t="s">
        <v>8005</v>
      </c>
    </row>
    <row r="109" spans="1:9" hidden="1">
      <c r="A109" s="763" t="s">
        <v>3618</v>
      </c>
      <c r="B109" s="763" t="s">
        <v>5135</v>
      </c>
      <c r="C109" s="763"/>
      <c r="D109" s="763" t="s">
        <v>8006</v>
      </c>
      <c r="E109" s="763" t="s">
        <v>7431</v>
      </c>
      <c r="F109" s="763" t="s">
        <v>7749</v>
      </c>
      <c r="G109" s="763" t="s">
        <v>8007</v>
      </c>
      <c r="H109" s="763" t="s">
        <v>7998</v>
      </c>
      <c r="I109" s="763" t="s">
        <v>8008</v>
      </c>
    </row>
    <row r="110" spans="1:9" hidden="1">
      <c r="A110" s="763" t="s">
        <v>3615</v>
      </c>
      <c r="B110" s="763" t="s">
        <v>5139</v>
      </c>
      <c r="C110" s="763"/>
      <c r="D110" s="763" t="s">
        <v>8009</v>
      </c>
      <c r="E110" s="763" t="s">
        <v>7943</v>
      </c>
      <c r="F110" s="763" t="s">
        <v>7749</v>
      </c>
      <c r="G110" s="763" t="s">
        <v>558</v>
      </c>
      <c r="H110" s="763">
        <v>858</v>
      </c>
      <c r="I110" s="763" t="s">
        <v>8010</v>
      </c>
    </row>
    <row r="111" spans="1:9" hidden="1">
      <c r="A111" s="763" t="s">
        <v>3613</v>
      </c>
      <c r="B111" s="763" t="s">
        <v>5145</v>
      </c>
      <c r="C111" s="763"/>
      <c r="D111" s="763" t="s">
        <v>8011</v>
      </c>
      <c r="E111" s="763" t="s">
        <v>7811</v>
      </c>
      <c r="F111" s="763" t="s">
        <v>7749</v>
      </c>
      <c r="G111" s="763" t="s">
        <v>7762</v>
      </c>
      <c r="H111" s="763">
        <v>67</v>
      </c>
      <c r="I111" s="763" t="s">
        <v>8012</v>
      </c>
    </row>
    <row r="112" spans="1:9" hidden="1">
      <c r="A112" s="763" t="s">
        <v>3612</v>
      </c>
      <c r="B112" s="763" t="s">
        <v>5146</v>
      </c>
      <c r="C112" s="763"/>
      <c r="D112" s="763" t="s">
        <v>8013</v>
      </c>
      <c r="E112" s="763" t="s">
        <v>7764</v>
      </c>
      <c r="F112" s="763" t="s">
        <v>7749</v>
      </c>
      <c r="G112" s="763" t="s">
        <v>7765</v>
      </c>
      <c r="H112" s="763">
        <v>345</v>
      </c>
      <c r="I112" s="763" t="s">
        <v>8014</v>
      </c>
    </row>
    <row r="113" spans="1:9" hidden="1">
      <c r="A113" s="763" t="s">
        <v>3608</v>
      </c>
      <c r="B113" s="763" t="s">
        <v>5150</v>
      </c>
      <c r="C113" s="763"/>
      <c r="D113" s="763" t="s">
        <v>8015</v>
      </c>
      <c r="E113" s="763" t="s">
        <v>8016</v>
      </c>
      <c r="F113" s="763" t="s">
        <v>7749</v>
      </c>
      <c r="G113" s="763" t="s">
        <v>7938</v>
      </c>
      <c r="H113" s="763">
        <v>35</v>
      </c>
      <c r="I113" s="763" t="s">
        <v>8017</v>
      </c>
    </row>
    <row r="114" spans="1:9" hidden="1">
      <c r="A114" s="763" t="s">
        <v>3606</v>
      </c>
      <c r="B114" s="763" t="s">
        <v>5153</v>
      </c>
      <c r="C114" s="763"/>
      <c r="D114" s="763" t="s">
        <v>8018</v>
      </c>
      <c r="E114" s="763" t="s">
        <v>7816</v>
      </c>
      <c r="F114" s="763" t="s">
        <v>7749</v>
      </c>
      <c r="G114" s="763" t="s">
        <v>7817</v>
      </c>
      <c r="H114" s="763">
        <v>265</v>
      </c>
      <c r="I114" s="764">
        <v>33147</v>
      </c>
    </row>
    <row r="115" spans="1:9" hidden="1">
      <c r="A115" s="763" t="s">
        <v>3604</v>
      </c>
      <c r="B115" s="763" t="s">
        <v>5158</v>
      </c>
      <c r="C115" s="763"/>
      <c r="D115" s="763" t="s">
        <v>8019</v>
      </c>
      <c r="E115" s="763" t="s">
        <v>8020</v>
      </c>
      <c r="F115" s="763" t="s">
        <v>7749</v>
      </c>
      <c r="G115" s="763" t="s">
        <v>1225</v>
      </c>
      <c r="H115" s="763">
        <v>45</v>
      </c>
      <c r="I115" s="764">
        <v>35342</v>
      </c>
    </row>
    <row r="116" spans="1:9" hidden="1">
      <c r="A116" s="763" t="s">
        <v>2783</v>
      </c>
      <c r="B116" s="763" t="s">
        <v>5162</v>
      </c>
      <c r="C116" s="763"/>
      <c r="D116" s="763" t="s">
        <v>8021</v>
      </c>
      <c r="E116" s="763" t="s">
        <v>8022</v>
      </c>
      <c r="F116" s="763" t="s">
        <v>7749</v>
      </c>
      <c r="G116" s="763" t="s">
        <v>7750</v>
      </c>
      <c r="H116" s="763">
        <v>61</v>
      </c>
      <c r="I116" s="763" t="s">
        <v>8023</v>
      </c>
    </row>
    <row r="117" spans="1:9" hidden="1">
      <c r="A117" s="763" t="s">
        <v>2791</v>
      </c>
      <c r="B117" s="763" t="s">
        <v>5167</v>
      </c>
      <c r="C117" s="763"/>
      <c r="D117" s="763" t="s">
        <v>8024</v>
      </c>
      <c r="E117" s="763" t="s">
        <v>7900</v>
      </c>
      <c r="F117" s="763" t="s">
        <v>7749</v>
      </c>
      <c r="G117" s="763" t="s">
        <v>558</v>
      </c>
      <c r="H117" s="763">
        <v>45</v>
      </c>
      <c r="I117" s="763" t="s">
        <v>8025</v>
      </c>
    </row>
    <row r="118" spans="1:9" hidden="1">
      <c r="A118" s="761" t="s">
        <v>3597</v>
      </c>
      <c r="B118" s="761" t="s">
        <v>5168</v>
      </c>
      <c r="C118" s="761" t="s">
        <v>8026</v>
      </c>
      <c r="D118" s="761" t="s">
        <v>8027</v>
      </c>
      <c r="E118" s="761" t="s">
        <v>7951</v>
      </c>
      <c r="F118" s="761" t="s">
        <v>7749</v>
      </c>
      <c r="G118" s="761" t="s">
        <v>7853</v>
      </c>
      <c r="H118" s="761">
        <v>40</v>
      </c>
      <c r="I118" s="766">
        <v>36682</v>
      </c>
    </row>
    <row r="119" spans="1:9" hidden="1">
      <c r="A119" s="763" t="s">
        <v>5180</v>
      </c>
      <c r="B119" s="763" t="s">
        <v>5181</v>
      </c>
      <c r="C119" s="763"/>
      <c r="D119" s="763" t="s">
        <v>8028</v>
      </c>
      <c r="E119" s="763" t="s">
        <v>8029</v>
      </c>
      <c r="F119" s="763" t="s">
        <v>7749</v>
      </c>
      <c r="G119" s="763" t="s">
        <v>1347</v>
      </c>
      <c r="H119" s="763">
        <v>49</v>
      </c>
      <c r="I119" s="763" t="s">
        <v>8030</v>
      </c>
    </row>
    <row r="120" spans="1:9" hidden="1">
      <c r="A120" s="763" t="s">
        <v>3592</v>
      </c>
      <c r="B120" s="763" t="s">
        <v>5185</v>
      </c>
      <c r="C120" s="763"/>
      <c r="D120" s="763" t="s">
        <v>8031</v>
      </c>
      <c r="E120" s="763" t="s">
        <v>8032</v>
      </c>
      <c r="F120" s="763" t="s">
        <v>7749</v>
      </c>
      <c r="G120" s="763" t="s">
        <v>558</v>
      </c>
      <c r="H120" s="763">
        <v>131</v>
      </c>
      <c r="I120" s="763" t="s">
        <v>8033</v>
      </c>
    </row>
    <row r="121" spans="1:9" hidden="1">
      <c r="A121" s="763" t="s">
        <v>3591</v>
      </c>
      <c r="B121" s="763" t="s">
        <v>5186</v>
      </c>
      <c r="C121" s="763"/>
      <c r="D121" s="763" t="s">
        <v>8034</v>
      </c>
      <c r="E121" s="763" t="s">
        <v>7951</v>
      </c>
      <c r="F121" s="763" t="s">
        <v>7749</v>
      </c>
      <c r="G121" s="763" t="s">
        <v>7762</v>
      </c>
      <c r="H121" s="763">
        <v>237</v>
      </c>
      <c r="I121" s="764">
        <v>34912</v>
      </c>
    </row>
    <row r="122" spans="1:9" hidden="1">
      <c r="A122" s="763" t="s">
        <v>2820</v>
      </c>
      <c r="B122" s="763" t="s">
        <v>5189</v>
      </c>
      <c r="C122" s="763"/>
      <c r="D122" s="763" t="s">
        <v>8035</v>
      </c>
      <c r="E122" s="763" t="s">
        <v>8036</v>
      </c>
      <c r="F122" s="763" t="s">
        <v>7749</v>
      </c>
      <c r="G122" s="763" t="s">
        <v>558</v>
      </c>
      <c r="H122" s="763">
        <v>243</v>
      </c>
      <c r="I122" s="764">
        <v>33551</v>
      </c>
    </row>
    <row r="123" spans="1:9" hidden="1">
      <c r="A123" s="763" t="s">
        <v>2822</v>
      </c>
      <c r="B123" s="763" t="s">
        <v>5190</v>
      </c>
      <c r="C123" s="763"/>
      <c r="D123" s="763" t="s">
        <v>8037</v>
      </c>
      <c r="E123" s="763" t="s">
        <v>7965</v>
      </c>
      <c r="F123" s="763" t="s">
        <v>7749</v>
      </c>
      <c r="G123" s="763" t="s">
        <v>8038</v>
      </c>
      <c r="H123" s="763">
        <v>289</v>
      </c>
      <c r="I123" s="764">
        <v>35493</v>
      </c>
    </row>
    <row r="124" spans="1:9" hidden="1">
      <c r="A124" s="763" t="s">
        <v>2821</v>
      </c>
      <c r="B124" s="763" t="s">
        <v>5191</v>
      </c>
      <c r="C124" s="763"/>
      <c r="D124" s="763" t="s">
        <v>8039</v>
      </c>
      <c r="E124" s="763" t="s">
        <v>8040</v>
      </c>
      <c r="F124" s="763" t="s">
        <v>7749</v>
      </c>
      <c r="G124" s="763" t="s">
        <v>7750</v>
      </c>
      <c r="H124" s="763">
        <v>95</v>
      </c>
      <c r="I124" s="764">
        <v>34974</v>
      </c>
    </row>
    <row r="125" spans="1:9" hidden="1">
      <c r="A125" s="763" t="s">
        <v>3586</v>
      </c>
      <c r="B125" s="763" t="s">
        <v>5197</v>
      </c>
      <c r="C125" s="763"/>
      <c r="D125" s="763" t="s">
        <v>8041</v>
      </c>
      <c r="E125" s="763" t="s">
        <v>8042</v>
      </c>
      <c r="F125" s="763" t="s">
        <v>7749</v>
      </c>
      <c r="G125" s="763" t="s">
        <v>7869</v>
      </c>
      <c r="H125" s="763">
        <v>290</v>
      </c>
      <c r="I125" s="764">
        <v>35947</v>
      </c>
    </row>
    <row r="126" spans="1:9" hidden="1">
      <c r="A126" s="763" t="s">
        <v>3582</v>
      </c>
      <c r="B126" s="763" t="s">
        <v>5200</v>
      </c>
      <c r="C126" s="763"/>
      <c r="D126" s="763" t="s">
        <v>8043</v>
      </c>
      <c r="E126" s="763" t="s">
        <v>7862</v>
      </c>
      <c r="F126" s="763" t="s">
        <v>7749</v>
      </c>
      <c r="G126" s="763" t="s">
        <v>7757</v>
      </c>
      <c r="H126" s="763">
        <v>165</v>
      </c>
      <c r="I126" s="764">
        <v>34946</v>
      </c>
    </row>
    <row r="127" spans="1:9" hidden="1">
      <c r="A127" s="763" t="s">
        <v>2830</v>
      </c>
      <c r="B127" s="763" t="s">
        <v>5215</v>
      </c>
      <c r="C127" s="763"/>
      <c r="D127" s="763" t="s">
        <v>8044</v>
      </c>
      <c r="E127" s="763" t="s">
        <v>7951</v>
      </c>
      <c r="F127" s="763" t="s">
        <v>7749</v>
      </c>
      <c r="G127" s="763" t="s">
        <v>7762</v>
      </c>
      <c r="H127" s="763">
        <v>393</v>
      </c>
      <c r="I127" s="764">
        <v>35284</v>
      </c>
    </row>
    <row r="128" spans="1:9" hidden="1">
      <c r="A128" s="763" t="s">
        <v>5220</v>
      </c>
      <c r="B128" s="763" t="s">
        <v>5221</v>
      </c>
      <c r="C128" s="763"/>
      <c r="D128" s="763" t="s">
        <v>8045</v>
      </c>
      <c r="E128" s="763" t="s">
        <v>8046</v>
      </c>
      <c r="F128" s="763" t="s">
        <v>7749</v>
      </c>
      <c r="G128" s="763" t="s">
        <v>8047</v>
      </c>
      <c r="H128" s="763">
        <v>143</v>
      </c>
      <c r="I128" s="763" t="s">
        <v>8048</v>
      </c>
    </row>
    <row r="129" spans="1:9" hidden="1">
      <c r="A129" s="763" t="s">
        <v>5222</v>
      </c>
      <c r="B129" s="763" t="s">
        <v>5223</v>
      </c>
      <c r="C129" s="763"/>
      <c r="D129" s="763" t="s">
        <v>8049</v>
      </c>
      <c r="E129" s="763" t="s">
        <v>8050</v>
      </c>
      <c r="F129" s="763" t="s">
        <v>7749</v>
      </c>
      <c r="G129" s="763" t="s">
        <v>558</v>
      </c>
      <c r="H129" s="763">
        <v>735</v>
      </c>
      <c r="I129" s="763" t="s">
        <v>8051</v>
      </c>
    </row>
    <row r="130" spans="1:9" hidden="1">
      <c r="A130" s="763" t="s">
        <v>3579</v>
      </c>
      <c r="B130" s="763" t="s">
        <v>5226</v>
      </c>
      <c r="C130" s="763"/>
      <c r="D130" s="763" t="s">
        <v>8052</v>
      </c>
      <c r="E130" s="763" t="s">
        <v>8053</v>
      </c>
      <c r="F130" s="763" t="s">
        <v>7749</v>
      </c>
      <c r="G130" s="763" t="s">
        <v>7765</v>
      </c>
      <c r="H130" s="763">
        <v>20</v>
      </c>
      <c r="I130" s="763" t="s">
        <v>8054</v>
      </c>
    </row>
    <row r="131" spans="1:9" hidden="1">
      <c r="A131" s="763" t="s">
        <v>5235</v>
      </c>
      <c r="B131" s="763" t="s">
        <v>5236</v>
      </c>
      <c r="C131" s="763"/>
      <c r="D131" s="763" t="s">
        <v>8055</v>
      </c>
      <c r="E131" s="763" t="s">
        <v>8056</v>
      </c>
      <c r="F131" s="763" t="s">
        <v>7749</v>
      </c>
      <c r="G131" s="763" t="s">
        <v>1347</v>
      </c>
      <c r="H131" s="763">
        <v>492</v>
      </c>
      <c r="I131" s="763" t="s">
        <v>8057</v>
      </c>
    </row>
    <row r="132" spans="1:9" hidden="1">
      <c r="A132" s="763" t="s">
        <v>5239</v>
      </c>
      <c r="B132" s="763" t="s">
        <v>5240</v>
      </c>
      <c r="C132" s="763"/>
      <c r="D132" s="763" t="s">
        <v>8058</v>
      </c>
      <c r="E132" s="763" t="s">
        <v>8059</v>
      </c>
      <c r="F132" s="763" t="s">
        <v>7749</v>
      </c>
      <c r="G132" s="763" t="s">
        <v>558</v>
      </c>
      <c r="H132" s="763">
        <v>559</v>
      </c>
      <c r="I132" s="764">
        <v>33913</v>
      </c>
    </row>
    <row r="133" spans="1:9" hidden="1">
      <c r="A133" s="763" t="s">
        <v>5241</v>
      </c>
      <c r="B133" s="763" t="s">
        <v>5242</v>
      </c>
      <c r="C133" s="763"/>
      <c r="D133" s="763" t="s">
        <v>8060</v>
      </c>
      <c r="E133" s="763" t="s">
        <v>8061</v>
      </c>
      <c r="F133" s="763" t="s">
        <v>7749</v>
      </c>
      <c r="G133" s="763" t="s">
        <v>7757</v>
      </c>
      <c r="H133" s="763">
        <v>170</v>
      </c>
      <c r="I133" s="763" t="s">
        <v>8062</v>
      </c>
    </row>
    <row r="134" spans="1:9" hidden="1">
      <c r="A134" s="763" t="s">
        <v>5243</v>
      </c>
      <c r="B134" s="763" t="s">
        <v>5244</v>
      </c>
      <c r="C134" s="763"/>
      <c r="D134" s="763" t="s">
        <v>8063</v>
      </c>
      <c r="E134" s="763" t="s">
        <v>8064</v>
      </c>
      <c r="F134" s="763" t="s">
        <v>7749</v>
      </c>
      <c r="G134" s="763" t="s">
        <v>7853</v>
      </c>
      <c r="H134" s="763">
        <v>121</v>
      </c>
      <c r="I134" s="764">
        <v>33391</v>
      </c>
    </row>
    <row r="135" spans="1:9" hidden="1">
      <c r="A135" s="763" t="s">
        <v>3578</v>
      </c>
      <c r="B135" s="763" t="s">
        <v>5253</v>
      </c>
      <c r="C135" s="763"/>
      <c r="D135" s="763" t="s">
        <v>8065</v>
      </c>
      <c r="E135" s="763" t="s">
        <v>8066</v>
      </c>
      <c r="F135" s="763" t="s">
        <v>7749</v>
      </c>
      <c r="G135" s="763" t="s">
        <v>1347</v>
      </c>
      <c r="H135" s="763">
        <v>330</v>
      </c>
      <c r="I135" s="763" t="s">
        <v>8067</v>
      </c>
    </row>
    <row r="136" spans="1:9" hidden="1">
      <c r="A136" s="763" t="s">
        <v>5256</v>
      </c>
      <c r="B136" s="763" t="s">
        <v>5257</v>
      </c>
      <c r="C136" s="763"/>
      <c r="D136" s="763" t="s">
        <v>8068</v>
      </c>
      <c r="E136" s="763" t="s">
        <v>8069</v>
      </c>
      <c r="F136" s="763" t="s">
        <v>7749</v>
      </c>
      <c r="G136" s="763" t="s">
        <v>7853</v>
      </c>
      <c r="H136" s="763">
        <v>99</v>
      </c>
      <c r="I136" s="763" t="s">
        <v>8070</v>
      </c>
    </row>
    <row r="137" spans="1:9" hidden="1">
      <c r="A137" s="763" t="s">
        <v>5264</v>
      </c>
      <c r="B137" s="763" t="s">
        <v>5265</v>
      </c>
      <c r="C137" s="763" t="s">
        <v>7773</v>
      </c>
      <c r="D137" s="763" t="s">
        <v>8071</v>
      </c>
      <c r="E137" s="763" t="s">
        <v>8072</v>
      </c>
      <c r="F137" s="763" t="s">
        <v>7749</v>
      </c>
      <c r="G137" s="763" t="s">
        <v>1347</v>
      </c>
      <c r="H137" s="763">
        <v>50</v>
      </c>
      <c r="I137" s="764">
        <v>37896</v>
      </c>
    </row>
    <row r="138" spans="1:9" hidden="1">
      <c r="A138" s="763" t="s">
        <v>5271</v>
      </c>
      <c r="B138" s="763" t="s">
        <v>5272</v>
      </c>
      <c r="C138" s="764" t="s">
        <v>8073</v>
      </c>
      <c r="D138" s="763" t="s">
        <v>8074</v>
      </c>
      <c r="E138" s="763" t="s">
        <v>8075</v>
      </c>
      <c r="F138" s="763" t="s">
        <v>7749</v>
      </c>
      <c r="G138" s="763" t="s">
        <v>7765</v>
      </c>
      <c r="H138" s="763">
        <v>40</v>
      </c>
      <c r="I138" s="764">
        <v>37438</v>
      </c>
    </row>
    <row r="139" spans="1:9" hidden="1">
      <c r="A139" s="763" t="s">
        <v>5274</v>
      </c>
      <c r="B139" s="763" t="s">
        <v>5275</v>
      </c>
      <c r="C139" s="763"/>
      <c r="D139" s="763" t="s">
        <v>8076</v>
      </c>
      <c r="E139" s="763" t="s">
        <v>8077</v>
      </c>
      <c r="F139" s="763" t="s">
        <v>7749</v>
      </c>
      <c r="G139" s="763" t="s">
        <v>7865</v>
      </c>
      <c r="H139" s="763">
        <v>41</v>
      </c>
      <c r="I139" s="764">
        <v>33979</v>
      </c>
    </row>
    <row r="140" spans="1:9">
      <c r="A140" s="763" t="s">
        <v>3576</v>
      </c>
      <c r="B140" s="763" t="s">
        <v>5276</v>
      </c>
      <c r="C140" s="763"/>
      <c r="D140" s="763" t="s">
        <v>8078</v>
      </c>
      <c r="E140" s="763" t="s">
        <v>8079</v>
      </c>
      <c r="F140" s="763" t="s">
        <v>7749</v>
      </c>
      <c r="G140" s="763" t="s">
        <v>558</v>
      </c>
      <c r="H140" s="763">
        <v>54</v>
      </c>
      <c r="I140" s="763" t="s">
        <v>8080</v>
      </c>
    </row>
    <row r="141" spans="1:9" hidden="1">
      <c r="A141" s="763" t="s">
        <v>5289</v>
      </c>
      <c r="B141" s="763" t="s">
        <v>5290</v>
      </c>
      <c r="C141" s="763"/>
      <c r="D141" s="763" t="s">
        <v>8081</v>
      </c>
      <c r="E141" s="763" t="s">
        <v>8082</v>
      </c>
      <c r="F141" s="763" t="s">
        <v>7749</v>
      </c>
      <c r="G141" s="763" t="s">
        <v>7874</v>
      </c>
      <c r="H141" s="763">
        <v>51</v>
      </c>
      <c r="I141" s="763" t="s">
        <v>8083</v>
      </c>
    </row>
    <row r="142" spans="1:9" hidden="1">
      <c r="A142" s="763" t="s">
        <v>5297</v>
      </c>
      <c r="B142" s="763" t="s">
        <v>5298</v>
      </c>
      <c r="C142" s="763"/>
      <c r="D142" s="763" t="s">
        <v>8084</v>
      </c>
      <c r="E142" s="763" t="s">
        <v>7906</v>
      </c>
      <c r="F142" s="763" t="s">
        <v>7749</v>
      </c>
      <c r="G142" s="763" t="s">
        <v>1225</v>
      </c>
      <c r="H142" s="763">
        <v>531</v>
      </c>
      <c r="I142" s="763" t="s">
        <v>8085</v>
      </c>
    </row>
    <row r="143" spans="1:9" hidden="1">
      <c r="A143" s="763" t="s">
        <v>5311</v>
      </c>
      <c r="B143" s="763" t="s">
        <v>5312</v>
      </c>
      <c r="C143" s="763" t="s">
        <v>8086</v>
      </c>
      <c r="D143" s="763" t="s">
        <v>8087</v>
      </c>
      <c r="E143" s="763" t="s">
        <v>8088</v>
      </c>
      <c r="F143" s="763" t="s">
        <v>7749</v>
      </c>
      <c r="G143" s="763" t="s">
        <v>7874</v>
      </c>
      <c r="H143" s="763">
        <v>87</v>
      </c>
      <c r="I143" s="763" t="s">
        <v>8089</v>
      </c>
    </row>
    <row r="144" spans="1:9" hidden="1">
      <c r="A144" s="763" t="s">
        <v>5315</v>
      </c>
      <c r="B144" s="763" t="s">
        <v>5316</v>
      </c>
      <c r="C144" s="763"/>
      <c r="D144" s="763" t="s">
        <v>8090</v>
      </c>
      <c r="E144" s="763" t="s">
        <v>8016</v>
      </c>
      <c r="F144" s="763" t="s">
        <v>7749</v>
      </c>
      <c r="G144" s="763" t="s">
        <v>7938</v>
      </c>
      <c r="H144" s="763">
        <v>29</v>
      </c>
      <c r="I144" s="764">
        <v>32971</v>
      </c>
    </row>
    <row r="145" spans="1:9" hidden="1">
      <c r="A145" s="763" t="s">
        <v>5317</v>
      </c>
      <c r="B145" s="763" t="s">
        <v>5318</v>
      </c>
      <c r="C145" s="763" t="s">
        <v>8091</v>
      </c>
      <c r="D145" s="763" t="s">
        <v>8092</v>
      </c>
      <c r="E145" s="763" t="s">
        <v>8093</v>
      </c>
      <c r="F145" s="763" t="s">
        <v>7749</v>
      </c>
      <c r="G145" s="763" t="s">
        <v>7845</v>
      </c>
      <c r="H145" s="763">
        <v>137</v>
      </c>
      <c r="I145" s="763" t="s">
        <v>8094</v>
      </c>
    </row>
    <row r="146" spans="1:9" hidden="1">
      <c r="A146" s="763" t="s">
        <v>5323</v>
      </c>
      <c r="B146" s="763" t="s">
        <v>5324</v>
      </c>
      <c r="C146" s="763"/>
      <c r="D146" s="763" t="s">
        <v>8095</v>
      </c>
      <c r="E146" s="763" t="s">
        <v>7864</v>
      </c>
      <c r="F146" s="763" t="s">
        <v>7749</v>
      </c>
      <c r="G146" s="763" t="s">
        <v>558</v>
      </c>
      <c r="H146" s="763">
        <v>145</v>
      </c>
      <c r="I146" s="763" t="s">
        <v>8096</v>
      </c>
    </row>
    <row r="147" spans="1:9" hidden="1">
      <c r="A147" s="763" t="s">
        <v>5331</v>
      </c>
      <c r="B147" s="763" t="s">
        <v>5332</v>
      </c>
      <c r="C147" s="763" t="s">
        <v>8097</v>
      </c>
      <c r="D147" s="763" t="s">
        <v>8098</v>
      </c>
      <c r="E147" s="763" t="s">
        <v>7843</v>
      </c>
      <c r="F147" s="763" t="s">
        <v>7749</v>
      </c>
      <c r="G147" s="763" t="s">
        <v>7808</v>
      </c>
      <c r="H147" s="763">
        <v>710</v>
      </c>
      <c r="I147" s="763" t="s">
        <v>8099</v>
      </c>
    </row>
    <row r="148" spans="1:9" hidden="1">
      <c r="A148" s="763" t="s">
        <v>5335</v>
      </c>
      <c r="B148" s="763" t="s">
        <v>5336</v>
      </c>
      <c r="C148" s="763"/>
      <c r="D148" s="763" t="s">
        <v>8100</v>
      </c>
      <c r="E148" s="763" t="s">
        <v>8101</v>
      </c>
      <c r="F148" s="763" t="s">
        <v>7749</v>
      </c>
      <c r="G148" s="763" t="s">
        <v>558</v>
      </c>
      <c r="H148" s="763">
        <v>156</v>
      </c>
      <c r="I148" s="763" t="s">
        <v>8102</v>
      </c>
    </row>
    <row r="149" spans="1:9" hidden="1">
      <c r="A149" s="763" t="s">
        <v>3573</v>
      </c>
      <c r="B149" s="763" t="s">
        <v>5340</v>
      </c>
      <c r="C149" s="763"/>
      <c r="D149" s="763" t="s">
        <v>8103</v>
      </c>
      <c r="E149" s="763" t="s">
        <v>7431</v>
      </c>
      <c r="F149" s="763" t="s">
        <v>7749</v>
      </c>
      <c r="G149" s="763" t="s">
        <v>8007</v>
      </c>
      <c r="H149" s="763" t="s">
        <v>7998</v>
      </c>
      <c r="I149" s="763" t="s">
        <v>8104</v>
      </c>
    </row>
    <row r="150" spans="1:9" hidden="1">
      <c r="A150" s="763" t="s">
        <v>5353</v>
      </c>
      <c r="B150" s="763" t="s">
        <v>5354</v>
      </c>
      <c r="C150" s="763"/>
      <c r="D150" s="763" t="s">
        <v>8105</v>
      </c>
      <c r="E150" s="763" t="s">
        <v>8106</v>
      </c>
      <c r="F150" s="763" t="s">
        <v>7749</v>
      </c>
      <c r="G150" s="763" t="s">
        <v>8038</v>
      </c>
      <c r="H150" s="763">
        <v>119</v>
      </c>
      <c r="I150" s="763" t="s">
        <v>8107</v>
      </c>
    </row>
    <row r="151" spans="1:9" hidden="1">
      <c r="A151" s="763" t="s">
        <v>5355</v>
      </c>
      <c r="B151" s="763" t="s">
        <v>5356</v>
      </c>
      <c r="C151" s="763"/>
      <c r="D151" s="763" t="s">
        <v>8108</v>
      </c>
      <c r="E151" s="763" t="s">
        <v>8109</v>
      </c>
      <c r="F151" s="763" t="s">
        <v>7749</v>
      </c>
      <c r="G151" s="763" t="s">
        <v>1225</v>
      </c>
      <c r="H151" s="763">
        <v>31</v>
      </c>
      <c r="I151" s="764">
        <v>33184</v>
      </c>
    </row>
    <row r="152" spans="1:9" hidden="1">
      <c r="A152" s="763" t="s">
        <v>5364</v>
      </c>
      <c r="B152" s="763" t="s">
        <v>5365</v>
      </c>
      <c r="C152" s="763"/>
      <c r="D152" s="763" t="s">
        <v>8110</v>
      </c>
      <c r="E152" s="763" t="s">
        <v>8111</v>
      </c>
      <c r="F152" s="763" t="s">
        <v>7749</v>
      </c>
      <c r="G152" s="763" t="s">
        <v>1225</v>
      </c>
      <c r="H152" s="763">
        <v>76</v>
      </c>
      <c r="I152" s="763" t="s">
        <v>8112</v>
      </c>
    </row>
    <row r="153" spans="1:9" hidden="1">
      <c r="A153" s="763" t="s">
        <v>5366</v>
      </c>
      <c r="B153" s="763" t="s">
        <v>5367</v>
      </c>
      <c r="C153" s="763"/>
      <c r="D153" s="763" t="s">
        <v>8113</v>
      </c>
      <c r="E153" s="763" t="s">
        <v>8114</v>
      </c>
      <c r="F153" s="763" t="s">
        <v>7749</v>
      </c>
      <c r="G153" s="763" t="s">
        <v>7750</v>
      </c>
      <c r="H153" s="763">
        <v>78</v>
      </c>
      <c r="I153" s="763" t="s">
        <v>8115</v>
      </c>
    </row>
    <row r="154" spans="1:9" hidden="1">
      <c r="A154" s="763" t="s">
        <v>5379</v>
      </c>
      <c r="B154" s="763" t="s">
        <v>5380</v>
      </c>
      <c r="C154" s="763"/>
      <c r="D154" s="763" t="s">
        <v>8116</v>
      </c>
      <c r="E154" s="763" t="s">
        <v>7764</v>
      </c>
      <c r="F154" s="763" t="s">
        <v>7749</v>
      </c>
      <c r="G154" s="763" t="s">
        <v>7765</v>
      </c>
      <c r="H154" s="763">
        <v>222</v>
      </c>
      <c r="I154" s="764">
        <v>33879</v>
      </c>
    </row>
    <row r="155" spans="1:9">
      <c r="A155" s="763" t="s">
        <v>5388</v>
      </c>
      <c r="B155" s="763" t="s">
        <v>5389</v>
      </c>
      <c r="C155" s="763"/>
      <c r="D155" s="763" t="s">
        <v>8117</v>
      </c>
      <c r="E155" s="763" t="s">
        <v>7877</v>
      </c>
      <c r="F155" s="763" t="s">
        <v>7749</v>
      </c>
      <c r="G155" s="763" t="s">
        <v>1225</v>
      </c>
      <c r="H155" s="763">
        <v>119</v>
      </c>
      <c r="I155" s="763" t="s">
        <v>8118</v>
      </c>
    </row>
    <row r="156" spans="1:9" hidden="1">
      <c r="A156" s="763" t="s">
        <v>5406</v>
      </c>
      <c r="B156" s="763" t="s">
        <v>5407</v>
      </c>
      <c r="C156" s="763"/>
      <c r="D156" s="763" t="s">
        <v>8119</v>
      </c>
      <c r="E156" s="763" t="s">
        <v>8120</v>
      </c>
      <c r="F156" s="763" t="s">
        <v>7749</v>
      </c>
      <c r="G156" s="763" t="s">
        <v>8038</v>
      </c>
      <c r="H156" s="763">
        <v>67</v>
      </c>
      <c r="I156" s="763" t="s">
        <v>8121</v>
      </c>
    </row>
    <row r="157" spans="1:9" hidden="1">
      <c r="A157" s="763" t="s">
        <v>5412</v>
      </c>
      <c r="B157" s="763" t="s">
        <v>5413</v>
      </c>
      <c r="C157" s="763"/>
      <c r="D157" s="763" t="s">
        <v>8122</v>
      </c>
      <c r="E157" s="763" t="s">
        <v>7933</v>
      </c>
      <c r="F157" s="763" t="s">
        <v>7749</v>
      </c>
      <c r="G157" s="763" t="s">
        <v>1225</v>
      </c>
      <c r="H157" s="763">
        <v>120</v>
      </c>
      <c r="I157" s="764">
        <v>35313</v>
      </c>
    </row>
    <row r="158" spans="1:9" hidden="1">
      <c r="A158" s="763" t="s">
        <v>5420</v>
      </c>
      <c r="B158" s="763" t="s">
        <v>5421</v>
      </c>
      <c r="C158" s="763"/>
      <c r="D158" s="763" t="s">
        <v>8123</v>
      </c>
      <c r="E158" s="763" t="s">
        <v>8124</v>
      </c>
      <c r="F158" s="763" t="s">
        <v>7749</v>
      </c>
      <c r="G158" s="763" t="s">
        <v>7886</v>
      </c>
      <c r="H158" s="763">
        <v>41</v>
      </c>
      <c r="I158" s="764">
        <v>35006</v>
      </c>
    </row>
    <row r="159" spans="1:9" hidden="1">
      <c r="A159" s="763" t="s">
        <v>5427</v>
      </c>
      <c r="B159" s="763" t="s">
        <v>5428</v>
      </c>
      <c r="C159" s="763"/>
      <c r="D159" s="763" t="s">
        <v>8125</v>
      </c>
      <c r="E159" s="763" t="s">
        <v>7795</v>
      </c>
      <c r="F159" s="763" t="s">
        <v>7749</v>
      </c>
      <c r="G159" s="763" t="s">
        <v>7757</v>
      </c>
      <c r="H159" s="763">
        <v>439</v>
      </c>
      <c r="I159" s="763" t="s">
        <v>8126</v>
      </c>
    </row>
    <row r="160" spans="1:9" hidden="1">
      <c r="A160" s="763" t="s">
        <v>5435</v>
      </c>
      <c r="B160" s="763" t="s">
        <v>5436</v>
      </c>
      <c r="C160" s="763"/>
      <c r="D160" s="763" t="s">
        <v>8127</v>
      </c>
      <c r="E160" s="763" t="s">
        <v>8128</v>
      </c>
      <c r="F160" s="763" t="s">
        <v>7749</v>
      </c>
      <c r="G160" s="763" t="s">
        <v>7874</v>
      </c>
      <c r="H160" s="763">
        <v>720</v>
      </c>
      <c r="I160" s="764">
        <v>35582</v>
      </c>
    </row>
    <row r="161" spans="1:9" hidden="1">
      <c r="A161" s="763" t="s">
        <v>5441</v>
      </c>
      <c r="B161" s="763" t="s">
        <v>5442</v>
      </c>
      <c r="C161" s="763"/>
      <c r="D161" s="763" t="s">
        <v>8129</v>
      </c>
      <c r="E161" s="763" t="s">
        <v>8130</v>
      </c>
      <c r="F161" s="763" t="s">
        <v>7749</v>
      </c>
      <c r="G161" s="763" t="s">
        <v>7853</v>
      </c>
      <c r="H161" s="763">
        <v>416</v>
      </c>
      <c r="I161" s="763" t="s">
        <v>8131</v>
      </c>
    </row>
    <row r="162" spans="1:9" hidden="1">
      <c r="A162" s="763" t="s">
        <v>5447</v>
      </c>
      <c r="B162" s="763" t="s">
        <v>5448</v>
      </c>
      <c r="C162" s="763"/>
      <c r="D162" s="763" t="s">
        <v>8132</v>
      </c>
      <c r="E162" s="763" t="s">
        <v>7811</v>
      </c>
      <c r="F162" s="763" t="s">
        <v>7749</v>
      </c>
      <c r="G162" s="763" t="s">
        <v>7853</v>
      </c>
      <c r="H162" s="763">
        <v>221</v>
      </c>
      <c r="I162" s="764">
        <v>35862</v>
      </c>
    </row>
    <row r="163" spans="1:9" hidden="1">
      <c r="A163" s="761" t="s">
        <v>5456</v>
      </c>
      <c r="B163" s="761" t="s">
        <v>5457</v>
      </c>
      <c r="C163" s="761" t="s">
        <v>8133</v>
      </c>
      <c r="D163" s="761" t="s">
        <v>8134</v>
      </c>
      <c r="E163" s="761" t="s">
        <v>8135</v>
      </c>
      <c r="F163" s="761" t="s">
        <v>7749</v>
      </c>
      <c r="G163" s="761" t="s">
        <v>7874</v>
      </c>
      <c r="H163" s="763">
        <v>1</v>
      </c>
      <c r="I163" s="763" t="s">
        <v>8136</v>
      </c>
    </row>
    <row r="164" spans="1:9" hidden="1">
      <c r="A164" s="763" t="s">
        <v>5460</v>
      </c>
      <c r="B164" s="763" t="s">
        <v>5461</v>
      </c>
      <c r="C164" s="763"/>
      <c r="D164" s="763" t="s">
        <v>8137</v>
      </c>
      <c r="E164" s="763" t="s">
        <v>8138</v>
      </c>
      <c r="F164" s="763" t="s">
        <v>7749</v>
      </c>
      <c r="G164" s="763" t="s">
        <v>7765</v>
      </c>
      <c r="H164" s="763">
        <v>32</v>
      </c>
      <c r="I164" s="763" t="s">
        <v>8139</v>
      </c>
    </row>
    <row r="165" spans="1:9" hidden="1">
      <c r="A165" s="763" t="s">
        <v>3560</v>
      </c>
      <c r="B165" s="763" t="s">
        <v>5480</v>
      </c>
      <c r="C165" s="763" t="s">
        <v>8140</v>
      </c>
      <c r="D165" s="763" t="s">
        <v>8141</v>
      </c>
      <c r="E165" s="763" t="s">
        <v>7880</v>
      </c>
      <c r="F165" s="763" t="s">
        <v>7749</v>
      </c>
      <c r="G165" s="763" t="s">
        <v>1347</v>
      </c>
      <c r="H165" s="763">
        <v>101</v>
      </c>
      <c r="I165" s="764">
        <v>37473</v>
      </c>
    </row>
    <row r="166" spans="1:9" hidden="1">
      <c r="A166" s="763" t="s">
        <v>3558</v>
      </c>
      <c r="B166" s="763" t="s">
        <v>5482</v>
      </c>
      <c r="C166" s="763"/>
      <c r="D166" s="763" t="s">
        <v>8142</v>
      </c>
      <c r="E166" s="763" t="s">
        <v>8050</v>
      </c>
      <c r="F166" s="763" t="s">
        <v>7749</v>
      </c>
      <c r="G166" s="763" t="s">
        <v>558</v>
      </c>
      <c r="H166" s="763">
        <v>690</v>
      </c>
      <c r="I166" s="764">
        <v>33122</v>
      </c>
    </row>
    <row r="167" spans="1:9" hidden="1">
      <c r="A167" s="763" t="s">
        <v>3554</v>
      </c>
      <c r="B167" s="763" t="s">
        <v>5489</v>
      </c>
      <c r="C167" s="763"/>
      <c r="D167" s="763" t="s">
        <v>8143</v>
      </c>
      <c r="E167" s="763" t="s">
        <v>8144</v>
      </c>
      <c r="F167" s="763" t="s">
        <v>7749</v>
      </c>
      <c r="G167" s="763" t="s">
        <v>558</v>
      </c>
      <c r="H167" s="763">
        <v>91</v>
      </c>
      <c r="I167" s="763" t="s">
        <v>8145</v>
      </c>
    </row>
    <row r="168" spans="1:9" hidden="1">
      <c r="A168" s="763" t="s">
        <v>5493</v>
      </c>
      <c r="B168" s="763" t="s">
        <v>5494</v>
      </c>
      <c r="C168" s="763"/>
      <c r="D168" s="763" t="s">
        <v>8146</v>
      </c>
      <c r="E168" s="763" t="s">
        <v>7843</v>
      </c>
      <c r="F168" s="763" t="s">
        <v>7749</v>
      </c>
      <c r="G168" s="763" t="s">
        <v>8038</v>
      </c>
      <c r="H168" s="763">
        <v>820</v>
      </c>
      <c r="I168" s="764">
        <v>35069</v>
      </c>
    </row>
    <row r="169" spans="1:9">
      <c r="A169" s="763" t="s">
        <v>5496</v>
      </c>
      <c r="B169" s="763" t="s">
        <v>5497</v>
      </c>
      <c r="C169" s="763"/>
      <c r="D169" s="763" t="s">
        <v>8147</v>
      </c>
      <c r="E169" s="763" t="s">
        <v>8148</v>
      </c>
      <c r="F169" s="763" t="s">
        <v>7749</v>
      </c>
      <c r="G169" s="763" t="s">
        <v>7784</v>
      </c>
      <c r="H169" s="763">
        <v>153</v>
      </c>
      <c r="I169" s="764">
        <v>37114</v>
      </c>
    </row>
    <row r="170" spans="1:9" hidden="1">
      <c r="A170" s="763" t="s">
        <v>3547</v>
      </c>
      <c r="B170" s="763" t="s">
        <v>5506</v>
      </c>
      <c r="C170" s="763" t="s">
        <v>7773</v>
      </c>
      <c r="D170" s="763" t="s">
        <v>8149</v>
      </c>
      <c r="E170" s="763" t="s">
        <v>7943</v>
      </c>
      <c r="F170" s="763" t="s">
        <v>7749</v>
      </c>
      <c r="G170" s="763" t="s">
        <v>558</v>
      </c>
      <c r="H170" s="763">
        <v>662</v>
      </c>
      <c r="I170" s="764">
        <v>38235</v>
      </c>
    </row>
    <row r="171" spans="1:9" hidden="1">
      <c r="A171" s="761" t="s">
        <v>3541</v>
      </c>
      <c r="B171" s="761" t="s">
        <v>5513</v>
      </c>
      <c r="C171" s="761" t="s">
        <v>8150</v>
      </c>
      <c r="D171" s="761" t="s">
        <v>8151</v>
      </c>
      <c r="E171" s="761" t="s">
        <v>7797</v>
      </c>
      <c r="F171" s="761" t="s">
        <v>7749</v>
      </c>
      <c r="G171" s="761" t="s">
        <v>558</v>
      </c>
      <c r="H171" s="761">
        <v>215</v>
      </c>
      <c r="I171" s="766">
        <v>37905</v>
      </c>
    </row>
    <row r="172" spans="1:9" hidden="1">
      <c r="A172" s="763" t="s">
        <v>5516</v>
      </c>
      <c r="B172" s="763" t="s">
        <v>5517</v>
      </c>
      <c r="C172" s="763"/>
      <c r="D172" s="763" t="s">
        <v>8152</v>
      </c>
      <c r="E172" s="763" t="s">
        <v>7820</v>
      </c>
      <c r="F172" s="763" t="s">
        <v>7749</v>
      </c>
      <c r="G172" s="763" t="s">
        <v>8153</v>
      </c>
      <c r="H172" s="763">
        <v>142</v>
      </c>
      <c r="I172" s="764">
        <v>34952</v>
      </c>
    </row>
    <row r="173" spans="1:9" hidden="1">
      <c r="A173" s="763" t="s">
        <v>5518</v>
      </c>
      <c r="B173" s="763" t="s">
        <v>5519</v>
      </c>
      <c r="C173" s="763"/>
      <c r="D173" s="763" t="s">
        <v>8154</v>
      </c>
      <c r="E173" s="763" t="s">
        <v>7959</v>
      </c>
      <c r="F173" s="763" t="s">
        <v>7749</v>
      </c>
      <c r="G173" s="763" t="s">
        <v>7938</v>
      </c>
      <c r="H173" s="763">
        <v>88</v>
      </c>
      <c r="I173" s="763" t="s">
        <v>8155</v>
      </c>
    </row>
    <row r="174" spans="1:9" hidden="1">
      <c r="A174" s="763" t="s">
        <v>5521</v>
      </c>
      <c r="B174" s="763" t="s">
        <v>5522</v>
      </c>
      <c r="C174" s="763"/>
      <c r="D174" s="763" t="s">
        <v>8156</v>
      </c>
      <c r="E174" s="763" t="s">
        <v>8157</v>
      </c>
      <c r="F174" s="763" t="s">
        <v>7749</v>
      </c>
      <c r="G174" s="763" t="s">
        <v>7765</v>
      </c>
      <c r="H174" s="763">
        <v>94</v>
      </c>
      <c r="I174" s="764">
        <v>35948</v>
      </c>
    </row>
    <row r="175" spans="1:9" hidden="1">
      <c r="A175" s="763" t="s">
        <v>3535</v>
      </c>
      <c r="B175" s="763" t="s">
        <v>5530</v>
      </c>
      <c r="C175" s="763"/>
      <c r="D175" s="763" t="s">
        <v>8158</v>
      </c>
      <c r="E175" s="763" t="s">
        <v>8159</v>
      </c>
      <c r="F175" s="763" t="s">
        <v>7749</v>
      </c>
      <c r="G175" s="763" t="s">
        <v>7765</v>
      </c>
      <c r="H175" s="763">
        <v>31</v>
      </c>
      <c r="I175" s="763" t="s">
        <v>8160</v>
      </c>
    </row>
    <row r="176" spans="1:9" hidden="1">
      <c r="A176" s="763" t="s">
        <v>3534</v>
      </c>
      <c r="B176" s="763" t="s">
        <v>5531</v>
      </c>
      <c r="C176" s="763"/>
      <c r="D176" s="763" t="s">
        <v>8161</v>
      </c>
      <c r="E176" s="763" t="s">
        <v>8162</v>
      </c>
      <c r="F176" s="763" t="s">
        <v>7749</v>
      </c>
      <c r="G176" s="763" t="s">
        <v>1225</v>
      </c>
      <c r="H176" s="763">
        <v>88</v>
      </c>
      <c r="I176" s="763" t="s">
        <v>8163</v>
      </c>
    </row>
    <row r="177" spans="1:9" hidden="1">
      <c r="A177" s="763" t="s">
        <v>5532</v>
      </c>
      <c r="B177" s="763" t="s">
        <v>5533</v>
      </c>
      <c r="C177" s="763"/>
      <c r="D177" s="763" t="s">
        <v>8164</v>
      </c>
      <c r="E177" s="763" t="s">
        <v>7859</v>
      </c>
      <c r="F177" s="763" t="s">
        <v>7749</v>
      </c>
      <c r="G177" s="763" t="s">
        <v>7853</v>
      </c>
      <c r="H177" s="763">
        <v>10</v>
      </c>
      <c r="I177" s="764">
        <v>44775</v>
      </c>
    </row>
    <row r="178" spans="1:9" hidden="1">
      <c r="A178" s="763" t="s">
        <v>5548</v>
      </c>
      <c r="B178" s="763" t="s">
        <v>5549</v>
      </c>
      <c r="C178" s="763" t="s">
        <v>7773</v>
      </c>
      <c r="D178" s="763" t="s">
        <v>8165</v>
      </c>
      <c r="E178" s="763" t="s">
        <v>8166</v>
      </c>
      <c r="F178" s="763" t="s">
        <v>7749</v>
      </c>
      <c r="G178" s="763" t="s">
        <v>7750</v>
      </c>
      <c r="H178" s="763">
        <v>70</v>
      </c>
      <c r="I178" s="764">
        <v>38233</v>
      </c>
    </row>
    <row r="179" spans="1:9" hidden="1">
      <c r="A179" s="763" t="s">
        <v>5552</v>
      </c>
      <c r="B179" s="763" t="s">
        <v>5553</v>
      </c>
      <c r="C179" s="763"/>
      <c r="D179" s="763" t="s">
        <v>8167</v>
      </c>
      <c r="E179" s="763" t="s">
        <v>8168</v>
      </c>
      <c r="F179" s="763" t="s">
        <v>7749</v>
      </c>
      <c r="G179" s="763" t="s">
        <v>8038</v>
      </c>
      <c r="H179" s="763">
        <v>140</v>
      </c>
      <c r="I179" s="764">
        <v>35104</v>
      </c>
    </row>
    <row r="180" spans="1:9" hidden="1">
      <c r="A180" s="763" t="s">
        <v>5556</v>
      </c>
      <c r="B180" s="763" t="s">
        <v>5557</v>
      </c>
      <c r="C180" s="763"/>
      <c r="D180" s="763" t="s">
        <v>8169</v>
      </c>
      <c r="E180" s="763" t="s">
        <v>8170</v>
      </c>
      <c r="F180" s="763" t="s">
        <v>7749</v>
      </c>
      <c r="G180" s="763" t="s">
        <v>1225</v>
      </c>
      <c r="H180" s="763">
        <v>434</v>
      </c>
      <c r="I180" s="764">
        <v>58750</v>
      </c>
    </row>
    <row r="181" spans="1:9" hidden="1">
      <c r="A181" s="763" t="s">
        <v>5560</v>
      </c>
      <c r="B181" s="763" t="s">
        <v>5561</v>
      </c>
      <c r="C181" s="763"/>
      <c r="D181" s="763" t="s">
        <v>8171</v>
      </c>
      <c r="E181" s="763" t="s">
        <v>8172</v>
      </c>
      <c r="F181" s="763" t="s">
        <v>7749</v>
      </c>
      <c r="G181" s="763" t="s">
        <v>1347</v>
      </c>
      <c r="H181" s="763">
        <v>119</v>
      </c>
      <c r="I181" s="763" t="s">
        <v>8173</v>
      </c>
    </row>
    <row r="182" spans="1:9" hidden="1">
      <c r="A182" s="763" t="s">
        <v>3526</v>
      </c>
      <c r="B182" s="763" t="s">
        <v>5562</v>
      </c>
      <c r="C182" s="763"/>
      <c r="D182" s="763" t="s">
        <v>8174</v>
      </c>
      <c r="E182" s="763" t="s">
        <v>8175</v>
      </c>
      <c r="F182" s="763" t="s">
        <v>7749</v>
      </c>
      <c r="G182" s="763" t="s">
        <v>558</v>
      </c>
      <c r="H182" s="763">
        <v>150</v>
      </c>
      <c r="I182" s="764">
        <v>34368</v>
      </c>
    </row>
    <row r="183" spans="1:9" hidden="1">
      <c r="A183" s="763" t="s">
        <v>3521</v>
      </c>
      <c r="B183" s="763" t="s">
        <v>5569</v>
      </c>
      <c r="C183" s="763"/>
      <c r="D183" s="763" t="s">
        <v>8176</v>
      </c>
      <c r="E183" s="763" t="s">
        <v>7933</v>
      </c>
      <c r="F183" s="763" t="s">
        <v>7749</v>
      </c>
      <c r="G183" s="763" t="s">
        <v>1225</v>
      </c>
      <c r="H183" s="763">
        <v>20</v>
      </c>
      <c r="I183" s="764">
        <v>35004</v>
      </c>
    </row>
    <row r="184" spans="1:9" hidden="1">
      <c r="A184" s="763" t="s">
        <v>5583</v>
      </c>
      <c r="B184" s="763" t="s">
        <v>5584</v>
      </c>
      <c r="C184" s="763" t="s">
        <v>7773</v>
      </c>
      <c r="D184" s="763" t="s">
        <v>8177</v>
      </c>
      <c r="E184" s="763" t="s">
        <v>8178</v>
      </c>
      <c r="F184" s="763" t="s">
        <v>7749</v>
      </c>
      <c r="G184" s="763" t="s">
        <v>7771</v>
      </c>
      <c r="H184" s="763">
        <v>54</v>
      </c>
      <c r="I184" s="764">
        <v>38172</v>
      </c>
    </row>
    <row r="185" spans="1:9" hidden="1">
      <c r="A185" s="763" t="s">
        <v>3511</v>
      </c>
      <c r="B185" s="763" t="s">
        <v>5585</v>
      </c>
      <c r="C185" s="763"/>
      <c r="D185" s="763" t="s">
        <v>8179</v>
      </c>
      <c r="E185" s="763" t="s">
        <v>8180</v>
      </c>
      <c r="F185" s="763" t="s">
        <v>7749</v>
      </c>
      <c r="G185" s="763" t="s">
        <v>1225</v>
      </c>
      <c r="H185" s="763">
        <v>140</v>
      </c>
      <c r="I185" s="764">
        <v>44419</v>
      </c>
    </row>
    <row r="186" spans="1:9" hidden="1">
      <c r="A186" s="763" t="s">
        <v>5592</v>
      </c>
      <c r="B186" s="763" t="s">
        <v>5593</v>
      </c>
      <c r="C186" s="763"/>
      <c r="D186" s="763" t="s">
        <v>8181</v>
      </c>
      <c r="E186" s="763" t="s">
        <v>8182</v>
      </c>
      <c r="F186" s="763" t="s">
        <v>7749</v>
      </c>
      <c r="G186" s="763" t="s">
        <v>7762</v>
      </c>
      <c r="H186" s="763">
        <v>160</v>
      </c>
      <c r="I186" s="763" t="s">
        <v>8183</v>
      </c>
    </row>
    <row r="187" spans="1:9" hidden="1">
      <c r="A187" s="763" t="s">
        <v>5594</v>
      </c>
      <c r="B187" s="763" t="s">
        <v>5595</v>
      </c>
      <c r="C187" s="763"/>
      <c r="D187" s="763" t="s">
        <v>8184</v>
      </c>
      <c r="E187" s="763" t="s">
        <v>7843</v>
      </c>
      <c r="F187" s="763" t="s">
        <v>7749</v>
      </c>
      <c r="G187" s="763" t="s">
        <v>1347</v>
      </c>
      <c r="H187" s="763">
        <v>156</v>
      </c>
      <c r="I187" s="764">
        <v>33911</v>
      </c>
    </row>
    <row r="188" spans="1:9" hidden="1">
      <c r="A188" s="763" t="s">
        <v>3507</v>
      </c>
      <c r="B188" s="763" t="s">
        <v>5596</v>
      </c>
      <c r="C188" s="763"/>
      <c r="D188" s="763" t="s">
        <v>8185</v>
      </c>
      <c r="E188" s="763" t="s">
        <v>7843</v>
      </c>
      <c r="F188" s="763" t="s">
        <v>7749</v>
      </c>
      <c r="G188" s="763" t="s">
        <v>558</v>
      </c>
      <c r="H188" s="763">
        <v>5</v>
      </c>
      <c r="I188" s="764">
        <v>35768</v>
      </c>
    </row>
    <row r="189" spans="1:9" hidden="1">
      <c r="A189" s="763" t="s">
        <v>5599</v>
      </c>
      <c r="B189" s="763" t="s">
        <v>5600</v>
      </c>
      <c r="C189" s="763"/>
      <c r="D189" s="763" t="s">
        <v>8186</v>
      </c>
      <c r="E189" s="763" t="s">
        <v>8050</v>
      </c>
      <c r="F189" s="763" t="s">
        <v>7749</v>
      </c>
      <c r="G189" s="763" t="s">
        <v>558</v>
      </c>
      <c r="H189" s="763">
        <v>475</v>
      </c>
      <c r="I189" s="763" t="s">
        <v>8187</v>
      </c>
    </row>
    <row r="190" spans="1:9" hidden="1">
      <c r="A190" s="763" t="s">
        <v>5605</v>
      </c>
      <c r="B190" s="763" t="s">
        <v>5606</v>
      </c>
      <c r="C190" s="763"/>
      <c r="D190" s="763" t="s">
        <v>8188</v>
      </c>
      <c r="E190" s="763" t="s">
        <v>8189</v>
      </c>
      <c r="F190" s="763" t="s">
        <v>7749</v>
      </c>
      <c r="G190" s="763" t="s">
        <v>7750</v>
      </c>
      <c r="H190" s="763">
        <v>171</v>
      </c>
      <c r="I190" s="763" t="s">
        <v>8190</v>
      </c>
    </row>
    <row r="191" spans="1:9">
      <c r="A191" s="763" t="s">
        <v>3503</v>
      </c>
      <c r="B191" s="763" t="s">
        <v>5607</v>
      </c>
      <c r="C191" s="763"/>
      <c r="D191" s="763" t="s">
        <v>8191</v>
      </c>
      <c r="E191" s="763" t="s">
        <v>8192</v>
      </c>
      <c r="F191" s="763" t="s">
        <v>7749</v>
      </c>
      <c r="G191" s="763" t="s">
        <v>7853</v>
      </c>
      <c r="H191" s="763">
        <v>70</v>
      </c>
      <c r="I191" s="763" t="s">
        <v>8193</v>
      </c>
    </row>
    <row r="192" spans="1:9" hidden="1">
      <c r="A192" s="763" t="s">
        <v>5608</v>
      </c>
      <c r="B192" s="763" t="s">
        <v>5609</v>
      </c>
      <c r="C192" s="763"/>
      <c r="D192" s="763" t="s">
        <v>8194</v>
      </c>
      <c r="E192" s="763" t="s">
        <v>7927</v>
      </c>
      <c r="F192" s="763" t="s">
        <v>7749</v>
      </c>
      <c r="G192" s="763" t="s">
        <v>1225</v>
      </c>
      <c r="H192" s="763">
        <v>56</v>
      </c>
      <c r="I192" s="763" t="s">
        <v>8195</v>
      </c>
    </row>
    <row r="193" spans="1:9" hidden="1">
      <c r="A193" s="763" t="s">
        <v>3500</v>
      </c>
      <c r="B193" s="763" t="s">
        <v>5614</v>
      </c>
      <c r="C193" s="763"/>
      <c r="D193" s="763" t="s">
        <v>8196</v>
      </c>
      <c r="E193" s="763" t="s">
        <v>8182</v>
      </c>
      <c r="F193" s="763" t="s">
        <v>7749</v>
      </c>
      <c r="G193" s="763" t="s">
        <v>7762</v>
      </c>
      <c r="H193" s="763">
        <v>380</v>
      </c>
      <c r="I193" s="763" t="s">
        <v>8197</v>
      </c>
    </row>
    <row r="194" spans="1:9" hidden="1">
      <c r="A194" s="763" t="s">
        <v>3497</v>
      </c>
      <c r="B194" s="763" t="s">
        <v>5620</v>
      </c>
      <c r="C194" s="763"/>
      <c r="D194" s="763" t="s">
        <v>8198</v>
      </c>
      <c r="E194" s="763" t="s">
        <v>8199</v>
      </c>
      <c r="F194" s="763" t="s">
        <v>7749</v>
      </c>
      <c r="G194" s="763" t="s">
        <v>7762</v>
      </c>
      <c r="H194" s="763">
        <v>99</v>
      </c>
      <c r="I194" s="763" t="s">
        <v>8200</v>
      </c>
    </row>
    <row r="195" spans="1:9" hidden="1">
      <c r="A195" s="763" t="s">
        <v>3495</v>
      </c>
      <c r="B195" s="763" t="s">
        <v>5622</v>
      </c>
      <c r="C195" s="763"/>
      <c r="D195" s="763" t="s">
        <v>8201</v>
      </c>
      <c r="E195" s="763" t="s">
        <v>8202</v>
      </c>
      <c r="F195" s="763" t="s">
        <v>7749</v>
      </c>
      <c r="G195" s="763" t="s">
        <v>1225</v>
      </c>
      <c r="H195" s="763">
        <v>56</v>
      </c>
      <c r="I195" s="763" t="s">
        <v>8203</v>
      </c>
    </row>
    <row r="196" spans="1:9" hidden="1">
      <c r="A196" s="763" t="s">
        <v>5628</v>
      </c>
      <c r="B196" s="763" t="s">
        <v>5629</v>
      </c>
      <c r="C196" s="763" t="s">
        <v>8204</v>
      </c>
      <c r="D196" s="763" t="s">
        <v>8205</v>
      </c>
      <c r="E196" s="763" t="s">
        <v>8206</v>
      </c>
      <c r="F196" s="763" t="s">
        <v>7749</v>
      </c>
      <c r="G196" s="763" t="s">
        <v>7845</v>
      </c>
      <c r="H196" s="763">
        <v>110</v>
      </c>
      <c r="I196" s="763" t="s">
        <v>8207</v>
      </c>
    </row>
    <row r="197" spans="1:9" hidden="1">
      <c r="A197" s="763" t="s">
        <v>5631</v>
      </c>
      <c r="B197" s="763" t="s">
        <v>5632</v>
      </c>
      <c r="C197" s="763"/>
      <c r="D197" s="763" t="s">
        <v>8208</v>
      </c>
      <c r="E197" s="763" t="s">
        <v>8209</v>
      </c>
      <c r="F197" s="763" t="s">
        <v>7749</v>
      </c>
      <c r="G197" s="763" t="s">
        <v>558</v>
      </c>
      <c r="H197" s="763">
        <v>346</v>
      </c>
      <c r="I197" s="763" t="s">
        <v>8210</v>
      </c>
    </row>
    <row r="198" spans="1:9">
      <c r="A198" s="763" t="s">
        <v>3492</v>
      </c>
      <c r="B198" s="763" t="s">
        <v>5633</v>
      </c>
      <c r="C198" s="763"/>
      <c r="D198" s="763" t="s">
        <v>8211</v>
      </c>
      <c r="E198" s="763" t="s">
        <v>8050</v>
      </c>
      <c r="F198" s="763" t="s">
        <v>7749</v>
      </c>
      <c r="G198" s="763" t="s">
        <v>558</v>
      </c>
      <c r="H198" s="763">
        <v>1080</v>
      </c>
      <c r="I198" s="764">
        <v>37232</v>
      </c>
    </row>
    <row r="199" spans="1:9" hidden="1">
      <c r="A199" s="763" t="s">
        <v>3490</v>
      </c>
      <c r="B199" s="763" t="s">
        <v>5634</v>
      </c>
      <c r="C199" s="763"/>
      <c r="D199" s="763" t="s">
        <v>8212</v>
      </c>
      <c r="E199" s="763" t="s">
        <v>8213</v>
      </c>
      <c r="F199" s="763" t="s">
        <v>7749</v>
      </c>
      <c r="G199" s="763" t="s">
        <v>1347</v>
      </c>
      <c r="H199" s="763">
        <v>410</v>
      </c>
      <c r="I199" s="763" t="s">
        <v>8214</v>
      </c>
    </row>
    <row r="200" spans="1:9" hidden="1">
      <c r="A200" s="763" t="s">
        <v>3488</v>
      </c>
      <c r="B200" s="763" t="s">
        <v>5635</v>
      </c>
      <c r="C200" s="763"/>
      <c r="D200" s="763" t="s">
        <v>8215</v>
      </c>
      <c r="E200" s="763" t="s">
        <v>8088</v>
      </c>
      <c r="F200" s="763" t="s">
        <v>7749</v>
      </c>
      <c r="G200" s="763" t="s">
        <v>7874</v>
      </c>
      <c r="H200" s="763">
        <v>350</v>
      </c>
      <c r="I200" s="764">
        <v>36108</v>
      </c>
    </row>
    <row r="201" spans="1:9" hidden="1">
      <c r="A201" s="763" t="s">
        <v>3484</v>
      </c>
      <c r="B201" s="763" t="s">
        <v>5636</v>
      </c>
      <c r="C201" s="763"/>
      <c r="D201" s="763" t="s">
        <v>8216</v>
      </c>
      <c r="E201" s="763" t="s">
        <v>8202</v>
      </c>
      <c r="F201" s="763" t="s">
        <v>7749</v>
      </c>
      <c r="G201" s="763" t="s">
        <v>1225</v>
      </c>
      <c r="H201" s="763">
        <v>80</v>
      </c>
      <c r="I201" s="763" t="s">
        <v>8217</v>
      </c>
    </row>
    <row r="202" spans="1:9" hidden="1">
      <c r="A202" s="763" t="s">
        <v>3483</v>
      </c>
      <c r="B202" s="763" t="s">
        <v>5637</v>
      </c>
      <c r="C202" s="763"/>
      <c r="D202" s="763" t="s">
        <v>8218</v>
      </c>
      <c r="E202" s="763" t="s">
        <v>8219</v>
      </c>
      <c r="F202" s="763" t="s">
        <v>7749</v>
      </c>
      <c r="G202" s="763" t="s">
        <v>558</v>
      </c>
      <c r="H202" s="763">
        <v>905</v>
      </c>
      <c r="I202" s="763" t="s">
        <v>8220</v>
      </c>
    </row>
    <row r="203" spans="1:9" hidden="1">
      <c r="A203" s="763" t="s">
        <v>3481</v>
      </c>
      <c r="B203" s="763" t="s">
        <v>5640</v>
      </c>
      <c r="C203" s="763"/>
      <c r="D203" s="763" t="s">
        <v>8221</v>
      </c>
      <c r="E203" s="763" t="s">
        <v>7431</v>
      </c>
      <c r="F203" s="763" t="s">
        <v>7749</v>
      </c>
      <c r="G203" s="763" t="s">
        <v>7993</v>
      </c>
      <c r="H203" s="763" t="s">
        <v>7998</v>
      </c>
      <c r="I203" s="763" t="s">
        <v>8222</v>
      </c>
    </row>
    <row r="204" spans="1:9" hidden="1">
      <c r="A204" s="763" t="s">
        <v>3475</v>
      </c>
      <c r="B204" s="763" t="s">
        <v>5643</v>
      </c>
      <c r="C204" s="763"/>
      <c r="D204" s="763" t="s">
        <v>8223</v>
      </c>
      <c r="E204" s="763" t="s">
        <v>8224</v>
      </c>
      <c r="F204" s="763" t="s">
        <v>7749</v>
      </c>
      <c r="G204" s="763" t="s">
        <v>7762</v>
      </c>
      <c r="H204" s="763">
        <v>165</v>
      </c>
      <c r="I204" s="763" t="s">
        <v>8225</v>
      </c>
    </row>
    <row r="205" spans="1:9" hidden="1">
      <c r="A205" s="763" t="s">
        <v>3473</v>
      </c>
      <c r="B205" s="763" t="s">
        <v>5644</v>
      </c>
      <c r="C205" s="763"/>
      <c r="D205" s="763" t="s">
        <v>8226</v>
      </c>
      <c r="E205" s="763" t="s">
        <v>8227</v>
      </c>
      <c r="F205" s="763" t="s">
        <v>7749</v>
      </c>
      <c r="G205" s="763" t="s">
        <v>558</v>
      </c>
      <c r="H205" s="763">
        <v>102</v>
      </c>
      <c r="I205" s="763" t="s">
        <v>8228</v>
      </c>
    </row>
    <row r="206" spans="1:9" hidden="1">
      <c r="A206" s="763" t="s">
        <v>5645</v>
      </c>
      <c r="B206" s="763" t="s">
        <v>5646</v>
      </c>
      <c r="C206" s="763"/>
      <c r="D206" s="763" t="s">
        <v>8229</v>
      </c>
      <c r="E206" s="763" t="s">
        <v>7868</v>
      </c>
      <c r="F206" s="763" t="s">
        <v>7749</v>
      </c>
      <c r="G206" s="763" t="s">
        <v>7757</v>
      </c>
      <c r="H206" s="763">
        <v>290</v>
      </c>
      <c r="I206" s="763" t="s">
        <v>8230</v>
      </c>
    </row>
    <row r="207" spans="1:9" hidden="1">
      <c r="A207" s="763" t="s">
        <v>3469</v>
      </c>
      <c r="B207" s="763" t="s">
        <v>5647</v>
      </c>
      <c r="C207" s="763"/>
      <c r="D207" s="763" t="s">
        <v>8231</v>
      </c>
      <c r="E207" s="763" t="s">
        <v>8232</v>
      </c>
      <c r="F207" s="763" t="s">
        <v>7749</v>
      </c>
      <c r="G207" s="763" t="s">
        <v>7853</v>
      </c>
      <c r="H207" s="763">
        <v>91</v>
      </c>
      <c r="I207" s="763" t="s">
        <v>8233</v>
      </c>
    </row>
    <row r="208" spans="1:9" hidden="1">
      <c r="A208" s="763" t="s">
        <v>5648</v>
      </c>
      <c r="B208" s="763" t="s">
        <v>5649</v>
      </c>
      <c r="C208" s="763"/>
      <c r="D208" s="763" t="s">
        <v>8234</v>
      </c>
      <c r="E208" s="763" t="s">
        <v>8235</v>
      </c>
      <c r="F208" s="763" t="s">
        <v>7749</v>
      </c>
      <c r="G208" s="763" t="s">
        <v>7784</v>
      </c>
      <c r="H208" s="763">
        <v>102</v>
      </c>
      <c r="I208" s="763" t="s">
        <v>8236</v>
      </c>
    </row>
    <row r="209" spans="1:9" hidden="1">
      <c r="A209" s="763" t="s">
        <v>3466</v>
      </c>
      <c r="B209" s="763" t="s">
        <v>5650</v>
      </c>
      <c r="C209" s="763" t="s">
        <v>8237</v>
      </c>
      <c r="D209" s="763" t="s">
        <v>8238</v>
      </c>
      <c r="E209" s="763" t="s">
        <v>8239</v>
      </c>
      <c r="F209" s="763" t="s">
        <v>7749</v>
      </c>
      <c r="G209" s="763" t="s">
        <v>7817</v>
      </c>
      <c r="H209" s="763">
        <v>800</v>
      </c>
      <c r="I209" s="763" t="s">
        <v>8240</v>
      </c>
    </row>
    <row r="210" spans="1:9" hidden="1">
      <c r="A210" s="763" t="s">
        <v>5666</v>
      </c>
      <c r="B210" s="763" t="s">
        <v>5667</v>
      </c>
      <c r="C210" s="763"/>
      <c r="D210" s="763" t="s">
        <v>8241</v>
      </c>
      <c r="E210" s="763" t="s">
        <v>8242</v>
      </c>
      <c r="F210" s="763" t="s">
        <v>7749</v>
      </c>
      <c r="G210" s="763" t="s">
        <v>558</v>
      </c>
      <c r="H210" s="763">
        <v>539</v>
      </c>
      <c r="I210" s="764">
        <v>34039</v>
      </c>
    </row>
    <row r="211" spans="1:9" hidden="1">
      <c r="A211" s="763" t="s">
        <v>5670</v>
      </c>
      <c r="B211" s="763" t="s">
        <v>5671</v>
      </c>
      <c r="C211" s="763"/>
      <c r="D211" s="763" t="s">
        <v>8243</v>
      </c>
      <c r="E211" s="763" t="s">
        <v>8244</v>
      </c>
      <c r="F211" s="763" t="s">
        <v>7749</v>
      </c>
      <c r="G211" s="763" t="s">
        <v>1225</v>
      </c>
      <c r="H211" s="763">
        <v>20</v>
      </c>
      <c r="I211" s="763" t="s">
        <v>8245</v>
      </c>
    </row>
    <row r="212" spans="1:9" hidden="1">
      <c r="A212" s="763" t="s">
        <v>5675</v>
      </c>
      <c r="B212" s="763" t="s">
        <v>5676</v>
      </c>
      <c r="C212" s="763"/>
      <c r="D212" s="763" t="s">
        <v>8246</v>
      </c>
      <c r="E212" s="763" t="s">
        <v>8138</v>
      </c>
      <c r="F212" s="763" t="s">
        <v>7749</v>
      </c>
      <c r="G212" s="763" t="s">
        <v>7765</v>
      </c>
      <c r="H212" s="763">
        <v>66</v>
      </c>
      <c r="I212" s="764">
        <v>34063</v>
      </c>
    </row>
    <row r="213" spans="1:9" hidden="1">
      <c r="A213" s="763" t="s">
        <v>5677</v>
      </c>
      <c r="B213" s="763" t="s">
        <v>5678</v>
      </c>
      <c r="C213" s="763"/>
      <c r="D213" s="763" t="s">
        <v>8247</v>
      </c>
      <c r="E213" s="763" t="s">
        <v>7811</v>
      </c>
      <c r="F213" s="763" t="s">
        <v>7749</v>
      </c>
      <c r="G213" s="763" t="s">
        <v>7853</v>
      </c>
      <c r="H213" s="763">
        <v>412</v>
      </c>
      <c r="I213" s="763" t="s">
        <v>8248</v>
      </c>
    </row>
    <row r="214" spans="1:9" hidden="1">
      <c r="A214" s="763" t="s">
        <v>5685</v>
      </c>
      <c r="B214" s="763" t="s">
        <v>5686</v>
      </c>
      <c r="C214" s="763"/>
      <c r="D214" s="763" t="s">
        <v>8249</v>
      </c>
      <c r="E214" s="763" t="s">
        <v>8079</v>
      </c>
      <c r="F214" s="763" t="s">
        <v>7749</v>
      </c>
      <c r="G214" s="763" t="s">
        <v>558</v>
      </c>
      <c r="H214" s="763">
        <v>85</v>
      </c>
      <c r="I214" s="764">
        <v>33452</v>
      </c>
    </row>
    <row r="215" spans="1:9" hidden="1">
      <c r="A215" s="763" t="s">
        <v>5691</v>
      </c>
      <c r="B215" s="763" t="s">
        <v>5692</v>
      </c>
      <c r="C215" s="763"/>
      <c r="D215" s="763" t="s">
        <v>8250</v>
      </c>
      <c r="E215" s="763" t="s">
        <v>8251</v>
      </c>
      <c r="F215" s="763" t="s">
        <v>7749</v>
      </c>
      <c r="G215" s="763" t="s">
        <v>558</v>
      </c>
      <c r="H215" s="763">
        <v>12</v>
      </c>
      <c r="I215" s="763" t="s">
        <v>8252</v>
      </c>
    </row>
    <row r="216" spans="1:9" hidden="1">
      <c r="A216" s="763" t="s">
        <v>5694</v>
      </c>
      <c r="B216" s="763" t="s">
        <v>5695</v>
      </c>
      <c r="C216" s="763"/>
      <c r="D216" s="763" t="s">
        <v>8253</v>
      </c>
      <c r="E216" s="763" t="s">
        <v>8066</v>
      </c>
      <c r="F216" s="763" t="s">
        <v>7749</v>
      </c>
      <c r="G216" s="763" t="s">
        <v>1347</v>
      </c>
      <c r="H216" s="763">
        <v>330</v>
      </c>
      <c r="I216" s="764">
        <v>34586</v>
      </c>
    </row>
    <row r="217" spans="1:9" hidden="1">
      <c r="A217" s="763" t="s">
        <v>5698</v>
      </c>
      <c r="B217" s="763" t="s">
        <v>5699</v>
      </c>
      <c r="C217" s="763"/>
      <c r="D217" s="763" t="s">
        <v>8254</v>
      </c>
      <c r="E217" s="763" t="s">
        <v>8255</v>
      </c>
      <c r="F217" s="763" t="s">
        <v>7749</v>
      </c>
      <c r="G217" s="763" t="s">
        <v>7874</v>
      </c>
      <c r="H217" s="763">
        <v>36</v>
      </c>
      <c r="I217" s="764">
        <v>33828</v>
      </c>
    </row>
    <row r="218" spans="1:9">
      <c r="A218" s="763" t="s">
        <v>5712</v>
      </c>
      <c r="B218" s="763" t="s">
        <v>5713</v>
      </c>
      <c r="C218" s="763"/>
      <c r="D218" s="763" t="s">
        <v>8256</v>
      </c>
      <c r="E218" s="763" t="s">
        <v>7799</v>
      </c>
      <c r="F218" s="763" t="s">
        <v>7749</v>
      </c>
      <c r="G218" s="763" t="s">
        <v>7757</v>
      </c>
      <c r="H218" s="763">
        <v>200</v>
      </c>
      <c r="I218" s="763" t="s">
        <v>8257</v>
      </c>
    </row>
    <row r="219" spans="1:9" hidden="1">
      <c r="A219" s="763" t="s">
        <v>5716</v>
      </c>
      <c r="B219" s="763" t="s">
        <v>5717</v>
      </c>
      <c r="C219" s="763" t="s">
        <v>8258</v>
      </c>
      <c r="D219" s="763" t="s">
        <v>8259</v>
      </c>
      <c r="E219" s="763" t="s">
        <v>8260</v>
      </c>
      <c r="F219" s="763" t="s">
        <v>7749</v>
      </c>
      <c r="G219" s="763" t="s">
        <v>1347</v>
      </c>
      <c r="H219" s="763">
        <v>40</v>
      </c>
      <c r="I219" s="763" t="s">
        <v>8261</v>
      </c>
    </row>
    <row r="220" spans="1:9" hidden="1">
      <c r="A220" s="763" t="s">
        <v>5720</v>
      </c>
      <c r="B220" s="763" t="s">
        <v>5721</v>
      </c>
      <c r="C220" s="763"/>
      <c r="D220" s="763" t="s">
        <v>8262</v>
      </c>
      <c r="E220" s="763" t="s">
        <v>8157</v>
      </c>
      <c r="F220" s="763" t="s">
        <v>7749</v>
      </c>
      <c r="G220" s="763" t="s">
        <v>7765</v>
      </c>
      <c r="H220" s="763">
        <v>74</v>
      </c>
      <c r="I220" s="763" t="s">
        <v>8263</v>
      </c>
    </row>
    <row r="221" spans="1:9" hidden="1">
      <c r="A221" s="763" t="s">
        <v>5732</v>
      </c>
      <c r="B221" s="763" t="s">
        <v>5733</v>
      </c>
      <c r="C221" s="763"/>
      <c r="D221" s="763" t="s">
        <v>8264</v>
      </c>
      <c r="E221" s="763" t="s">
        <v>8265</v>
      </c>
      <c r="F221" s="763" t="s">
        <v>7749</v>
      </c>
      <c r="G221" s="763" t="s">
        <v>558</v>
      </c>
      <c r="H221" s="763">
        <v>346</v>
      </c>
      <c r="I221" s="764">
        <v>32882</v>
      </c>
    </row>
    <row r="222" spans="1:9" hidden="1">
      <c r="A222" s="763" t="s">
        <v>5742</v>
      </c>
      <c r="B222" s="763" t="s">
        <v>5743</v>
      </c>
      <c r="C222" s="763"/>
      <c r="D222" s="763" t="s">
        <v>8266</v>
      </c>
      <c r="E222" s="763" t="s">
        <v>8267</v>
      </c>
      <c r="F222" s="763" t="s">
        <v>7749</v>
      </c>
      <c r="G222" s="763" t="s">
        <v>7765</v>
      </c>
      <c r="H222" s="763">
        <v>60</v>
      </c>
      <c r="I222" s="764">
        <v>35287</v>
      </c>
    </row>
    <row r="223" spans="1:9" hidden="1">
      <c r="A223" s="763" t="s">
        <v>5744</v>
      </c>
      <c r="B223" s="763" t="s">
        <v>5745</v>
      </c>
      <c r="C223" s="763"/>
      <c r="D223" s="763" t="s">
        <v>8268</v>
      </c>
      <c r="E223" s="763" t="s">
        <v>8269</v>
      </c>
      <c r="F223" s="763" t="s">
        <v>7749</v>
      </c>
      <c r="G223" s="763" t="s">
        <v>7765</v>
      </c>
      <c r="H223" s="763">
        <v>29</v>
      </c>
      <c r="I223" s="764">
        <v>58655</v>
      </c>
    </row>
    <row r="224" spans="1:9" hidden="1">
      <c r="A224" s="763" t="s">
        <v>5748</v>
      </c>
      <c r="B224" s="763" t="s">
        <v>5749</v>
      </c>
      <c r="C224" s="763"/>
      <c r="D224" s="763" t="s">
        <v>8270</v>
      </c>
      <c r="E224" s="763" t="s">
        <v>7931</v>
      </c>
      <c r="F224" s="763" t="s">
        <v>7749</v>
      </c>
      <c r="G224" s="763" t="s">
        <v>1225</v>
      </c>
      <c r="H224" s="763">
        <v>35</v>
      </c>
      <c r="I224" s="763" t="s">
        <v>8271</v>
      </c>
    </row>
    <row r="225" spans="1:9" hidden="1">
      <c r="A225" s="763" t="s">
        <v>5750</v>
      </c>
      <c r="B225" s="763" t="s">
        <v>5751</v>
      </c>
      <c r="C225" s="763"/>
      <c r="D225" s="763" t="s">
        <v>8272</v>
      </c>
      <c r="E225" s="763" t="s">
        <v>7764</v>
      </c>
      <c r="F225" s="763" t="s">
        <v>7749</v>
      </c>
      <c r="G225" s="763" t="s">
        <v>7765</v>
      </c>
      <c r="H225" s="763">
        <v>142</v>
      </c>
      <c r="I225" s="763" t="s">
        <v>8273</v>
      </c>
    </row>
    <row r="226" spans="1:9" hidden="1">
      <c r="A226" s="763" t="s">
        <v>5754</v>
      </c>
      <c r="B226" s="763" t="s">
        <v>5755</v>
      </c>
      <c r="C226" s="763"/>
      <c r="D226" s="763" t="s">
        <v>8274</v>
      </c>
      <c r="E226" s="763" t="s">
        <v>8275</v>
      </c>
      <c r="F226" s="763" t="s">
        <v>7749</v>
      </c>
      <c r="G226" s="763" t="s">
        <v>7771</v>
      </c>
      <c r="H226" s="763">
        <v>50</v>
      </c>
      <c r="I226" s="763" t="s">
        <v>8276</v>
      </c>
    </row>
    <row r="227" spans="1:9" hidden="1">
      <c r="A227" s="763" t="s">
        <v>5768</v>
      </c>
      <c r="B227" s="763" t="s">
        <v>5769</v>
      </c>
      <c r="C227" s="763"/>
      <c r="D227" s="763" t="s">
        <v>8277</v>
      </c>
      <c r="E227" s="763" t="s">
        <v>7820</v>
      </c>
      <c r="F227" s="763" t="s">
        <v>7749</v>
      </c>
      <c r="G227" s="763" t="s">
        <v>1347</v>
      </c>
      <c r="H227" s="763">
        <v>525</v>
      </c>
      <c r="I227" s="763" t="s">
        <v>8278</v>
      </c>
    </row>
    <row r="228" spans="1:9" hidden="1">
      <c r="A228" s="763" t="s">
        <v>5770</v>
      </c>
      <c r="B228" s="763" t="s">
        <v>5771</v>
      </c>
      <c r="C228" s="763"/>
      <c r="D228" s="763" t="s">
        <v>8279</v>
      </c>
      <c r="E228" s="763" t="s">
        <v>7843</v>
      </c>
      <c r="F228" s="763" t="s">
        <v>7749</v>
      </c>
      <c r="G228" s="763" t="s">
        <v>1347</v>
      </c>
      <c r="H228" s="763">
        <v>244</v>
      </c>
      <c r="I228" s="764">
        <v>44845</v>
      </c>
    </row>
    <row r="229" spans="1:9" hidden="1">
      <c r="A229" s="763" t="s">
        <v>5778</v>
      </c>
      <c r="B229" s="763" t="s">
        <v>5779</v>
      </c>
      <c r="C229" s="763"/>
      <c r="D229" s="763" t="s">
        <v>8280</v>
      </c>
      <c r="E229" s="763" t="s">
        <v>8281</v>
      </c>
      <c r="F229" s="763" t="s">
        <v>7749</v>
      </c>
      <c r="G229" s="763" t="s">
        <v>7750</v>
      </c>
      <c r="H229" s="763">
        <v>130</v>
      </c>
      <c r="I229" s="763" t="s">
        <v>8282</v>
      </c>
    </row>
    <row r="230" spans="1:9" hidden="1">
      <c r="A230" s="763" t="s">
        <v>5784</v>
      </c>
      <c r="B230" s="763" t="s">
        <v>5785</v>
      </c>
      <c r="C230" s="763"/>
      <c r="D230" s="763" t="s">
        <v>8283</v>
      </c>
      <c r="E230" s="763" t="s">
        <v>8138</v>
      </c>
      <c r="F230" s="763" t="s">
        <v>7749</v>
      </c>
      <c r="G230" s="763" t="s">
        <v>7765</v>
      </c>
      <c r="H230" s="763">
        <v>24</v>
      </c>
      <c r="I230" s="763" t="s">
        <v>8284</v>
      </c>
    </row>
    <row r="231" spans="1:9" hidden="1">
      <c r="A231" s="763" t="s">
        <v>5790</v>
      </c>
      <c r="B231" s="763" t="s">
        <v>5791</v>
      </c>
      <c r="C231" s="763"/>
      <c r="D231" s="763" t="s">
        <v>8285</v>
      </c>
      <c r="E231" s="763" t="s">
        <v>8050</v>
      </c>
      <c r="F231" s="763" t="s">
        <v>7749</v>
      </c>
      <c r="G231" s="763" t="s">
        <v>558</v>
      </c>
      <c r="H231" s="763">
        <v>920</v>
      </c>
      <c r="I231" s="763" t="s">
        <v>8286</v>
      </c>
    </row>
    <row r="232" spans="1:9" hidden="1">
      <c r="A232" s="763" t="s">
        <v>5799</v>
      </c>
      <c r="B232" s="763" t="s">
        <v>5800</v>
      </c>
      <c r="C232" s="763"/>
      <c r="D232" s="763" t="s">
        <v>8287</v>
      </c>
      <c r="E232" s="763" t="s">
        <v>8288</v>
      </c>
      <c r="F232" s="763" t="s">
        <v>7749</v>
      </c>
      <c r="G232" s="763" t="s">
        <v>558</v>
      </c>
      <c r="H232" s="763">
        <v>243</v>
      </c>
      <c r="I232" s="763" t="s">
        <v>8289</v>
      </c>
    </row>
    <row r="233" spans="1:9" hidden="1">
      <c r="A233" s="763" t="s">
        <v>8290</v>
      </c>
      <c r="B233" s="763"/>
      <c r="C233" s="763"/>
      <c r="D233" s="763" t="s">
        <v>8291</v>
      </c>
      <c r="E233" s="763" t="s">
        <v>7843</v>
      </c>
      <c r="F233" s="763" t="s">
        <v>7749</v>
      </c>
      <c r="G233" s="763" t="s">
        <v>7757</v>
      </c>
      <c r="H233" s="763">
        <v>513</v>
      </c>
      <c r="I233" s="763" t="s">
        <v>7833</v>
      </c>
    </row>
    <row r="234" spans="1:9" hidden="1">
      <c r="A234" s="763" t="s">
        <v>5809</v>
      </c>
      <c r="B234" s="763" t="s">
        <v>5810</v>
      </c>
      <c r="C234" s="763"/>
      <c r="D234" s="763" t="s">
        <v>8292</v>
      </c>
      <c r="E234" s="763" t="s">
        <v>8293</v>
      </c>
      <c r="F234" s="763" t="s">
        <v>7749</v>
      </c>
      <c r="G234" s="763" t="s">
        <v>7860</v>
      </c>
      <c r="H234" s="763">
        <v>71</v>
      </c>
      <c r="I234" s="764">
        <v>44572</v>
      </c>
    </row>
    <row r="235" spans="1:9" hidden="1">
      <c r="A235" s="763" t="s">
        <v>5821</v>
      </c>
      <c r="B235" s="763" t="s">
        <v>5822</v>
      </c>
      <c r="C235" s="763"/>
      <c r="D235" s="763" t="s">
        <v>8294</v>
      </c>
      <c r="E235" s="763" t="s">
        <v>8295</v>
      </c>
      <c r="F235" s="763" t="s">
        <v>7749</v>
      </c>
      <c r="G235" s="763" t="s">
        <v>8296</v>
      </c>
      <c r="H235" s="763">
        <v>283</v>
      </c>
      <c r="I235" s="764">
        <v>32942</v>
      </c>
    </row>
    <row r="236" spans="1:9" hidden="1">
      <c r="A236" s="763" t="s">
        <v>5827</v>
      </c>
      <c r="B236" s="763" t="s">
        <v>5828</v>
      </c>
      <c r="C236" s="763"/>
      <c r="D236" s="763" t="s">
        <v>8297</v>
      </c>
      <c r="E236" s="763" t="s">
        <v>7940</v>
      </c>
      <c r="F236" s="763" t="s">
        <v>7749</v>
      </c>
      <c r="G236" s="763" t="s">
        <v>7853</v>
      </c>
      <c r="H236" s="763">
        <v>24</v>
      </c>
      <c r="I236" s="763" t="s">
        <v>8298</v>
      </c>
    </row>
    <row r="237" spans="1:9" hidden="1">
      <c r="A237" s="763" t="s">
        <v>5829</v>
      </c>
      <c r="B237" s="763" t="s">
        <v>5830</v>
      </c>
      <c r="C237" s="763"/>
      <c r="D237" s="763" t="s">
        <v>8299</v>
      </c>
      <c r="E237" s="763" t="s">
        <v>8300</v>
      </c>
      <c r="F237" s="763" t="s">
        <v>7749</v>
      </c>
      <c r="G237" s="763" t="s">
        <v>7771</v>
      </c>
      <c r="H237" s="763">
        <v>49</v>
      </c>
      <c r="I237" s="764">
        <v>34555</v>
      </c>
    </row>
    <row r="238" spans="1:9" hidden="1">
      <c r="A238" s="763" t="s">
        <v>5851</v>
      </c>
      <c r="B238" s="763" t="s">
        <v>5852</v>
      </c>
      <c r="C238" s="763"/>
      <c r="D238" s="763" t="s">
        <v>8301</v>
      </c>
      <c r="E238" s="763" t="s">
        <v>8302</v>
      </c>
      <c r="F238" s="763" t="s">
        <v>7749</v>
      </c>
      <c r="G238" s="763" t="s">
        <v>7765</v>
      </c>
      <c r="H238" s="763">
        <v>115</v>
      </c>
      <c r="I238" s="764">
        <v>34185</v>
      </c>
    </row>
    <row r="239" spans="1:9" hidden="1">
      <c r="A239" s="763" t="s">
        <v>5853</v>
      </c>
      <c r="B239" s="763" t="s">
        <v>5854</v>
      </c>
      <c r="C239" s="763"/>
      <c r="D239" s="763" t="s">
        <v>8303</v>
      </c>
      <c r="E239" s="763" t="s">
        <v>8304</v>
      </c>
      <c r="F239" s="763" t="s">
        <v>7749</v>
      </c>
      <c r="G239" s="763" t="s">
        <v>558</v>
      </c>
      <c r="H239" s="763">
        <v>15</v>
      </c>
      <c r="I239" s="763" t="s">
        <v>8305</v>
      </c>
    </row>
    <row r="240" spans="1:9" hidden="1">
      <c r="A240" s="761" t="s">
        <v>3090</v>
      </c>
      <c r="B240" s="761" t="s">
        <v>5855</v>
      </c>
      <c r="C240" s="761" t="s">
        <v>8306</v>
      </c>
      <c r="D240" s="761" t="s">
        <v>8307</v>
      </c>
      <c r="E240" s="761" t="s">
        <v>8308</v>
      </c>
      <c r="F240" s="761" t="s">
        <v>7749</v>
      </c>
      <c r="G240" s="761" t="s">
        <v>558</v>
      </c>
      <c r="H240" s="761">
        <v>640</v>
      </c>
      <c r="I240" s="766">
        <v>37687</v>
      </c>
    </row>
    <row r="241" spans="1:9">
      <c r="A241" s="763" t="s">
        <v>5864</v>
      </c>
      <c r="B241" s="763" t="s">
        <v>5865</v>
      </c>
      <c r="C241" s="763" t="s">
        <v>8309</v>
      </c>
      <c r="D241" s="763" t="s">
        <v>8310</v>
      </c>
      <c r="E241" s="763" t="s">
        <v>7431</v>
      </c>
      <c r="F241" s="763" t="s">
        <v>7749</v>
      </c>
      <c r="G241" s="763" t="s">
        <v>8311</v>
      </c>
      <c r="H241" s="763" t="s">
        <v>7889</v>
      </c>
      <c r="I241" s="764">
        <v>37080</v>
      </c>
    </row>
    <row r="242" spans="1:9" hidden="1">
      <c r="A242" s="763" t="s">
        <v>5876</v>
      </c>
      <c r="B242" s="763" t="s">
        <v>5877</v>
      </c>
      <c r="C242" s="763"/>
      <c r="D242" s="763" t="s">
        <v>8312</v>
      </c>
      <c r="E242" s="763" t="s">
        <v>8313</v>
      </c>
      <c r="F242" s="763" t="s">
        <v>7749</v>
      </c>
      <c r="G242" s="763" t="s">
        <v>558</v>
      </c>
      <c r="H242" s="763">
        <v>140</v>
      </c>
      <c r="I242" s="763" t="s">
        <v>8314</v>
      </c>
    </row>
    <row r="243" spans="1:9" hidden="1">
      <c r="A243" s="763" t="s">
        <v>5882</v>
      </c>
      <c r="B243" s="763" t="s">
        <v>5883</v>
      </c>
      <c r="C243" s="763" t="s">
        <v>7773</v>
      </c>
      <c r="D243" s="763" t="s">
        <v>8315</v>
      </c>
      <c r="E243" s="763" t="s">
        <v>8316</v>
      </c>
      <c r="F243" s="763" t="s">
        <v>7749</v>
      </c>
      <c r="G243" s="763" t="s">
        <v>7765</v>
      </c>
      <c r="H243" s="763">
        <v>115</v>
      </c>
      <c r="I243" s="763" t="s">
        <v>8317</v>
      </c>
    </row>
    <row r="244" spans="1:9" hidden="1">
      <c r="A244" s="763" t="s">
        <v>5896</v>
      </c>
      <c r="B244" s="763" t="s">
        <v>5897</v>
      </c>
      <c r="C244" s="763"/>
      <c r="D244" s="765">
        <v>114430000000000</v>
      </c>
      <c r="E244" s="763" t="s">
        <v>8318</v>
      </c>
      <c r="F244" s="763" t="s">
        <v>7749</v>
      </c>
      <c r="G244" s="763" t="s">
        <v>7757</v>
      </c>
      <c r="H244" s="763">
        <v>280</v>
      </c>
      <c r="I244" s="764">
        <v>34555</v>
      </c>
    </row>
    <row r="245" spans="1:9" hidden="1">
      <c r="A245" s="763" t="s">
        <v>5904</v>
      </c>
      <c r="B245" s="763" t="s">
        <v>5905</v>
      </c>
      <c r="C245" s="763"/>
      <c r="D245" s="763" t="s">
        <v>8319</v>
      </c>
      <c r="E245" s="763" t="s">
        <v>8320</v>
      </c>
      <c r="F245" s="763" t="s">
        <v>7749</v>
      </c>
      <c r="G245" s="763" t="s">
        <v>7762</v>
      </c>
      <c r="H245" s="763">
        <v>140</v>
      </c>
      <c r="I245" s="764">
        <v>36040</v>
      </c>
    </row>
    <row r="246" spans="1:9" hidden="1">
      <c r="A246" s="763" t="s">
        <v>5906</v>
      </c>
      <c r="B246" s="763" t="s">
        <v>4994</v>
      </c>
      <c r="C246" s="763"/>
      <c r="D246" s="763" t="s">
        <v>8321</v>
      </c>
      <c r="E246" s="763" t="s">
        <v>8322</v>
      </c>
      <c r="F246" s="763" t="s">
        <v>7749</v>
      </c>
      <c r="G246" s="763" t="s">
        <v>558</v>
      </c>
      <c r="H246" s="763">
        <v>190</v>
      </c>
      <c r="I246" s="763" t="s">
        <v>8323</v>
      </c>
    </row>
    <row r="247" spans="1:9" hidden="1">
      <c r="A247" s="763" t="s">
        <v>5921</v>
      </c>
      <c r="B247" s="763" t="s">
        <v>5922</v>
      </c>
      <c r="C247" s="763"/>
      <c r="D247" s="763" t="s">
        <v>8324</v>
      </c>
      <c r="E247" s="763" t="s">
        <v>8325</v>
      </c>
      <c r="F247" s="763" t="s">
        <v>7749</v>
      </c>
      <c r="G247" s="763" t="s">
        <v>8326</v>
      </c>
      <c r="H247" s="763">
        <v>165</v>
      </c>
      <c r="I247" s="763" t="s">
        <v>8085</v>
      </c>
    </row>
    <row r="248" spans="1:9" hidden="1">
      <c r="A248" s="763" t="s">
        <v>5936</v>
      </c>
      <c r="B248" s="763" t="s">
        <v>5937</v>
      </c>
      <c r="C248" s="763"/>
      <c r="D248" s="763" t="s">
        <v>8327</v>
      </c>
      <c r="E248" s="763" t="s">
        <v>8328</v>
      </c>
      <c r="F248" s="763" t="s">
        <v>7749</v>
      </c>
      <c r="G248" s="763" t="s">
        <v>558</v>
      </c>
      <c r="H248" s="763">
        <v>151</v>
      </c>
      <c r="I248" s="764">
        <v>33239</v>
      </c>
    </row>
    <row r="249" spans="1:9" hidden="1">
      <c r="A249" s="763" t="s">
        <v>5940</v>
      </c>
      <c r="B249" s="763" t="s">
        <v>5941</v>
      </c>
      <c r="C249" s="763"/>
      <c r="D249" s="763" t="s">
        <v>8329</v>
      </c>
      <c r="E249" s="763" t="s">
        <v>8330</v>
      </c>
      <c r="F249" s="763" t="s">
        <v>7749</v>
      </c>
      <c r="G249" s="763" t="s">
        <v>558</v>
      </c>
      <c r="H249" s="763">
        <v>58</v>
      </c>
      <c r="I249" s="763" t="s">
        <v>8331</v>
      </c>
    </row>
    <row r="250" spans="1:9" hidden="1">
      <c r="A250" s="763" t="s">
        <v>5946</v>
      </c>
      <c r="B250" s="763" t="s">
        <v>5947</v>
      </c>
      <c r="C250" s="763"/>
      <c r="D250" s="763" t="s">
        <v>8332</v>
      </c>
      <c r="E250" s="763" t="s">
        <v>7431</v>
      </c>
      <c r="F250" s="763" t="s">
        <v>7749</v>
      </c>
      <c r="G250" s="763" t="s">
        <v>8333</v>
      </c>
      <c r="H250" s="763">
        <v>0</v>
      </c>
      <c r="I250" s="764">
        <v>34705</v>
      </c>
    </row>
    <row r="251" spans="1:9" hidden="1">
      <c r="A251" s="763" t="s">
        <v>5948</v>
      </c>
      <c r="B251" s="763" t="s">
        <v>5949</v>
      </c>
      <c r="C251" s="763"/>
      <c r="D251" s="763" t="s">
        <v>8334</v>
      </c>
      <c r="E251" s="763" t="s">
        <v>7753</v>
      </c>
      <c r="F251" s="763" t="s">
        <v>7749</v>
      </c>
      <c r="G251" s="763" t="s">
        <v>558</v>
      </c>
      <c r="H251" s="763">
        <v>149</v>
      </c>
      <c r="I251" s="763" t="s">
        <v>8335</v>
      </c>
    </row>
    <row r="252" spans="1:9" hidden="1">
      <c r="A252" s="763" t="s">
        <v>5955</v>
      </c>
      <c r="B252" s="763" t="s">
        <v>5956</v>
      </c>
      <c r="C252" s="763"/>
      <c r="D252" s="763" t="s">
        <v>8336</v>
      </c>
      <c r="E252" s="763" t="s">
        <v>7843</v>
      </c>
      <c r="F252" s="763" t="s">
        <v>7749</v>
      </c>
      <c r="G252" s="763" t="s">
        <v>7780</v>
      </c>
      <c r="H252" s="763">
        <v>356</v>
      </c>
      <c r="I252" s="763" t="s">
        <v>8337</v>
      </c>
    </row>
    <row r="253" spans="1:9" hidden="1">
      <c r="A253" s="763" t="s">
        <v>5967</v>
      </c>
      <c r="B253" s="763" t="s">
        <v>5968</v>
      </c>
      <c r="C253" s="763"/>
      <c r="D253" s="763" t="s">
        <v>8338</v>
      </c>
      <c r="E253" s="763" t="s">
        <v>8339</v>
      </c>
      <c r="F253" s="763" t="s">
        <v>7749</v>
      </c>
      <c r="G253" s="763" t="s">
        <v>7874</v>
      </c>
      <c r="H253" s="763">
        <v>355</v>
      </c>
      <c r="I253" s="763" t="s">
        <v>8340</v>
      </c>
    </row>
    <row r="254" spans="1:9" hidden="1">
      <c r="A254" s="763" t="s">
        <v>5973</v>
      </c>
      <c r="B254" s="763" t="s">
        <v>5974</v>
      </c>
      <c r="C254" s="763"/>
      <c r="D254" s="763" t="s">
        <v>8341</v>
      </c>
      <c r="E254" s="763" t="s">
        <v>8342</v>
      </c>
      <c r="F254" s="763" t="s">
        <v>7749</v>
      </c>
      <c r="G254" s="763" t="s">
        <v>7874</v>
      </c>
      <c r="H254" s="763">
        <v>42</v>
      </c>
      <c r="I254" s="764">
        <v>33340</v>
      </c>
    </row>
    <row r="255" spans="1:9" hidden="1">
      <c r="A255" s="763" t="s">
        <v>5981</v>
      </c>
      <c r="B255" s="763" t="s">
        <v>5982</v>
      </c>
      <c r="C255" s="763"/>
      <c r="D255" s="763" t="s">
        <v>8343</v>
      </c>
      <c r="E255" s="763" t="s">
        <v>8344</v>
      </c>
      <c r="F255" s="763" t="s">
        <v>7749</v>
      </c>
      <c r="G255" s="763" t="s">
        <v>8345</v>
      </c>
      <c r="H255" s="763">
        <v>101</v>
      </c>
      <c r="I255" s="763" t="s">
        <v>8346</v>
      </c>
    </row>
    <row r="256" spans="1:9" hidden="1">
      <c r="A256" s="763" t="s">
        <v>5989</v>
      </c>
      <c r="B256" s="763" t="s">
        <v>5990</v>
      </c>
      <c r="C256" s="763"/>
      <c r="D256" s="763" t="s">
        <v>8347</v>
      </c>
      <c r="E256" s="763" t="s">
        <v>8348</v>
      </c>
      <c r="F256" s="763" t="s">
        <v>7749</v>
      </c>
      <c r="G256" s="763" t="s">
        <v>7874</v>
      </c>
      <c r="H256" s="763">
        <v>11</v>
      </c>
      <c r="I256" s="764">
        <v>36374</v>
      </c>
    </row>
    <row r="257" spans="1:9" hidden="1">
      <c r="A257" s="763" t="s">
        <v>5996</v>
      </c>
      <c r="B257" s="763" t="s">
        <v>5997</v>
      </c>
      <c r="C257" s="763"/>
      <c r="D257" s="763" t="s">
        <v>8349</v>
      </c>
      <c r="E257" s="763" t="s">
        <v>8350</v>
      </c>
      <c r="F257" s="763" t="s">
        <v>7749</v>
      </c>
      <c r="G257" s="763" t="s">
        <v>1225</v>
      </c>
      <c r="H257" s="763">
        <v>79</v>
      </c>
      <c r="I257" s="763" t="s">
        <v>8351</v>
      </c>
    </row>
    <row r="258" spans="1:9" hidden="1">
      <c r="A258" s="763" t="s">
        <v>6016</v>
      </c>
      <c r="B258" s="763" t="s">
        <v>6017</v>
      </c>
      <c r="C258" s="763" t="s">
        <v>7773</v>
      </c>
      <c r="D258" s="763" t="s">
        <v>8352</v>
      </c>
      <c r="E258" s="763" t="s">
        <v>7906</v>
      </c>
      <c r="F258" s="763" t="s">
        <v>7749</v>
      </c>
      <c r="G258" s="763" t="s">
        <v>1225</v>
      </c>
      <c r="H258" s="763">
        <v>318</v>
      </c>
      <c r="I258" s="764">
        <v>38029</v>
      </c>
    </row>
    <row r="259" spans="1:9" hidden="1">
      <c r="A259" s="763" t="s">
        <v>5496</v>
      </c>
      <c r="B259" s="763" t="s">
        <v>6020</v>
      </c>
      <c r="C259" s="763"/>
      <c r="D259" s="763" t="s">
        <v>8353</v>
      </c>
      <c r="E259" s="763" t="s">
        <v>8079</v>
      </c>
      <c r="F259" s="763" t="s">
        <v>7749</v>
      </c>
      <c r="G259" s="763" t="s">
        <v>558</v>
      </c>
      <c r="H259" s="763">
        <v>31</v>
      </c>
      <c r="I259" s="763" t="s">
        <v>8354</v>
      </c>
    </row>
    <row r="260" spans="1:9" hidden="1">
      <c r="A260" s="763" t="s">
        <v>6025</v>
      </c>
      <c r="B260" s="763" t="s">
        <v>6026</v>
      </c>
      <c r="C260" s="763"/>
      <c r="D260" s="763" t="s">
        <v>8355</v>
      </c>
      <c r="E260" s="763" t="s">
        <v>8356</v>
      </c>
      <c r="F260" s="763" t="s">
        <v>7749</v>
      </c>
      <c r="G260" s="763" t="s">
        <v>1347</v>
      </c>
      <c r="H260" s="763">
        <v>30</v>
      </c>
      <c r="I260" s="763" t="s">
        <v>8357</v>
      </c>
    </row>
    <row r="261" spans="1:9" hidden="1">
      <c r="A261" s="763" t="s">
        <v>6037</v>
      </c>
      <c r="B261" s="763" t="s">
        <v>6038</v>
      </c>
      <c r="C261" s="763"/>
      <c r="D261" s="763" t="s">
        <v>8358</v>
      </c>
      <c r="E261" s="763" t="s">
        <v>8359</v>
      </c>
      <c r="F261" s="763" t="s">
        <v>7749</v>
      </c>
      <c r="G261" s="763" t="s">
        <v>558</v>
      </c>
      <c r="H261" s="763">
        <v>321</v>
      </c>
      <c r="I261" s="764">
        <v>34191</v>
      </c>
    </row>
    <row r="262" spans="1:9" hidden="1">
      <c r="A262" s="763" t="s">
        <v>6039</v>
      </c>
      <c r="B262" s="763" t="s">
        <v>6040</v>
      </c>
      <c r="C262" s="763" t="s">
        <v>7773</v>
      </c>
      <c r="D262" s="763" t="s">
        <v>8360</v>
      </c>
      <c r="E262" s="763" t="s">
        <v>8361</v>
      </c>
      <c r="F262" s="763" t="s">
        <v>7749</v>
      </c>
      <c r="G262" s="763" t="s">
        <v>8296</v>
      </c>
      <c r="H262" s="763">
        <v>64</v>
      </c>
      <c r="I262" s="763" t="s">
        <v>8362</v>
      </c>
    </row>
    <row r="263" spans="1:9" hidden="1">
      <c r="A263" s="763" t="s">
        <v>6043</v>
      </c>
      <c r="B263" s="763" t="s">
        <v>6044</v>
      </c>
      <c r="C263" s="763"/>
      <c r="D263" s="763" t="s">
        <v>8363</v>
      </c>
      <c r="E263" s="763" t="s">
        <v>7814</v>
      </c>
      <c r="F263" s="763" t="s">
        <v>7749</v>
      </c>
      <c r="G263" s="763" t="s">
        <v>7865</v>
      </c>
      <c r="H263" s="763">
        <v>198</v>
      </c>
      <c r="I263" s="764">
        <v>35767</v>
      </c>
    </row>
    <row r="264" spans="1:9" hidden="1">
      <c r="A264" s="763" t="s">
        <v>6047</v>
      </c>
      <c r="B264" s="763" t="s">
        <v>6048</v>
      </c>
      <c r="C264" s="763" t="s">
        <v>7773</v>
      </c>
      <c r="D264" s="763" t="s">
        <v>8364</v>
      </c>
      <c r="E264" s="763" t="s">
        <v>8365</v>
      </c>
      <c r="F264" s="763" t="s">
        <v>7749</v>
      </c>
      <c r="G264" s="763" t="s">
        <v>8047</v>
      </c>
      <c r="H264" s="763">
        <v>34</v>
      </c>
      <c r="I264" s="763" t="s">
        <v>8366</v>
      </c>
    </row>
    <row r="265" spans="1:9" hidden="1">
      <c r="A265" s="763" t="s">
        <v>6051</v>
      </c>
      <c r="B265" s="763" t="s">
        <v>6052</v>
      </c>
      <c r="C265" s="763"/>
      <c r="D265" s="763" t="s">
        <v>8367</v>
      </c>
      <c r="E265" s="763" t="s">
        <v>8368</v>
      </c>
      <c r="F265" s="763" t="s">
        <v>7749</v>
      </c>
      <c r="G265" s="763" t="s">
        <v>1347</v>
      </c>
      <c r="H265" s="763">
        <v>36</v>
      </c>
      <c r="I265" s="763" t="s">
        <v>8369</v>
      </c>
    </row>
    <row r="266" spans="1:9" hidden="1">
      <c r="A266" s="763" t="s">
        <v>6053</v>
      </c>
      <c r="B266" s="763" t="s">
        <v>6054</v>
      </c>
      <c r="C266" s="763" t="s">
        <v>8370</v>
      </c>
      <c r="D266" s="763" t="s">
        <v>8371</v>
      </c>
      <c r="E266" s="763" t="s">
        <v>8372</v>
      </c>
      <c r="F266" s="763" t="s">
        <v>7749</v>
      </c>
      <c r="G266" s="763" t="s">
        <v>7765</v>
      </c>
      <c r="H266" s="763">
        <v>21</v>
      </c>
      <c r="I266" s="763" t="s">
        <v>8373</v>
      </c>
    </row>
    <row r="267" spans="1:9" hidden="1">
      <c r="A267" s="763" t="s">
        <v>6061</v>
      </c>
      <c r="B267" s="763" t="s">
        <v>6062</v>
      </c>
      <c r="C267" s="763"/>
      <c r="D267" s="763" t="s">
        <v>8374</v>
      </c>
      <c r="E267" s="763" t="s">
        <v>8375</v>
      </c>
      <c r="F267" s="763" t="s">
        <v>7749</v>
      </c>
      <c r="G267" s="763" t="s">
        <v>7762</v>
      </c>
      <c r="H267" s="763">
        <v>129</v>
      </c>
      <c r="I267" s="764">
        <v>36407</v>
      </c>
    </row>
    <row r="268" spans="1:9" hidden="1">
      <c r="A268" s="763" t="s">
        <v>6065</v>
      </c>
      <c r="B268" s="763" t="s">
        <v>6066</v>
      </c>
      <c r="C268" s="763"/>
      <c r="D268" s="763" t="s">
        <v>8376</v>
      </c>
      <c r="E268" s="763" t="s">
        <v>8377</v>
      </c>
      <c r="F268" s="763" t="s">
        <v>7749</v>
      </c>
      <c r="G268" s="763" t="s">
        <v>7784</v>
      </c>
      <c r="H268" s="763">
        <v>187</v>
      </c>
      <c r="I268" s="763" t="s">
        <v>8378</v>
      </c>
    </row>
    <row r="269" spans="1:9" hidden="1">
      <c r="A269" s="763" t="s">
        <v>6069</v>
      </c>
      <c r="B269" s="763" t="s">
        <v>6070</v>
      </c>
      <c r="C269" s="763"/>
      <c r="D269" s="763" t="s">
        <v>8379</v>
      </c>
      <c r="E269" s="763" t="s">
        <v>7431</v>
      </c>
      <c r="F269" s="763" t="s">
        <v>7749</v>
      </c>
      <c r="G269" s="763" t="s">
        <v>8380</v>
      </c>
      <c r="H269" s="763">
        <v>0</v>
      </c>
      <c r="I269" s="763" t="s">
        <v>8381</v>
      </c>
    </row>
    <row r="270" spans="1:9" hidden="1">
      <c r="A270" s="763" t="s">
        <v>6073</v>
      </c>
      <c r="B270" s="763" t="s">
        <v>6074</v>
      </c>
      <c r="C270" s="763"/>
      <c r="D270" s="763" t="s">
        <v>8382</v>
      </c>
      <c r="E270" s="763" t="s">
        <v>8383</v>
      </c>
      <c r="F270" s="763" t="s">
        <v>7749</v>
      </c>
      <c r="G270" s="763" t="s">
        <v>1225</v>
      </c>
      <c r="H270" s="763">
        <v>707</v>
      </c>
      <c r="I270" s="763" t="s">
        <v>8384</v>
      </c>
    </row>
    <row r="271" spans="1:9" hidden="1">
      <c r="A271" s="763" t="s">
        <v>6075</v>
      </c>
      <c r="B271" s="763" t="s">
        <v>6076</v>
      </c>
      <c r="C271" s="763"/>
      <c r="D271" s="763" t="s">
        <v>8385</v>
      </c>
      <c r="E271" s="763" t="s">
        <v>7906</v>
      </c>
      <c r="F271" s="763" t="s">
        <v>7749</v>
      </c>
      <c r="G271" s="763" t="s">
        <v>1225</v>
      </c>
      <c r="H271" s="763">
        <v>680</v>
      </c>
      <c r="I271" s="763" t="s">
        <v>8386</v>
      </c>
    </row>
    <row r="272" spans="1:9" hidden="1">
      <c r="A272" s="763" t="s">
        <v>6081</v>
      </c>
      <c r="B272" s="763" t="s">
        <v>6082</v>
      </c>
      <c r="C272" s="763"/>
      <c r="D272" s="763" t="s">
        <v>8387</v>
      </c>
      <c r="E272" s="763" t="s">
        <v>8300</v>
      </c>
      <c r="F272" s="763" t="s">
        <v>7749</v>
      </c>
      <c r="G272" s="763" t="s">
        <v>7771</v>
      </c>
      <c r="H272" s="763">
        <v>49</v>
      </c>
      <c r="I272" s="764">
        <v>33879</v>
      </c>
    </row>
    <row r="273" spans="1:9" hidden="1">
      <c r="A273" s="763" t="s">
        <v>6083</v>
      </c>
      <c r="B273" s="763" t="s">
        <v>6084</v>
      </c>
      <c r="C273" s="763"/>
      <c r="D273" s="763" t="s">
        <v>8388</v>
      </c>
      <c r="E273" s="763" t="s">
        <v>8389</v>
      </c>
      <c r="F273" s="763" t="s">
        <v>7749</v>
      </c>
      <c r="G273" s="763" t="s">
        <v>7750</v>
      </c>
      <c r="H273" s="763">
        <v>221</v>
      </c>
      <c r="I273" s="763" t="s">
        <v>8390</v>
      </c>
    </row>
    <row r="274" spans="1:9" hidden="1">
      <c r="A274" s="763" t="s">
        <v>6085</v>
      </c>
      <c r="B274" s="763" t="s">
        <v>6086</v>
      </c>
      <c r="C274" s="763" t="s">
        <v>8237</v>
      </c>
      <c r="D274" s="763" t="s">
        <v>8391</v>
      </c>
      <c r="E274" s="763" t="s">
        <v>8392</v>
      </c>
      <c r="F274" s="763" t="s">
        <v>7749</v>
      </c>
      <c r="G274" s="763" t="s">
        <v>7771</v>
      </c>
      <c r="H274" s="763">
        <v>159</v>
      </c>
      <c r="I274" s="763" t="s">
        <v>8393</v>
      </c>
    </row>
    <row r="275" spans="1:9" hidden="1">
      <c r="A275" s="761" t="s">
        <v>6103</v>
      </c>
      <c r="B275" s="761" t="s">
        <v>6104</v>
      </c>
      <c r="C275" s="761" t="s">
        <v>8394</v>
      </c>
      <c r="D275" s="761" t="s">
        <v>8395</v>
      </c>
      <c r="E275" s="761" t="s">
        <v>8109</v>
      </c>
      <c r="F275" s="761" t="s">
        <v>7749</v>
      </c>
      <c r="G275" s="761" t="s">
        <v>1225</v>
      </c>
      <c r="H275" s="763">
        <v>171</v>
      </c>
      <c r="I275" s="764">
        <v>38660</v>
      </c>
    </row>
    <row r="276" spans="1:9" hidden="1">
      <c r="A276" s="763" t="s">
        <v>6109</v>
      </c>
      <c r="B276" s="763" t="s">
        <v>6110</v>
      </c>
      <c r="C276" s="763"/>
      <c r="D276" s="763" t="s">
        <v>8396</v>
      </c>
      <c r="E276" s="763" t="s">
        <v>7768</v>
      </c>
      <c r="F276" s="763" t="s">
        <v>7749</v>
      </c>
      <c r="G276" s="763" t="s">
        <v>7765</v>
      </c>
      <c r="H276" s="763">
        <v>71</v>
      </c>
      <c r="I276" s="764">
        <v>34162</v>
      </c>
    </row>
    <row r="277" spans="1:9" hidden="1">
      <c r="A277" s="763" t="s">
        <v>6111</v>
      </c>
      <c r="B277" s="763" t="s">
        <v>6112</v>
      </c>
      <c r="C277" s="763"/>
      <c r="D277" s="763" t="s">
        <v>8397</v>
      </c>
      <c r="E277" s="763" t="s">
        <v>8308</v>
      </c>
      <c r="F277" s="763" t="s">
        <v>7749</v>
      </c>
      <c r="G277" s="763" t="s">
        <v>7771</v>
      </c>
      <c r="H277" s="763">
        <v>1089</v>
      </c>
      <c r="I277" s="764">
        <v>34769</v>
      </c>
    </row>
    <row r="278" spans="1:9" hidden="1">
      <c r="A278" s="763" t="s">
        <v>6113</v>
      </c>
      <c r="B278" s="763" t="s">
        <v>6114</v>
      </c>
      <c r="C278" s="763"/>
      <c r="D278" s="763" t="s">
        <v>8398</v>
      </c>
      <c r="E278" s="763" t="s">
        <v>8399</v>
      </c>
      <c r="F278" s="763" t="s">
        <v>7749</v>
      </c>
      <c r="G278" s="763" t="s">
        <v>1347</v>
      </c>
      <c r="H278" s="763">
        <v>516</v>
      </c>
      <c r="I278" s="763" t="s">
        <v>8400</v>
      </c>
    </row>
    <row r="279" spans="1:9" hidden="1">
      <c r="A279" s="763" t="s">
        <v>6117</v>
      </c>
      <c r="B279" s="763" t="s">
        <v>6118</v>
      </c>
      <c r="C279" s="763"/>
      <c r="D279" s="763" t="s">
        <v>8401</v>
      </c>
      <c r="E279" s="763" t="s">
        <v>8402</v>
      </c>
      <c r="F279" s="763" t="s">
        <v>7749</v>
      </c>
      <c r="G279" s="763" t="s">
        <v>1347</v>
      </c>
      <c r="H279" s="763">
        <v>199</v>
      </c>
      <c r="I279" s="763" t="s">
        <v>8403</v>
      </c>
    </row>
    <row r="280" spans="1:9">
      <c r="A280" s="763" t="s">
        <v>6126</v>
      </c>
      <c r="B280" s="763" t="s">
        <v>6127</v>
      </c>
      <c r="C280" s="763" t="s">
        <v>8309</v>
      </c>
      <c r="D280" s="763" t="s">
        <v>8404</v>
      </c>
      <c r="E280" s="763" t="s">
        <v>8405</v>
      </c>
      <c r="F280" s="763" t="s">
        <v>7749</v>
      </c>
      <c r="G280" s="763" t="s">
        <v>558</v>
      </c>
      <c r="H280" s="763">
        <v>30</v>
      </c>
      <c r="I280" s="764">
        <v>37228</v>
      </c>
    </row>
    <row r="281" spans="1:9" hidden="1">
      <c r="A281" s="763" t="s">
        <v>6130</v>
      </c>
      <c r="B281" s="763" t="s">
        <v>6131</v>
      </c>
      <c r="C281" s="763"/>
      <c r="D281" s="763" t="s">
        <v>8406</v>
      </c>
      <c r="E281" s="763" t="s">
        <v>7965</v>
      </c>
      <c r="F281" s="763" t="s">
        <v>7749</v>
      </c>
      <c r="G281" s="763" t="s">
        <v>1347</v>
      </c>
      <c r="H281" s="763">
        <v>400</v>
      </c>
      <c r="I281" s="764">
        <v>34703</v>
      </c>
    </row>
    <row r="282" spans="1:9" hidden="1">
      <c r="A282" s="763" t="s">
        <v>6142</v>
      </c>
      <c r="B282" s="763" t="s">
        <v>6143</v>
      </c>
      <c r="C282" s="763"/>
      <c r="D282" s="763" t="s">
        <v>8407</v>
      </c>
      <c r="E282" s="763" t="s">
        <v>8408</v>
      </c>
      <c r="F282" s="763" t="s">
        <v>7749</v>
      </c>
      <c r="G282" s="763" t="s">
        <v>7784</v>
      </c>
      <c r="H282" s="763">
        <v>17</v>
      </c>
      <c r="I282" s="763" t="s">
        <v>8409</v>
      </c>
    </row>
    <row r="283" spans="1:9" hidden="1">
      <c r="A283" s="763" t="s">
        <v>6144</v>
      </c>
      <c r="B283" s="763" t="s">
        <v>6145</v>
      </c>
      <c r="C283" s="763"/>
      <c r="D283" s="763" t="s">
        <v>8410</v>
      </c>
      <c r="E283" s="763" t="s">
        <v>8411</v>
      </c>
      <c r="F283" s="763" t="s">
        <v>7749</v>
      </c>
      <c r="G283" s="763" t="s">
        <v>7874</v>
      </c>
      <c r="H283" s="763">
        <v>47</v>
      </c>
      <c r="I283" s="763" t="s">
        <v>8412</v>
      </c>
    </row>
    <row r="284" spans="1:9" hidden="1">
      <c r="A284" s="763" t="s">
        <v>6163</v>
      </c>
      <c r="B284" s="763" t="s">
        <v>6164</v>
      </c>
      <c r="C284" s="763"/>
      <c r="D284" s="763" t="s">
        <v>8413</v>
      </c>
      <c r="E284" s="763" t="s">
        <v>8308</v>
      </c>
      <c r="F284" s="763" t="s">
        <v>7749</v>
      </c>
      <c r="G284" s="763" t="s">
        <v>7771</v>
      </c>
      <c r="H284" s="763">
        <v>1049</v>
      </c>
      <c r="I284" s="764">
        <v>33574</v>
      </c>
    </row>
    <row r="285" spans="1:9" hidden="1">
      <c r="A285" s="763" t="s">
        <v>6190</v>
      </c>
      <c r="B285" s="763" t="s">
        <v>6191</v>
      </c>
      <c r="C285" s="763" t="s">
        <v>7773</v>
      </c>
      <c r="D285" s="763" t="s">
        <v>8414</v>
      </c>
      <c r="E285" s="763" t="s">
        <v>7965</v>
      </c>
      <c r="F285" s="763" t="s">
        <v>7749</v>
      </c>
      <c r="G285" s="763" t="s">
        <v>8002</v>
      </c>
      <c r="H285" s="763">
        <v>160</v>
      </c>
      <c r="I285" s="763" t="s">
        <v>8415</v>
      </c>
    </row>
    <row r="286" spans="1:9" hidden="1">
      <c r="A286" s="763" t="s">
        <v>6196</v>
      </c>
      <c r="B286" s="763" t="s">
        <v>6197</v>
      </c>
      <c r="C286" s="763" t="s">
        <v>8416</v>
      </c>
      <c r="D286" s="763" t="s">
        <v>8417</v>
      </c>
      <c r="E286" s="763" t="s">
        <v>8418</v>
      </c>
      <c r="F286" s="763" t="s">
        <v>7749</v>
      </c>
      <c r="G286" s="763" t="s">
        <v>558</v>
      </c>
      <c r="H286" s="763">
        <v>18</v>
      </c>
      <c r="I286" s="763" t="s">
        <v>8419</v>
      </c>
    </row>
    <row r="287" spans="1:9" hidden="1">
      <c r="A287" s="763" t="s">
        <v>6206</v>
      </c>
      <c r="B287" s="763" t="s">
        <v>6207</v>
      </c>
      <c r="C287" s="763"/>
      <c r="D287" s="763" t="s">
        <v>8420</v>
      </c>
      <c r="E287" s="763" t="s">
        <v>8421</v>
      </c>
      <c r="F287" s="763" t="s">
        <v>7749</v>
      </c>
      <c r="G287" s="763" t="s">
        <v>558</v>
      </c>
      <c r="H287" s="763">
        <v>35</v>
      </c>
      <c r="I287" s="764">
        <v>34340</v>
      </c>
    </row>
    <row r="288" spans="1:9" hidden="1">
      <c r="A288" s="763" t="s">
        <v>6214</v>
      </c>
      <c r="B288" s="763" t="s">
        <v>6215</v>
      </c>
      <c r="C288" s="763"/>
      <c r="D288" s="763" t="s">
        <v>8422</v>
      </c>
      <c r="E288" s="763" t="s">
        <v>1726</v>
      </c>
      <c r="F288" s="763" t="s">
        <v>7749</v>
      </c>
      <c r="G288" s="763" t="s">
        <v>7817</v>
      </c>
      <c r="H288" s="763">
        <v>569</v>
      </c>
      <c r="I288" s="764">
        <v>34186</v>
      </c>
    </row>
    <row r="289" spans="1:9" hidden="1">
      <c r="A289" s="763" t="s">
        <v>6218</v>
      </c>
      <c r="B289" s="763" t="s">
        <v>6219</v>
      </c>
      <c r="C289" s="763"/>
      <c r="D289" s="763" t="s">
        <v>8423</v>
      </c>
      <c r="E289" s="763" t="s">
        <v>8424</v>
      </c>
      <c r="F289" s="763" t="s">
        <v>7749</v>
      </c>
      <c r="G289" s="763" t="s">
        <v>7762</v>
      </c>
      <c r="H289" s="763">
        <v>100</v>
      </c>
      <c r="I289" s="764">
        <v>33604</v>
      </c>
    </row>
    <row r="290" spans="1:9" hidden="1">
      <c r="A290" s="763" t="s">
        <v>6220</v>
      </c>
      <c r="B290" s="763" t="s">
        <v>6221</v>
      </c>
      <c r="C290" s="763"/>
      <c r="D290" s="763" t="s">
        <v>8425</v>
      </c>
      <c r="E290" s="763" t="s">
        <v>8426</v>
      </c>
      <c r="F290" s="763" t="s">
        <v>7749</v>
      </c>
      <c r="G290" s="763" t="s">
        <v>1347</v>
      </c>
      <c r="H290" s="763">
        <v>57</v>
      </c>
      <c r="I290" s="763" t="s">
        <v>8427</v>
      </c>
    </row>
    <row r="291" spans="1:9" hidden="1">
      <c r="A291" s="763" t="s">
        <v>6222</v>
      </c>
      <c r="B291" s="763" t="s">
        <v>6223</v>
      </c>
      <c r="C291" s="763"/>
      <c r="D291" s="763" t="s">
        <v>8428</v>
      </c>
      <c r="E291" s="763" t="s">
        <v>8429</v>
      </c>
      <c r="F291" s="763" t="s">
        <v>7749</v>
      </c>
      <c r="G291" s="763" t="s">
        <v>558</v>
      </c>
      <c r="H291" s="763">
        <v>75</v>
      </c>
      <c r="I291" s="763" t="s">
        <v>8430</v>
      </c>
    </row>
    <row r="292" spans="1:9" hidden="1">
      <c r="A292" s="763" t="s">
        <v>6230</v>
      </c>
      <c r="B292" s="763" t="s">
        <v>6231</v>
      </c>
      <c r="C292" s="763"/>
      <c r="D292" s="763" t="s">
        <v>8431</v>
      </c>
      <c r="E292" s="763" t="s">
        <v>7811</v>
      </c>
      <c r="F292" s="763" t="s">
        <v>7749</v>
      </c>
      <c r="G292" s="763" t="s">
        <v>7762</v>
      </c>
      <c r="H292" s="763">
        <v>259</v>
      </c>
      <c r="I292" s="763" t="s">
        <v>8432</v>
      </c>
    </row>
    <row r="293" spans="1:9" hidden="1">
      <c r="A293" s="763" t="s">
        <v>4349</v>
      </c>
      <c r="B293" s="763" t="s">
        <v>6232</v>
      </c>
      <c r="C293" s="763" t="s">
        <v>8237</v>
      </c>
      <c r="D293" s="763" t="s">
        <v>8433</v>
      </c>
      <c r="E293" s="763" t="s">
        <v>8050</v>
      </c>
      <c r="F293" s="763" t="s">
        <v>7749</v>
      </c>
      <c r="G293" s="763" t="s">
        <v>558</v>
      </c>
      <c r="H293" s="763">
        <v>1060</v>
      </c>
      <c r="I293" s="763" t="s">
        <v>8373</v>
      </c>
    </row>
    <row r="294" spans="1:9" hidden="1">
      <c r="A294" s="763" t="s">
        <v>6234</v>
      </c>
      <c r="B294" s="763" t="s">
        <v>6235</v>
      </c>
      <c r="C294" s="763"/>
      <c r="D294" s="763" t="s">
        <v>8434</v>
      </c>
      <c r="E294" s="763" t="s">
        <v>8435</v>
      </c>
      <c r="F294" s="763" t="s">
        <v>7749</v>
      </c>
      <c r="G294" s="763" t="s">
        <v>7874</v>
      </c>
      <c r="H294" s="763">
        <v>71</v>
      </c>
      <c r="I294" s="763" t="s">
        <v>8436</v>
      </c>
    </row>
    <row r="295" spans="1:9" hidden="1">
      <c r="A295" s="761" t="s">
        <v>6238</v>
      </c>
      <c r="B295" s="761" t="s">
        <v>6239</v>
      </c>
      <c r="C295" s="761" t="s">
        <v>8437</v>
      </c>
      <c r="D295" s="761" t="s">
        <v>8438</v>
      </c>
      <c r="E295" s="761" t="s">
        <v>7903</v>
      </c>
      <c r="F295" s="761" t="s">
        <v>7749</v>
      </c>
      <c r="G295" s="761" t="s">
        <v>1347</v>
      </c>
      <c r="H295" s="761">
        <v>191</v>
      </c>
      <c r="I295" s="766">
        <v>37805</v>
      </c>
    </row>
    <row r="296" spans="1:9" hidden="1">
      <c r="A296" s="763" t="s">
        <v>6242</v>
      </c>
      <c r="B296" s="763" t="s">
        <v>6243</v>
      </c>
      <c r="C296" s="763"/>
      <c r="D296" s="763" t="s">
        <v>8439</v>
      </c>
      <c r="E296" s="763" t="s">
        <v>7843</v>
      </c>
      <c r="F296" s="763" t="s">
        <v>7749</v>
      </c>
      <c r="G296" s="763" t="s">
        <v>8153</v>
      </c>
      <c r="H296" s="763">
        <v>285</v>
      </c>
      <c r="I296" s="763" t="s">
        <v>8440</v>
      </c>
    </row>
    <row r="297" spans="1:9" hidden="1">
      <c r="A297" s="763" t="s">
        <v>6246</v>
      </c>
      <c r="B297" s="763" t="s">
        <v>6247</v>
      </c>
      <c r="C297" s="763"/>
      <c r="D297" s="763" t="s">
        <v>8441</v>
      </c>
      <c r="E297" s="763" t="s">
        <v>7820</v>
      </c>
      <c r="F297" s="763" t="s">
        <v>7749</v>
      </c>
      <c r="G297" s="763" t="s">
        <v>1347</v>
      </c>
      <c r="H297" s="763">
        <v>129</v>
      </c>
      <c r="I297" s="764">
        <v>34344</v>
      </c>
    </row>
    <row r="298" spans="1:9" hidden="1">
      <c r="A298" s="763" t="s">
        <v>6258</v>
      </c>
      <c r="B298" s="763" t="s">
        <v>6259</v>
      </c>
      <c r="C298" s="763"/>
      <c r="D298" s="763" t="s">
        <v>8442</v>
      </c>
      <c r="E298" s="763" t="s">
        <v>7933</v>
      </c>
      <c r="F298" s="763" t="s">
        <v>7749</v>
      </c>
      <c r="G298" s="763" t="s">
        <v>1225</v>
      </c>
      <c r="H298" s="763">
        <v>130</v>
      </c>
      <c r="I298" s="763" t="s">
        <v>8443</v>
      </c>
    </row>
    <row r="299" spans="1:9" hidden="1">
      <c r="A299" s="763" t="s">
        <v>6262</v>
      </c>
      <c r="B299" s="763" t="s">
        <v>6263</v>
      </c>
      <c r="C299" s="763" t="s">
        <v>8444</v>
      </c>
      <c r="D299" s="763" t="s">
        <v>8445</v>
      </c>
      <c r="E299" s="763" t="s">
        <v>8446</v>
      </c>
      <c r="F299" s="763" t="s">
        <v>8447</v>
      </c>
      <c r="G299" s="763" t="s">
        <v>8448</v>
      </c>
      <c r="H299" s="763">
        <v>24</v>
      </c>
      <c r="I299" s="763" t="s">
        <v>8449</v>
      </c>
    </row>
    <row r="300" spans="1:9" hidden="1">
      <c r="A300" s="763" t="s">
        <v>6270</v>
      </c>
      <c r="B300" s="763" t="s">
        <v>6271</v>
      </c>
      <c r="C300" s="763"/>
      <c r="D300" s="763" t="s">
        <v>8450</v>
      </c>
      <c r="E300" s="763" t="s">
        <v>7929</v>
      </c>
      <c r="F300" s="763" t="s">
        <v>7749</v>
      </c>
      <c r="G300" s="763" t="s">
        <v>558</v>
      </c>
      <c r="H300" s="763">
        <v>436</v>
      </c>
      <c r="I300" s="764">
        <v>35838</v>
      </c>
    </row>
    <row r="301" spans="1:9" hidden="1">
      <c r="A301" s="763" t="s">
        <v>6272</v>
      </c>
      <c r="B301" s="763" t="s">
        <v>6273</v>
      </c>
      <c r="C301" s="763"/>
      <c r="D301" s="763" t="s">
        <v>8451</v>
      </c>
      <c r="E301" s="763" t="s">
        <v>8452</v>
      </c>
      <c r="F301" s="763" t="s">
        <v>7749</v>
      </c>
      <c r="G301" s="763" t="s">
        <v>1347</v>
      </c>
      <c r="H301" s="763">
        <v>62</v>
      </c>
      <c r="I301" s="764">
        <v>35258</v>
      </c>
    </row>
    <row r="302" spans="1:9" hidden="1">
      <c r="A302" s="763" t="s">
        <v>6274</v>
      </c>
      <c r="B302" s="763" t="s">
        <v>6275</v>
      </c>
      <c r="C302" s="763" t="s">
        <v>8453</v>
      </c>
      <c r="D302" s="763" t="s">
        <v>8454</v>
      </c>
      <c r="E302" s="763" t="s">
        <v>8050</v>
      </c>
      <c r="F302" s="763" t="s">
        <v>7749</v>
      </c>
      <c r="G302" s="763" t="s">
        <v>8002</v>
      </c>
      <c r="H302" s="763">
        <v>1080</v>
      </c>
      <c r="I302" s="763" t="s">
        <v>8455</v>
      </c>
    </row>
    <row r="303" spans="1:9" hidden="1">
      <c r="A303" s="763" t="s">
        <v>6276</v>
      </c>
      <c r="B303" s="763" t="s">
        <v>6277</v>
      </c>
      <c r="C303" s="763"/>
      <c r="D303" s="763" t="s">
        <v>8456</v>
      </c>
      <c r="E303" s="763" t="s">
        <v>8457</v>
      </c>
      <c r="F303" s="763" t="s">
        <v>7749</v>
      </c>
      <c r="G303" s="763" t="s">
        <v>558</v>
      </c>
      <c r="H303" s="763">
        <v>28</v>
      </c>
      <c r="I303" s="763" t="s">
        <v>8458</v>
      </c>
    </row>
    <row r="304" spans="1:9" hidden="1">
      <c r="A304" s="763" t="s">
        <v>6278</v>
      </c>
      <c r="B304" s="763" t="s">
        <v>6279</v>
      </c>
      <c r="C304" s="763"/>
      <c r="D304" s="763" t="s">
        <v>8459</v>
      </c>
      <c r="E304" s="763" t="s">
        <v>8460</v>
      </c>
      <c r="F304" s="763" t="s">
        <v>7749</v>
      </c>
      <c r="G304" s="763" t="s">
        <v>7853</v>
      </c>
      <c r="H304" s="763">
        <v>190</v>
      </c>
      <c r="I304" s="763" t="s">
        <v>8461</v>
      </c>
    </row>
    <row r="305" spans="1:9" hidden="1">
      <c r="A305" s="763" t="s">
        <v>6280</v>
      </c>
      <c r="B305" s="763" t="s">
        <v>6281</v>
      </c>
      <c r="C305" s="763"/>
      <c r="D305" s="763" t="s">
        <v>8462</v>
      </c>
      <c r="E305" s="763" t="s">
        <v>8016</v>
      </c>
      <c r="F305" s="763" t="s">
        <v>7749</v>
      </c>
      <c r="G305" s="763" t="s">
        <v>7938</v>
      </c>
      <c r="H305" s="763">
        <v>35</v>
      </c>
      <c r="I305" s="764">
        <v>34095</v>
      </c>
    </row>
    <row r="306" spans="1:9" hidden="1">
      <c r="A306" s="763" t="s">
        <v>6282</v>
      </c>
      <c r="B306" s="763" t="s">
        <v>6283</v>
      </c>
      <c r="C306" s="763" t="s">
        <v>8463</v>
      </c>
      <c r="D306" s="763" t="s">
        <v>8464</v>
      </c>
      <c r="E306" s="763" t="s">
        <v>8465</v>
      </c>
      <c r="F306" s="763" t="s">
        <v>7749</v>
      </c>
      <c r="G306" s="763" t="s">
        <v>7762</v>
      </c>
      <c r="H306" s="763">
        <v>31</v>
      </c>
      <c r="I306" s="763" t="s">
        <v>8466</v>
      </c>
    </row>
    <row r="307" spans="1:9" hidden="1">
      <c r="A307" s="763" t="s">
        <v>6300</v>
      </c>
      <c r="B307" s="763" t="s">
        <v>6301</v>
      </c>
      <c r="C307" s="763"/>
      <c r="D307" s="763" t="s">
        <v>8467</v>
      </c>
      <c r="E307" s="763" t="s">
        <v>8468</v>
      </c>
      <c r="F307" s="763" t="s">
        <v>8447</v>
      </c>
      <c r="G307" s="763" t="s">
        <v>558</v>
      </c>
      <c r="H307" s="763">
        <v>330</v>
      </c>
      <c r="I307" s="763" t="s">
        <v>8469</v>
      </c>
    </row>
    <row r="308" spans="1:9" hidden="1">
      <c r="A308" s="763" t="s">
        <v>6308</v>
      </c>
      <c r="B308" s="763" t="s">
        <v>6309</v>
      </c>
      <c r="C308" s="763" t="s">
        <v>8470</v>
      </c>
      <c r="D308" s="763" t="s">
        <v>8471</v>
      </c>
      <c r="E308" s="763" t="s">
        <v>7797</v>
      </c>
      <c r="F308" s="763" t="s">
        <v>7749</v>
      </c>
      <c r="G308" s="763" t="s">
        <v>558</v>
      </c>
      <c r="H308" s="763">
        <v>628</v>
      </c>
      <c r="I308" s="763" t="s">
        <v>8472</v>
      </c>
    </row>
    <row r="309" spans="1:9" hidden="1">
      <c r="A309" s="763" t="s">
        <v>6320</v>
      </c>
      <c r="B309" s="763" t="s">
        <v>6321</v>
      </c>
      <c r="C309" s="763"/>
      <c r="D309" s="763" t="s">
        <v>8473</v>
      </c>
      <c r="E309" s="763" t="s">
        <v>8474</v>
      </c>
      <c r="F309" s="763" t="s">
        <v>8447</v>
      </c>
      <c r="G309" s="763" t="s">
        <v>558</v>
      </c>
      <c r="H309" s="763">
        <v>259</v>
      </c>
      <c r="I309" s="763" t="s">
        <v>8475</v>
      </c>
    </row>
    <row r="310" spans="1:9" hidden="1">
      <c r="A310" s="763" t="s">
        <v>6324</v>
      </c>
      <c r="B310" s="763" t="s">
        <v>6325</v>
      </c>
      <c r="C310" s="763" t="s">
        <v>8476</v>
      </c>
      <c r="D310" s="763" t="s">
        <v>8477</v>
      </c>
      <c r="E310" s="763" t="s">
        <v>8478</v>
      </c>
      <c r="F310" s="763" t="s">
        <v>8447</v>
      </c>
      <c r="G310" s="763" t="s">
        <v>558</v>
      </c>
      <c r="H310" s="763">
        <v>97</v>
      </c>
      <c r="I310" s="763" t="s">
        <v>8479</v>
      </c>
    </row>
    <row r="311" spans="1:9" hidden="1">
      <c r="A311" s="763" t="s">
        <v>6326</v>
      </c>
      <c r="B311" s="763" t="s">
        <v>6327</v>
      </c>
      <c r="C311" s="763"/>
      <c r="D311" s="763" t="s">
        <v>8480</v>
      </c>
      <c r="E311" s="763" t="s">
        <v>8481</v>
      </c>
      <c r="F311" s="763" t="s">
        <v>8447</v>
      </c>
      <c r="G311" s="763" t="s">
        <v>8448</v>
      </c>
      <c r="H311" s="763">
        <v>640</v>
      </c>
      <c r="I311" s="764">
        <v>35432</v>
      </c>
    </row>
    <row r="312" spans="1:9" hidden="1">
      <c r="A312" s="763" t="s">
        <v>6328</v>
      </c>
      <c r="B312" s="763" t="s">
        <v>6329</v>
      </c>
      <c r="C312" s="763"/>
      <c r="D312" s="763" t="s">
        <v>8482</v>
      </c>
      <c r="E312" s="763" t="s">
        <v>8483</v>
      </c>
      <c r="F312" s="763" t="s">
        <v>8447</v>
      </c>
      <c r="G312" s="763" t="s">
        <v>8484</v>
      </c>
      <c r="H312" s="763">
        <v>104</v>
      </c>
      <c r="I312" s="763" t="s">
        <v>8012</v>
      </c>
    </row>
    <row r="313" spans="1:9" hidden="1">
      <c r="A313" s="763" t="s">
        <v>6332</v>
      </c>
      <c r="B313" s="763" t="s">
        <v>6333</v>
      </c>
      <c r="C313" s="763"/>
      <c r="D313" s="763" t="s">
        <v>8485</v>
      </c>
      <c r="E313" s="763" t="s">
        <v>8486</v>
      </c>
      <c r="F313" s="763" t="s">
        <v>8447</v>
      </c>
      <c r="G313" s="763" t="s">
        <v>558</v>
      </c>
      <c r="H313" s="763">
        <v>69</v>
      </c>
      <c r="I313" s="763" t="s">
        <v>8487</v>
      </c>
    </row>
    <row r="314" spans="1:9" hidden="1">
      <c r="A314" s="763" t="s">
        <v>6336</v>
      </c>
      <c r="B314" s="763" t="s">
        <v>6337</v>
      </c>
      <c r="C314" s="763" t="s">
        <v>8476</v>
      </c>
      <c r="D314" s="763" t="s">
        <v>8488</v>
      </c>
      <c r="E314" s="763" t="s">
        <v>8001</v>
      </c>
      <c r="F314" s="763" t="s">
        <v>7749</v>
      </c>
      <c r="G314" s="763" t="s">
        <v>7808</v>
      </c>
      <c r="H314" s="763">
        <v>23</v>
      </c>
      <c r="I314" s="763" t="s">
        <v>8489</v>
      </c>
    </row>
    <row r="315" spans="1:9" hidden="1">
      <c r="A315" s="763" t="s">
        <v>6350</v>
      </c>
      <c r="B315" s="763" t="s">
        <v>6351</v>
      </c>
      <c r="C315" s="763"/>
      <c r="D315" s="763" t="s">
        <v>8490</v>
      </c>
      <c r="E315" s="763" t="s">
        <v>8491</v>
      </c>
      <c r="F315" s="763" t="s">
        <v>8447</v>
      </c>
      <c r="G315" s="763" t="s">
        <v>8492</v>
      </c>
      <c r="H315" s="763">
        <v>612</v>
      </c>
      <c r="I315" s="763" t="s">
        <v>8493</v>
      </c>
    </row>
    <row r="316" spans="1:9" hidden="1">
      <c r="A316" s="763" t="s">
        <v>6352</v>
      </c>
      <c r="B316" s="763" t="s">
        <v>6353</v>
      </c>
      <c r="C316" s="763" t="s">
        <v>8453</v>
      </c>
      <c r="D316" s="763" t="s">
        <v>8494</v>
      </c>
      <c r="E316" s="763" t="s">
        <v>7820</v>
      </c>
      <c r="F316" s="763" t="s">
        <v>7749</v>
      </c>
      <c r="G316" s="763" t="s">
        <v>8002</v>
      </c>
      <c r="H316" s="763">
        <v>200</v>
      </c>
      <c r="I316" s="764">
        <v>38542</v>
      </c>
    </row>
    <row r="317" spans="1:9" hidden="1">
      <c r="A317" s="763" t="s">
        <v>6360</v>
      </c>
      <c r="B317" s="763" t="s">
        <v>6361</v>
      </c>
      <c r="C317" s="763" t="s">
        <v>8495</v>
      </c>
      <c r="D317" s="763" t="s">
        <v>8496</v>
      </c>
      <c r="E317" s="763" t="s">
        <v>8497</v>
      </c>
      <c r="F317" s="763" t="s">
        <v>8447</v>
      </c>
      <c r="G317" s="763" t="s">
        <v>8448</v>
      </c>
      <c r="H317" s="763">
        <v>14</v>
      </c>
      <c r="I317" s="763" t="s">
        <v>8498</v>
      </c>
    </row>
    <row r="318" spans="1:9" hidden="1">
      <c r="A318" s="763" t="s">
        <v>6366</v>
      </c>
      <c r="B318" s="763" t="s">
        <v>6367</v>
      </c>
      <c r="C318" s="763"/>
      <c r="D318" s="763" t="s">
        <v>8499</v>
      </c>
      <c r="E318" s="763" t="s">
        <v>8500</v>
      </c>
      <c r="F318" s="763" t="s">
        <v>7749</v>
      </c>
      <c r="G318" s="763" t="s">
        <v>558</v>
      </c>
      <c r="H318" s="763">
        <v>263</v>
      </c>
      <c r="I318" s="763" t="s">
        <v>8475</v>
      </c>
    </row>
    <row r="319" spans="1:9" hidden="1">
      <c r="A319" s="763" t="s">
        <v>6372</v>
      </c>
      <c r="B319" s="763" t="s">
        <v>6373</v>
      </c>
      <c r="C319" s="763"/>
      <c r="D319" s="763" t="s">
        <v>8501</v>
      </c>
      <c r="E319" s="763" t="s">
        <v>8502</v>
      </c>
      <c r="F319" s="763" t="s">
        <v>8447</v>
      </c>
      <c r="G319" s="763" t="s">
        <v>8503</v>
      </c>
      <c r="H319" s="763">
        <v>38</v>
      </c>
      <c r="I319" s="763" t="s">
        <v>8504</v>
      </c>
    </row>
    <row r="320" spans="1:9" hidden="1">
      <c r="A320" s="763" t="s">
        <v>6374</v>
      </c>
      <c r="B320" s="763" t="s">
        <v>6375</v>
      </c>
      <c r="C320" s="763"/>
      <c r="D320" s="763" t="s">
        <v>8505</v>
      </c>
      <c r="E320" s="763" t="s">
        <v>8506</v>
      </c>
      <c r="F320" s="763" t="s">
        <v>7749</v>
      </c>
      <c r="G320" s="763" t="s">
        <v>7765</v>
      </c>
      <c r="H320" s="763">
        <v>32</v>
      </c>
      <c r="I320" s="763" t="s">
        <v>8507</v>
      </c>
    </row>
    <row r="321" spans="1:9" hidden="1">
      <c r="A321" s="763" t="s">
        <v>6376</v>
      </c>
      <c r="B321" s="763" t="s">
        <v>6377</v>
      </c>
      <c r="C321" s="763"/>
      <c r="D321" s="763" t="s">
        <v>8508</v>
      </c>
      <c r="E321" s="763" t="s">
        <v>8509</v>
      </c>
      <c r="F321" s="763" t="s">
        <v>7749</v>
      </c>
      <c r="G321" s="763" t="s">
        <v>7757</v>
      </c>
      <c r="H321" s="763">
        <v>100</v>
      </c>
      <c r="I321" s="763" t="s">
        <v>8510</v>
      </c>
    </row>
    <row r="322" spans="1:9" hidden="1">
      <c r="A322" s="763" t="s">
        <v>6384</v>
      </c>
      <c r="B322" s="763" t="s">
        <v>6385</v>
      </c>
      <c r="C322" s="763"/>
      <c r="D322" s="763" t="s">
        <v>8511</v>
      </c>
      <c r="E322" s="763" t="s">
        <v>8512</v>
      </c>
      <c r="F322" s="763" t="s">
        <v>8447</v>
      </c>
      <c r="G322" s="763" t="s">
        <v>558</v>
      </c>
      <c r="H322" s="763">
        <v>1026</v>
      </c>
      <c r="I322" s="764">
        <v>35005</v>
      </c>
    </row>
    <row r="323" spans="1:9" hidden="1">
      <c r="A323" s="763" t="s">
        <v>6388</v>
      </c>
      <c r="B323" s="763" t="s">
        <v>6389</v>
      </c>
      <c r="C323" s="763"/>
      <c r="D323" s="763" t="s">
        <v>8513</v>
      </c>
      <c r="E323" s="763" t="s">
        <v>8050</v>
      </c>
      <c r="F323" s="763" t="s">
        <v>7749</v>
      </c>
      <c r="G323" s="763" t="s">
        <v>558</v>
      </c>
      <c r="H323" s="763">
        <v>341</v>
      </c>
      <c r="I323" s="763" t="s">
        <v>8514</v>
      </c>
    </row>
    <row r="324" spans="1:9" hidden="1">
      <c r="A324" s="763" t="s">
        <v>6398</v>
      </c>
      <c r="B324" s="763" t="s">
        <v>6399</v>
      </c>
      <c r="C324" s="763"/>
      <c r="D324" s="763" t="s">
        <v>8515</v>
      </c>
      <c r="E324" s="763" t="s">
        <v>8516</v>
      </c>
      <c r="F324" s="763" t="s">
        <v>8447</v>
      </c>
      <c r="G324" s="763" t="s">
        <v>8517</v>
      </c>
      <c r="H324" s="763">
        <v>128</v>
      </c>
      <c r="I324" s="764">
        <v>34002</v>
      </c>
    </row>
    <row r="325" spans="1:9" hidden="1">
      <c r="A325" s="763" t="s">
        <v>6400</v>
      </c>
      <c r="B325" s="763" t="s">
        <v>6401</v>
      </c>
      <c r="C325" s="763" t="s">
        <v>8470</v>
      </c>
      <c r="D325" s="763" t="s">
        <v>8518</v>
      </c>
      <c r="E325" s="763" t="s">
        <v>8512</v>
      </c>
      <c r="F325" s="763" t="s">
        <v>8447</v>
      </c>
      <c r="G325" s="763" t="s">
        <v>558</v>
      </c>
      <c r="H325" s="763">
        <v>175</v>
      </c>
      <c r="I325" s="763" t="s">
        <v>8519</v>
      </c>
    </row>
    <row r="326" spans="1:9" hidden="1">
      <c r="A326" s="763" t="s">
        <v>6402</v>
      </c>
      <c r="B326" s="763" t="s">
        <v>6403</v>
      </c>
      <c r="C326" s="763"/>
      <c r="D326" s="763" t="s">
        <v>8520</v>
      </c>
      <c r="E326" s="763" t="s">
        <v>8050</v>
      </c>
      <c r="F326" s="763" t="s">
        <v>7749</v>
      </c>
      <c r="G326" s="763" t="s">
        <v>558</v>
      </c>
      <c r="H326" s="763">
        <v>953</v>
      </c>
      <c r="I326" s="764">
        <v>33272</v>
      </c>
    </row>
    <row r="327" spans="1:9">
      <c r="A327" s="763" t="s">
        <v>6412</v>
      </c>
      <c r="B327" s="763" t="s">
        <v>6413</v>
      </c>
      <c r="C327" s="763" t="s">
        <v>8521</v>
      </c>
      <c r="D327" s="763" t="s">
        <v>8522</v>
      </c>
      <c r="E327" s="763" t="s">
        <v>8523</v>
      </c>
      <c r="F327" s="763" t="s">
        <v>8447</v>
      </c>
      <c r="G327" s="763" t="s">
        <v>558</v>
      </c>
      <c r="H327" s="763">
        <v>25</v>
      </c>
      <c r="I327" s="764">
        <v>37200</v>
      </c>
    </row>
    <row r="328" spans="1:9" hidden="1">
      <c r="A328" s="763" t="s">
        <v>6426</v>
      </c>
      <c r="B328" s="763" t="s">
        <v>6427</v>
      </c>
      <c r="C328" s="763"/>
      <c r="D328" s="763" t="s">
        <v>8524</v>
      </c>
      <c r="E328" s="763" t="s">
        <v>8525</v>
      </c>
      <c r="F328" s="763" t="s">
        <v>7749</v>
      </c>
      <c r="G328" s="763" t="s">
        <v>1347</v>
      </c>
      <c r="H328" s="763">
        <v>35</v>
      </c>
      <c r="I328" s="763" t="s">
        <v>8526</v>
      </c>
    </row>
    <row r="329" spans="1:9">
      <c r="A329" s="763" t="s">
        <v>6436</v>
      </c>
      <c r="B329" s="763" t="s">
        <v>6437</v>
      </c>
      <c r="C329" s="763" t="s">
        <v>8521</v>
      </c>
      <c r="D329" s="763" t="s">
        <v>8527</v>
      </c>
      <c r="E329" s="763" t="s">
        <v>8528</v>
      </c>
      <c r="F329" s="763" t="s">
        <v>8447</v>
      </c>
      <c r="G329" s="763" t="s">
        <v>558</v>
      </c>
      <c r="H329" s="763">
        <v>325</v>
      </c>
      <c r="I329" s="764">
        <v>37080</v>
      </c>
    </row>
    <row r="330" spans="1:9" hidden="1">
      <c r="A330" s="763" t="s">
        <v>6438</v>
      </c>
      <c r="B330" s="763" t="s">
        <v>6439</v>
      </c>
      <c r="C330" s="763"/>
      <c r="D330" s="763" t="s">
        <v>8529</v>
      </c>
      <c r="E330" s="763" t="s">
        <v>8530</v>
      </c>
      <c r="F330" s="763" t="s">
        <v>7749</v>
      </c>
      <c r="G330" s="763" t="s">
        <v>1347</v>
      </c>
      <c r="H330" s="763">
        <v>127</v>
      </c>
      <c r="I330" s="763" t="s">
        <v>7435</v>
      </c>
    </row>
    <row r="331" spans="1:9" hidden="1">
      <c r="A331" s="763" t="s">
        <v>6454</v>
      </c>
      <c r="B331" s="763" t="s">
        <v>6455</v>
      </c>
      <c r="C331" s="763" t="s">
        <v>8495</v>
      </c>
      <c r="D331" s="763" t="s">
        <v>8531</v>
      </c>
      <c r="E331" s="763" t="s">
        <v>8532</v>
      </c>
      <c r="F331" s="763" t="s">
        <v>8447</v>
      </c>
      <c r="G331" s="763" t="s">
        <v>558</v>
      </c>
      <c r="H331" s="763">
        <v>382</v>
      </c>
      <c r="I331" s="763" t="s">
        <v>8533</v>
      </c>
    </row>
    <row r="332" spans="1:9" hidden="1">
      <c r="A332" s="763" t="s">
        <v>6456</v>
      </c>
      <c r="B332" s="763" t="s">
        <v>6457</v>
      </c>
      <c r="C332" s="763" t="s">
        <v>8534</v>
      </c>
      <c r="D332" s="763" t="s">
        <v>8535</v>
      </c>
      <c r="E332" s="763" t="s">
        <v>8536</v>
      </c>
      <c r="F332" s="763" t="s">
        <v>8447</v>
      </c>
      <c r="G332" s="763" t="s">
        <v>558</v>
      </c>
      <c r="H332" s="763">
        <v>273</v>
      </c>
      <c r="I332" s="763" t="s">
        <v>8537</v>
      </c>
    </row>
    <row r="333" spans="1:9" hidden="1">
      <c r="A333" s="763" t="s">
        <v>6461</v>
      </c>
      <c r="B333" s="763" t="s">
        <v>6462</v>
      </c>
      <c r="C333" s="763"/>
      <c r="D333" s="763" t="s">
        <v>8538</v>
      </c>
      <c r="E333" s="763" t="s">
        <v>8539</v>
      </c>
      <c r="F333" s="763" t="s">
        <v>7749</v>
      </c>
      <c r="G333" s="763" t="s">
        <v>7853</v>
      </c>
      <c r="H333" s="763">
        <v>50</v>
      </c>
      <c r="I333" s="764">
        <v>36163</v>
      </c>
    </row>
    <row r="334" spans="1:9" hidden="1">
      <c r="A334" s="763" t="s">
        <v>6463</v>
      </c>
      <c r="B334" s="763" t="s">
        <v>6464</v>
      </c>
      <c r="C334" s="763"/>
      <c r="D334" s="763" t="s">
        <v>8540</v>
      </c>
      <c r="E334" s="763" t="s">
        <v>7986</v>
      </c>
      <c r="F334" s="763" t="s">
        <v>7749</v>
      </c>
      <c r="G334" s="763" t="s">
        <v>7750</v>
      </c>
      <c r="H334" s="763">
        <v>175</v>
      </c>
      <c r="I334" s="763" t="s">
        <v>8541</v>
      </c>
    </row>
    <row r="335" spans="1:9" hidden="1">
      <c r="A335" s="763" t="s">
        <v>6473</v>
      </c>
      <c r="B335" s="763" t="s">
        <v>6474</v>
      </c>
      <c r="C335" s="763"/>
      <c r="D335" s="763" t="s">
        <v>8542</v>
      </c>
      <c r="E335" s="763" t="s">
        <v>8543</v>
      </c>
      <c r="F335" s="763" t="s">
        <v>8447</v>
      </c>
      <c r="G335" s="763" t="s">
        <v>8544</v>
      </c>
      <c r="H335" s="763">
        <v>113</v>
      </c>
      <c r="I335" s="763" t="s">
        <v>8545</v>
      </c>
    </row>
    <row r="336" spans="1:9" hidden="1">
      <c r="A336" s="763" t="s">
        <v>6485</v>
      </c>
      <c r="B336" s="763" t="s">
        <v>6486</v>
      </c>
      <c r="C336" s="763"/>
      <c r="D336" s="763" t="s">
        <v>8546</v>
      </c>
      <c r="E336" s="763" t="s">
        <v>8547</v>
      </c>
      <c r="F336" s="763" t="s">
        <v>8447</v>
      </c>
      <c r="G336" s="763" t="s">
        <v>8484</v>
      </c>
      <c r="H336" s="763">
        <v>28</v>
      </c>
      <c r="I336" s="763" t="s">
        <v>8548</v>
      </c>
    </row>
    <row r="337" spans="1:9" hidden="1">
      <c r="A337" s="763" t="s">
        <v>6491</v>
      </c>
      <c r="B337" s="763" t="s">
        <v>6492</v>
      </c>
      <c r="C337" s="763"/>
      <c r="D337" s="763" t="s">
        <v>8549</v>
      </c>
      <c r="E337" s="763" t="s">
        <v>8550</v>
      </c>
      <c r="F337" s="763" t="s">
        <v>7749</v>
      </c>
      <c r="G337" s="763" t="s">
        <v>7860</v>
      </c>
      <c r="H337" s="763">
        <v>80</v>
      </c>
      <c r="I337" s="763" t="s">
        <v>8551</v>
      </c>
    </row>
    <row r="338" spans="1:9" hidden="1">
      <c r="A338" s="763" t="s">
        <v>6495</v>
      </c>
      <c r="B338" s="763" t="s">
        <v>6496</v>
      </c>
      <c r="C338" s="763"/>
      <c r="D338" s="763" t="s">
        <v>8552</v>
      </c>
      <c r="E338" s="763" t="s">
        <v>8553</v>
      </c>
      <c r="F338" s="763" t="s">
        <v>7749</v>
      </c>
      <c r="G338" s="763" t="s">
        <v>7853</v>
      </c>
      <c r="H338" s="763">
        <v>169</v>
      </c>
      <c r="I338" s="763" t="s">
        <v>8554</v>
      </c>
    </row>
    <row r="339" spans="1:9" hidden="1">
      <c r="A339" s="761" t="s">
        <v>6497</v>
      </c>
      <c r="B339" s="761" t="s">
        <v>6498</v>
      </c>
      <c r="C339" s="761" t="s">
        <v>8133</v>
      </c>
      <c r="D339" s="761" t="s">
        <v>8555</v>
      </c>
      <c r="E339" s="761" t="s">
        <v>8556</v>
      </c>
      <c r="F339" s="761" t="s">
        <v>7749</v>
      </c>
      <c r="G339" s="761" t="s">
        <v>7853</v>
      </c>
      <c r="H339" s="763">
        <v>107</v>
      </c>
      <c r="I339" s="763" t="s">
        <v>8557</v>
      </c>
    </row>
    <row r="340" spans="1:9" hidden="1">
      <c r="A340" s="763" t="s">
        <v>6509</v>
      </c>
      <c r="B340" s="763" t="s">
        <v>6510</v>
      </c>
      <c r="C340" s="763" t="s">
        <v>8558</v>
      </c>
      <c r="D340" s="763" t="s">
        <v>8559</v>
      </c>
      <c r="E340" s="763" t="s">
        <v>8560</v>
      </c>
      <c r="F340" s="763" t="s">
        <v>7749</v>
      </c>
      <c r="G340" s="763" t="s">
        <v>7874</v>
      </c>
      <c r="H340" s="763">
        <v>89</v>
      </c>
      <c r="I340" s="764">
        <v>36839</v>
      </c>
    </row>
    <row r="341" spans="1:9" hidden="1">
      <c r="A341" s="763" t="s">
        <v>6515</v>
      </c>
      <c r="B341" s="763" t="s">
        <v>6516</v>
      </c>
      <c r="C341" s="763"/>
      <c r="D341" s="763" t="s">
        <v>8561</v>
      </c>
      <c r="E341" s="763" t="s">
        <v>8560</v>
      </c>
      <c r="F341" s="763" t="s">
        <v>7749</v>
      </c>
      <c r="G341" s="763" t="s">
        <v>8562</v>
      </c>
      <c r="H341" s="763">
        <v>63</v>
      </c>
      <c r="I341" s="764">
        <v>34095</v>
      </c>
    </row>
    <row r="342" spans="1:9" hidden="1">
      <c r="A342" s="763" t="s">
        <v>6521</v>
      </c>
      <c r="B342" s="763" t="s">
        <v>6522</v>
      </c>
      <c r="C342" s="763" t="s">
        <v>8563</v>
      </c>
      <c r="D342" s="763" t="s">
        <v>8564</v>
      </c>
      <c r="E342" s="763" t="s">
        <v>8565</v>
      </c>
      <c r="F342" s="763" t="s">
        <v>7749</v>
      </c>
      <c r="G342" s="763" t="s">
        <v>7757</v>
      </c>
      <c r="H342" s="763">
        <v>178</v>
      </c>
      <c r="I342" s="763" t="s">
        <v>8566</v>
      </c>
    </row>
    <row r="343" spans="1:9" hidden="1">
      <c r="A343" s="763" t="s">
        <v>6525</v>
      </c>
      <c r="B343" s="763" t="s">
        <v>6526</v>
      </c>
      <c r="C343" s="763"/>
      <c r="D343" s="763" t="s">
        <v>8567</v>
      </c>
      <c r="E343" s="763" t="s">
        <v>8568</v>
      </c>
      <c r="F343" s="763" t="s">
        <v>8447</v>
      </c>
      <c r="G343" s="763" t="s">
        <v>8492</v>
      </c>
      <c r="H343" s="763">
        <v>661</v>
      </c>
      <c r="I343" s="764">
        <v>33521</v>
      </c>
    </row>
    <row r="344" spans="1:9" hidden="1">
      <c r="A344" s="763" t="s">
        <v>6535</v>
      </c>
      <c r="B344" s="763" t="s">
        <v>6536</v>
      </c>
      <c r="C344" s="763"/>
      <c r="D344" s="763" t="s">
        <v>8569</v>
      </c>
      <c r="E344" s="763" t="s">
        <v>8570</v>
      </c>
      <c r="F344" s="763" t="s">
        <v>7749</v>
      </c>
      <c r="G344" s="763" t="s">
        <v>8571</v>
      </c>
      <c r="H344" s="763">
        <v>49</v>
      </c>
      <c r="I344" s="763" t="s">
        <v>8572</v>
      </c>
    </row>
    <row r="345" spans="1:9" hidden="1">
      <c r="A345" s="763" t="s">
        <v>6537</v>
      </c>
      <c r="B345" s="763" t="s">
        <v>6538</v>
      </c>
      <c r="C345" s="763"/>
      <c r="D345" s="763" t="s">
        <v>8573</v>
      </c>
      <c r="E345" s="763" t="s">
        <v>8536</v>
      </c>
      <c r="F345" s="763" t="s">
        <v>8447</v>
      </c>
      <c r="G345" s="763" t="s">
        <v>558</v>
      </c>
      <c r="H345" s="763">
        <v>77</v>
      </c>
      <c r="I345" s="764">
        <v>34064</v>
      </c>
    </row>
    <row r="346" spans="1:9" hidden="1">
      <c r="A346" s="763" t="s">
        <v>6544</v>
      </c>
      <c r="B346" s="763" t="s">
        <v>6545</v>
      </c>
      <c r="C346" s="763"/>
      <c r="D346" s="763" t="s">
        <v>8574</v>
      </c>
      <c r="E346" s="763" t="s">
        <v>8124</v>
      </c>
      <c r="F346" s="763" t="s">
        <v>7749</v>
      </c>
      <c r="G346" s="763" t="s">
        <v>7874</v>
      </c>
      <c r="H346" s="763">
        <v>260</v>
      </c>
      <c r="I346" s="763" t="s">
        <v>8575</v>
      </c>
    </row>
    <row r="347" spans="1:9" hidden="1">
      <c r="A347" s="763" t="s">
        <v>6546</v>
      </c>
      <c r="B347" s="763" t="s">
        <v>6547</v>
      </c>
      <c r="C347" s="763"/>
      <c r="D347" s="763" t="s">
        <v>8576</v>
      </c>
      <c r="E347" s="763" t="s">
        <v>8577</v>
      </c>
      <c r="F347" s="763" t="s">
        <v>7749</v>
      </c>
      <c r="G347" s="763" t="s">
        <v>8578</v>
      </c>
      <c r="H347" s="763">
        <v>39</v>
      </c>
      <c r="I347" s="763" t="s">
        <v>8579</v>
      </c>
    </row>
    <row r="348" spans="1:9" hidden="1">
      <c r="A348" s="763" t="s">
        <v>6557</v>
      </c>
      <c r="B348" s="763" t="s">
        <v>6558</v>
      </c>
      <c r="C348" s="763"/>
      <c r="D348" s="763" t="s">
        <v>8580</v>
      </c>
      <c r="E348" s="763" t="s">
        <v>7843</v>
      </c>
      <c r="F348" s="763" t="s">
        <v>7749</v>
      </c>
      <c r="G348" s="763" t="s">
        <v>8326</v>
      </c>
      <c r="H348" s="763">
        <v>556</v>
      </c>
      <c r="I348" s="764">
        <v>35132</v>
      </c>
    </row>
    <row r="349" spans="1:9" hidden="1">
      <c r="A349" s="763" t="s">
        <v>6563</v>
      </c>
      <c r="B349" s="763" t="s">
        <v>6564</v>
      </c>
      <c r="C349" s="763"/>
      <c r="D349" s="763" t="s">
        <v>8581</v>
      </c>
      <c r="E349" s="763" t="s">
        <v>8582</v>
      </c>
      <c r="F349" s="763" t="s">
        <v>8447</v>
      </c>
      <c r="G349" s="763" t="s">
        <v>558</v>
      </c>
      <c r="H349" s="763">
        <v>575</v>
      </c>
      <c r="I349" s="764">
        <v>34404</v>
      </c>
    </row>
    <row r="350" spans="1:9" hidden="1">
      <c r="A350" s="763" t="s">
        <v>6565</v>
      </c>
      <c r="B350" s="763" t="s">
        <v>6566</v>
      </c>
      <c r="C350" s="763"/>
      <c r="D350" s="763" t="s">
        <v>8583</v>
      </c>
      <c r="E350" s="763" t="s">
        <v>8584</v>
      </c>
      <c r="F350" s="763" t="s">
        <v>8447</v>
      </c>
      <c r="G350" s="763" t="s">
        <v>8503</v>
      </c>
      <c r="H350" s="763">
        <v>133</v>
      </c>
      <c r="I350" s="764">
        <v>34131</v>
      </c>
    </row>
    <row r="351" spans="1:9" hidden="1">
      <c r="A351" s="763" t="s">
        <v>6569</v>
      </c>
      <c r="B351" s="763" t="s">
        <v>6570</v>
      </c>
      <c r="C351" s="763" t="s">
        <v>8476</v>
      </c>
      <c r="D351" s="763" t="s">
        <v>8585</v>
      </c>
      <c r="E351" s="763" t="s">
        <v>8586</v>
      </c>
      <c r="F351" s="763" t="s">
        <v>8447</v>
      </c>
      <c r="G351" s="763" t="s">
        <v>558</v>
      </c>
      <c r="H351" s="763" t="s">
        <v>7889</v>
      </c>
      <c r="I351" s="764">
        <v>37806</v>
      </c>
    </row>
    <row r="352" spans="1:9" hidden="1">
      <c r="A352" s="763" t="s">
        <v>6573</v>
      </c>
      <c r="B352" s="763" t="s">
        <v>6574</v>
      </c>
      <c r="C352" s="763" t="s">
        <v>8534</v>
      </c>
      <c r="D352" s="763" t="s">
        <v>8587</v>
      </c>
      <c r="E352" s="763" t="s">
        <v>8588</v>
      </c>
      <c r="F352" s="763" t="s">
        <v>8447</v>
      </c>
      <c r="G352" s="763" t="s">
        <v>8589</v>
      </c>
      <c r="H352" s="763">
        <v>64</v>
      </c>
      <c r="I352" s="763" t="s">
        <v>8590</v>
      </c>
    </row>
    <row r="353" spans="1:9" hidden="1">
      <c r="A353" s="763" t="s">
        <v>6601</v>
      </c>
      <c r="B353" s="763" t="s">
        <v>6401</v>
      </c>
      <c r="C353" s="763" t="s">
        <v>8470</v>
      </c>
      <c r="D353" s="763" t="s">
        <v>8591</v>
      </c>
      <c r="E353" s="763" t="s">
        <v>8592</v>
      </c>
      <c r="F353" s="763" t="s">
        <v>8447</v>
      </c>
      <c r="G353" s="763" t="s">
        <v>558</v>
      </c>
      <c r="H353" s="763">
        <v>200</v>
      </c>
      <c r="I353" s="763" t="s">
        <v>8593</v>
      </c>
    </row>
    <row r="354" spans="1:9" hidden="1">
      <c r="A354" s="763" t="s">
        <v>6604</v>
      </c>
      <c r="B354" s="763" t="s">
        <v>6605</v>
      </c>
      <c r="C354" s="763"/>
      <c r="D354" s="763" t="s">
        <v>8594</v>
      </c>
      <c r="E354" s="763" t="s">
        <v>8066</v>
      </c>
      <c r="F354" s="763" t="s">
        <v>7749</v>
      </c>
      <c r="G354" s="763" t="s">
        <v>8002</v>
      </c>
      <c r="H354" s="763">
        <v>62</v>
      </c>
      <c r="I354" s="764">
        <v>32906</v>
      </c>
    </row>
    <row r="355" spans="1:9" hidden="1">
      <c r="A355" s="761" t="s">
        <v>6610</v>
      </c>
      <c r="B355" s="761" t="s">
        <v>6611</v>
      </c>
      <c r="C355" s="761" t="s">
        <v>8133</v>
      </c>
      <c r="D355" s="761" t="s">
        <v>8595</v>
      </c>
      <c r="E355" s="761" t="s">
        <v>8596</v>
      </c>
      <c r="F355" s="761" t="s">
        <v>7749</v>
      </c>
      <c r="G355" s="761" t="s">
        <v>1347</v>
      </c>
      <c r="H355" s="763">
        <v>150</v>
      </c>
      <c r="I355" s="764">
        <v>36557</v>
      </c>
    </row>
    <row r="356" spans="1:9" hidden="1">
      <c r="A356" s="763" t="s">
        <v>6623</v>
      </c>
      <c r="B356" s="763" t="s">
        <v>6624</v>
      </c>
      <c r="C356" s="763"/>
      <c r="D356" s="763" t="s">
        <v>8597</v>
      </c>
      <c r="E356" s="763" t="s">
        <v>8598</v>
      </c>
      <c r="F356" s="763" t="s">
        <v>8447</v>
      </c>
      <c r="G356" s="763" t="s">
        <v>8484</v>
      </c>
      <c r="H356" s="763">
        <v>210</v>
      </c>
      <c r="I356" s="764">
        <v>35741</v>
      </c>
    </row>
    <row r="357" spans="1:9" hidden="1">
      <c r="A357" s="763" t="s">
        <v>6625</v>
      </c>
      <c r="B357" s="763" t="s">
        <v>6626</v>
      </c>
      <c r="C357" s="763"/>
      <c r="D357" s="763" t="s">
        <v>8599</v>
      </c>
      <c r="E357" s="763" t="s">
        <v>8600</v>
      </c>
      <c r="F357" s="763" t="s">
        <v>7749</v>
      </c>
      <c r="G357" s="763" t="s">
        <v>7993</v>
      </c>
      <c r="H357" s="763" t="s">
        <v>7889</v>
      </c>
      <c r="I357" s="763" t="s">
        <v>8601</v>
      </c>
    </row>
    <row r="358" spans="1:9" hidden="1">
      <c r="A358" s="763" t="s">
        <v>6647</v>
      </c>
      <c r="B358" s="763" t="s">
        <v>6648</v>
      </c>
      <c r="C358" s="763"/>
      <c r="D358" s="763" t="s">
        <v>8602</v>
      </c>
      <c r="E358" s="763" t="s">
        <v>8603</v>
      </c>
      <c r="F358" s="763" t="s">
        <v>7749</v>
      </c>
      <c r="G358" s="763" t="s">
        <v>8604</v>
      </c>
      <c r="H358" s="763">
        <v>20</v>
      </c>
      <c r="I358" s="763" t="s">
        <v>8605</v>
      </c>
    </row>
    <row r="359" spans="1:9" hidden="1">
      <c r="A359" s="763" t="s">
        <v>6663</v>
      </c>
      <c r="B359" s="763" t="s">
        <v>6664</v>
      </c>
      <c r="C359" s="763"/>
      <c r="D359" s="763" t="s">
        <v>8606</v>
      </c>
      <c r="E359" s="763" t="s">
        <v>8582</v>
      </c>
      <c r="F359" s="763" t="s">
        <v>8447</v>
      </c>
      <c r="G359" s="763" t="s">
        <v>558</v>
      </c>
      <c r="H359" s="763">
        <v>588</v>
      </c>
      <c r="I359" s="764">
        <v>33704</v>
      </c>
    </row>
    <row r="360" spans="1:9">
      <c r="A360" s="763" t="s">
        <v>6677</v>
      </c>
      <c r="B360" s="763" t="s">
        <v>6678</v>
      </c>
      <c r="C360" s="763" t="s">
        <v>8607</v>
      </c>
      <c r="D360" s="763" t="s">
        <v>8608</v>
      </c>
      <c r="E360" s="763" t="s">
        <v>8609</v>
      </c>
      <c r="F360" s="763" t="s">
        <v>8447</v>
      </c>
      <c r="G360" s="763" t="s">
        <v>8589</v>
      </c>
      <c r="H360" s="763" t="s">
        <v>7889</v>
      </c>
      <c r="I360" s="764">
        <v>37144</v>
      </c>
    </row>
    <row r="361" spans="1:9" hidden="1">
      <c r="A361" s="763" t="s">
        <v>6679</v>
      </c>
      <c r="B361" s="763" t="s">
        <v>6680</v>
      </c>
      <c r="C361" s="769" t="s">
        <v>8534</v>
      </c>
      <c r="D361" s="763" t="s">
        <v>8610</v>
      </c>
      <c r="E361" s="763" t="s">
        <v>8611</v>
      </c>
      <c r="F361" s="763" t="s">
        <v>7749</v>
      </c>
      <c r="G361" s="763" t="s">
        <v>1225</v>
      </c>
      <c r="H361" s="763">
        <v>278</v>
      </c>
      <c r="I361" s="763" t="s">
        <v>8612</v>
      </c>
    </row>
    <row r="362" spans="1:9" hidden="1">
      <c r="A362" s="763" t="s">
        <v>6681</v>
      </c>
      <c r="B362" s="763" t="s">
        <v>6682</v>
      </c>
      <c r="C362" s="763"/>
      <c r="D362" s="763" t="s">
        <v>8613</v>
      </c>
      <c r="E362" s="763" t="s">
        <v>8614</v>
      </c>
      <c r="F362" s="763" t="s">
        <v>8447</v>
      </c>
      <c r="G362" s="763" t="s">
        <v>558</v>
      </c>
      <c r="H362" s="763">
        <v>1</v>
      </c>
      <c r="I362" s="763" t="s">
        <v>8615</v>
      </c>
    </row>
    <row r="363" spans="1:9" hidden="1">
      <c r="A363" s="763" t="s">
        <v>6687</v>
      </c>
      <c r="B363" s="763" t="s">
        <v>6688</v>
      </c>
      <c r="C363" s="763"/>
      <c r="D363" s="763" t="s">
        <v>8015</v>
      </c>
      <c r="E363" s="763" t="s">
        <v>8040</v>
      </c>
      <c r="F363" s="763" t="s">
        <v>7749</v>
      </c>
      <c r="G363" s="763" t="s">
        <v>8616</v>
      </c>
      <c r="H363" s="763">
        <v>93</v>
      </c>
      <c r="I363" s="763" t="s">
        <v>8017</v>
      </c>
    </row>
    <row r="364" spans="1:9" hidden="1">
      <c r="A364" s="763" t="s">
        <v>6691</v>
      </c>
      <c r="B364" s="763" t="s">
        <v>6692</v>
      </c>
      <c r="C364" s="763"/>
      <c r="D364" s="763" t="s">
        <v>8617</v>
      </c>
      <c r="E364" s="763" t="s">
        <v>8618</v>
      </c>
      <c r="F364" s="763" t="s">
        <v>7749</v>
      </c>
      <c r="G364" s="763" t="s">
        <v>7808</v>
      </c>
      <c r="H364" s="763">
        <v>250</v>
      </c>
      <c r="I364" s="764">
        <v>36011</v>
      </c>
    </row>
    <row r="365" spans="1:9" hidden="1">
      <c r="A365" s="763" t="s">
        <v>6693</v>
      </c>
      <c r="B365" s="763" t="s">
        <v>6694</v>
      </c>
      <c r="C365" s="763"/>
      <c r="D365" s="763" t="s">
        <v>8619</v>
      </c>
      <c r="E365" s="763" t="s">
        <v>8620</v>
      </c>
      <c r="F365" s="763" t="s">
        <v>8447</v>
      </c>
      <c r="G365" s="763" t="s">
        <v>8492</v>
      </c>
      <c r="H365" s="763">
        <v>520</v>
      </c>
      <c r="I365" s="763" t="s">
        <v>8621</v>
      </c>
    </row>
    <row r="366" spans="1:9" hidden="1">
      <c r="A366" s="763" t="s">
        <v>6709</v>
      </c>
      <c r="B366" s="763" t="s">
        <v>6710</v>
      </c>
      <c r="C366" s="763" t="s">
        <v>8258</v>
      </c>
      <c r="D366" s="763" t="s">
        <v>8622</v>
      </c>
      <c r="E366" s="763" t="s">
        <v>8623</v>
      </c>
      <c r="F366" s="763" t="s">
        <v>7749</v>
      </c>
      <c r="G366" s="763" t="s">
        <v>8624</v>
      </c>
      <c r="H366" s="763">
        <v>25</v>
      </c>
      <c r="I366" s="764">
        <v>37294</v>
      </c>
    </row>
    <row r="367" spans="1:9" hidden="1">
      <c r="A367" s="763" t="s">
        <v>6711</v>
      </c>
      <c r="B367" s="763" t="s">
        <v>6712</v>
      </c>
      <c r="C367" s="763" t="s">
        <v>8204</v>
      </c>
      <c r="D367" s="763" t="s">
        <v>8625</v>
      </c>
      <c r="E367" s="763" t="s">
        <v>8050</v>
      </c>
      <c r="F367" s="763" t="s">
        <v>7749</v>
      </c>
      <c r="G367" s="763" t="s">
        <v>7865</v>
      </c>
      <c r="H367" s="763">
        <v>100</v>
      </c>
      <c r="I367" s="764">
        <v>37388</v>
      </c>
    </row>
    <row r="368" spans="1:9" hidden="1">
      <c r="A368" s="763" t="s">
        <v>6714</v>
      </c>
      <c r="B368" s="763" t="s">
        <v>6715</v>
      </c>
      <c r="C368" s="763" t="s">
        <v>8495</v>
      </c>
      <c r="D368" s="763" t="s">
        <v>8626</v>
      </c>
      <c r="E368" s="763" t="s">
        <v>8077</v>
      </c>
      <c r="F368" s="763" t="s">
        <v>7749</v>
      </c>
      <c r="G368" s="763" t="s">
        <v>8627</v>
      </c>
      <c r="H368" s="763">
        <v>41</v>
      </c>
      <c r="I368" s="764">
        <v>38630</v>
      </c>
    </row>
    <row r="369" spans="1:9" hidden="1">
      <c r="A369" s="763" t="s">
        <v>6716</v>
      </c>
      <c r="B369" s="763" t="s">
        <v>6717</v>
      </c>
      <c r="C369" s="763" t="s">
        <v>8495</v>
      </c>
      <c r="D369" s="763" t="s">
        <v>8628</v>
      </c>
      <c r="E369" s="763" t="s">
        <v>8629</v>
      </c>
      <c r="F369" s="763" t="s">
        <v>8447</v>
      </c>
      <c r="G369" s="763" t="s">
        <v>558</v>
      </c>
      <c r="H369" s="763">
        <v>202</v>
      </c>
      <c r="I369" s="764">
        <v>38535</v>
      </c>
    </row>
    <row r="370" spans="1:9" hidden="1">
      <c r="A370" s="763" t="s">
        <v>6733</v>
      </c>
      <c r="B370" s="763" t="s">
        <v>6734</v>
      </c>
      <c r="C370" s="763"/>
      <c r="D370" s="763" t="s">
        <v>8630</v>
      </c>
      <c r="E370" s="763" t="s">
        <v>8631</v>
      </c>
      <c r="F370" s="763" t="s">
        <v>7749</v>
      </c>
      <c r="G370" s="763" t="s">
        <v>8616</v>
      </c>
      <c r="H370" s="763">
        <v>80</v>
      </c>
      <c r="I370" s="764">
        <v>70592</v>
      </c>
    </row>
    <row r="371" spans="1:9" hidden="1">
      <c r="A371" s="763" t="s">
        <v>6739</v>
      </c>
      <c r="B371" s="763" t="s">
        <v>6740</v>
      </c>
      <c r="C371" s="763"/>
      <c r="D371" s="763" t="s">
        <v>8632</v>
      </c>
      <c r="E371" s="763" t="s">
        <v>8633</v>
      </c>
      <c r="F371" s="763" t="s">
        <v>7749</v>
      </c>
      <c r="G371" s="763" t="s">
        <v>7757</v>
      </c>
      <c r="H371" s="763">
        <v>315</v>
      </c>
      <c r="I371" s="763" t="s">
        <v>8634</v>
      </c>
    </row>
    <row r="372" spans="1:9" hidden="1">
      <c r="A372" s="763" t="s">
        <v>6743</v>
      </c>
      <c r="B372" s="763" t="s">
        <v>6744</v>
      </c>
      <c r="C372" s="773"/>
      <c r="D372" s="763" t="s">
        <v>8635</v>
      </c>
      <c r="E372" s="763" t="s">
        <v>7864</v>
      </c>
      <c r="F372" s="763" t="s">
        <v>7749</v>
      </c>
      <c r="G372" s="763" t="s">
        <v>558</v>
      </c>
      <c r="H372" s="763">
        <v>194</v>
      </c>
      <c r="I372" s="763" t="s">
        <v>8636</v>
      </c>
    </row>
    <row r="373" spans="1:9" hidden="1">
      <c r="A373" s="763" t="s">
        <v>3413</v>
      </c>
      <c r="B373" s="771" t="s">
        <v>6747</v>
      </c>
      <c r="C373" s="770" t="s">
        <v>8534</v>
      </c>
      <c r="D373" s="772" t="s">
        <v>8637</v>
      </c>
      <c r="E373" s="763" t="s">
        <v>8638</v>
      </c>
      <c r="F373" s="763" t="s">
        <v>7749</v>
      </c>
      <c r="G373" s="763" t="s">
        <v>7765</v>
      </c>
      <c r="H373" s="763">
        <v>12</v>
      </c>
      <c r="I373" s="764">
        <v>37349</v>
      </c>
    </row>
    <row r="374" spans="1:9" hidden="1">
      <c r="A374" s="763" t="s">
        <v>6750</v>
      </c>
      <c r="B374" s="763" t="s">
        <v>6751</v>
      </c>
      <c r="C374" s="774"/>
      <c r="D374" s="763" t="s">
        <v>8639</v>
      </c>
      <c r="E374" s="763" t="s">
        <v>8640</v>
      </c>
      <c r="F374" s="763" t="s">
        <v>8447</v>
      </c>
      <c r="G374" s="763" t="s">
        <v>558</v>
      </c>
      <c r="H374" s="763">
        <v>772</v>
      </c>
      <c r="I374" s="763" t="s">
        <v>8641</v>
      </c>
    </row>
    <row r="375" spans="1:9" hidden="1">
      <c r="A375" s="763" t="s">
        <v>6760</v>
      </c>
      <c r="B375" s="763" t="s">
        <v>6761</v>
      </c>
      <c r="C375" s="763" t="s">
        <v>8495</v>
      </c>
      <c r="D375" s="763" t="s">
        <v>8642</v>
      </c>
      <c r="E375" s="763" t="s">
        <v>8643</v>
      </c>
      <c r="F375" s="763" t="s">
        <v>7749</v>
      </c>
      <c r="G375" s="763" t="s">
        <v>7750</v>
      </c>
      <c r="H375" s="763">
        <v>140</v>
      </c>
      <c r="I375" s="764">
        <v>38606</v>
      </c>
    </row>
    <row r="376" spans="1:9" hidden="1">
      <c r="A376" s="763" t="s">
        <v>6766</v>
      </c>
      <c r="B376" s="763" t="s">
        <v>6767</v>
      </c>
      <c r="C376" s="763"/>
      <c r="D376" s="763" t="s">
        <v>8644</v>
      </c>
      <c r="E376" s="763" t="s">
        <v>8512</v>
      </c>
      <c r="F376" s="763" t="s">
        <v>8447</v>
      </c>
      <c r="G376" s="763" t="s">
        <v>558</v>
      </c>
      <c r="H376" s="763">
        <v>1443</v>
      </c>
      <c r="I376" s="763" t="s">
        <v>8645</v>
      </c>
    </row>
    <row r="377" spans="1:9" hidden="1">
      <c r="A377" s="763" t="s">
        <v>6768</v>
      </c>
      <c r="B377" s="763" t="s">
        <v>6769</v>
      </c>
      <c r="C377" s="763"/>
      <c r="D377" s="763" t="s">
        <v>8646</v>
      </c>
      <c r="E377" s="763" t="s">
        <v>8647</v>
      </c>
      <c r="F377" s="763" t="s">
        <v>7749</v>
      </c>
      <c r="G377" s="763" t="s">
        <v>1347</v>
      </c>
      <c r="H377" s="763">
        <v>80</v>
      </c>
      <c r="I377" s="763" t="s">
        <v>8648</v>
      </c>
    </row>
    <row r="378" spans="1:9" hidden="1">
      <c r="A378" s="763" t="s">
        <v>6774</v>
      </c>
      <c r="B378" s="763" t="s">
        <v>6775</v>
      </c>
      <c r="C378" s="763"/>
      <c r="D378" s="763" t="s">
        <v>8649</v>
      </c>
      <c r="E378" s="763" t="s">
        <v>7868</v>
      </c>
      <c r="F378" s="763" t="s">
        <v>7749</v>
      </c>
      <c r="G378" s="763" t="s">
        <v>7757</v>
      </c>
      <c r="H378" s="763">
        <v>300</v>
      </c>
      <c r="I378" s="764">
        <v>33878</v>
      </c>
    </row>
    <row r="379" spans="1:9" hidden="1">
      <c r="A379" s="763" t="s">
        <v>6778</v>
      </c>
      <c r="B379" s="763" t="s">
        <v>6779</v>
      </c>
      <c r="C379" s="763"/>
      <c r="D379" s="763" t="s">
        <v>8650</v>
      </c>
      <c r="E379" s="763" t="s">
        <v>8651</v>
      </c>
      <c r="F379" s="763" t="s">
        <v>7749</v>
      </c>
      <c r="G379" s="763" t="s">
        <v>7750</v>
      </c>
      <c r="H379" s="763">
        <v>99</v>
      </c>
      <c r="I379" s="763" t="s">
        <v>8652</v>
      </c>
    </row>
    <row r="380" spans="1:9" hidden="1">
      <c r="A380" s="763" t="s">
        <v>6796</v>
      </c>
      <c r="B380" s="763" t="s">
        <v>6797</v>
      </c>
      <c r="C380" s="763"/>
      <c r="D380" s="763" t="s">
        <v>8653</v>
      </c>
      <c r="E380" s="763" t="s">
        <v>7820</v>
      </c>
      <c r="F380" s="763" t="s">
        <v>7749</v>
      </c>
      <c r="G380" s="763" t="s">
        <v>7993</v>
      </c>
      <c r="H380" s="763" t="s">
        <v>7889</v>
      </c>
      <c r="I380" s="763" t="s">
        <v>8654</v>
      </c>
    </row>
    <row r="381" spans="1:9" hidden="1">
      <c r="A381" s="763" t="s">
        <v>8655</v>
      </c>
      <c r="B381" s="763"/>
      <c r="C381" s="763"/>
      <c r="D381" s="763" t="s">
        <v>8656</v>
      </c>
      <c r="E381" s="763" t="s">
        <v>8638</v>
      </c>
      <c r="F381" s="763" t="s">
        <v>7749</v>
      </c>
      <c r="G381" s="763" t="s">
        <v>7765</v>
      </c>
      <c r="H381" s="763">
        <v>40</v>
      </c>
      <c r="I381" s="763" t="s">
        <v>8657</v>
      </c>
    </row>
    <row r="382" spans="1:9" hidden="1">
      <c r="A382" s="763" t="s">
        <v>6799</v>
      </c>
      <c r="B382" s="763" t="s">
        <v>6800</v>
      </c>
      <c r="C382" s="763"/>
      <c r="D382" s="763" t="s">
        <v>8658</v>
      </c>
      <c r="E382" s="763" t="s">
        <v>7929</v>
      </c>
      <c r="F382" s="763" t="s">
        <v>7749</v>
      </c>
      <c r="G382" s="763" t="s">
        <v>558</v>
      </c>
      <c r="H382" s="763">
        <v>420</v>
      </c>
      <c r="I382" s="763" t="s">
        <v>8659</v>
      </c>
    </row>
    <row r="383" spans="1:9" hidden="1">
      <c r="A383" s="763" t="s">
        <v>6801</v>
      </c>
      <c r="B383" s="763" t="s">
        <v>6802</v>
      </c>
      <c r="C383" s="763"/>
      <c r="D383" s="763" t="s">
        <v>8660</v>
      </c>
      <c r="E383" s="763" t="s">
        <v>7927</v>
      </c>
      <c r="F383" s="763" t="s">
        <v>7749</v>
      </c>
      <c r="G383" s="763" t="s">
        <v>1225</v>
      </c>
      <c r="H383" s="763">
        <v>125</v>
      </c>
      <c r="I383" s="763" t="s">
        <v>8661</v>
      </c>
    </row>
    <row r="384" spans="1:9" hidden="1">
      <c r="A384" s="763" t="s">
        <v>6805</v>
      </c>
      <c r="B384" s="763" t="s">
        <v>6806</v>
      </c>
      <c r="C384" s="773"/>
      <c r="D384" s="763" t="s">
        <v>8662</v>
      </c>
      <c r="E384" s="763" t="s">
        <v>7940</v>
      </c>
      <c r="F384" s="763" t="s">
        <v>7749</v>
      </c>
      <c r="G384" s="763" t="s">
        <v>8604</v>
      </c>
      <c r="H384" s="763">
        <v>19</v>
      </c>
      <c r="I384" s="764">
        <v>33330</v>
      </c>
    </row>
    <row r="385" spans="1:9" hidden="1">
      <c r="A385" s="763" t="s">
        <v>6811</v>
      </c>
      <c r="B385" s="771" t="s">
        <v>6812</v>
      </c>
      <c r="C385" s="770" t="s">
        <v>8534</v>
      </c>
      <c r="D385" s="772" t="s">
        <v>8663</v>
      </c>
      <c r="E385" s="763" t="s">
        <v>8664</v>
      </c>
      <c r="F385" s="763" t="s">
        <v>8447</v>
      </c>
      <c r="G385" s="763" t="s">
        <v>8589</v>
      </c>
      <c r="H385" s="763">
        <v>329</v>
      </c>
      <c r="I385" s="763" t="s">
        <v>8665</v>
      </c>
    </row>
    <row r="386" spans="1:9" hidden="1">
      <c r="A386" s="763" t="s">
        <v>6813</v>
      </c>
      <c r="B386" s="763" t="s">
        <v>6814</v>
      </c>
      <c r="C386" s="775" t="s">
        <v>8495</v>
      </c>
      <c r="D386" s="763" t="s">
        <v>8666</v>
      </c>
      <c r="E386" s="763" t="s">
        <v>8667</v>
      </c>
      <c r="F386" s="763" t="s">
        <v>8447</v>
      </c>
      <c r="G386" s="763" t="s">
        <v>8503</v>
      </c>
      <c r="H386" s="763">
        <v>1</v>
      </c>
      <c r="I386" s="763" t="s">
        <v>8668</v>
      </c>
    </row>
    <row r="387" spans="1:9" hidden="1">
      <c r="A387" s="763" t="s">
        <v>6815</v>
      </c>
      <c r="B387" s="771" t="s">
        <v>6816</v>
      </c>
      <c r="C387" s="770" t="s">
        <v>8534</v>
      </c>
      <c r="D387" s="772" t="s">
        <v>8669</v>
      </c>
      <c r="E387" s="763" t="s">
        <v>8640</v>
      </c>
      <c r="F387" s="763" t="s">
        <v>8447</v>
      </c>
      <c r="G387" s="763" t="s">
        <v>558</v>
      </c>
      <c r="H387" s="763">
        <v>48</v>
      </c>
      <c r="I387" s="763" t="s">
        <v>8670</v>
      </c>
    </row>
    <row r="388" spans="1:9" hidden="1">
      <c r="A388" s="763" t="s">
        <v>6829</v>
      </c>
      <c r="B388" s="763" t="s">
        <v>6830</v>
      </c>
      <c r="C388" s="774"/>
      <c r="D388" s="763" t="s">
        <v>8671</v>
      </c>
      <c r="E388" s="763" t="s">
        <v>8672</v>
      </c>
      <c r="F388" s="763" t="s">
        <v>7749</v>
      </c>
      <c r="G388" s="763" t="s">
        <v>558</v>
      </c>
      <c r="H388" s="763">
        <v>105</v>
      </c>
      <c r="I388" s="763" t="s">
        <v>8673</v>
      </c>
    </row>
    <row r="389" spans="1:9" hidden="1">
      <c r="A389" s="763" t="s">
        <v>6836</v>
      </c>
      <c r="B389" s="763" t="s">
        <v>6837</v>
      </c>
      <c r="C389" s="763"/>
      <c r="D389" s="763" t="s">
        <v>8674</v>
      </c>
      <c r="E389" s="763" t="s">
        <v>7892</v>
      </c>
      <c r="F389" s="763" t="s">
        <v>7749</v>
      </c>
      <c r="G389" s="763" t="s">
        <v>8562</v>
      </c>
      <c r="H389" s="763">
        <v>22</v>
      </c>
      <c r="I389" s="763" t="s">
        <v>8675</v>
      </c>
    </row>
    <row r="390" spans="1:9" hidden="1">
      <c r="A390" s="763" t="s">
        <v>6840</v>
      </c>
      <c r="B390" s="763" t="s">
        <v>6841</v>
      </c>
      <c r="C390" s="763" t="s">
        <v>7773</v>
      </c>
      <c r="D390" s="763" t="s">
        <v>8676</v>
      </c>
      <c r="E390" s="763" t="s">
        <v>8481</v>
      </c>
      <c r="F390" s="763" t="s">
        <v>8447</v>
      </c>
      <c r="G390" s="763" t="s">
        <v>558</v>
      </c>
      <c r="H390" s="763">
        <v>512</v>
      </c>
      <c r="I390" s="763" t="s">
        <v>8677</v>
      </c>
    </row>
    <row r="391" spans="1:9" hidden="1">
      <c r="A391" s="761" t="s">
        <v>6844</v>
      </c>
      <c r="B391" s="761" t="s">
        <v>6845</v>
      </c>
      <c r="C391" s="761" t="s">
        <v>8678</v>
      </c>
      <c r="D391" s="761" t="s">
        <v>8679</v>
      </c>
      <c r="E391" s="761" t="s">
        <v>8481</v>
      </c>
      <c r="F391" s="761" t="s">
        <v>8447</v>
      </c>
      <c r="G391" s="761" t="s">
        <v>558</v>
      </c>
      <c r="H391" s="761">
        <v>512</v>
      </c>
      <c r="I391" s="761" t="s">
        <v>8680</v>
      </c>
    </row>
    <row r="392" spans="1:9" hidden="1">
      <c r="A392" s="763" t="s">
        <v>6846</v>
      </c>
      <c r="B392" s="763" t="s">
        <v>6847</v>
      </c>
      <c r="C392" s="763"/>
      <c r="D392" s="763" t="s">
        <v>8681</v>
      </c>
      <c r="E392" s="763" t="s">
        <v>7748</v>
      </c>
      <c r="F392" s="763" t="s">
        <v>7749</v>
      </c>
      <c r="G392" s="763" t="s">
        <v>8616</v>
      </c>
      <c r="H392" s="763">
        <v>43</v>
      </c>
      <c r="I392" s="763" t="s">
        <v>8682</v>
      </c>
    </row>
    <row r="393" spans="1:9" hidden="1">
      <c r="A393" s="763" t="s">
        <v>6856</v>
      </c>
      <c r="B393" s="763" t="s">
        <v>6857</v>
      </c>
      <c r="C393" s="763"/>
      <c r="D393" s="763" t="s">
        <v>8683</v>
      </c>
      <c r="E393" s="763" t="s">
        <v>8684</v>
      </c>
      <c r="F393" s="763" t="s">
        <v>8447</v>
      </c>
      <c r="G393" s="763" t="s">
        <v>8503</v>
      </c>
      <c r="H393" s="763">
        <v>92</v>
      </c>
      <c r="I393" s="763" t="s">
        <v>8685</v>
      </c>
    </row>
    <row r="394" spans="1:9" hidden="1">
      <c r="A394" s="763" t="s">
        <v>6858</v>
      </c>
      <c r="B394" s="763" t="s">
        <v>6859</v>
      </c>
      <c r="C394" s="763"/>
      <c r="D394" s="763" t="s">
        <v>8686</v>
      </c>
      <c r="E394" s="763" t="s">
        <v>7933</v>
      </c>
      <c r="F394" s="763" t="s">
        <v>7749</v>
      </c>
      <c r="G394" s="763" t="s">
        <v>8687</v>
      </c>
      <c r="H394" s="763">
        <v>215</v>
      </c>
      <c r="I394" s="764">
        <v>33153</v>
      </c>
    </row>
    <row r="395" spans="1:9" hidden="1">
      <c r="A395" s="763" t="s">
        <v>6862</v>
      </c>
      <c r="B395" s="763" t="s">
        <v>6863</v>
      </c>
      <c r="C395" s="763" t="s">
        <v>8463</v>
      </c>
      <c r="D395" s="763" t="s">
        <v>8688</v>
      </c>
      <c r="E395" s="763" t="s">
        <v>8512</v>
      </c>
      <c r="F395" s="763" t="s">
        <v>8447</v>
      </c>
      <c r="G395" s="763" t="s">
        <v>558</v>
      </c>
      <c r="H395" s="763">
        <v>1433</v>
      </c>
      <c r="I395" s="764">
        <v>36835</v>
      </c>
    </row>
    <row r="396" spans="1:9" hidden="1">
      <c r="A396" s="763" t="s">
        <v>6304</v>
      </c>
      <c r="B396" s="763" t="s">
        <v>6864</v>
      </c>
      <c r="C396" s="763"/>
      <c r="D396" s="763" t="s">
        <v>8689</v>
      </c>
      <c r="E396" s="763" t="s">
        <v>8690</v>
      </c>
      <c r="F396" s="763" t="s">
        <v>8447</v>
      </c>
      <c r="G396" s="763" t="s">
        <v>558</v>
      </c>
      <c r="H396" s="763">
        <v>568</v>
      </c>
      <c r="I396" s="764">
        <v>33645</v>
      </c>
    </row>
    <row r="397" spans="1:9" hidden="1">
      <c r="A397" s="763" t="s">
        <v>6865</v>
      </c>
      <c r="B397" s="763" t="s">
        <v>6866</v>
      </c>
      <c r="C397" s="763"/>
      <c r="D397" s="763" t="s">
        <v>8691</v>
      </c>
      <c r="E397" s="763" t="s">
        <v>8500</v>
      </c>
      <c r="F397" s="763" t="s">
        <v>7749</v>
      </c>
      <c r="G397" s="763" t="s">
        <v>558</v>
      </c>
      <c r="H397" s="763">
        <v>145</v>
      </c>
      <c r="I397" s="763" t="s">
        <v>8692</v>
      </c>
    </row>
    <row r="398" spans="1:9" hidden="1">
      <c r="A398" s="763" t="s">
        <v>6867</v>
      </c>
      <c r="B398" s="763" t="s">
        <v>6868</v>
      </c>
      <c r="C398" s="763"/>
      <c r="D398" s="763" t="s">
        <v>8693</v>
      </c>
      <c r="E398" s="763" t="s">
        <v>8694</v>
      </c>
      <c r="F398" s="763" t="s">
        <v>7749</v>
      </c>
      <c r="G398" s="763" t="s">
        <v>7853</v>
      </c>
      <c r="H398" s="763">
        <v>61</v>
      </c>
      <c r="I398" s="763" t="s">
        <v>7925</v>
      </c>
    </row>
    <row r="399" spans="1:9" hidden="1">
      <c r="A399" s="763" t="s">
        <v>6869</v>
      </c>
      <c r="B399" s="763" t="s">
        <v>6870</v>
      </c>
      <c r="C399" s="763"/>
      <c r="D399" s="763" t="s">
        <v>8695</v>
      </c>
      <c r="E399" s="763" t="s">
        <v>8512</v>
      </c>
      <c r="F399" s="763" t="s">
        <v>8447</v>
      </c>
      <c r="G399" s="763" t="s">
        <v>558</v>
      </c>
      <c r="H399" s="763">
        <v>572</v>
      </c>
      <c r="I399" s="763" t="s">
        <v>8696</v>
      </c>
    </row>
    <row r="400" spans="1:9" hidden="1">
      <c r="A400" s="763" t="s">
        <v>6875</v>
      </c>
      <c r="B400" s="763" t="s">
        <v>6876</v>
      </c>
      <c r="C400" s="763"/>
      <c r="D400" s="763" t="s">
        <v>8697</v>
      </c>
      <c r="E400" s="763" t="s">
        <v>8698</v>
      </c>
      <c r="F400" s="763" t="s">
        <v>8447</v>
      </c>
      <c r="G400" s="763" t="s">
        <v>558</v>
      </c>
      <c r="H400" s="763">
        <v>31</v>
      </c>
      <c r="I400" s="763" t="s">
        <v>1648</v>
      </c>
    </row>
    <row r="401" spans="1:9" hidden="1">
      <c r="A401" s="763" t="s">
        <v>6877</v>
      </c>
      <c r="B401" s="763" t="s">
        <v>6878</v>
      </c>
      <c r="C401" s="763"/>
      <c r="D401" s="763" t="s">
        <v>8699</v>
      </c>
      <c r="E401" s="763" t="s">
        <v>8672</v>
      </c>
      <c r="F401" s="763" t="s">
        <v>7749</v>
      </c>
      <c r="G401" s="763" t="s">
        <v>558</v>
      </c>
      <c r="H401" s="763">
        <v>77</v>
      </c>
      <c r="I401" s="763" t="s">
        <v>8700</v>
      </c>
    </row>
    <row r="402" spans="1:9" hidden="1">
      <c r="A402" s="763" t="s">
        <v>6881</v>
      </c>
      <c r="B402" s="763" t="s">
        <v>6882</v>
      </c>
      <c r="C402" s="763" t="s">
        <v>8476</v>
      </c>
      <c r="D402" s="763" t="s">
        <v>8701</v>
      </c>
      <c r="E402" s="763" t="s">
        <v>8702</v>
      </c>
      <c r="F402" s="763" t="s">
        <v>7749</v>
      </c>
      <c r="G402" s="763" t="s">
        <v>8326</v>
      </c>
      <c r="H402" s="763">
        <v>230</v>
      </c>
      <c r="I402" s="763" t="s">
        <v>8703</v>
      </c>
    </row>
    <row r="403" spans="1:9" hidden="1">
      <c r="A403" s="763" t="s">
        <v>6883</v>
      </c>
      <c r="B403" s="763" t="s">
        <v>6884</v>
      </c>
      <c r="C403" s="773" t="s">
        <v>7773</v>
      </c>
      <c r="D403" s="763" t="s">
        <v>8704</v>
      </c>
      <c r="E403" s="763" t="s">
        <v>8705</v>
      </c>
      <c r="F403" s="763" t="s">
        <v>7749</v>
      </c>
      <c r="G403" s="763" t="s">
        <v>8604</v>
      </c>
      <c r="H403" s="763">
        <v>150</v>
      </c>
      <c r="I403" s="763" t="s">
        <v>8706</v>
      </c>
    </row>
    <row r="404" spans="1:9" hidden="1">
      <c r="A404" s="763" t="s">
        <v>6891</v>
      </c>
      <c r="B404" s="771" t="s">
        <v>6892</v>
      </c>
      <c r="C404" s="770" t="s">
        <v>8534</v>
      </c>
      <c r="D404" s="772" t="s">
        <v>8707</v>
      </c>
      <c r="E404" s="763" t="s">
        <v>8708</v>
      </c>
      <c r="F404" s="763" t="s">
        <v>7749</v>
      </c>
      <c r="G404" s="763" t="s">
        <v>558</v>
      </c>
      <c r="H404" s="763">
        <v>58</v>
      </c>
      <c r="I404" s="763" t="s">
        <v>8709</v>
      </c>
    </row>
    <row r="405" spans="1:9" hidden="1">
      <c r="A405" s="763" t="s">
        <v>6893</v>
      </c>
      <c r="B405" s="763" t="s">
        <v>6894</v>
      </c>
      <c r="C405" s="763" t="s">
        <v>8463</v>
      </c>
      <c r="D405" s="763" t="s">
        <v>8710</v>
      </c>
      <c r="E405" s="763" t="s">
        <v>7812</v>
      </c>
      <c r="F405" s="763" t="s">
        <v>7749</v>
      </c>
      <c r="G405" s="763" t="s">
        <v>8002</v>
      </c>
      <c r="H405" s="763">
        <v>507</v>
      </c>
      <c r="I405" s="764">
        <v>36622</v>
      </c>
    </row>
    <row r="406" spans="1:9" hidden="1">
      <c r="A406" s="763" t="s">
        <v>6899</v>
      </c>
      <c r="B406" s="763" t="s">
        <v>6900</v>
      </c>
      <c r="C406" s="763"/>
      <c r="D406" s="763" t="s">
        <v>8711</v>
      </c>
      <c r="E406" s="763" t="s">
        <v>8712</v>
      </c>
      <c r="F406" s="763" t="s">
        <v>7749</v>
      </c>
      <c r="G406" s="763" t="s">
        <v>558</v>
      </c>
      <c r="H406" s="763">
        <v>161</v>
      </c>
      <c r="I406" s="764">
        <v>33883</v>
      </c>
    </row>
    <row r="407" spans="1:9" hidden="1">
      <c r="A407" s="763" t="s">
        <v>8713</v>
      </c>
      <c r="B407" s="763"/>
      <c r="C407" s="763"/>
      <c r="D407" s="763" t="s">
        <v>8714</v>
      </c>
      <c r="E407" s="763" t="s">
        <v>7411</v>
      </c>
      <c r="F407" s="763" t="s">
        <v>7749</v>
      </c>
      <c r="G407" s="763" t="s">
        <v>558</v>
      </c>
      <c r="H407" s="763">
        <v>100</v>
      </c>
      <c r="I407" s="763" t="s">
        <v>8715</v>
      </c>
    </row>
    <row r="408" spans="1:9" hidden="1">
      <c r="A408" s="763" t="s">
        <v>6901</v>
      </c>
      <c r="B408" s="763" t="s">
        <v>6902</v>
      </c>
      <c r="C408" s="763"/>
      <c r="D408" s="763" t="s">
        <v>8716</v>
      </c>
      <c r="E408" s="763" t="s">
        <v>8322</v>
      </c>
      <c r="F408" s="763" t="s">
        <v>7749</v>
      </c>
      <c r="G408" s="763" t="s">
        <v>558</v>
      </c>
      <c r="H408" s="763">
        <v>155</v>
      </c>
      <c r="I408" s="763" t="s">
        <v>8717</v>
      </c>
    </row>
    <row r="409" spans="1:9" hidden="1">
      <c r="A409" s="763" t="s">
        <v>6903</v>
      </c>
      <c r="B409" s="763" t="s">
        <v>6904</v>
      </c>
      <c r="C409" s="763"/>
      <c r="D409" s="763" t="s">
        <v>8718</v>
      </c>
      <c r="E409" s="763" t="s">
        <v>8592</v>
      </c>
      <c r="F409" s="763" t="s">
        <v>8447</v>
      </c>
      <c r="G409" s="763" t="s">
        <v>8719</v>
      </c>
      <c r="H409" s="763">
        <v>195</v>
      </c>
      <c r="I409" s="763" t="s">
        <v>8720</v>
      </c>
    </row>
    <row r="410" spans="1:9" hidden="1">
      <c r="A410" s="763" t="s">
        <v>6905</v>
      </c>
      <c r="B410" s="763" t="s">
        <v>6906</v>
      </c>
      <c r="C410" s="763" t="s">
        <v>8563</v>
      </c>
      <c r="D410" s="763" t="s">
        <v>8721</v>
      </c>
      <c r="E410" s="763" t="s">
        <v>8684</v>
      </c>
      <c r="F410" s="763" t="s">
        <v>8447</v>
      </c>
      <c r="G410" s="763" t="s">
        <v>558</v>
      </c>
      <c r="H410" s="763">
        <v>92</v>
      </c>
      <c r="I410" s="764">
        <v>37624</v>
      </c>
    </row>
    <row r="411" spans="1:9" hidden="1">
      <c r="A411" s="763" t="s">
        <v>6913</v>
      </c>
      <c r="B411" s="763" t="s">
        <v>6914</v>
      </c>
      <c r="C411" s="763"/>
      <c r="D411" s="763" t="s">
        <v>8722</v>
      </c>
      <c r="E411" s="763" t="s">
        <v>8723</v>
      </c>
      <c r="F411" s="763" t="s">
        <v>7749</v>
      </c>
      <c r="G411" s="763" t="s">
        <v>8604</v>
      </c>
      <c r="H411" s="763">
        <v>137</v>
      </c>
      <c r="I411" s="764">
        <v>34463</v>
      </c>
    </row>
    <row r="412" spans="1:9" hidden="1">
      <c r="A412" s="763" t="s">
        <v>6919</v>
      </c>
      <c r="B412" s="763" t="s">
        <v>6920</v>
      </c>
      <c r="C412" s="763"/>
      <c r="D412" s="763" t="s">
        <v>8724</v>
      </c>
      <c r="E412" s="763" t="s">
        <v>8725</v>
      </c>
      <c r="F412" s="763" t="s">
        <v>8447</v>
      </c>
      <c r="G412" s="763" t="s">
        <v>558</v>
      </c>
      <c r="H412" s="763">
        <v>437</v>
      </c>
      <c r="I412" s="763" t="s">
        <v>8726</v>
      </c>
    </row>
    <row r="413" spans="1:9" hidden="1">
      <c r="A413" s="763" t="s">
        <v>6923</v>
      </c>
      <c r="B413" s="763" t="s">
        <v>6924</v>
      </c>
      <c r="C413" s="763" t="s">
        <v>7773</v>
      </c>
      <c r="D413" s="763" t="s">
        <v>8727</v>
      </c>
      <c r="E413" s="763" t="s">
        <v>8516</v>
      </c>
      <c r="F413" s="763" t="s">
        <v>8447</v>
      </c>
      <c r="G413" s="763" t="s">
        <v>558</v>
      </c>
      <c r="H413" s="763">
        <v>41</v>
      </c>
      <c r="I413" s="764">
        <v>38178</v>
      </c>
    </row>
    <row r="414" spans="1:9" hidden="1">
      <c r="A414" s="763" t="s">
        <v>6927</v>
      </c>
      <c r="B414" s="763" t="s">
        <v>6928</v>
      </c>
      <c r="C414" s="763"/>
      <c r="D414" s="763" t="s">
        <v>8728</v>
      </c>
      <c r="E414" s="763" t="s">
        <v>8729</v>
      </c>
      <c r="F414" s="763" t="s">
        <v>7749</v>
      </c>
      <c r="G414" s="763" t="s">
        <v>8604</v>
      </c>
      <c r="H414" s="763">
        <v>260</v>
      </c>
      <c r="I414" s="764">
        <v>45629</v>
      </c>
    </row>
    <row r="415" spans="1:9" hidden="1">
      <c r="A415" s="763" t="s">
        <v>6929</v>
      </c>
      <c r="B415" s="763" t="s">
        <v>6435</v>
      </c>
      <c r="C415" s="763"/>
      <c r="D415" s="763" t="s">
        <v>8730</v>
      </c>
      <c r="E415" s="763" t="s">
        <v>8731</v>
      </c>
      <c r="F415" s="763" t="s">
        <v>7749</v>
      </c>
      <c r="G415" s="763" t="s">
        <v>7765</v>
      </c>
      <c r="H415" s="763">
        <v>80</v>
      </c>
      <c r="I415" s="764">
        <v>45629</v>
      </c>
    </row>
    <row r="416" spans="1:9">
      <c r="A416" s="763" t="s">
        <v>6940</v>
      </c>
      <c r="B416" s="763" t="s">
        <v>6941</v>
      </c>
      <c r="C416" s="763" t="s">
        <v>8732</v>
      </c>
      <c r="D416" s="763" t="s">
        <v>8733</v>
      </c>
      <c r="E416" s="763" t="s">
        <v>8093</v>
      </c>
      <c r="F416" s="763" t="s">
        <v>7749</v>
      </c>
      <c r="G416" s="763" t="s">
        <v>8734</v>
      </c>
      <c r="H416" s="763">
        <v>42</v>
      </c>
      <c r="I416" s="763" t="s">
        <v>8735</v>
      </c>
    </row>
    <row r="417" spans="1:9" hidden="1">
      <c r="A417" s="763" t="s">
        <v>6948</v>
      </c>
      <c r="B417" s="763" t="s">
        <v>6949</v>
      </c>
      <c r="C417" s="763"/>
      <c r="D417" s="763" t="s">
        <v>8736</v>
      </c>
      <c r="E417" s="763" t="s">
        <v>8737</v>
      </c>
      <c r="F417" s="763" t="s">
        <v>7749</v>
      </c>
      <c r="G417" s="763" t="s">
        <v>8326</v>
      </c>
      <c r="H417" s="763">
        <v>221</v>
      </c>
      <c r="I417" s="763" t="s">
        <v>8010</v>
      </c>
    </row>
    <row r="418" spans="1:9" hidden="1">
      <c r="A418" s="763" t="s">
        <v>6950</v>
      </c>
      <c r="B418" s="763" t="s">
        <v>6951</v>
      </c>
      <c r="C418" s="763"/>
      <c r="D418" s="763" t="s">
        <v>8738</v>
      </c>
      <c r="E418" s="763" t="s">
        <v>8739</v>
      </c>
      <c r="F418" s="763" t="s">
        <v>7749</v>
      </c>
      <c r="G418" s="763" t="s">
        <v>8740</v>
      </c>
      <c r="H418" s="763">
        <v>9</v>
      </c>
      <c r="I418" s="764">
        <v>35403</v>
      </c>
    </row>
    <row r="419" spans="1:9" hidden="1">
      <c r="A419" s="763" t="s">
        <v>6962</v>
      </c>
      <c r="B419" s="763" t="s">
        <v>6963</v>
      </c>
      <c r="C419" s="763"/>
      <c r="D419" s="763" t="s">
        <v>8741</v>
      </c>
      <c r="E419" s="763" t="s">
        <v>8481</v>
      </c>
      <c r="F419" s="763" t="s">
        <v>8447</v>
      </c>
      <c r="G419" s="763" t="s">
        <v>558</v>
      </c>
      <c r="H419" s="763">
        <v>541</v>
      </c>
      <c r="I419" s="763" t="s">
        <v>8742</v>
      </c>
    </row>
    <row r="420" spans="1:9" hidden="1">
      <c r="A420" s="763" t="s">
        <v>6972</v>
      </c>
      <c r="B420" s="763" t="s">
        <v>6973</v>
      </c>
      <c r="C420" s="763"/>
      <c r="D420" s="763" t="s">
        <v>8743</v>
      </c>
      <c r="E420" s="763" t="s">
        <v>7843</v>
      </c>
      <c r="F420" s="763" t="s">
        <v>7749</v>
      </c>
      <c r="G420" s="763" t="s">
        <v>8038</v>
      </c>
      <c r="H420" s="763">
        <v>486</v>
      </c>
      <c r="I420" s="764">
        <v>35492</v>
      </c>
    </row>
    <row r="421" spans="1:9" hidden="1">
      <c r="A421" s="763" t="s">
        <v>6976</v>
      </c>
      <c r="B421" s="763" t="s">
        <v>6977</v>
      </c>
      <c r="C421" s="763"/>
      <c r="D421" s="763" t="s">
        <v>8744</v>
      </c>
      <c r="E421" s="763" t="s">
        <v>8640</v>
      </c>
      <c r="F421" s="763" t="s">
        <v>8447</v>
      </c>
      <c r="G421" s="763" t="s">
        <v>558</v>
      </c>
      <c r="H421" s="763">
        <v>214</v>
      </c>
      <c r="I421" s="764">
        <v>36438</v>
      </c>
    </row>
    <row r="422" spans="1:9">
      <c r="A422" s="763" t="s">
        <v>6978</v>
      </c>
      <c r="B422" s="763" t="s">
        <v>6979</v>
      </c>
      <c r="C422" s="763" t="s">
        <v>8745</v>
      </c>
      <c r="D422" s="763" t="s">
        <v>8746</v>
      </c>
      <c r="E422" s="763" t="s">
        <v>8747</v>
      </c>
      <c r="F422" s="763" t="s">
        <v>7749</v>
      </c>
      <c r="G422" s="763" t="s">
        <v>7762</v>
      </c>
      <c r="H422" s="763">
        <v>20</v>
      </c>
      <c r="I422" s="763" t="s">
        <v>8748</v>
      </c>
    </row>
    <row r="423" spans="1:9" hidden="1">
      <c r="A423" s="763" t="s">
        <v>6984</v>
      </c>
      <c r="B423" s="763" t="s">
        <v>6985</v>
      </c>
      <c r="C423" s="763"/>
      <c r="D423" s="763" t="s">
        <v>8749</v>
      </c>
      <c r="E423" s="763" t="s">
        <v>8750</v>
      </c>
      <c r="F423" s="763" t="s">
        <v>7749</v>
      </c>
      <c r="G423" s="763" t="s">
        <v>1225</v>
      </c>
      <c r="H423" s="763">
        <v>26</v>
      </c>
      <c r="I423" s="764">
        <v>43558</v>
      </c>
    </row>
    <row r="424" spans="1:9" hidden="1">
      <c r="A424" s="763" t="s">
        <v>6986</v>
      </c>
      <c r="B424" s="763" t="s">
        <v>6987</v>
      </c>
      <c r="C424" s="763"/>
      <c r="D424" s="763" t="s">
        <v>8751</v>
      </c>
      <c r="E424" s="763" t="s">
        <v>8500</v>
      </c>
      <c r="F424" s="763" t="s">
        <v>7749</v>
      </c>
      <c r="G424" s="763" t="s">
        <v>558</v>
      </c>
      <c r="H424" s="763">
        <v>144</v>
      </c>
      <c r="I424" s="763" t="s">
        <v>8752</v>
      </c>
    </row>
    <row r="425" spans="1:9" hidden="1">
      <c r="A425" s="763" t="s">
        <v>7002</v>
      </c>
      <c r="B425" s="763" t="s">
        <v>7003</v>
      </c>
      <c r="C425" s="763" t="s">
        <v>8753</v>
      </c>
      <c r="D425" s="763" t="s">
        <v>8754</v>
      </c>
      <c r="E425" s="763" t="s">
        <v>8755</v>
      </c>
      <c r="F425" s="763" t="s">
        <v>7749</v>
      </c>
      <c r="G425" s="763" t="s">
        <v>558</v>
      </c>
      <c r="H425" s="763">
        <v>30</v>
      </c>
      <c r="I425" s="764">
        <v>37961</v>
      </c>
    </row>
    <row r="426" spans="1:9" hidden="1">
      <c r="A426" s="763" t="s">
        <v>7006</v>
      </c>
      <c r="B426" s="763" t="s">
        <v>7007</v>
      </c>
      <c r="C426" s="763"/>
      <c r="D426" s="763" t="s">
        <v>8756</v>
      </c>
      <c r="E426" s="763" t="s">
        <v>8757</v>
      </c>
      <c r="F426" s="763" t="s">
        <v>7749</v>
      </c>
      <c r="G426" s="763" t="s">
        <v>8687</v>
      </c>
      <c r="H426" s="763">
        <v>77</v>
      </c>
      <c r="I426" s="763" t="s">
        <v>8758</v>
      </c>
    </row>
    <row r="427" spans="1:9" hidden="1">
      <c r="A427" s="763" t="s">
        <v>7008</v>
      </c>
      <c r="B427" s="763" t="s">
        <v>7009</v>
      </c>
      <c r="C427" s="763"/>
      <c r="D427" s="763" t="s">
        <v>8759</v>
      </c>
      <c r="E427" s="763" t="s">
        <v>8512</v>
      </c>
      <c r="F427" s="763" t="s">
        <v>8447</v>
      </c>
      <c r="G427" s="763" t="s">
        <v>558</v>
      </c>
      <c r="H427" s="763">
        <v>1472</v>
      </c>
      <c r="I427" s="763" t="s">
        <v>8096</v>
      </c>
    </row>
    <row r="428" spans="1:9" hidden="1">
      <c r="A428" s="763" t="s">
        <v>7014</v>
      </c>
      <c r="B428" s="763" t="s">
        <v>7015</v>
      </c>
      <c r="C428" s="763"/>
      <c r="D428" s="763" t="s">
        <v>8760</v>
      </c>
      <c r="E428" s="763" t="s">
        <v>8761</v>
      </c>
      <c r="F428" s="763" t="s">
        <v>8447</v>
      </c>
      <c r="G428" s="763" t="s">
        <v>8503</v>
      </c>
      <c r="H428" s="763">
        <v>11</v>
      </c>
      <c r="I428" s="763" t="s">
        <v>8762</v>
      </c>
    </row>
    <row r="429" spans="1:9" hidden="1">
      <c r="A429" s="763" t="s">
        <v>7016</v>
      </c>
      <c r="B429" s="763" t="s">
        <v>7017</v>
      </c>
      <c r="C429" s="763" t="s">
        <v>7773</v>
      </c>
      <c r="D429" s="763" t="s">
        <v>8763</v>
      </c>
      <c r="E429" s="763" t="s">
        <v>8764</v>
      </c>
      <c r="F429" s="763" t="s">
        <v>8447</v>
      </c>
      <c r="G429" s="763" t="s">
        <v>8492</v>
      </c>
      <c r="H429" s="763">
        <v>600</v>
      </c>
      <c r="I429" s="763" t="s">
        <v>8765</v>
      </c>
    </row>
    <row r="430" spans="1:9" hidden="1">
      <c r="A430" s="763" t="s">
        <v>7024</v>
      </c>
      <c r="B430" s="763" t="s">
        <v>7025</v>
      </c>
      <c r="C430" s="763" t="s">
        <v>8495</v>
      </c>
      <c r="D430" s="763" t="s">
        <v>8766</v>
      </c>
      <c r="E430" s="763" t="s">
        <v>8767</v>
      </c>
      <c r="F430" s="763" t="s">
        <v>8447</v>
      </c>
      <c r="G430" s="763" t="s">
        <v>558</v>
      </c>
      <c r="H430" s="763">
        <v>107</v>
      </c>
      <c r="I430" s="764">
        <v>38445</v>
      </c>
    </row>
    <row r="431" spans="1:9" hidden="1">
      <c r="A431" s="763" t="s">
        <v>7038</v>
      </c>
      <c r="B431" s="763" t="s">
        <v>7039</v>
      </c>
      <c r="C431" s="763"/>
      <c r="D431" s="763" t="s">
        <v>8768</v>
      </c>
      <c r="E431" s="763" t="s">
        <v>8769</v>
      </c>
      <c r="F431" s="763" t="s">
        <v>7749</v>
      </c>
      <c r="G431" s="763" t="s">
        <v>8038</v>
      </c>
      <c r="H431" s="763">
        <v>206</v>
      </c>
      <c r="I431" s="764">
        <v>35715</v>
      </c>
    </row>
    <row r="432" spans="1:9" hidden="1">
      <c r="A432" s="763" t="s">
        <v>7040</v>
      </c>
      <c r="B432" s="763" t="s">
        <v>7041</v>
      </c>
      <c r="C432" s="763"/>
      <c r="D432" s="763" t="s">
        <v>8770</v>
      </c>
      <c r="E432" s="763" t="s">
        <v>8771</v>
      </c>
      <c r="F432" s="763" t="s">
        <v>7749</v>
      </c>
      <c r="G432" s="763" t="s">
        <v>1347</v>
      </c>
      <c r="H432" s="763">
        <v>287</v>
      </c>
      <c r="I432" s="763" t="s">
        <v>8772</v>
      </c>
    </row>
    <row r="433" spans="1:9">
      <c r="A433" s="763" t="s">
        <v>7044</v>
      </c>
      <c r="B433" s="763" t="s">
        <v>7045</v>
      </c>
      <c r="C433" s="763" t="s">
        <v>8773</v>
      </c>
      <c r="D433" s="763" t="s">
        <v>8774</v>
      </c>
      <c r="E433" s="763" t="s">
        <v>8543</v>
      </c>
      <c r="F433" s="763" t="s">
        <v>8447</v>
      </c>
      <c r="G433" s="763" t="s">
        <v>558</v>
      </c>
      <c r="H433" s="763">
        <v>104</v>
      </c>
      <c r="I433" s="763" t="s">
        <v>8118</v>
      </c>
    </row>
    <row r="434" spans="1:9" hidden="1">
      <c r="A434" s="763" t="s">
        <v>7053</v>
      </c>
      <c r="B434" s="763" t="s">
        <v>7054</v>
      </c>
      <c r="C434" s="763"/>
      <c r="D434" s="763" t="s">
        <v>8775</v>
      </c>
      <c r="E434" s="763" t="s">
        <v>8633</v>
      </c>
      <c r="F434" s="763" t="s">
        <v>7749</v>
      </c>
      <c r="G434" s="763" t="s">
        <v>8776</v>
      </c>
      <c r="H434" s="763">
        <v>380</v>
      </c>
      <c r="I434" s="764">
        <v>36469</v>
      </c>
    </row>
    <row r="435" spans="1:9" hidden="1">
      <c r="A435" s="763" t="s">
        <v>7055</v>
      </c>
      <c r="B435" s="763" t="s">
        <v>7056</v>
      </c>
      <c r="C435" s="763"/>
      <c r="D435" s="763" t="s">
        <v>8777</v>
      </c>
      <c r="E435" s="763" t="s">
        <v>7843</v>
      </c>
      <c r="F435" s="763" t="s">
        <v>7749</v>
      </c>
      <c r="G435" s="763" t="s">
        <v>7757</v>
      </c>
      <c r="H435" s="763">
        <v>543</v>
      </c>
      <c r="I435" s="763" t="s">
        <v>8236</v>
      </c>
    </row>
    <row r="436" spans="1:9" hidden="1">
      <c r="A436" s="763" t="s">
        <v>7057</v>
      </c>
      <c r="B436" s="763" t="s">
        <v>7058</v>
      </c>
      <c r="C436" s="763"/>
      <c r="D436" s="763" t="s">
        <v>8778</v>
      </c>
      <c r="E436" s="763" t="s">
        <v>7873</v>
      </c>
      <c r="F436" s="763" t="s">
        <v>7749</v>
      </c>
      <c r="G436" s="763" t="s">
        <v>8562</v>
      </c>
      <c r="H436" s="763">
        <v>0</v>
      </c>
      <c r="I436" s="764">
        <v>33151</v>
      </c>
    </row>
    <row r="437" spans="1:9" hidden="1">
      <c r="A437" s="763" t="s">
        <v>7065</v>
      </c>
      <c r="B437" s="763" t="s">
        <v>7066</v>
      </c>
      <c r="C437" s="763"/>
      <c r="D437" s="763" t="s">
        <v>8779</v>
      </c>
      <c r="E437" s="763" t="s">
        <v>8780</v>
      </c>
      <c r="F437" s="763" t="s">
        <v>7749</v>
      </c>
      <c r="G437" s="763" t="s">
        <v>558</v>
      </c>
      <c r="H437" s="763">
        <v>233</v>
      </c>
      <c r="I437" s="763" t="s">
        <v>8781</v>
      </c>
    </row>
    <row r="438" spans="1:9">
      <c r="A438" s="763" t="s">
        <v>7072</v>
      </c>
      <c r="B438" s="763" t="s">
        <v>7073</v>
      </c>
      <c r="C438" s="763" t="s">
        <v>8782</v>
      </c>
      <c r="D438" s="763" t="s">
        <v>8783</v>
      </c>
      <c r="E438" s="763" t="s">
        <v>8582</v>
      </c>
      <c r="F438" s="763" t="s">
        <v>8447</v>
      </c>
      <c r="G438" s="763" t="s">
        <v>558</v>
      </c>
      <c r="H438" s="763">
        <v>364</v>
      </c>
      <c r="I438" s="763" t="s">
        <v>8784</v>
      </c>
    </row>
    <row r="439" spans="1:9" hidden="1">
      <c r="A439" s="763" t="s">
        <v>7076</v>
      </c>
      <c r="B439" s="763" t="s">
        <v>7077</v>
      </c>
      <c r="C439" s="763"/>
      <c r="D439" s="763" t="s">
        <v>8785</v>
      </c>
      <c r="E439" s="763" t="s">
        <v>8672</v>
      </c>
      <c r="F439" s="763" t="s">
        <v>7749</v>
      </c>
      <c r="G439" s="763" t="s">
        <v>7765</v>
      </c>
      <c r="H439" s="763">
        <v>10</v>
      </c>
      <c r="I439" s="763" t="s">
        <v>8786</v>
      </c>
    </row>
    <row r="440" spans="1:9" hidden="1">
      <c r="A440" s="763" t="s">
        <v>7078</v>
      </c>
      <c r="B440" s="763" t="s">
        <v>7079</v>
      </c>
      <c r="C440" s="763"/>
      <c r="D440" s="763" t="s">
        <v>8787</v>
      </c>
      <c r="E440" s="763" t="s">
        <v>8582</v>
      </c>
      <c r="F440" s="763" t="s">
        <v>8447</v>
      </c>
      <c r="G440" s="763" t="s">
        <v>558</v>
      </c>
      <c r="H440" s="763">
        <v>520</v>
      </c>
      <c r="I440" s="763" t="s">
        <v>8788</v>
      </c>
    </row>
    <row r="441" spans="1:9" hidden="1">
      <c r="A441" s="763" t="s">
        <v>7084</v>
      </c>
      <c r="B441" s="763" t="s">
        <v>7085</v>
      </c>
      <c r="C441" s="763"/>
      <c r="D441" s="763" t="s">
        <v>8789</v>
      </c>
      <c r="E441" s="763" t="s">
        <v>7906</v>
      </c>
      <c r="F441" s="763" t="s">
        <v>7749</v>
      </c>
      <c r="G441" s="763" t="s">
        <v>1225</v>
      </c>
      <c r="H441" s="763">
        <v>917</v>
      </c>
      <c r="I441" s="763" t="s">
        <v>8790</v>
      </c>
    </row>
    <row r="442" spans="1:9" hidden="1">
      <c r="A442" s="763" t="s">
        <v>7090</v>
      </c>
      <c r="B442" s="763" t="s">
        <v>7091</v>
      </c>
      <c r="C442" s="763"/>
      <c r="D442" s="763" t="s">
        <v>8791</v>
      </c>
      <c r="E442" s="763" t="s">
        <v>8582</v>
      </c>
      <c r="F442" s="763" t="s">
        <v>8447</v>
      </c>
      <c r="G442" s="763" t="s">
        <v>558</v>
      </c>
      <c r="H442" s="763">
        <v>108</v>
      </c>
      <c r="I442" s="764">
        <v>36415</v>
      </c>
    </row>
    <row r="443" spans="1:9" hidden="1">
      <c r="A443" s="763" t="s">
        <v>7094</v>
      </c>
      <c r="B443" s="763" t="s">
        <v>7095</v>
      </c>
      <c r="C443" s="763"/>
      <c r="D443" s="763" t="s">
        <v>8792</v>
      </c>
      <c r="E443" s="763" t="s">
        <v>8383</v>
      </c>
      <c r="F443" s="763" t="s">
        <v>7749</v>
      </c>
      <c r="G443" s="763" t="s">
        <v>1225</v>
      </c>
      <c r="H443" s="763">
        <v>655</v>
      </c>
      <c r="I443" s="763" t="s">
        <v>7916</v>
      </c>
    </row>
    <row r="444" spans="1:9" hidden="1">
      <c r="A444" s="763" t="s">
        <v>7098</v>
      </c>
      <c r="B444" s="763" t="s">
        <v>7099</v>
      </c>
      <c r="C444" s="763"/>
      <c r="D444" s="763" t="s">
        <v>8793</v>
      </c>
      <c r="E444" s="763" t="s">
        <v>8794</v>
      </c>
      <c r="F444" s="763" t="s">
        <v>7749</v>
      </c>
      <c r="G444" s="763" t="s">
        <v>7874</v>
      </c>
      <c r="H444" s="763">
        <v>254</v>
      </c>
      <c r="I444" s="763" t="s">
        <v>8795</v>
      </c>
    </row>
    <row r="445" spans="1:9" hidden="1">
      <c r="A445" s="761" t="s">
        <v>7106</v>
      </c>
      <c r="B445" s="761" t="s">
        <v>7107</v>
      </c>
      <c r="C445" s="761" t="s">
        <v>8133</v>
      </c>
      <c r="D445" s="761" t="s">
        <v>8796</v>
      </c>
      <c r="E445" s="761" t="s">
        <v>8640</v>
      </c>
      <c r="F445" s="761" t="s">
        <v>8447</v>
      </c>
      <c r="G445" s="761" t="s">
        <v>558</v>
      </c>
      <c r="H445" s="763">
        <v>148</v>
      </c>
      <c r="I445" s="763" t="s">
        <v>8797</v>
      </c>
    </row>
    <row r="446" spans="1:9" hidden="1">
      <c r="A446" s="763" t="s">
        <v>7110</v>
      </c>
      <c r="B446" s="763" t="s">
        <v>7111</v>
      </c>
      <c r="C446" s="763" t="s">
        <v>8798</v>
      </c>
      <c r="D446" s="763" t="s">
        <v>8799</v>
      </c>
      <c r="E446" s="763" t="s">
        <v>7937</v>
      </c>
      <c r="F446" s="763" t="s">
        <v>7749</v>
      </c>
      <c r="G446" s="763" t="s">
        <v>1347</v>
      </c>
      <c r="H446" s="763">
        <v>25</v>
      </c>
      <c r="I446" s="763" t="s">
        <v>8800</v>
      </c>
    </row>
    <row r="447" spans="1:9" hidden="1">
      <c r="A447" s="763" t="s">
        <v>7121</v>
      </c>
      <c r="B447" s="763" t="s">
        <v>7122</v>
      </c>
      <c r="C447" s="763"/>
      <c r="D447" s="763" t="s">
        <v>8801</v>
      </c>
      <c r="E447" s="763" t="s">
        <v>8802</v>
      </c>
      <c r="F447" s="763" t="s">
        <v>7749</v>
      </c>
      <c r="G447" s="763" t="s">
        <v>8578</v>
      </c>
      <c r="H447" s="763">
        <v>124</v>
      </c>
      <c r="I447" s="764">
        <v>33331</v>
      </c>
    </row>
    <row r="448" spans="1:9" hidden="1">
      <c r="A448" s="761" t="s">
        <v>7127</v>
      </c>
      <c r="B448" s="761" t="s">
        <v>7128</v>
      </c>
      <c r="C448" s="761" t="s">
        <v>8803</v>
      </c>
      <c r="D448" s="761" t="s">
        <v>8804</v>
      </c>
      <c r="E448" s="761" t="s">
        <v>8805</v>
      </c>
      <c r="F448" s="761" t="s">
        <v>7749</v>
      </c>
      <c r="G448" s="761" t="s">
        <v>1225</v>
      </c>
      <c r="H448" s="761">
        <v>93</v>
      </c>
      <c r="I448" s="761" t="s">
        <v>8806</v>
      </c>
    </row>
    <row r="449" spans="1:9" hidden="1">
      <c r="A449" s="763" t="s">
        <v>7133</v>
      </c>
      <c r="B449" s="763" t="s">
        <v>7134</v>
      </c>
      <c r="C449" s="763"/>
      <c r="D449" s="763" t="s">
        <v>8807</v>
      </c>
      <c r="E449" s="763" t="s">
        <v>8082</v>
      </c>
      <c r="F449" s="763" t="s">
        <v>7749</v>
      </c>
      <c r="G449" s="763" t="s">
        <v>7874</v>
      </c>
      <c r="H449" s="763">
        <v>22</v>
      </c>
      <c r="I449" s="764">
        <v>36719</v>
      </c>
    </row>
    <row r="450" spans="1:9" hidden="1">
      <c r="A450" s="763" t="s">
        <v>7135</v>
      </c>
      <c r="B450" s="763" t="s">
        <v>7136</v>
      </c>
      <c r="C450" s="763" t="s">
        <v>8808</v>
      </c>
      <c r="D450" s="763" t="s">
        <v>8809</v>
      </c>
      <c r="E450" s="763" t="s">
        <v>8810</v>
      </c>
      <c r="F450" s="763" t="s">
        <v>7749</v>
      </c>
      <c r="G450" s="763" t="s">
        <v>7762</v>
      </c>
      <c r="H450" s="763">
        <v>70</v>
      </c>
      <c r="I450" s="763" t="s">
        <v>8811</v>
      </c>
    </row>
    <row r="451" spans="1:9" hidden="1">
      <c r="A451" s="763" t="s">
        <v>7137</v>
      </c>
      <c r="B451" s="763" t="s">
        <v>7066</v>
      </c>
      <c r="C451" s="763"/>
      <c r="D451" s="763" t="s">
        <v>8779</v>
      </c>
      <c r="E451" s="763" t="s">
        <v>8812</v>
      </c>
      <c r="F451" s="763" t="s">
        <v>7749</v>
      </c>
      <c r="G451" s="763" t="s">
        <v>7874</v>
      </c>
      <c r="H451" s="763" t="s">
        <v>7889</v>
      </c>
      <c r="I451" s="763" t="s">
        <v>8781</v>
      </c>
    </row>
    <row r="452" spans="1:9" hidden="1">
      <c r="A452" s="763" t="s">
        <v>7140</v>
      </c>
      <c r="B452" s="763" t="s">
        <v>7141</v>
      </c>
      <c r="C452" s="763"/>
      <c r="D452" s="763" t="s">
        <v>8813</v>
      </c>
      <c r="E452" s="763" t="s">
        <v>8814</v>
      </c>
      <c r="F452" s="763" t="s">
        <v>7749</v>
      </c>
      <c r="G452" s="763" t="s">
        <v>8578</v>
      </c>
      <c r="H452" s="763">
        <v>196</v>
      </c>
      <c r="I452" s="763" t="s">
        <v>8815</v>
      </c>
    </row>
    <row r="453" spans="1:9" hidden="1">
      <c r="A453" s="763" t="s">
        <v>7142</v>
      </c>
      <c r="B453" s="763" t="s">
        <v>7143</v>
      </c>
      <c r="C453" s="763"/>
      <c r="D453" s="763" t="s">
        <v>8816</v>
      </c>
      <c r="E453" s="763" t="s">
        <v>7873</v>
      </c>
      <c r="F453" s="763" t="s">
        <v>7749</v>
      </c>
      <c r="G453" s="763" t="s">
        <v>7874</v>
      </c>
      <c r="H453" s="763">
        <v>447</v>
      </c>
      <c r="I453" s="764">
        <v>34068</v>
      </c>
    </row>
    <row r="454" spans="1:9" hidden="1">
      <c r="A454" s="763" t="s">
        <v>7153</v>
      </c>
      <c r="B454" s="763" t="s">
        <v>7154</v>
      </c>
      <c r="C454" s="763" t="s">
        <v>8817</v>
      </c>
      <c r="D454" s="763" t="s">
        <v>8818</v>
      </c>
      <c r="E454" s="763" t="s">
        <v>8819</v>
      </c>
      <c r="F454" s="763" t="s">
        <v>8447</v>
      </c>
      <c r="G454" s="763" t="s">
        <v>558</v>
      </c>
      <c r="H454" s="763">
        <v>161</v>
      </c>
      <c r="I454" s="764">
        <v>38932</v>
      </c>
    </row>
    <row r="455" spans="1:9" hidden="1">
      <c r="A455" s="763" t="s">
        <v>7157</v>
      </c>
      <c r="B455" s="763" t="s">
        <v>7158</v>
      </c>
      <c r="C455" s="763"/>
      <c r="D455" s="763" t="s">
        <v>8820</v>
      </c>
      <c r="E455" s="763" t="s">
        <v>8821</v>
      </c>
      <c r="F455" s="763" t="s">
        <v>7749</v>
      </c>
      <c r="G455" s="763" t="s">
        <v>7874</v>
      </c>
      <c r="H455" s="763">
        <v>50</v>
      </c>
      <c r="I455" s="764">
        <v>35402</v>
      </c>
    </row>
    <row r="456" spans="1:9" hidden="1">
      <c r="A456" s="763" t="s">
        <v>7170</v>
      </c>
      <c r="B456" s="763" t="s">
        <v>7171</v>
      </c>
      <c r="C456" s="763"/>
      <c r="D456" s="763" t="s">
        <v>8822</v>
      </c>
      <c r="E456" s="763" t="s">
        <v>8823</v>
      </c>
      <c r="F456" s="763" t="s">
        <v>7749</v>
      </c>
      <c r="G456" s="763" t="s">
        <v>7865</v>
      </c>
      <c r="H456" s="763">
        <v>31</v>
      </c>
      <c r="I456" s="764">
        <v>35523</v>
      </c>
    </row>
    <row r="457" spans="1:9" hidden="1">
      <c r="A457" s="763" t="s">
        <v>7178</v>
      </c>
      <c r="B457" s="763" t="s">
        <v>5796</v>
      </c>
      <c r="C457" s="763"/>
      <c r="D457" s="763" t="s">
        <v>8824</v>
      </c>
      <c r="E457" s="763" t="s">
        <v>7756</v>
      </c>
      <c r="F457" s="763" t="s">
        <v>7749</v>
      </c>
      <c r="G457" s="763" t="s">
        <v>7808</v>
      </c>
      <c r="H457" s="763">
        <v>260</v>
      </c>
      <c r="I457" s="764">
        <v>35679</v>
      </c>
    </row>
    <row r="458" spans="1:9" hidden="1">
      <c r="A458" s="763" t="s">
        <v>7181</v>
      </c>
      <c r="B458" s="763" t="s">
        <v>7182</v>
      </c>
      <c r="C458" s="763"/>
      <c r="D458" s="763" t="s">
        <v>8825</v>
      </c>
      <c r="E458" s="763" t="s">
        <v>8826</v>
      </c>
      <c r="F458" s="763" t="s">
        <v>7749</v>
      </c>
      <c r="G458" s="763" t="s">
        <v>1347</v>
      </c>
      <c r="H458" s="763">
        <v>50</v>
      </c>
      <c r="I458" s="763" t="s">
        <v>8827</v>
      </c>
    </row>
    <row r="459" spans="1:9" hidden="1">
      <c r="A459" s="763" t="s">
        <v>7183</v>
      </c>
      <c r="B459" s="763" t="s">
        <v>7184</v>
      </c>
      <c r="C459" s="763"/>
      <c r="D459" s="763" t="s">
        <v>8828</v>
      </c>
      <c r="E459" s="763" t="s">
        <v>8829</v>
      </c>
      <c r="F459" s="763" t="s">
        <v>8447</v>
      </c>
      <c r="G459" s="763" t="s">
        <v>8589</v>
      </c>
      <c r="H459" s="763">
        <v>321</v>
      </c>
      <c r="I459" s="763" t="s">
        <v>8830</v>
      </c>
    </row>
    <row r="460" spans="1:9" hidden="1">
      <c r="A460" s="763" t="s">
        <v>7185</v>
      </c>
      <c r="B460" s="763" t="s">
        <v>7186</v>
      </c>
      <c r="C460" s="763" t="s">
        <v>8831</v>
      </c>
      <c r="D460" s="763" t="s">
        <v>8832</v>
      </c>
      <c r="E460" s="763" t="s">
        <v>8833</v>
      </c>
      <c r="F460" s="763" t="s">
        <v>7749</v>
      </c>
      <c r="G460" s="763" t="s">
        <v>558</v>
      </c>
      <c r="H460" s="763">
        <v>151</v>
      </c>
      <c r="I460" s="763" t="s">
        <v>8834</v>
      </c>
    </row>
    <row r="461" spans="1:9" hidden="1">
      <c r="A461" s="763" t="s">
        <v>7187</v>
      </c>
      <c r="B461" s="763" t="s">
        <v>7188</v>
      </c>
      <c r="C461" s="763"/>
      <c r="D461" s="763" t="s">
        <v>8835</v>
      </c>
      <c r="E461" s="763" t="s">
        <v>8836</v>
      </c>
      <c r="F461" s="763" t="s">
        <v>7749</v>
      </c>
      <c r="G461" s="763" t="s">
        <v>558</v>
      </c>
      <c r="H461" s="763">
        <v>346</v>
      </c>
      <c r="I461" s="763" t="s">
        <v>7981</v>
      </c>
    </row>
    <row r="462" spans="1:9" hidden="1">
      <c r="A462" s="761" t="s">
        <v>7189</v>
      </c>
      <c r="B462" s="761" t="s">
        <v>7190</v>
      </c>
      <c r="C462" s="761" t="s">
        <v>8837</v>
      </c>
      <c r="D462" s="761" t="s">
        <v>8838</v>
      </c>
      <c r="E462" s="761" t="s">
        <v>8570</v>
      </c>
      <c r="F462" s="761" t="s">
        <v>7749</v>
      </c>
      <c r="G462" s="761" t="s">
        <v>558</v>
      </c>
      <c r="H462" s="761">
        <v>59</v>
      </c>
      <c r="I462" s="761" t="s">
        <v>8839</v>
      </c>
    </row>
    <row r="463" spans="1:9" hidden="1">
      <c r="A463" s="763" t="s">
        <v>7193</v>
      </c>
      <c r="B463" s="763" t="s">
        <v>7194</v>
      </c>
      <c r="C463" s="763" t="s">
        <v>8831</v>
      </c>
      <c r="D463" s="763" t="s">
        <v>8840</v>
      </c>
      <c r="E463" s="763" t="s">
        <v>8841</v>
      </c>
      <c r="F463" s="763" t="s">
        <v>7749</v>
      </c>
      <c r="G463" s="763" t="s">
        <v>7865</v>
      </c>
      <c r="H463" s="763">
        <v>71</v>
      </c>
      <c r="I463" s="763" t="s">
        <v>8842</v>
      </c>
    </row>
    <row r="464" spans="1:9" hidden="1">
      <c r="A464" s="761" t="s">
        <v>7199</v>
      </c>
      <c r="B464" s="761" t="s">
        <v>7200</v>
      </c>
      <c r="C464" s="761" t="s">
        <v>8837</v>
      </c>
      <c r="D464" s="761" t="s">
        <v>8843</v>
      </c>
      <c r="E464" s="761" t="s">
        <v>8844</v>
      </c>
      <c r="F464" s="761" t="s">
        <v>8447</v>
      </c>
      <c r="G464" s="761" t="s">
        <v>558</v>
      </c>
      <c r="H464" s="761">
        <v>358</v>
      </c>
      <c r="I464" s="761" t="s">
        <v>8845</v>
      </c>
    </row>
    <row r="465" spans="1:9" hidden="1">
      <c r="A465" s="763" t="s">
        <v>7201</v>
      </c>
      <c r="B465" s="763" t="s">
        <v>7202</v>
      </c>
      <c r="C465" s="763"/>
      <c r="D465" s="763" t="s">
        <v>8846</v>
      </c>
      <c r="E465" s="763" t="s">
        <v>8847</v>
      </c>
      <c r="F465" s="763" t="s">
        <v>7749</v>
      </c>
      <c r="G465" s="763" t="s">
        <v>7808</v>
      </c>
      <c r="H465" s="763">
        <v>276</v>
      </c>
      <c r="I465" s="764">
        <v>36435</v>
      </c>
    </row>
    <row r="466" spans="1:9" hidden="1">
      <c r="A466" s="763" t="s">
        <v>7207</v>
      </c>
      <c r="B466" s="763" t="s">
        <v>7208</v>
      </c>
      <c r="C466" s="763" t="s">
        <v>8817</v>
      </c>
      <c r="D466" s="763" t="s">
        <v>8848</v>
      </c>
      <c r="E466" s="763" t="s">
        <v>8849</v>
      </c>
      <c r="F466" s="763" t="s">
        <v>7749</v>
      </c>
      <c r="G466" s="763" t="s">
        <v>558</v>
      </c>
      <c r="H466" s="763">
        <v>101</v>
      </c>
      <c r="I466" s="763" t="s">
        <v>8850</v>
      </c>
    </row>
    <row r="467" spans="1:9" hidden="1">
      <c r="A467" s="763" t="s">
        <v>4355</v>
      </c>
      <c r="B467" s="763" t="s">
        <v>7209</v>
      </c>
      <c r="C467" s="763"/>
      <c r="D467" s="763" t="s">
        <v>8851</v>
      </c>
      <c r="E467" s="763" t="s">
        <v>8852</v>
      </c>
      <c r="F467" s="763" t="s">
        <v>7749</v>
      </c>
      <c r="G467" s="763" t="s">
        <v>1347</v>
      </c>
      <c r="H467" s="763">
        <v>386</v>
      </c>
      <c r="I467" s="764">
        <v>35401</v>
      </c>
    </row>
    <row r="468" spans="1:9" hidden="1">
      <c r="A468" s="763" t="s">
        <v>7218</v>
      </c>
      <c r="B468" s="763" t="s">
        <v>7219</v>
      </c>
      <c r="C468" s="763"/>
      <c r="D468" s="763" t="s">
        <v>8853</v>
      </c>
      <c r="E468" s="763" t="s">
        <v>7937</v>
      </c>
      <c r="F468" s="763" t="s">
        <v>7749</v>
      </c>
      <c r="G468" s="763" t="s">
        <v>1347</v>
      </c>
      <c r="H468" s="763">
        <v>140</v>
      </c>
      <c r="I468" s="763" t="s">
        <v>8854</v>
      </c>
    </row>
    <row r="469" spans="1:9">
      <c r="A469" s="763" t="s">
        <v>7220</v>
      </c>
      <c r="B469" s="763" t="s">
        <v>7221</v>
      </c>
      <c r="C469" s="763" t="s">
        <v>8732</v>
      </c>
      <c r="D469" s="763" t="s">
        <v>8855</v>
      </c>
      <c r="E469" s="763" t="s">
        <v>8856</v>
      </c>
      <c r="F469" s="763" t="s">
        <v>7749</v>
      </c>
      <c r="G469" s="763" t="s">
        <v>1347</v>
      </c>
      <c r="H469" s="763">
        <v>670</v>
      </c>
      <c r="I469" s="764">
        <v>36902</v>
      </c>
    </row>
    <row r="470" spans="1:9" hidden="1">
      <c r="A470" s="763" t="s">
        <v>7222</v>
      </c>
      <c r="B470" s="763" t="s">
        <v>7223</v>
      </c>
      <c r="C470" s="763" t="s">
        <v>8831</v>
      </c>
      <c r="D470" s="763" t="s">
        <v>8857</v>
      </c>
      <c r="E470" s="763" t="s">
        <v>8858</v>
      </c>
      <c r="F470" s="763" t="s">
        <v>7749</v>
      </c>
      <c r="G470" s="763" t="s">
        <v>7762</v>
      </c>
      <c r="H470" s="763">
        <v>195</v>
      </c>
      <c r="I470" s="763" t="s">
        <v>8859</v>
      </c>
    </row>
    <row r="471" spans="1:9" hidden="1">
      <c r="A471" s="763" t="s">
        <v>7224</v>
      </c>
      <c r="B471" s="763" t="s">
        <v>7225</v>
      </c>
      <c r="C471" s="763"/>
      <c r="D471" s="763" t="s">
        <v>8860</v>
      </c>
      <c r="E471" s="763" t="s">
        <v>7871</v>
      </c>
      <c r="F471" s="763" t="s">
        <v>7749</v>
      </c>
      <c r="G471" s="763" t="s">
        <v>7762</v>
      </c>
      <c r="H471" s="763">
        <v>29</v>
      </c>
      <c r="I471" s="763" t="s">
        <v>8861</v>
      </c>
    </row>
    <row r="472" spans="1:9" hidden="1">
      <c r="A472" s="763" t="s">
        <v>7228</v>
      </c>
      <c r="B472" s="763" t="s">
        <v>7229</v>
      </c>
      <c r="C472" s="763"/>
      <c r="D472" s="763" t="s">
        <v>8862</v>
      </c>
      <c r="E472" s="763" t="s">
        <v>8863</v>
      </c>
      <c r="F472" s="763" t="s">
        <v>8447</v>
      </c>
      <c r="G472" s="763" t="s">
        <v>8589</v>
      </c>
      <c r="H472" s="763" t="s">
        <v>7889</v>
      </c>
      <c r="I472" s="763" t="s">
        <v>8864</v>
      </c>
    </row>
    <row r="473" spans="1:9" hidden="1">
      <c r="A473" s="763" t="s">
        <v>7234</v>
      </c>
      <c r="B473" s="763" t="s">
        <v>7235</v>
      </c>
      <c r="C473" s="763"/>
      <c r="D473" s="763" t="s">
        <v>8865</v>
      </c>
      <c r="E473" s="763" t="s">
        <v>8866</v>
      </c>
      <c r="F473" s="763" t="s">
        <v>7749</v>
      </c>
      <c r="G473" s="763" t="s">
        <v>8578</v>
      </c>
      <c r="H473" s="763">
        <v>60</v>
      </c>
      <c r="I473" s="764">
        <v>35829</v>
      </c>
    </row>
    <row r="474" spans="1:9" hidden="1">
      <c r="A474" s="763" t="s">
        <v>7240</v>
      </c>
      <c r="B474" s="763" t="s">
        <v>7241</v>
      </c>
      <c r="C474" s="763"/>
      <c r="D474" s="763" t="s">
        <v>8867</v>
      </c>
      <c r="E474" s="763" t="s">
        <v>8868</v>
      </c>
      <c r="F474" s="763" t="s">
        <v>7749</v>
      </c>
      <c r="G474" s="763" t="s">
        <v>1225</v>
      </c>
      <c r="H474" s="763">
        <v>139</v>
      </c>
      <c r="I474" s="764">
        <v>32940</v>
      </c>
    </row>
    <row r="475" spans="1:9" hidden="1">
      <c r="A475" s="763" t="s">
        <v>7242</v>
      </c>
      <c r="B475" s="763" t="s">
        <v>7243</v>
      </c>
      <c r="C475" s="763" t="s">
        <v>7773</v>
      </c>
      <c r="D475" s="763" t="s">
        <v>8869</v>
      </c>
      <c r="E475" s="763" t="s">
        <v>8684</v>
      </c>
      <c r="F475" s="763" t="s">
        <v>8447</v>
      </c>
      <c r="G475" s="763" t="s">
        <v>8503</v>
      </c>
      <c r="H475" s="763">
        <v>92</v>
      </c>
      <c r="I475" s="763" t="s">
        <v>8870</v>
      </c>
    </row>
    <row r="476" spans="1:9" hidden="1">
      <c r="A476" s="763" t="s">
        <v>7244</v>
      </c>
      <c r="B476" s="763" t="s">
        <v>7245</v>
      </c>
      <c r="C476" s="763" t="s">
        <v>7773</v>
      </c>
      <c r="D476" s="763" t="s">
        <v>8871</v>
      </c>
      <c r="E476" s="763" t="s">
        <v>8872</v>
      </c>
      <c r="F476" s="763" t="s">
        <v>8447</v>
      </c>
      <c r="G476" s="763" t="s">
        <v>558</v>
      </c>
      <c r="H476" s="763">
        <v>416</v>
      </c>
      <c r="I476" s="764">
        <v>38146</v>
      </c>
    </row>
    <row r="477" spans="1:9" hidden="1">
      <c r="A477" s="763" t="s">
        <v>7246</v>
      </c>
      <c r="B477" s="763" t="s">
        <v>7247</v>
      </c>
      <c r="C477" s="763"/>
      <c r="D477" s="763" t="s">
        <v>8873</v>
      </c>
      <c r="E477" s="763" t="s">
        <v>8032</v>
      </c>
      <c r="F477" s="763" t="s">
        <v>7749</v>
      </c>
      <c r="G477" s="763" t="s">
        <v>7765</v>
      </c>
      <c r="H477" s="763">
        <v>70</v>
      </c>
      <c r="I477" s="763" t="s">
        <v>8874</v>
      </c>
    </row>
    <row r="478" spans="1:9" hidden="1">
      <c r="A478" s="763" t="s">
        <v>7252</v>
      </c>
      <c r="B478" s="763" t="s">
        <v>7253</v>
      </c>
      <c r="C478" s="763"/>
      <c r="D478" s="763" t="s">
        <v>8875</v>
      </c>
      <c r="E478" s="763" t="s">
        <v>8020</v>
      </c>
      <c r="F478" s="763" t="s">
        <v>7749</v>
      </c>
      <c r="G478" s="763" t="s">
        <v>1225</v>
      </c>
      <c r="H478" s="763">
        <v>25</v>
      </c>
      <c r="I478" s="763" t="s">
        <v>8876</v>
      </c>
    </row>
    <row r="479" spans="1:9" hidden="1">
      <c r="A479" s="761" t="s">
        <v>7256</v>
      </c>
      <c r="B479" s="761" t="s">
        <v>7257</v>
      </c>
      <c r="C479" s="1" t="s">
        <v>8877</v>
      </c>
      <c r="D479" s="761" t="s">
        <v>8878</v>
      </c>
      <c r="E479" s="761" t="s">
        <v>8879</v>
      </c>
      <c r="F479" s="761" t="s">
        <v>7749</v>
      </c>
      <c r="G479" s="761" t="s">
        <v>1225</v>
      </c>
      <c r="H479" s="761">
        <v>210</v>
      </c>
      <c r="I479" s="766">
        <v>38901</v>
      </c>
    </row>
    <row r="480" spans="1:9" hidden="1">
      <c r="A480" s="763" t="s">
        <v>7258</v>
      </c>
      <c r="B480" s="763" t="s">
        <v>7259</v>
      </c>
      <c r="C480" s="763"/>
      <c r="D480" s="763" t="s">
        <v>8880</v>
      </c>
      <c r="E480" s="763" t="s">
        <v>8881</v>
      </c>
      <c r="F480" s="763" t="s">
        <v>7749</v>
      </c>
      <c r="G480" s="763" t="s">
        <v>7869</v>
      </c>
      <c r="H480" s="763">
        <v>350</v>
      </c>
      <c r="I480" s="764">
        <v>36656</v>
      </c>
    </row>
    <row r="481" spans="1:9" hidden="1">
      <c r="A481" s="763" t="s">
        <v>7263</v>
      </c>
      <c r="B481" s="763" t="s">
        <v>7264</v>
      </c>
      <c r="C481" s="763"/>
      <c r="D481" s="763" t="s">
        <v>8882</v>
      </c>
      <c r="E481" s="763" t="s">
        <v>8633</v>
      </c>
      <c r="F481" s="763" t="s">
        <v>7749</v>
      </c>
      <c r="G481" s="763" t="s">
        <v>7869</v>
      </c>
      <c r="H481" s="763">
        <v>143</v>
      </c>
      <c r="I481" s="763" t="s">
        <v>8883</v>
      </c>
    </row>
    <row r="482" spans="1:9" hidden="1">
      <c r="A482" s="763" t="s">
        <v>7265</v>
      </c>
      <c r="B482" s="763" t="s">
        <v>7266</v>
      </c>
      <c r="C482" s="763"/>
      <c r="D482" s="763" t="s">
        <v>8884</v>
      </c>
      <c r="E482" s="763" t="s">
        <v>8885</v>
      </c>
      <c r="F482" s="763" t="s">
        <v>7749</v>
      </c>
      <c r="G482" s="763" t="s">
        <v>8886</v>
      </c>
      <c r="H482" s="763" t="s">
        <v>7889</v>
      </c>
      <c r="I482" s="763" t="s">
        <v>8887</v>
      </c>
    </row>
    <row r="483" spans="1:9" hidden="1">
      <c r="A483" s="763" t="s">
        <v>7275</v>
      </c>
      <c r="B483" s="763" t="s">
        <v>7276</v>
      </c>
      <c r="C483" s="763"/>
      <c r="D483" s="763" t="s">
        <v>8888</v>
      </c>
      <c r="E483" s="763" t="s">
        <v>8308</v>
      </c>
      <c r="F483" s="763" t="s">
        <v>7749</v>
      </c>
      <c r="G483" s="763" t="s">
        <v>1347</v>
      </c>
      <c r="H483" s="763">
        <v>225</v>
      </c>
      <c r="I483" s="763" t="s">
        <v>8889</v>
      </c>
    </row>
    <row r="484" spans="1:9" hidden="1">
      <c r="A484" s="763" t="s">
        <v>7281</v>
      </c>
      <c r="B484" s="763" t="s">
        <v>7282</v>
      </c>
      <c r="C484" s="763"/>
      <c r="D484" s="763" t="s">
        <v>8890</v>
      </c>
      <c r="E484" s="763" t="s">
        <v>7816</v>
      </c>
      <c r="F484" s="763" t="s">
        <v>7749</v>
      </c>
      <c r="G484" s="763" t="s">
        <v>7817</v>
      </c>
      <c r="H484" s="763">
        <v>840</v>
      </c>
      <c r="I484" s="764">
        <v>35862</v>
      </c>
    </row>
    <row r="485" spans="1:9" hidden="1">
      <c r="A485" s="763" t="s">
        <v>7285</v>
      </c>
      <c r="B485" s="763" t="s">
        <v>7286</v>
      </c>
      <c r="C485" s="763" t="s">
        <v>8831</v>
      </c>
      <c r="D485" s="763" t="s">
        <v>8891</v>
      </c>
      <c r="E485" s="763" t="s">
        <v>8892</v>
      </c>
      <c r="F485" s="763" t="s">
        <v>8447</v>
      </c>
      <c r="G485" s="763" t="s">
        <v>8503</v>
      </c>
      <c r="H485" s="763">
        <v>39</v>
      </c>
      <c r="I485" s="763" t="s">
        <v>8893</v>
      </c>
    </row>
    <row r="486" spans="1:9" hidden="1">
      <c r="A486" s="763" t="s">
        <v>7287</v>
      </c>
      <c r="B486" s="763" t="s">
        <v>7288</v>
      </c>
      <c r="C486" s="763"/>
      <c r="D486" s="763" t="s">
        <v>8894</v>
      </c>
      <c r="E486" s="763" t="s">
        <v>8895</v>
      </c>
      <c r="F486" s="763" t="s">
        <v>8447</v>
      </c>
      <c r="G486" s="763" t="s">
        <v>8589</v>
      </c>
      <c r="H486" s="763">
        <v>0</v>
      </c>
      <c r="I486" s="763" t="s">
        <v>8896</v>
      </c>
    </row>
    <row r="487" spans="1:9" hidden="1">
      <c r="A487" s="763" t="s">
        <v>7295</v>
      </c>
      <c r="B487" s="763" t="s">
        <v>7296</v>
      </c>
      <c r="C487" s="763"/>
      <c r="D487" s="763" t="s">
        <v>8897</v>
      </c>
      <c r="E487" s="763" t="s">
        <v>8898</v>
      </c>
      <c r="F487" s="763" t="s">
        <v>8447</v>
      </c>
      <c r="G487" s="763" t="s">
        <v>558</v>
      </c>
      <c r="H487" s="763">
        <v>444</v>
      </c>
      <c r="I487" s="764">
        <v>36866</v>
      </c>
    </row>
    <row r="488" spans="1:9" hidden="1">
      <c r="A488" s="763" t="s">
        <v>7297</v>
      </c>
      <c r="B488" s="763" t="s">
        <v>7298</v>
      </c>
      <c r="C488" s="763"/>
      <c r="D488" s="763" t="s">
        <v>8899</v>
      </c>
      <c r="E488" s="763" t="s">
        <v>8900</v>
      </c>
      <c r="F488" s="763" t="s">
        <v>8447</v>
      </c>
      <c r="G488" s="763" t="s">
        <v>558</v>
      </c>
      <c r="H488" s="763">
        <v>25</v>
      </c>
      <c r="I488" s="763" t="s">
        <v>8901</v>
      </c>
    </row>
    <row r="489" spans="1:9" hidden="1">
      <c r="A489" s="763" t="s">
        <v>7299</v>
      </c>
      <c r="B489" s="763" t="s">
        <v>7300</v>
      </c>
      <c r="C489" s="763"/>
      <c r="D489" s="763" t="s">
        <v>8902</v>
      </c>
      <c r="E489" s="763" t="s">
        <v>8481</v>
      </c>
      <c r="F489" s="763" t="s">
        <v>8447</v>
      </c>
      <c r="G489" s="763" t="s">
        <v>558</v>
      </c>
      <c r="H489" s="763">
        <v>542</v>
      </c>
      <c r="I489" s="763" t="s">
        <v>8903</v>
      </c>
    </row>
    <row r="490" spans="1:9" hidden="1">
      <c r="A490" s="761" t="s">
        <v>7311</v>
      </c>
      <c r="B490" s="761" t="s">
        <v>7312</v>
      </c>
      <c r="C490" s="761" t="s">
        <v>8837</v>
      </c>
      <c r="D490" s="761" t="s">
        <v>8904</v>
      </c>
      <c r="E490" s="761" t="s">
        <v>8905</v>
      </c>
      <c r="F490" s="761" t="s">
        <v>7749</v>
      </c>
      <c r="G490" s="761" t="s">
        <v>1225</v>
      </c>
      <c r="H490" s="761">
        <v>245</v>
      </c>
      <c r="I490" s="761" t="s">
        <v>8906</v>
      </c>
    </row>
    <row r="491" spans="1:9" hidden="1">
      <c r="A491" s="763" t="s">
        <v>7320</v>
      </c>
      <c r="B491" s="763" t="s">
        <v>7321</v>
      </c>
      <c r="C491" s="763"/>
      <c r="D491" s="763" t="s">
        <v>8907</v>
      </c>
      <c r="E491" s="763" t="s">
        <v>8182</v>
      </c>
      <c r="F491" s="763" t="s">
        <v>7749</v>
      </c>
      <c r="G491" s="763" t="s">
        <v>7762</v>
      </c>
      <c r="H491" s="763">
        <v>510</v>
      </c>
      <c r="I491" s="764">
        <v>33093</v>
      </c>
    </row>
    <row r="492" spans="1:9" hidden="1">
      <c r="A492" s="763" t="s">
        <v>7322</v>
      </c>
      <c r="B492" s="763" t="s">
        <v>7323</v>
      </c>
      <c r="C492" s="763"/>
      <c r="D492" s="763" t="s">
        <v>8908</v>
      </c>
      <c r="E492" s="763" t="s">
        <v>8909</v>
      </c>
      <c r="F492" s="763" t="s">
        <v>8447</v>
      </c>
      <c r="G492" s="763" t="s">
        <v>8589</v>
      </c>
      <c r="H492" s="763" t="s">
        <v>7889</v>
      </c>
      <c r="I492" s="764">
        <v>34152</v>
      </c>
    </row>
    <row r="493" spans="1:9" hidden="1"/>
    <row r="494" spans="1:9">
      <c r="C494" s="763"/>
    </row>
  </sheetData>
  <autoFilter ref="A1:I493" xr:uid="{945AED8A-69CC-4AB3-8EC0-6D936DD81EF8}">
    <filterColumn colId="8">
      <filters>
        <filter val="19/06/2001"/>
        <filter val="23/07/2001"/>
        <filter val="23/09/2001"/>
        <filter val="24/05/2001"/>
        <filter val="25/04/2001"/>
        <filter val="27/10/2001"/>
        <filter val="31/08/2001"/>
        <dateGroupItem year="2001" dateTimeGrouping="year"/>
        <dateGroupItem year="2001" dateTimeGrouping="year"/>
        <dateGroupItem year="2001" dateTimeGrouping="year"/>
        <dateGroupItem year="2001" dateTimeGrouping="year"/>
        <dateGroupItem year="2001" dateTimeGrouping="year"/>
        <dateGroupItem year="2001" dateTimeGrouping="year"/>
        <dateGroupItem year="2001" dateTimeGrouping="year"/>
      </filters>
    </filterColumn>
  </autoFilter>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E47B2-B733-4F55-AD85-7A11E7AB9D33}">
  <sheetPr codeName="Planilha2"/>
  <dimension ref="B1:AA13"/>
  <sheetViews>
    <sheetView topLeftCell="B1" workbookViewId="0">
      <selection activeCell="O13" sqref="O13"/>
    </sheetView>
  </sheetViews>
  <sheetFormatPr defaultRowHeight="15"/>
  <cols>
    <col min="2" max="2" width="30.85546875" customWidth="1"/>
    <col min="3" max="3" width="15" customWidth="1"/>
    <col min="4" max="4" width="11.140625" customWidth="1"/>
    <col min="5" max="5" width="10.5703125" bestFit="1" customWidth="1"/>
    <col min="6" max="6" width="14.85546875" customWidth="1"/>
    <col min="7" max="7" width="13.85546875" customWidth="1"/>
    <col min="8" max="10" width="11.28515625" customWidth="1"/>
    <col min="11" max="11" width="10.85546875" customWidth="1"/>
    <col min="13" max="13" width="12.42578125" customWidth="1"/>
    <col min="14" max="14" width="11.42578125" customWidth="1"/>
    <col min="15" max="15" width="12.28515625" customWidth="1"/>
    <col min="16" max="16" width="14.85546875" customWidth="1"/>
    <col min="17" max="17" width="14.7109375" bestFit="1" customWidth="1"/>
    <col min="18" max="18" width="13.28515625" customWidth="1"/>
    <col min="20" max="20" width="10.85546875" customWidth="1"/>
    <col min="21" max="21" width="10.7109375" customWidth="1"/>
    <col min="22" max="22" width="11.85546875" customWidth="1"/>
    <col min="23" max="23" width="10.85546875" customWidth="1"/>
    <col min="26" max="26" width="12" customWidth="1"/>
    <col min="29" max="29" width="12.28515625" bestFit="1" customWidth="1"/>
    <col min="30" max="30" width="7.140625" bestFit="1" customWidth="1"/>
    <col min="31" max="31" width="11.85546875" customWidth="1"/>
  </cols>
  <sheetData>
    <row r="1" spans="2:27">
      <c r="C1" s="16"/>
      <c r="D1" t="s">
        <v>7628</v>
      </c>
      <c r="E1" t="s">
        <v>7634</v>
      </c>
      <c r="F1" t="s">
        <v>7656</v>
      </c>
      <c r="G1" t="s">
        <v>7672</v>
      </c>
      <c r="H1" t="s">
        <v>7684</v>
      </c>
      <c r="I1" t="s">
        <v>2715</v>
      </c>
      <c r="J1" t="s">
        <v>2738</v>
      </c>
      <c r="K1" t="s">
        <v>2755</v>
      </c>
      <c r="L1" t="s">
        <v>7720</v>
      </c>
      <c r="M1" t="s">
        <v>7543</v>
      </c>
      <c r="N1" t="s">
        <v>4357</v>
      </c>
      <c r="O1" t="s">
        <v>8910</v>
      </c>
      <c r="S1" s="806" t="s">
        <v>8911</v>
      </c>
      <c r="T1" s="806"/>
      <c r="U1" s="806"/>
      <c r="V1" s="806"/>
    </row>
    <row r="2" spans="2:27">
      <c r="C2" s="216" t="s">
        <v>8912</v>
      </c>
      <c r="D2" s="31">
        <v>21</v>
      </c>
      <c r="E2" s="31">
        <v>17</v>
      </c>
      <c r="F2" s="31">
        <v>18</v>
      </c>
      <c r="G2" s="31">
        <v>17</v>
      </c>
      <c r="H2" s="31">
        <v>22</v>
      </c>
      <c r="I2" s="31">
        <v>10</v>
      </c>
      <c r="J2" s="31">
        <v>21</v>
      </c>
      <c r="K2" s="31">
        <v>4</v>
      </c>
      <c r="L2" s="31">
        <v>12</v>
      </c>
      <c r="M2" s="31">
        <v>15</v>
      </c>
      <c r="N2" s="31">
        <v>20</v>
      </c>
      <c r="O2" s="31">
        <v>7</v>
      </c>
      <c r="S2" s="128"/>
      <c r="T2" s="128" t="s">
        <v>7420</v>
      </c>
      <c r="U2" s="128" t="s">
        <v>7411</v>
      </c>
      <c r="V2" s="128" t="s">
        <v>8913</v>
      </c>
    </row>
    <row r="3" spans="2:27">
      <c r="C3" s="216" t="s">
        <v>8914</v>
      </c>
      <c r="D3" s="31">
        <v>0</v>
      </c>
      <c r="E3" s="31">
        <v>0</v>
      </c>
      <c r="F3" s="31">
        <v>0</v>
      </c>
      <c r="G3" s="31">
        <v>0</v>
      </c>
      <c r="H3" s="31">
        <v>32</v>
      </c>
      <c r="I3" s="31">
        <v>3</v>
      </c>
      <c r="J3" s="31">
        <v>2</v>
      </c>
      <c r="K3" s="31">
        <v>3</v>
      </c>
      <c r="L3" s="31">
        <v>6</v>
      </c>
      <c r="M3" s="31">
        <v>12</v>
      </c>
      <c r="N3" s="31">
        <v>11</v>
      </c>
      <c r="O3" s="31">
        <v>5</v>
      </c>
      <c r="S3" s="736">
        <v>45481</v>
      </c>
      <c r="T3" s="128">
        <f>19058.78/269</f>
        <v>70.850483271375467</v>
      </c>
      <c r="U3" s="128">
        <f>158030.57/1883</f>
        <v>83.924891131173666</v>
      </c>
      <c r="V3" s="128">
        <f>(158030.57+19058.78)/(1883+269)</f>
        <v>82.290590148698882</v>
      </c>
      <c r="AA3">
        <f>6000*11</f>
        <v>66000</v>
      </c>
    </row>
    <row r="4" spans="2:27">
      <c r="C4" s="216" t="s">
        <v>8915</v>
      </c>
      <c r="D4" s="31">
        <v>5</v>
      </c>
      <c r="E4" s="31">
        <v>2</v>
      </c>
      <c r="F4" s="31">
        <v>4</v>
      </c>
      <c r="G4" s="31">
        <v>2</v>
      </c>
      <c r="H4" s="31">
        <v>3</v>
      </c>
      <c r="I4" s="31">
        <v>1</v>
      </c>
      <c r="J4" s="31">
        <v>1</v>
      </c>
      <c r="K4" s="31">
        <v>1</v>
      </c>
      <c r="L4" s="31">
        <v>1</v>
      </c>
      <c r="M4" s="31">
        <v>2</v>
      </c>
      <c r="N4" s="31">
        <v>3</v>
      </c>
      <c r="O4" s="31">
        <v>2</v>
      </c>
    </row>
    <row r="5" spans="2:27">
      <c r="C5" s="216" t="s">
        <v>8916</v>
      </c>
      <c r="D5" s="31">
        <v>4</v>
      </c>
      <c r="E5" s="31">
        <v>1</v>
      </c>
      <c r="F5" s="31">
        <v>8</v>
      </c>
      <c r="G5" s="31">
        <v>3</v>
      </c>
      <c r="H5" s="31">
        <v>4</v>
      </c>
      <c r="I5" s="31">
        <v>4</v>
      </c>
      <c r="J5" s="31">
        <v>2</v>
      </c>
      <c r="K5" s="31">
        <v>1</v>
      </c>
      <c r="L5" s="31">
        <v>4</v>
      </c>
      <c r="M5" s="31">
        <v>4</v>
      </c>
      <c r="N5" s="31">
        <v>1</v>
      </c>
      <c r="O5" s="31">
        <v>0</v>
      </c>
    </row>
    <row r="6" spans="2:27">
      <c r="C6" s="216" t="s">
        <v>8917</v>
      </c>
      <c r="D6" s="31">
        <v>25</v>
      </c>
      <c r="E6" s="31">
        <v>18</v>
      </c>
      <c r="F6" s="31">
        <v>26</v>
      </c>
      <c r="G6" s="31">
        <v>20</v>
      </c>
      <c r="H6" s="31">
        <v>26</v>
      </c>
      <c r="I6" s="31">
        <v>14</v>
      </c>
      <c r="J6" s="31">
        <v>22</v>
      </c>
      <c r="K6" s="31">
        <v>9</v>
      </c>
      <c r="L6" s="31">
        <v>22</v>
      </c>
      <c r="M6" s="31">
        <v>19</v>
      </c>
      <c r="N6" s="31">
        <v>22</v>
      </c>
      <c r="O6" s="31">
        <v>7</v>
      </c>
    </row>
    <row r="8" spans="2:27">
      <c r="B8" s="31"/>
      <c r="C8" s="216"/>
      <c r="D8" s="31" t="s">
        <v>7628</v>
      </c>
      <c r="E8" s="31" t="s">
        <v>7634</v>
      </c>
      <c r="F8" s="31" t="s">
        <v>7656</v>
      </c>
      <c r="G8" s="31" t="s">
        <v>7672</v>
      </c>
      <c r="H8" s="31" t="s">
        <v>7684</v>
      </c>
      <c r="I8" s="31" t="s">
        <v>2715</v>
      </c>
      <c r="J8" s="31" t="s">
        <v>2738</v>
      </c>
      <c r="K8" s="31" t="s">
        <v>2755</v>
      </c>
      <c r="L8" s="31" t="s">
        <v>7720</v>
      </c>
      <c r="M8" s="31" t="s">
        <v>7543</v>
      </c>
      <c r="N8" t="s">
        <v>4357</v>
      </c>
      <c r="O8" t="s">
        <v>8910</v>
      </c>
    </row>
    <row r="9" spans="2:27">
      <c r="B9" s="17"/>
      <c r="C9" s="216" t="s">
        <v>7632</v>
      </c>
      <c r="D9" s="31">
        <f t="shared" ref="D9:H9" si="0">D13-SUM(D10:D12)</f>
        <v>37</v>
      </c>
      <c r="E9" s="31">
        <f t="shared" si="0"/>
        <v>29</v>
      </c>
      <c r="F9" s="31">
        <f t="shared" si="0"/>
        <v>30</v>
      </c>
      <c r="G9" s="31">
        <f t="shared" si="0"/>
        <v>40</v>
      </c>
      <c r="H9" s="31">
        <f t="shared" si="0"/>
        <v>28</v>
      </c>
      <c r="I9" s="31">
        <f t="shared" ref="I9:O9" si="1">I13-SUM(I10:I12)</f>
        <v>24</v>
      </c>
      <c r="J9" s="31">
        <f t="shared" si="1"/>
        <v>30</v>
      </c>
      <c r="K9" s="31">
        <f t="shared" si="1"/>
        <v>15</v>
      </c>
      <c r="L9" s="31">
        <f t="shared" si="1"/>
        <v>22</v>
      </c>
      <c r="M9" s="31">
        <f t="shared" si="1"/>
        <v>23</v>
      </c>
      <c r="N9" s="31">
        <f t="shared" si="1"/>
        <v>35</v>
      </c>
      <c r="O9" s="31">
        <f t="shared" si="1"/>
        <v>17</v>
      </c>
    </row>
    <row r="10" spans="2:27">
      <c r="B10" s="293"/>
      <c r="C10" s="735" t="s">
        <v>8918</v>
      </c>
      <c r="D10" s="31">
        <v>2</v>
      </c>
      <c r="E10" s="31">
        <v>0</v>
      </c>
      <c r="F10" s="31">
        <v>0</v>
      </c>
      <c r="G10" s="31">
        <v>2</v>
      </c>
      <c r="H10" s="31">
        <v>1</v>
      </c>
      <c r="I10" s="31">
        <v>0</v>
      </c>
      <c r="J10" s="31">
        <v>3</v>
      </c>
      <c r="K10" s="31"/>
      <c r="L10" s="31">
        <v>1</v>
      </c>
      <c r="M10" s="31"/>
      <c r="N10" s="31">
        <v>2</v>
      </c>
      <c r="O10" s="31"/>
    </row>
    <row r="11" spans="2:27">
      <c r="B11" s="84"/>
      <c r="C11" s="735" t="s">
        <v>8919</v>
      </c>
      <c r="D11" s="31">
        <v>3</v>
      </c>
      <c r="E11" s="31">
        <v>6</v>
      </c>
      <c r="F11" s="31">
        <v>2</v>
      </c>
      <c r="G11" s="31">
        <v>3</v>
      </c>
      <c r="H11" s="31">
        <v>1</v>
      </c>
      <c r="I11" s="31">
        <v>5</v>
      </c>
      <c r="J11" s="31">
        <v>5</v>
      </c>
      <c r="K11" s="31"/>
      <c r="L11" s="31"/>
      <c r="M11" s="31">
        <v>2</v>
      </c>
      <c r="N11" s="31">
        <v>1</v>
      </c>
      <c r="O11" s="31"/>
    </row>
    <row r="12" spans="2:27">
      <c r="B12" s="17"/>
      <c r="C12" s="735" t="s">
        <v>8920</v>
      </c>
      <c r="D12" s="31">
        <v>0</v>
      </c>
      <c r="E12" s="31">
        <v>2</v>
      </c>
      <c r="F12" s="31">
        <v>2</v>
      </c>
      <c r="G12" s="31">
        <v>2</v>
      </c>
      <c r="H12" s="31"/>
      <c r="I12" s="31">
        <v>0</v>
      </c>
      <c r="J12" s="31">
        <v>1</v>
      </c>
      <c r="K12" s="31">
        <v>2</v>
      </c>
      <c r="L12" s="31">
        <v>5</v>
      </c>
      <c r="M12" s="31"/>
      <c r="N12" s="31">
        <v>2</v>
      </c>
      <c r="O12" s="31">
        <v>2</v>
      </c>
    </row>
    <row r="13" spans="2:27">
      <c r="C13" s="216" t="s">
        <v>8921</v>
      </c>
      <c r="D13" s="31">
        <v>42</v>
      </c>
      <c r="E13" s="31">
        <v>37</v>
      </c>
      <c r="F13" s="31">
        <v>34</v>
      </c>
      <c r="G13" s="31">
        <v>47</v>
      </c>
      <c r="H13" s="31">
        <v>30</v>
      </c>
      <c r="I13" s="31">
        <v>29</v>
      </c>
      <c r="J13" s="31">
        <v>39</v>
      </c>
      <c r="K13" s="31">
        <v>17</v>
      </c>
      <c r="L13" s="31">
        <v>28</v>
      </c>
      <c r="M13" s="31">
        <v>25</v>
      </c>
      <c r="N13" s="31">
        <v>40</v>
      </c>
      <c r="O13" s="31">
        <v>19</v>
      </c>
    </row>
  </sheetData>
  <mergeCells count="1">
    <mergeCell ref="S1:V1"/>
  </mergeCells>
  <pageMargins left="0.511811024" right="0.511811024" top="0.78740157499999996" bottom="0.78740157499999996" header="0.31496062000000002" footer="0.31496062000000002"/>
  <pageSetup paperSize="9" orientation="portrait"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A059E-FF5F-4B83-828E-B14F40D75E2E}">
  <sheetPr codeName="Planilha5"/>
  <dimension ref="A1:N2350"/>
  <sheetViews>
    <sheetView topLeftCell="A2234" zoomScaleNormal="100" workbookViewId="0">
      <selection activeCell="A2260" sqref="A2260:A2266"/>
    </sheetView>
  </sheetViews>
  <sheetFormatPr defaultRowHeight="15"/>
  <cols>
    <col min="1" max="1" width="11.85546875" style="460" customWidth="1"/>
    <col min="2" max="2" width="61.42578125" customWidth="1"/>
    <col min="3" max="4" width="15.5703125" customWidth="1"/>
    <col min="5" max="5" width="22.85546875" customWidth="1"/>
    <col min="6" max="6" width="29" customWidth="1"/>
    <col min="7" max="7" width="15.5703125" customWidth="1"/>
    <col min="8" max="8" width="15.5703125" bestFit="1" customWidth="1"/>
    <col min="9" max="9" width="37.5703125" bestFit="1" customWidth="1"/>
    <col min="10" max="10" width="41.28515625" bestFit="1" customWidth="1"/>
    <col min="11" max="11" width="39" bestFit="1" customWidth="1"/>
    <col min="12" max="12" width="7.28515625" bestFit="1" customWidth="1"/>
    <col min="13" max="13" width="12.42578125" bestFit="1" customWidth="1"/>
  </cols>
  <sheetData>
    <row r="1" spans="1:13" ht="15.75">
      <c r="A1" s="521" t="s">
        <v>8922</v>
      </c>
      <c r="B1" s="178" t="s">
        <v>7543</v>
      </c>
      <c r="C1" s="177" t="s">
        <v>8923</v>
      </c>
      <c r="D1" s="179"/>
      <c r="E1" s="180" t="s">
        <v>8924</v>
      </c>
      <c r="F1" s="180" t="s">
        <v>8925</v>
      </c>
      <c r="G1" s="180" t="s">
        <v>7746</v>
      </c>
      <c r="H1" s="180" t="s">
        <v>8926</v>
      </c>
      <c r="I1" s="180" t="s">
        <v>8927</v>
      </c>
      <c r="J1" s="180" t="s">
        <v>7744</v>
      </c>
      <c r="K1" s="180" t="s">
        <v>4</v>
      </c>
      <c r="L1" s="180" t="s">
        <v>7339</v>
      </c>
      <c r="M1" s="180" t="s">
        <v>8928</v>
      </c>
    </row>
    <row r="2" spans="1:13">
      <c r="A2" s="535"/>
      <c r="B2" s="85">
        <v>45</v>
      </c>
      <c r="C2" s="39" t="s">
        <v>8929</v>
      </c>
      <c r="D2" s="39" t="str">
        <f>$B$1</f>
        <v>Setembro</v>
      </c>
      <c r="E2" s="50" t="s">
        <v>8930</v>
      </c>
      <c r="F2" s="33" t="s">
        <v>8931</v>
      </c>
      <c r="G2" s="51">
        <v>26715</v>
      </c>
      <c r="H2" s="33" t="s">
        <v>8932</v>
      </c>
      <c r="I2" s="52" t="s">
        <v>8933</v>
      </c>
      <c r="J2" s="33" t="s">
        <v>8934</v>
      </c>
      <c r="K2" s="33" t="s">
        <v>7938</v>
      </c>
      <c r="L2" s="33" t="s">
        <v>8935</v>
      </c>
      <c r="M2" s="33">
        <v>12</v>
      </c>
    </row>
    <row r="3" spans="1:13">
      <c r="A3" s="535"/>
      <c r="B3" s="85" t="s">
        <v>4054</v>
      </c>
      <c r="C3" s="39" t="s">
        <v>8929</v>
      </c>
      <c r="D3" s="39" t="str">
        <f t="shared" ref="D3:D37" si="0">$B$1</f>
        <v>Setembro</v>
      </c>
      <c r="E3" s="53" t="s">
        <v>8936</v>
      </c>
      <c r="F3" s="32">
        <v>15254662</v>
      </c>
      <c r="G3" s="40">
        <v>31850</v>
      </c>
      <c r="H3" s="32" t="s">
        <v>8937</v>
      </c>
      <c r="I3" s="41" t="s">
        <v>8938</v>
      </c>
      <c r="J3" s="32" t="s">
        <v>8939</v>
      </c>
      <c r="K3" s="32" t="s">
        <v>1225</v>
      </c>
      <c r="L3" s="32" t="s">
        <v>8940</v>
      </c>
      <c r="M3" s="32">
        <v>10</v>
      </c>
    </row>
    <row r="4" spans="1:13">
      <c r="A4" s="535"/>
      <c r="B4" s="85" t="s">
        <v>4061</v>
      </c>
      <c r="C4" s="39" t="s">
        <v>8929</v>
      </c>
      <c r="D4" s="39" t="str">
        <f t="shared" si="0"/>
        <v>Setembro</v>
      </c>
      <c r="E4" s="53" t="s">
        <v>8941</v>
      </c>
      <c r="F4" s="32">
        <v>418560699</v>
      </c>
      <c r="G4" s="40">
        <v>30280</v>
      </c>
      <c r="H4" s="32" t="s">
        <v>8942</v>
      </c>
      <c r="I4" s="41" t="s">
        <v>8943</v>
      </c>
      <c r="J4" s="32" t="s">
        <v>8944</v>
      </c>
      <c r="K4" s="32" t="s">
        <v>8945</v>
      </c>
      <c r="L4" s="32" t="s">
        <v>8935</v>
      </c>
      <c r="M4" s="32">
        <v>22</v>
      </c>
    </row>
    <row r="5" spans="1:13">
      <c r="A5" s="535"/>
      <c r="B5" s="85" t="s">
        <v>2880</v>
      </c>
      <c r="C5" s="31" t="s">
        <v>8929</v>
      </c>
      <c r="D5" s="39" t="str">
        <f t="shared" si="0"/>
        <v>Setembro</v>
      </c>
      <c r="E5" s="53" t="s">
        <v>8946</v>
      </c>
      <c r="F5" s="32" t="s">
        <v>8947</v>
      </c>
      <c r="G5" s="40">
        <v>31079</v>
      </c>
      <c r="H5" s="32" t="s">
        <v>8948</v>
      </c>
      <c r="I5" s="41" t="s">
        <v>8949</v>
      </c>
      <c r="J5" s="32" t="s">
        <v>8950</v>
      </c>
      <c r="K5" s="32" t="s">
        <v>7865</v>
      </c>
      <c r="L5" s="32" t="s">
        <v>8935</v>
      </c>
      <c r="M5" s="32">
        <v>15</v>
      </c>
    </row>
    <row r="6" spans="1:13">
      <c r="A6" s="535"/>
      <c r="B6" s="85" t="s">
        <v>8951</v>
      </c>
      <c r="C6" s="31" t="s">
        <v>8929</v>
      </c>
      <c r="D6" s="39" t="str">
        <f t="shared" si="0"/>
        <v>Setembro</v>
      </c>
      <c r="E6" s="53" t="s">
        <v>8952</v>
      </c>
      <c r="F6" s="32">
        <v>2606574893</v>
      </c>
      <c r="G6" s="40">
        <v>30876</v>
      </c>
      <c r="H6" s="32" t="s">
        <v>8953</v>
      </c>
      <c r="I6" s="32" t="s">
        <v>8954</v>
      </c>
      <c r="J6" s="32" t="s">
        <v>7811</v>
      </c>
      <c r="K6" s="32" t="s">
        <v>8955</v>
      </c>
      <c r="L6" s="32" t="s">
        <v>8940</v>
      </c>
      <c r="M6" s="32"/>
    </row>
    <row r="7" spans="1:13">
      <c r="A7" s="535"/>
      <c r="B7" s="85" t="s">
        <v>4055</v>
      </c>
      <c r="C7" s="31" t="s">
        <v>8929</v>
      </c>
      <c r="D7" s="39" t="str">
        <f t="shared" si="0"/>
        <v>Setembro</v>
      </c>
      <c r="E7" s="53" t="s">
        <v>8956</v>
      </c>
      <c r="F7" s="32" t="s">
        <v>8957</v>
      </c>
      <c r="G7" s="40">
        <v>31663</v>
      </c>
      <c r="H7" s="32" t="s">
        <v>8958</v>
      </c>
      <c r="I7" s="32" t="s">
        <v>8954</v>
      </c>
      <c r="J7" s="32" t="s">
        <v>8959</v>
      </c>
      <c r="K7" s="32" t="s">
        <v>1347</v>
      </c>
      <c r="L7" s="32" t="s">
        <v>8935</v>
      </c>
      <c r="M7" s="32"/>
    </row>
    <row r="8" spans="1:13">
      <c r="A8" s="535"/>
      <c r="B8" s="85" t="s">
        <v>2841</v>
      </c>
      <c r="C8" s="31" t="s">
        <v>8929</v>
      </c>
      <c r="D8" s="39" t="str">
        <f t="shared" si="0"/>
        <v>Setembro</v>
      </c>
      <c r="E8" s="53" t="s">
        <v>8960</v>
      </c>
      <c r="F8" s="32">
        <v>15735313</v>
      </c>
      <c r="G8" s="40">
        <v>33774</v>
      </c>
      <c r="H8" s="32" t="s">
        <v>8961</v>
      </c>
      <c r="I8" s="41" t="s">
        <v>8962</v>
      </c>
      <c r="J8" s="32" t="s">
        <v>8963</v>
      </c>
      <c r="K8" s="32" t="s">
        <v>8964</v>
      </c>
      <c r="L8" s="32" t="s">
        <v>8935</v>
      </c>
      <c r="M8" s="32">
        <v>30</v>
      </c>
    </row>
    <row r="9" spans="1:13">
      <c r="A9" s="535"/>
      <c r="B9" s="85" t="s">
        <v>4069</v>
      </c>
      <c r="C9" s="31" t="s">
        <v>8929</v>
      </c>
      <c r="D9" s="39" t="str">
        <f t="shared" si="0"/>
        <v>Setembro</v>
      </c>
      <c r="E9" s="53" t="s">
        <v>8965</v>
      </c>
      <c r="F9" s="32" t="s">
        <v>8966</v>
      </c>
      <c r="G9" s="40">
        <v>22424</v>
      </c>
      <c r="H9" s="32" t="s">
        <v>8967</v>
      </c>
      <c r="I9" s="41" t="s">
        <v>8968</v>
      </c>
      <c r="J9" s="32" t="s">
        <v>8969</v>
      </c>
      <c r="K9" s="32" t="s">
        <v>558</v>
      </c>
      <c r="L9" s="32" t="s">
        <v>8940</v>
      </c>
      <c r="M9" s="32">
        <v>18</v>
      </c>
    </row>
    <row r="10" spans="1:13">
      <c r="A10" s="535"/>
      <c r="B10" s="85" t="s">
        <v>4059</v>
      </c>
      <c r="C10" s="31" t="s">
        <v>8929</v>
      </c>
      <c r="D10" s="39" t="str">
        <f t="shared" si="0"/>
        <v>Setembro</v>
      </c>
      <c r="E10" s="53" t="s">
        <v>8970</v>
      </c>
      <c r="F10" s="32" t="s">
        <v>8971</v>
      </c>
      <c r="G10" s="40">
        <v>23980</v>
      </c>
      <c r="H10" s="32" t="s">
        <v>8972</v>
      </c>
      <c r="I10" s="41" t="s">
        <v>8973</v>
      </c>
      <c r="J10" s="32" t="s">
        <v>8974</v>
      </c>
      <c r="K10" s="32" t="s">
        <v>558</v>
      </c>
      <c r="L10" s="32" t="s">
        <v>8935</v>
      </c>
      <c r="M10" s="32">
        <v>25</v>
      </c>
    </row>
    <row r="11" spans="1:13">
      <c r="A11" s="535"/>
      <c r="B11" s="85" t="s">
        <v>4027</v>
      </c>
      <c r="C11" s="31" t="s">
        <v>8929</v>
      </c>
      <c r="D11" s="39" t="str">
        <f t="shared" si="0"/>
        <v>Setembro</v>
      </c>
      <c r="E11" s="53" t="s">
        <v>8975</v>
      </c>
      <c r="F11" s="32">
        <v>12423784</v>
      </c>
      <c r="G11" s="40">
        <v>30896</v>
      </c>
      <c r="H11" s="32" t="s">
        <v>8976</v>
      </c>
      <c r="I11" s="41" t="s">
        <v>8977</v>
      </c>
      <c r="J11" s="32" t="s">
        <v>8978</v>
      </c>
      <c r="K11" s="32" t="s">
        <v>558</v>
      </c>
      <c r="L11" s="32" t="s">
        <v>8940</v>
      </c>
      <c r="M11" s="32">
        <v>20</v>
      </c>
    </row>
    <row r="12" spans="1:13">
      <c r="A12" s="535"/>
      <c r="B12" s="85" t="s">
        <v>4068</v>
      </c>
      <c r="C12" s="31" t="s">
        <v>8929</v>
      </c>
      <c r="D12" s="39" t="str">
        <f t="shared" si="0"/>
        <v>Setembro</v>
      </c>
      <c r="E12" s="50" t="s">
        <v>8979</v>
      </c>
      <c r="F12" s="33">
        <v>12673864</v>
      </c>
      <c r="G12" s="51">
        <v>30756</v>
      </c>
      <c r="H12" s="33" t="s">
        <v>8980</v>
      </c>
      <c r="I12" s="52" t="s">
        <v>8981</v>
      </c>
      <c r="J12" s="33" t="s">
        <v>8982</v>
      </c>
      <c r="K12" s="33" t="s">
        <v>558</v>
      </c>
      <c r="L12" s="33" t="s">
        <v>8940</v>
      </c>
      <c r="M12" s="33">
        <v>25</v>
      </c>
    </row>
    <row r="13" spans="1:13">
      <c r="A13" s="535"/>
      <c r="B13" s="85" t="s">
        <v>4051</v>
      </c>
      <c r="C13" s="31" t="s">
        <v>8929</v>
      </c>
      <c r="D13" s="39" t="str">
        <f t="shared" si="0"/>
        <v>Setembro</v>
      </c>
      <c r="E13" s="46" t="s">
        <v>8983</v>
      </c>
      <c r="F13" s="35" t="s">
        <v>8984</v>
      </c>
      <c r="G13" s="43">
        <v>24399</v>
      </c>
      <c r="H13" s="35" t="s">
        <v>8985</v>
      </c>
      <c r="I13" s="44" t="s">
        <v>8986</v>
      </c>
      <c r="J13" s="35" t="s">
        <v>8987</v>
      </c>
      <c r="K13" s="35" t="s">
        <v>558</v>
      </c>
      <c r="L13" s="35" t="s">
        <v>8935</v>
      </c>
      <c r="M13" s="35"/>
    </row>
    <row r="14" spans="1:13">
      <c r="A14" s="535"/>
      <c r="B14" s="85" t="s">
        <v>8988</v>
      </c>
      <c r="C14" s="31" t="s">
        <v>8929</v>
      </c>
      <c r="D14" s="39" t="str">
        <f t="shared" si="0"/>
        <v>Setembro</v>
      </c>
      <c r="E14" s="46" t="s">
        <v>8989</v>
      </c>
      <c r="F14" s="35" t="s">
        <v>8990</v>
      </c>
      <c r="G14" s="43">
        <v>29623</v>
      </c>
      <c r="H14" s="35" t="s">
        <v>8991</v>
      </c>
      <c r="I14" s="44" t="s">
        <v>8992</v>
      </c>
      <c r="J14" s="35" t="s">
        <v>8993</v>
      </c>
      <c r="K14" s="35" t="s">
        <v>8994</v>
      </c>
      <c r="L14" s="35" t="s">
        <v>8995</v>
      </c>
      <c r="M14" s="35"/>
    </row>
    <row r="15" spans="1:13">
      <c r="A15" s="535"/>
      <c r="B15" s="85" t="s">
        <v>4071</v>
      </c>
      <c r="C15" s="31" t="s">
        <v>8929</v>
      </c>
      <c r="D15" s="39" t="str">
        <f t="shared" si="0"/>
        <v>Setembro</v>
      </c>
      <c r="E15" s="46" t="s">
        <v>8996</v>
      </c>
      <c r="F15" s="35" t="s">
        <v>8997</v>
      </c>
      <c r="G15" s="43">
        <v>30587</v>
      </c>
      <c r="H15" s="35" t="s">
        <v>8998</v>
      </c>
      <c r="I15" s="44" t="s">
        <v>8999</v>
      </c>
      <c r="J15" s="35" t="s">
        <v>9000</v>
      </c>
      <c r="K15" s="35" t="s">
        <v>558</v>
      </c>
      <c r="L15" s="35" t="s">
        <v>8995</v>
      </c>
      <c r="M15" s="35"/>
    </row>
    <row r="16" spans="1:13">
      <c r="A16" s="535"/>
      <c r="B16" s="85" t="s">
        <v>4072</v>
      </c>
      <c r="C16" s="31" t="s">
        <v>8929</v>
      </c>
      <c r="D16" s="39" t="str">
        <f t="shared" si="0"/>
        <v>Setembro</v>
      </c>
      <c r="E16" s="46" t="s">
        <v>9001</v>
      </c>
      <c r="F16" s="35" t="s">
        <v>9002</v>
      </c>
      <c r="G16" s="43">
        <v>33013</v>
      </c>
      <c r="H16" s="35" t="s">
        <v>9003</v>
      </c>
      <c r="I16" s="44" t="s">
        <v>9004</v>
      </c>
      <c r="J16" s="35" t="s">
        <v>9005</v>
      </c>
      <c r="K16" s="35" t="s">
        <v>7938</v>
      </c>
      <c r="L16" s="35" t="s">
        <v>8935</v>
      </c>
      <c r="M16" s="35"/>
    </row>
    <row r="17" spans="1:13">
      <c r="A17" s="535"/>
      <c r="B17" s="85" t="s">
        <v>9006</v>
      </c>
      <c r="C17" s="31" t="s">
        <v>8929</v>
      </c>
      <c r="D17" s="39" t="str">
        <f t="shared" si="0"/>
        <v>Setembro</v>
      </c>
      <c r="E17" s="46" t="s">
        <v>9007</v>
      </c>
      <c r="F17" s="35" t="s">
        <v>9008</v>
      </c>
      <c r="G17" s="43">
        <v>25119</v>
      </c>
      <c r="H17" s="35" t="s">
        <v>9009</v>
      </c>
      <c r="I17" s="44" t="s">
        <v>9010</v>
      </c>
      <c r="J17" s="35" t="s">
        <v>9011</v>
      </c>
      <c r="K17" s="35" t="s">
        <v>9012</v>
      </c>
      <c r="L17" s="35" t="s">
        <v>8940</v>
      </c>
      <c r="M17" s="35"/>
    </row>
    <row r="18" spans="1:13">
      <c r="A18" s="535"/>
      <c r="B18" s="85" t="s">
        <v>4067</v>
      </c>
      <c r="C18" s="31" t="s">
        <v>8929</v>
      </c>
      <c r="D18" s="39" t="str">
        <f t="shared" si="0"/>
        <v>Setembro</v>
      </c>
      <c r="E18" s="46" t="s">
        <v>9013</v>
      </c>
      <c r="F18" s="45">
        <v>12173409</v>
      </c>
      <c r="G18" s="43">
        <v>31822</v>
      </c>
      <c r="H18" s="35" t="s">
        <v>9014</v>
      </c>
      <c r="I18" s="35" t="s">
        <v>9015</v>
      </c>
      <c r="J18" s="35" t="s">
        <v>9016</v>
      </c>
      <c r="K18" s="35" t="s">
        <v>558</v>
      </c>
      <c r="L18" s="35" t="s">
        <v>8940</v>
      </c>
      <c r="M18" s="35">
        <v>15</v>
      </c>
    </row>
    <row r="19" spans="1:13">
      <c r="A19" s="535"/>
      <c r="B19" s="85" t="s">
        <v>4067</v>
      </c>
      <c r="C19" s="31" t="s">
        <v>8929</v>
      </c>
      <c r="D19" s="39" t="str">
        <f t="shared" si="0"/>
        <v>Setembro</v>
      </c>
      <c r="E19" s="46" t="s">
        <v>9013</v>
      </c>
      <c r="F19" s="45">
        <v>12173409</v>
      </c>
      <c r="G19" s="43">
        <v>31822</v>
      </c>
      <c r="H19" s="35" t="s">
        <v>9014</v>
      </c>
      <c r="I19" s="35" t="s">
        <v>9015</v>
      </c>
      <c r="J19" s="35" t="s">
        <v>9017</v>
      </c>
      <c r="K19" s="35" t="s">
        <v>558</v>
      </c>
      <c r="L19" s="35" t="s">
        <v>8935</v>
      </c>
      <c r="M19" s="35">
        <v>10</v>
      </c>
    </row>
    <row r="20" spans="1:13">
      <c r="A20" s="535"/>
      <c r="B20" s="85" t="s">
        <v>4067</v>
      </c>
      <c r="C20" s="31" t="s">
        <v>8929</v>
      </c>
      <c r="D20" s="39" t="str">
        <f t="shared" si="0"/>
        <v>Setembro</v>
      </c>
      <c r="E20" s="46" t="s">
        <v>9013</v>
      </c>
      <c r="F20" s="45">
        <v>12173409</v>
      </c>
      <c r="G20" s="43">
        <v>31822</v>
      </c>
      <c r="H20" s="35" t="s">
        <v>9014</v>
      </c>
      <c r="I20" s="35" t="s">
        <v>9015</v>
      </c>
      <c r="J20" s="35" t="s">
        <v>9018</v>
      </c>
      <c r="K20" s="35" t="s">
        <v>7817</v>
      </c>
      <c r="L20" s="35" t="s">
        <v>8935</v>
      </c>
      <c r="M20" s="35">
        <v>20</v>
      </c>
    </row>
    <row r="21" spans="1:13">
      <c r="A21" s="535"/>
      <c r="B21" s="85" t="s">
        <v>4043</v>
      </c>
      <c r="C21" s="31" t="s">
        <v>8929</v>
      </c>
      <c r="D21" s="39" t="str">
        <f t="shared" si="0"/>
        <v>Setembro</v>
      </c>
      <c r="E21" s="46" t="s">
        <v>9019</v>
      </c>
      <c r="F21" s="35" t="s">
        <v>9020</v>
      </c>
      <c r="G21" s="32" t="s">
        <v>8954</v>
      </c>
      <c r="H21" s="35" t="s">
        <v>9021</v>
      </c>
      <c r="I21" s="44" t="s">
        <v>9022</v>
      </c>
      <c r="J21" s="35" t="s">
        <v>9023</v>
      </c>
      <c r="K21" s="35" t="s">
        <v>1225</v>
      </c>
      <c r="L21" s="35" t="s">
        <v>8995</v>
      </c>
      <c r="M21" s="35"/>
    </row>
    <row r="22" spans="1:13">
      <c r="A22" s="535"/>
      <c r="B22" s="85" t="s">
        <v>4063</v>
      </c>
      <c r="C22" s="31" t="s">
        <v>8929</v>
      </c>
      <c r="D22" s="39" t="str">
        <f t="shared" si="0"/>
        <v>Setembro</v>
      </c>
      <c r="E22" s="54" t="s">
        <v>9024</v>
      </c>
      <c r="F22" s="55" t="s">
        <v>9025</v>
      </c>
      <c r="G22" s="43">
        <v>31073</v>
      </c>
      <c r="H22" s="35" t="s">
        <v>9026</v>
      </c>
      <c r="I22" s="35" t="s">
        <v>9027</v>
      </c>
      <c r="J22" s="35" t="s">
        <v>9028</v>
      </c>
      <c r="K22" s="35" t="s">
        <v>558</v>
      </c>
      <c r="L22" s="35" t="s">
        <v>8935</v>
      </c>
      <c r="M22" s="35"/>
    </row>
    <row r="23" spans="1:13">
      <c r="A23" s="535"/>
      <c r="B23" s="85" t="s">
        <v>3988</v>
      </c>
      <c r="C23" s="31" t="s">
        <v>8929</v>
      </c>
      <c r="D23" s="39" t="str">
        <f t="shared" si="0"/>
        <v>Setembro</v>
      </c>
      <c r="E23" s="46" t="s">
        <v>9029</v>
      </c>
      <c r="F23" s="35" t="s">
        <v>9030</v>
      </c>
      <c r="G23" s="43">
        <v>26227</v>
      </c>
      <c r="H23" s="35" t="s">
        <v>9031</v>
      </c>
      <c r="I23" s="44" t="s">
        <v>9032</v>
      </c>
      <c r="J23" s="35" t="s">
        <v>9033</v>
      </c>
      <c r="K23" s="35" t="s">
        <v>7869</v>
      </c>
      <c r="L23" s="35" t="s">
        <v>9034</v>
      </c>
      <c r="M23" s="35">
        <v>11</v>
      </c>
    </row>
    <row r="24" spans="1:13">
      <c r="A24" s="535"/>
      <c r="B24" s="85" t="s">
        <v>9035</v>
      </c>
      <c r="C24" s="31" t="s">
        <v>8929</v>
      </c>
      <c r="D24" s="39" t="str">
        <f t="shared" si="0"/>
        <v>Setembro</v>
      </c>
      <c r="E24" s="46" t="s">
        <v>9036</v>
      </c>
      <c r="F24" s="35" t="s">
        <v>9037</v>
      </c>
      <c r="G24" s="43">
        <v>15329</v>
      </c>
      <c r="H24" s="35" t="s">
        <v>9038</v>
      </c>
      <c r="I24" s="32" t="s">
        <v>8954</v>
      </c>
      <c r="J24" s="35" t="s">
        <v>9039</v>
      </c>
      <c r="K24" s="35" t="s">
        <v>558</v>
      </c>
      <c r="L24" s="35" t="s">
        <v>8940</v>
      </c>
      <c r="M24" s="35"/>
    </row>
    <row r="25" spans="1:13">
      <c r="A25" s="535"/>
      <c r="B25" s="85" t="s">
        <v>4389</v>
      </c>
      <c r="C25" s="31" t="s">
        <v>8929</v>
      </c>
      <c r="D25" s="39" t="str">
        <f t="shared" si="0"/>
        <v>Setembro</v>
      </c>
      <c r="E25" s="46" t="s">
        <v>9040</v>
      </c>
      <c r="F25" s="35" t="s">
        <v>9041</v>
      </c>
      <c r="G25" s="43">
        <v>31296</v>
      </c>
      <c r="H25" s="35" t="s">
        <v>9042</v>
      </c>
      <c r="I25" s="44" t="s">
        <v>9043</v>
      </c>
      <c r="J25" s="35" t="s">
        <v>9044</v>
      </c>
      <c r="K25" s="35" t="s">
        <v>9045</v>
      </c>
      <c r="L25" s="35" t="s">
        <v>8940</v>
      </c>
      <c r="M25" s="35">
        <v>15</v>
      </c>
    </row>
    <row r="26" spans="1:13">
      <c r="A26" s="535"/>
      <c r="B26" s="85" t="s">
        <v>4064</v>
      </c>
      <c r="C26" s="31" t="s">
        <v>8929</v>
      </c>
      <c r="D26" s="39" t="str">
        <f t="shared" si="0"/>
        <v>Setembro</v>
      </c>
      <c r="E26" s="144" t="s">
        <v>9046</v>
      </c>
      <c r="F26" s="55">
        <v>12648335</v>
      </c>
      <c r="G26" s="56">
        <v>32366</v>
      </c>
      <c r="H26" s="55" t="s">
        <v>4083</v>
      </c>
      <c r="I26" s="57" t="s">
        <v>9047</v>
      </c>
      <c r="J26" s="55" t="s">
        <v>9048</v>
      </c>
      <c r="K26" s="35" t="s">
        <v>7762</v>
      </c>
      <c r="L26" s="35" t="s">
        <v>8940</v>
      </c>
      <c r="M26" s="35">
        <v>10</v>
      </c>
    </row>
    <row r="27" spans="1:13">
      <c r="A27" s="535"/>
      <c r="B27" s="85" t="s">
        <v>4064</v>
      </c>
      <c r="C27" s="31" t="s">
        <v>8929</v>
      </c>
      <c r="D27" s="39" t="str">
        <f t="shared" si="0"/>
        <v>Setembro</v>
      </c>
      <c r="E27" s="53" t="s">
        <v>9046</v>
      </c>
      <c r="F27" s="32">
        <v>12648335</v>
      </c>
      <c r="G27" s="40">
        <v>32366</v>
      </c>
      <c r="H27" s="32" t="s">
        <v>4083</v>
      </c>
      <c r="I27" s="41" t="s">
        <v>9047</v>
      </c>
      <c r="J27" s="32" t="s">
        <v>9049</v>
      </c>
      <c r="K27" s="46" t="s">
        <v>9045</v>
      </c>
      <c r="L27" s="35" t="s">
        <v>8940</v>
      </c>
      <c r="M27" s="35">
        <v>15</v>
      </c>
    </row>
    <row r="28" spans="1:13">
      <c r="A28" s="535"/>
      <c r="B28" s="86" t="s">
        <v>4064</v>
      </c>
      <c r="C28" s="31" t="s">
        <v>8929</v>
      </c>
      <c r="D28" s="39" t="str">
        <f t="shared" si="0"/>
        <v>Setembro</v>
      </c>
      <c r="E28" s="53" t="s">
        <v>9046</v>
      </c>
      <c r="F28" s="32">
        <v>12648335</v>
      </c>
      <c r="G28" s="40">
        <v>32366</v>
      </c>
      <c r="H28" s="32" t="s">
        <v>4083</v>
      </c>
      <c r="I28" s="41" t="s">
        <v>9047</v>
      </c>
      <c r="J28" s="32" t="s">
        <v>9050</v>
      </c>
      <c r="K28" s="46" t="s">
        <v>7762</v>
      </c>
      <c r="L28" s="35" t="s">
        <v>8940</v>
      </c>
      <c r="M28" s="35">
        <v>20</v>
      </c>
    </row>
    <row r="29" spans="1:13">
      <c r="A29" s="535"/>
      <c r="B29" s="85" t="s">
        <v>9051</v>
      </c>
      <c r="C29" s="31" t="s">
        <v>8929</v>
      </c>
      <c r="D29" s="39" t="str">
        <f t="shared" si="0"/>
        <v>Setembro</v>
      </c>
      <c r="E29" s="53" t="s">
        <v>9046</v>
      </c>
      <c r="F29" s="32">
        <v>12648335</v>
      </c>
      <c r="G29" s="40">
        <v>32366</v>
      </c>
      <c r="H29" s="32" t="s">
        <v>4083</v>
      </c>
      <c r="I29" s="41" t="s">
        <v>9047</v>
      </c>
      <c r="J29" s="32" t="s">
        <v>9052</v>
      </c>
      <c r="K29" s="46" t="s">
        <v>7817</v>
      </c>
      <c r="L29" s="35" t="s">
        <v>8940</v>
      </c>
      <c r="M29" s="35">
        <v>25</v>
      </c>
    </row>
    <row r="30" spans="1:13">
      <c r="A30" s="535"/>
      <c r="B30" s="85" t="s">
        <v>4050</v>
      </c>
      <c r="C30" s="31" t="s">
        <v>8929</v>
      </c>
      <c r="D30" s="39" t="str">
        <f t="shared" si="0"/>
        <v>Setembro</v>
      </c>
      <c r="E30" s="145" t="s">
        <v>9053</v>
      </c>
      <c r="F30" s="47" t="s">
        <v>9054</v>
      </c>
      <c r="G30" s="48">
        <v>30288</v>
      </c>
      <c r="H30" s="47" t="s">
        <v>9055</v>
      </c>
      <c r="I30" s="49" t="s">
        <v>9056</v>
      </c>
      <c r="J30" s="47" t="s">
        <v>9057</v>
      </c>
      <c r="K30" s="35" t="s">
        <v>9012</v>
      </c>
      <c r="L30" s="35" t="s">
        <v>8940</v>
      </c>
      <c r="M30" s="35">
        <v>16</v>
      </c>
    </row>
    <row r="31" spans="1:13">
      <c r="A31" s="535"/>
      <c r="B31" s="85" t="s">
        <v>9058</v>
      </c>
      <c r="C31" s="31" t="s">
        <v>8929</v>
      </c>
      <c r="D31" s="39" t="str">
        <f t="shared" si="0"/>
        <v>Setembro</v>
      </c>
      <c r="E31" s="46" t="s">
        <v>9059</v>
      </c>
      <c r="F31" s="35">
        <v>13258614</v>
      </c>
      <c r="G31" s="43">
        <v>31290</v>
      </c>
      <c r="H31" s="35" t="s">
        <v>9060</v>
      </c>
      <c r="I31" s="44" t="s">
        <v>9061</v>
      </c>
      <c r="J31" s="35" t="s">
        <v>9062</v>
      </c>
      <c r="K31" s="35" t="s">
        <v>7762</v>
      </c>
      <c r="L31" s="35" t="s">
        <v>8940</v>
      </c>
      <c r="M31" s="35">
        <v>15</v>
      </c>
    </row>
    <row r="32" spans="1:13">
      <c r="A32" s="535"/>
      <c r="B32" s="85" t="s">
        <v>4062</v>
      </c>
      <c r="C32" s="31" t="s">
        <v>8929</v>
      </c>
      <c r="D32" s="39" t="str">
        <f t="shared" si="0"/>
        <v>Setembro</v>
      </c>
      <c r="E32" s="46" t="s">
        <v>9063</v>
      </c>
      <c r="F32" s="35">
        <v>3882996</v>
      </c>
      <c r="G32" s="43">
        <v>24464</v>
      </c>
      <c r="H32" s="35" t="s">
        <v>9064</v>
      </c>
      <c r="I32" s="35" t="s">
        <v>9065</v>
      </c>
      <c r="J32" s="35" t="s">
        <v>9066</v>
      </c>
      <c r="K32" s="35" t="s">
        <v>9067</v>
      </c>
      <c r="L32" s="35" t="s">
        <v>8940</v>
      </c>
      <c r="M32" s="35">
        <v>5</v>
      </c>
    </row>
    <row r="33" spans="1:13">
      <c r="A33" s="535"/>
      <c r="B33" s="85" t="s">
        <v>9068</v>
      </c>
      <c r="C33" s="31" t="s">
        <v>8929</v>
      </c>
      <c r="D33" s="39" t="str">
        <f t="shared" si="0"/>
        <v>Setembro</v>
      </c>
      <c r="E33" s="46" t="s">
        <v>9069</v>
      </c>
      <c r="F33" s="35" t="s">
        <v>9070</v>
      </c>
      <c r="G33" s="43">
        <v>27319</v>
      </c>
      <c r="H33" s="35" t="s">
        <v>9071</v>
      </c>
      <c r="I33" s="44" t="s">
        <v>9072</v>
      </c>
      <c r="J33" s="35" t="s">
        <v>9073</v>
      </c>
      <c r="K33" s="35" t="s">
        <v>64</v>
      </c>
      <c r="L33" s="35" t="s">
        <v>8940</v>
      </c>
      <c r="M33" s="35">
        <v>15</v>
      </c>
    </row>
    <row r="34" spans="1:13">
      <c r="A34" s="535"/>
      <c r="B34" s="85" t="s">
        <v>9074</v>
      </c>
      <c r="C34" s="31" t="s">
        <v>8929</v>
      </c>
      <c r="D34" s="39" t="str">
        <f t="shared" si="0"/>
        <v>Setembro</v>
      </c>
      <c r="E34" s="46" t="s">
        <v>9075</v>
      </c>
      <c r="F34" s="35" t="s">
        <v>9076</v>
      </c>
      <c r="G34" s="43">
        <v>23007</v>
      </c>
      <c r="H34" s="35" t="s">
        <v>9077</v>
      </c>
      <c r="I34" s="44" t="s">
        <v>9078</v>
      </c>
      <c r="J34" s="35" t="s">
        <v>9079</v>
      </c>
      <c r="K34" s="35" t="s">
        <v>558</v>
      </c>
      <c r="L34" s="35" t="s">
        <v>8940</v>
      </c>
      <c r="M34" s="35">
        <v>10</v>
      </c>
    </row>
    <row r="35" spans="1:13">
      <c r="A35" s="535"/>
      <c r="B35" s="85" t="s">
        <v>4057</v>
      </c>
      <c r="C35" s="31" t="s">
        <v>8929</v>
      </c>
      <c r="D35" s="39" t="str">
        <f>$B$1</f>
        <v>Setembro</v>
      </c>
      <c r="E35" s="46" t="s">
        <v>9080</v>
      </c>
      <c r="F35" s="35">
        <v>10823490</v>
      </c>
      <c r="G35" s="43">
        <v>31083</v>
      </c>
      <c r="H35" s="35" t="s">
        <v>9081</v>
      </c>
      <c r="I35" s="44" t="s">
        <v>9082</v>
      </c>
      <c r="J35" s="35" t="s">
        <v>9083</v>
      </c>
      <c r="K35" s="35" t="s">
        <v>9012</v>
      </c>
      <c r="L35" s="35" t="s">
        <v>8940</v>
      </c>
      <c r="M35" s="35">
        <v>10</v>
      </c>
    </row>
    <row r="36" spans="1:13">
      <c r="A36" s="535"/>
      <c r="B36" s="85" t="s">
        <v>9084</v>
      </c>
      <c r="C36" s="31" t="s">
        <v>8929</v>
      </c>
      <c r="D36" s="39" t="str">
        <f t="shared" si="0"/>
        <v>Setembro</v>
      </c>
      <c r="E36" s="46" t="s">
        <v>9085</v>
      </c>
      <c r="F36" s="35" t="s">
        <v>9086</v>
      </c>
      <c r="G36" s="43">
        <v>24494</v>
      </c>
      <c r="H36" s="35" t="s">
        <v>9087</v>
      </c>
      <c r="I36" s="44" t="s">
        <v>9088</v>
      </c>
      <c r="J36" s="35" t="s">
        <v>9089</v>
      </c>
      <c r="K36" s="35" t="s">
        <v>9012</v>
      </c>
      <c r="L36" s="35" t="s">
        <v>8940</v>
      </c>
      <c r="M36" s="35">
        <v>17</v>
      </c>
    </row>
    <row r="37" spans="1:13">
      <c r="A37" s="535"/>
      <c r="B37" s="85" t="s">
        <v>4047</v>
      </c>
      <c r="C37" s="31" t="s">
        <v>8929</v>
      </c>
      <c r="D37" s="39" t="str">
        <f t="shared" si="0"/>
        <v>Setembro</v>
      </c>
      <c r="E37" s="46" t="s">
        <v>9090</v>
      </c>
      <c r="F37" s="35" t="s">
        <v>9091</v>
      </c>
      <c r="G37" s="43">
        <v>32791</v>
      </c>
      <c r="H37" s="35" t="s">
        <v>9092</v>
      </c>
      <c r="I37" s="44" t="s">
        <v>9093</v>
      </c>
      <c r="J37" s="35" t="s">
        <v>9094</v>
      </c>
      <c r="K37" s="35" t="s">
        <v>558</v>
      </c>
      <c r="L37" s="35" t="s">
        <v>8935</v>
      </c>
      <c r="M37" s="35">
        <v>10</v>
      </c>
    </row>
    <row r="38" spans="1:13">
      <c r="A38" s="535"/>
      <c r="B38" s="176" t="s">
        <v>4357</v>
      </c>
      <c r="C38" s="17"/>
      <c r="D38" s="17"/>
      <c r="E38" s="22"/>
      <c r="F38" s="22"/>
      <c r="G38" s="22"/>
      <c r="H38" s="22"/>
      <c r="I38" s="22"/>
      <c r="J38" s="22"/>
      <c r="K38" s="22"/>
      <c r="L38" s="22"/>
      <c r="M38" s="22"/>
    </row>
    <row r="39" spans="1:13">
      <c r="A39" s="535"/>
      <c r="B39" s="85" t="s">
        <v>4058</v>
      </c>
      <c r="C39" s="31" t="s">
        <v>8929</v>
      </c>
      <c r="D39" s="31" t="str">
        <f>$B$38</f>
        <v>Outubro</v>
      </c>
      <c r="E39" s="66" t="s">
        <v>9095</v>
      </c>
      <c r="F39" s="59">
        <v>11356870</v>
      </c>
      <c r="G39" s="60">
        <v>24446</v>
      </c>
      <c r="H39" s="59" t="s">
        <v>9096</v>
      </c>
      <c r="I39" s="63" t="s">
        <v>9097</v>
      </c>
      <c r="J39" s="59" t="s">
        <v>9098</v>
      </c>
      <c r="K39" s="59" t="s">
        <v>558</v>
      </c>
      <c r="L39" s="59" t="s">
        <v>9034</v>
      </c>
      <c r="M39" s="64">
        <v>15</v>
      </c>
    </row>
    <row r="40" spans="1:13">
      <c r="A40" s="535"/>
      <c r="B40" s="85" t="s">
        <v>3012</v>
      </c>
      <c r="C40" s="31" t="s">
        <v>8929</v>
      </c>
      <c r="D40" s="31" t="str">
        <f t="shared" ref="D40:D70" si="1">$B$38</f>
        <v>Outubro</v>
      </c>
      <c r="E40" s="66" t="s">
        <v>9099</v>
      </c>
      <c r="F40" s="62">
        <v>20398294</v>
      </c>
      <c r="G40" s="60">
        <v>35145</v>
      </c>
      <c r="H40" s="59" t="s">
        <v>9100</v>
      </c>
      <c r="I40" s="63" t="s">
        <v>9065</v>
      </c>
      <c r="J40" s="59" t="s">
        <v>9101</v>
      </c>
      <c r="K40" s="59" t="s">
        <v>7938</v>
      </c>
      <c r="L40" s="59" t="s">
        <v>8940</v>
      </c>
      <c r="M40" s="64">
        <v>9</v>
      </c>
    </row>
    <row r="41" spans="1:13">
      <c r="A41" s="535"/>
      <c r="B41" s="85" t="s">
        <v>4046</v>
      </c>
      <c r="C41" s="31" t="s">
        <v>8929</v>
      </c>
      <c r="D41" s="31" t="str">
        <f t="shared" si="1"/>
        <v>Outubro</v>
      </c>
      <c r="E41" s="66" t="s">
        <v>7760</v>
      </c>
      <c r="F41" s="59">
        <v>19083887</v>
      </c>
      <c r="G41" s="60">
        <v>36014</v>
      </c>
      <c r="H41" s="59" t="s">
        <v>9102</v>
      </c>
      <c r="I41" s="63" t="s">
        <v>9103</v>
      </c>
      <c r="J41" s="59" t="s">
        <v>9104</v>
      </c>
      <c r="K41" s="59" t="s">
        <v>7762</v>
      </c>
      <c r="L41" s="59" t="s">
        <v>9105</v>
      </c>
      <c r="M41" s="64">
        <v>20</v>
      </c>
    </row>
    <row r="42" spans="1:13">
      <c r="A42" s="535"/>
      <c r="B42" s="85" t="s">
        <v>4035</v>
      </c>
      <c r="C42" s="31" t="s">
        <v>8929</v>
      </c>
      <c r="D42" s="31" t="str">
        <f t="shared" si="1"/>
        <v>Outubro</v>
      </c>
      <c r="E42" s="66" t="s">
        <v>9106</v>
      </c>
      <c r="F42" s="59" t="s">
        <v>9107</v>
      </c>
      <c r="G42" s="60">
        <v>20857</v>
      </c>
      <c r="H42" s="59" t="s">
        <v>9108</v>
      </c>
      <c r="I42" s="63" t="s">
        <v>9109</v>
      </c>
      <c r="J42" s="59" t="s">
        <v>9110</v>
      </c>
      <c r="K42" s="59" t="s">
        <v>558</v>
      </c>
      <c r="L42" s="59" t="s">
        <v>8935</v>
      </c>
      <c r="M42" s="64">
        <v>10</v>
      </c>
    </row>
    <row r="43" spans="1:13">
      <c r="A43" s="535"/>
      <c r="B43" s="87" t="s">
        <v>4035</v>
      </c>
      <c r="C43" s="31" t="s">
        <v>8929</v>
      </c>
      <c r="D43" s="31" t="str">
        <f t="shared" si="1"/>
        <v>Outubro</v>
      </c>
      <c r="E43" s="66" t="s">
        <v>9106</v>
      </c>
      <c r="F43" s="59" t="s">
        <v>9107</v>
      </c>
      <c r="G43" s="60">
        <v>20857</v>
      </c>
      <c r="H43" s="59" t="s">
        <v>9108</v>
      </c>
      <c r="I43" s="63" t="s">
        <v>9109</v>
      </c>
      <c r="J43" s="59" t="s">
        <v>9111</v>
      </c>
      <c r="K43" s="59" t="s">
        <v>558</v>
      </c>
      <c r="L43" s="59" t="s">
        <v>8935</v>
      </c>
      <c r="M43" s="64">
        <v>10</v>
      </c>
    </row>
    <row r="44" spans="1:13">
      <c r="A44" s="535"/>
      <c r="B44" s="85" t="s">
        <v>9112</v>
      </c>
      <c r="C44" s="31" t="s">
        <v>8929</v>
      </c>
      <c r="D44" s="31" t="str">
        <f t="shared" si="1"/>
        <v>Outubro</v>
      </c>
      <c r="E44" s="66" t="s">
        <v>9113</v>
      </c>
      <c r="F44" s="59" t="s">
        <v>9114</v>
      </c>
      <c r="G44" s="60">
        <v>29915</v>
      </c>
      <c r="H44" s="59">
        <v>35999091622</v>
      </c>
      <c r="I44" s="63" t="s">
        <v>9115</v>
      </c>
      <c r="J44" s="59" t="s">
        <v>9116</v>
      </c>
      <c r="K44" s="59" t="s">
        <v>9117</v>
      </c>
      <c r="L44" s="59" t="s">
        <v>8940</v>
      </c>
      <c r="M44" s="64">
        <v>20</v>
      </c>
    </row>
    <row r="45" spans="1:13">
      <c r="A45" s="535"/>
      <c r="B45" s="85" t="s">
        <v>9118</v>
      </c>
      <c r="C45" s="31" t="s">
        <v>8929</v>
      </c>
      <c r="D45" s="31" t="str">
        <f t="shared" si="1"/>
        <v>Outubro</v>
      </c>
      <c r="E45" s="66" t="s">
        <v>9119</v>
      </c>
      <c r="F45" s="59" t="s">
        <v>9065</v>
      </c>
      <c r="G45" s="60" t="s">
        <v>9065</v>
      </c>
      <c r="H45" s="59" t="s">
        <v>9120</v>
      </c>
      <c r="I45" s="63" t="s">
        <v>9121</v>
      </c>
      <c r="J45" s="59" t="s">
        <v>9122</v>
      </c>
      <c r="K45" s="59" t="s">
        <v>9117</v>
      </c>
      <c r="L45" s="59" t="s">
        <v>8940</v>
      </c>
      <c r="M45" s="64">
        <v>10</v>
      </c>
    </row>
    <row r="46" spans="1:13">
      <c r="A46" s="535"/>
      <c r="B46" s="85" t="s">
        <v>3824</v>
      </c>
      <c r="C46" s="31" t="s">
        <v>8929</v>
      </c>
      <c r="D46" s="31" t="str">
        <f t="shared" si="1"/>
        <v>Outubro</v>
      </c>
      <c r="E46" s="66">
        <v>11827250666</v>
      </c>
      <c r="F46" s="59" t="s">
        <v>9123</v>
      </c>
      <c r="G46" s="60">
        <v>34278</v>
      </c>
      <c r="H46" s="59">
        <v>35998075434</v>
      </c>
      <c r="I46" s="63" t="s">
        <v>9124</v>
      </c>
      <c r="J46" s="59" t="s">
        <v>9125</v>
      </c>
      <c r="K46" s="59" t="s">
        <v>9126</v>
      </c>
      <c r="L46" s="59" t="s">
        <v>9034</v>
      </c>
      <c r="M46" s="64">
        <v>10</v>
      </c>
    </row>
    <row r="47" spans="1:13">
      <c r="A47" s="535"/>
      <c r="B47" s="85" t="s">
        <v>4040</v>
      </c>
      <c r="C47" s="31" t="s">
        <v>8929</v>
      </c>
      <c r="D47" s="31" t="str">
        <f t="shared" si="1"/>
        <v>Outubro</v>
      </c>
      <c r="E47" s="66">
        <v>54233160659</v>
      </c>
      <c r="F47" s="59" t="s">
        <v>9127</v>
      </c>
      <c r="G47" s="60">
        <v>24434</v>
      </c>
      <c r="H47" s="59" t="s">
        <v>9128</v>
      </c>
      <c r="I47" s="63" t="s">
        <v>9129</v>
      </c>
      <c r="J47" s="59" t="s">
        <v>9130</v>
      </c>
      <c r="K47" s="59" t="s">
        <v>9012</v>
      </c>
      <c r="L47" s="59" t="s">
        <v>9034</v>
      </c>
      <c r="M47" s="65">
        <v>15</v>
      </c>
    </row>
    <row r="48" spans="1:13">
      <c r="A48" s="535"/>
      <c r="B48" s="85" t="s">
        <v>4042</v>
      </c>
      <c r="C48" s="31" t="s">
        <v>8929</v>
      </c>
      <c r="D48" s="31" t="str">
        <f t="shared" si="1"/>
        <v>Outubro</v>
      </c>
      <c r="E48" s="66" t="s">
        <v>9131</v>
      </c>
      <c r="F48" s="59" t="s">
        <v>9132</v>
      </c>
      <c r="G48" s="60">
        <v>31407</v>
      </c>
      <c r="H48" s="59" t="s">
        <v>9133</v>
      </c>
      <c r="I48" s="63" t="s">
        <v>9134</v>
      </c>
      <c r="J48" s="59" t="s">
        <v>9135</v>
      </c>
      <c r="K48" s="59" t="s">
        <v>9136</v>
      </c>
      <c r="L48" s="59" t="s">
        <v>8935</v>
      </c>
      <c r="M48" s="66">
        <v>15</v>
      </c>
    </row>
    <row r="49" spans="1:13">
      <c r="A49" s="535"/>
      <c r="B49" s="85" t="s">
        <v>3178</v>
      </c>
      <c r="C49" s="31" t="s">
        <v>8929</v>
      </c>
      <c r="D49" s="31" t="str">
        <f t="shared" si="1"/>
        <v>Outubro</v>
      </c>
      <c r="E49" s="66" t="s">
        <v>9137</v>
      </c>
      <c r="F49" s="59" t="s">
        <v>9138</v>
      </c>
      <c r="G49" s="60">
        <v>33869</v>
      </c>
      <c r="H49" s="59" t="s">
        <v>9139</v>
      </c>
      <c r="I49" s="63" t="s">
        <v>9140</v>
      </c>
      <c r="J49" s="59" t="s">
        <v>9141</v>
      </c>
      <c r="K49" s="59" t="s">
        <v>558</v>
      </c>
      <c r="L49" s="59" t="s">
        <v>8935</v>
      </c>
      <c r="M49" s="66">
        <v>20</v>
      </c>
    </row>
    <row r="50" spans="1:13">
      <c r="A50" s="535"/>
      <c r="B50" s="85" t="s">
        <v>4041</v>
      </c>
      <c r="C50" s="31" t="s">
        <v>8929</v>
      </c>
      <c r="D50" s="31" t="str">
        <f t="shared" si="1"/>
        <v>Outubro</v>
      </c>
      <c r="E50" s="66" t="s">
        <v>9142</v>
      </c>
      <c r="F50" s="59" t="s">
        <v>9143</v>
      </c>
      <c r="G50" s="60">
        <v>22894</v>
      </c>
      <c r="H50" s="59" t="s">
        <v>9144</v>
      </c>
      <c r="I50" s="59"/>
      <c r="J50" s="59" t="s">
        <v>9145</v>
      </c>
      <c r="K50" s="59" t="s">
        <v>7780</v>
      </c>
      <c r="L50" s="59" t="s">
        <v>8935</v>
      </c>
      <c r="M50" s="66">
        <v>15</v>
      </c>
    </row>
    <row r="51" spans="1:13">
      <c r="A51" s="535"/>
      <c r="B51" s="85" t="s">
        <v>9146</v>
      </c>
      <c r="C51" s="31" t="s">
        <v>8929</v>
      </c>
      <c r="D51" s="31" t="str">
        <f t="shared" si="1"/>
        <v>Outubro</v>
      </c>
      <c r="E51" s="66" t="s">
        <v>9147</v>
      </c>
      <c r="F51" s="62">
        <v>13766527</v>
      </c>
      <c r="G51" s="60">
        <v>31636</v>
      </c>
      <c r="H51" s="59" t="s">
        <v>9148</v>
      </c>
      <c r="I51" s="63" t="s">
        <v>9149</v>
      </c>
      <c r="J51" s="59" t="s">
        <v>9150</v>
      </c>
      <c r="K51" s="59" t="s">
        <v>1225</v>
      </c>
      <c r="L51" s="59" t="s">
        <v>8935</v>
      </c>
      <c r="M51" s="66">
        <v>15</v>
      </c>
    </row>
    <row r="52" spans="1:13">
      <c r="A52" s="535"/>
      <c r="B52" s="85" t="s">
        <v>9151</v>
      </c>
      <c r="C52" s="31" t="s">
        <v>8929</v>
      </c>
      <c r="D52" s="31" t="str">
        <f t="shared" si="1"/>
        <v>Outubro</v>
      </c>
      <c r="E52" s="66" t="s">
        <v>9152</v>
      </c>
      <c r="F52" s="62" t="s">
        <v>9153</v>
      </c>
      <c r="G52" s="60">
        <v>30901</v>
      </c>
      <c r="H52" s="59" t="s">
        <v>9154</v>
      </c>
      <c r="I52" s="63" t="s">
        <v>9155</v>
      </c>
      <c r="J52" s="59" t="s">
        <v>9156</v>
      </c>
      <c r="K52" s="59" t="s">
        <v>9045</v>
      </c>
      <c r="L52" s="59" t="s">
        <v>8935</v>
      </c>
      <c r="M52" s="66">
        <v>10</v>
      </c>
    </row>
    <row r="53" spans="1:13">
      <c r="A53" s="535"/>
      <c r="B53" s="85" t="s">
        <v>4038</v>
      </c>
      <c r="C53" s="31" t="s">
        <v>8929</v>
      </c>
      <c r="D53" s="31" t="str">
        <f t="shared" si="1"/>
        <v>Outubro</v>
      </c>
      <c r="E53" s="66">
        <v>3731285681</v>
      </c>
      <c r="F53" s="62" t="s">
        <v>9157</v>
      </c>
      <c r="G53" s="60">
        <v>22776</v>
      </c>
      <c r="H53" s="59" t="s">
        <v>9158</v>
      </c>
      <c r="I53" s="63"/>
      <c r="J53" s="59" t="s">
        <v>9159</v>
      </c>
      <c r="K53" s="59" t="s">
        <v>1225</v>
      </c>
      <c r="L53" s="59" t="s">
        <v>8940</v>
      </c>
      <c r="M53" s="66">
        <v>10</v>
      </c>
    </row>
    <row r="54" spans="1:13">
      <c r="A54" s="535"/>
      <c r="B54" s="85" t="s">
        <v>4036</v>
      </c>
      <c r="C54" s="31" t="s">
        <v>8929</v>
      </c>
      <c r="D54" s="31" t="str">
        <f t="shared" si="1"/>
        <v>Outubro</v>
      </c>
      <c r="E54" s="66" t="s">
        <v>9160</v>
      </c>
      <c r="F54" s="62" t="s">
        <v>9161</v>
      </c>
      <c r="G54" s="60">
        <v>28242</v>
      </c>
      <c r="H54" s="59" t="s">
        <v>9162</v>
      </c>
      <c r="I54" s="63" t="s">
        <v>9163</v>
      </c>
      <c r="J54" s="59" t="s">
        <v>9164</v>
      </c>
      <c r="K54" s="59" t="s">
        <v>558</v>
      </c>
      <c r="L54" s="59" t="s">
        <v>8940</v>
      </c>
      <c r="M54" s="66">
        <v>10</v>
      </c>
    </row>
    <row r="55" spans="1:13">
      <c r="A55" s="535"/>
      <c r="B55" s="85" t="s">
        <v>9165</v>
      </c>
      <c r="C55" s="31" t="s">
        <v>8929</v>
      </c>
      <c r="D55" s="31" t="str">
        <f t="shared" si="1"/>
        <v>Outubro</v>
      </c>
      <c r="E55" s="66" t="s">
        <v>9166</v>
      </c>
      <c r="F55" s="32" t="s">
        <v>9167</v>
      </c>
      <c r="G55" s="60">
        <v>34120</v>
      </c>
      <c r="H55" s="59" t="s">
        <v>9168</v>
      </c>
      <c r="I55" s="63" t="s">
        <v>9169</v>
      </c>
      <c r="J55" s="59" t="s">
        <v>9170</v>
      </c>
      <c r="K55" s="59" t="s">
        <v>9067</v>
      </c>
      <c r="L55" s="59" t="s">
        <v>9171</v>
      </c>
      <c r="M55" s="66">
        <v>20</v>
      </c>
    </row>
    <row r="56" spans="1:13">
      <c r="A56" s="535"/>
      <c r="B56" s="85" t="s">
        <v>4037</v>
      </c>
      <c r="C56" s="31" t="s">
        <v>8929</v>
      </c>
      <c r="D56" s="31" t="str">
        <f t="shared" si="1"/>
        <v>Outubro</v>
      </c>
      <c r="E56" s="66" t="s">
        <v>7763</v>
      </c>
      <c r="F56" s="59" t="s">
        <v>9172</v>
      </c>
      <c r="G56" s="60">
        <v>33661</v>
      </c>
      <c r="H56" s="59" t="s">
        <v>4406</v>
      </c>
      <c r="I56" s="63" t="s">
        <v>9173</v>
      </c>
      <c r="J56" s="59" t="s">
        <v>9174</v>
      </c>
      <c r="K56" s="59" t="s">
        <v>7765</v>
      </c>
      <c r="L56" s="59" t="s">
        <v>8935</v>
      </c>
      <c r="M56" s="66">
        <v>30</v>
      </c>
    </row>
    <row r="57" spans="1:13">
      <c r="A57" s="535"/>
      <c r="B57" s="85" t="s">
        <v>9175</v>
      </c>
      <c r="C57" s="31" t="s">
        <v>8929</v>
      </c>
      <c r="D57" s="31" t="str">
        <f t="shared" si="1"/>
        <v>Outubro</v>
      </c>
      <c r="E57" s="66">
        <v>99712571149</v>
      </c>
      <c r="F57" s="59">
        <v>4702125</v>
      </c>
      <c r="G57" s="60">
        <v>30226</v>
      </c>
      <c r="H57" s="59" t="s">
        <v>9176</v>
      </c>
      <c r="I57" s="63" t="s">
        <v>9177</v>
      </c>
      <c r="J57" s="59" t="s">
        <v>9178</v>
      </c>
      <c r="K57" s="59" t="s">
        <v>9117</v>
      </c>
      <c r="L57" s="59" t="s">
        <v>8995</v>
      </c>
      <c r="M57" s="66">
        <v>10</v>
      </c>
    </row>
    <row r="58" spans="1:13">
      <c r="A58" s="535"/>
      <c r="B58" s="85" t="s">
        <v>4033</v>
      </c>
      <c r="C58" s="31" t="s">
        <v>8929</v>
      </c>
      <c r="D58" s="31" t="str">
        <f t="shared" si="1"/>
        <v>Outubro</v>
      </c>
      <c r="E58" s="66" t="s">
        <v>9179</v>
      </c>
      <c r="F58" s="59">
        <v>375899315</v>
      </c>
      <c r="G58" s="60">
        <v>30070</v>
      </c>
      <c r="H58" s="59">
        <v>35984350929</v>
      </c>
      <c r="I58" s="63" t="s">
        <v>9180</v>
      </c>
      <c r="J58" s="59" t="s">
        <v>9181</v>
      </c>
      <c r="K58" s="59" t="s">
        <v>558</v>
      </c>
      <c r="L58" s="59" t="s">
        <v>8935</v>
      </c>
      <c r="M58" s="66">
        <v>10</v>
      </c>
    </row>
    <row r="59" spans="1:13">
      <c r="A59" s="535"/>
      <c r="B59" s="85" t="s">
        <v>4032</v>
      </c>
      <c r="C59" s="31" t="s">
        <v>8929</v>
      </c>
      <c r="D59" s="31" t="str">
        <f t="shared" si="1"/>
        <v>Outubro</v>
      </c>
      <c r="E59" s="66">
        <v>66320364653</v>
      </c>
      <c r="F59" s="59" t="s">
        <v>9182</v>
      </c>
      <c r="G59" s="60">
        <v>23821</v>
      </c>
      <c r="H59" s="59" t="s">
        <v>9183</v>
      </c>
      <c r="I59" s="59"/>
      <c r="J59" s="59" t="s">
        <v>9184</v>
      </c>
      <c r="K59" s="59" t="s">
        <v>9117</v>
      </c>
      <c r="L59" s="59" t="s">
        <v>8940</v>
      </c>
      <c r="M59" s="66">
        <v>5</v>
      </c>
    </row>
    <row r="60" spans="1:13">
      <c r="A60" s="535"/>
      <c r="B60" s="85" t="s">
        <v>9185</v>
      </c>
      <c r="C60" s="39" t="s">
        <v>8929</v>
      </c>
      <c r="D60" s="31" t="str">
        <f t="shared" si="1"/>
        <v>Outubro</v>
      </c>
      <c r="E60" s="66">
        <v>28332158869</v>
      </c>
      <c r="F60" s="59">
        <v>28450440</v>
      </c>
      <c r="G60" s="60">
        <v>28815</v>
      </c>
      <c r="H60" s="59" t="s">
        <v>9186</v>
      </c>
      <c r="I60" s="59"/>
      <c r="J60" s="59" t="s">
        <v>9187</v>
      </c>
      <c r="K60" s="59" t="s">
        <v>7869</v>
      </c>
      <c r="L60" s="59" t="s">
        <v>9188</v>
      </c>
      <c r="M60" s="66"/>
    </row>
    <row r="61" spans="1:13">
      <c r="A61" s="535"/>
      <c r="B61" s="85" t="s">
        <v>9189</v>
      </c>
      <c r="C61" s="31" t="s">
        <v>8929</v>
      </c>
      <c r="D61" s="31" t="str">
        <f t="shared" si="1"/>
        <v>Outubro</v>
      </c>
      <c r="E61" s="66" t="s">
        <v>9190</v>
      </c>
      <c r="F61" s="59"/>
      <c r="G61" s="60">
        <v>28632</v>
      </c>
      <c r="H61" s="59">
        <v>3534452091</v>
      </c>
      <c r="I61" s="63" t="s">
        <v>9191</v>
      </c>
      <c r="J61" s="59" t="s">
        <v>9192</v>
      </c>
      <c r="K61" s="59" t="s">
        <v>9117</v>
      </c>
      <c r="L61" s="59" t="s">
        <v>9034</v>
      </c>
      <c r="M61" s="66">
        <v>5</v>
      </c>
    </row>
    <row r="62" spans="1:13">
      <c r="A62" s="535"/>
      <c r="B62" s="85" t="s">
        <v>4030</v>
      </c>
      <c r="C62" s="31" t="s">
        <v>8929</v>
      </c>
      <c r="D62" s="31" t="str">
        <f t="shared" si="1"/>
        <v>Outubro</v>
      </c>
      <c r="E62" s="66">
        <v>88295656600</v>
      </c>
      <c r="F62" s="59" t="s">
        <v>9193</v>
      </c>
      <c r="G62" s="60">
        <v>25027</v>
      </c>
      <c r="H62" s="59" t="s">
        <v>9194</v>
      </c>
      <c r="I62" s="63" t="s">
        <v>9195</v>
      </c>
      <c r="J62" s="59" t="s">
        <v>9196</v>
      </c>
      <c r="K62" s="59" t="s">
        <v>9197</v>
      </c>
      <c r="L62" s="59" t="s">
        <v>8940</v>
      </c>
      <c r="M62" s="66">
        <v>10</v>
      </c>
    </row>
    <row r="63" spans="1:13">
      <c r="A63" s="535"/>
      <c r="B63" s="85" t="s">
        <v>9198</v>
      </c>
      <c r="C63" s="31" t="s">
        <v>8929</v>
      </c>
      <c r="D63" s="31" t="str">
        <f t="shared" si="1"/>
        <v>Outubro</v>
      </c>
      <c r="E63" s="66" t="s">
        <v>8975</v>
      </c>
      <c r="F63" s="59">
        <v>12423784</v>
      </c>
      <c r="G63" s="60">
        <v>30896</v>
      </c>
      <c r="H63" s="59" t="s">
        <v>8976</v>
      </c>
      <c r="I63" s="63" t="s">
        <v>8977</v>
      </c>
      <c r="J63" s="59" t="s">
        <v>9199</v>
      </c>
      <c r="K63" s="59" t="s">
        <v>558</v>
      </c>
      <c r="L63" s="59" t="s">
        <v>9200</v>
      </c>
      <c r="M63" s="66"/>
    </row>
    <row r="64" spans="1:13">
      <c r="A64" s="535"/>
      <c r="B64" s="85" t="s">
        <v>9201</v>
      </c>
      <c r="C64" s="31" t="s">
        <v>8929</v>
      </c>
      <c r="D64" s="31" t="str">
        <f t="shared" si="1"/>
        <v>Outubro</v>
      </c>
      <c r="E64" s="66" t="s">
        <v>8975</v>
      </c>
      <c r="F64" s="59">
        <v>12423784</v>
      </c>
      <c r="G64" s="60">
        <v>30896</v>
      </c>
      <c r="H64" s="59" t="s">
        <v>8976</v>
      </c>
      <c r="I64" s="63" t="s">
        <v>8977</v>
      </c>
      <c r="J64" s="59" t="s">
        <v>9202</v>
      </c>
      <c r="K64" s="59" t="s">
        <v>9203</v>
      </c>
      <c r="L64" s="59" t="s">
        <v>8935</v>
      </c>
      <c r="M64" s="66"/>
    </row>
    <row r="65" spans="1:13">
      <c r="A65" s="535"/>
      <c r="B65" s="85" t="s">
        <v>9204</v>
      </c>
      <c r="C65" s="31" t="s">
        <v>8929</v>
      </c>
      <c r="D65" s="31" t="str">
        <f t="shared" si="1"/>
        <v>Outubro</v>
      </c>
      <c r="E65" s="66" t="s">
        <v>9205</v>
      </c>
      <c r="F65" s="59" t="s">
        <v>9206</v>
      </c>
      <c r="G65" s="60">
        <v>27020</v>
      </c>
      <c r="H65" s="59" t="s">
        <v>9207</v>
      </c>
      <c r="I65" s="63" t="s">
        <v>9208</v>
      </c>
      <c r="J65" s="59" t="s">
        <v>9209</v>
      </c>
      <c r="K65" s="59" t="s">
        <v>9210</v>
      </c>
      <c r="L65" s="59"/>
      <c r="M65" s="66"/>
    </row>
    <row r="66" spans="1:13">
      <c r="A66" s="535"/>
      <c r="B66" s="85" t="s">
        <v>4008</v>
      </c>
      <c r="C66" s="31" t="s">
        <v>8929</v>
      </c>
      <c r="D66" s="31" t="str">
        <f t="shared" si="1"/>
        <v>Outubro</v>
      </c>
      <c r="E66" s="66">
        <v>87862115872</v>
      </c>
      <c r="F66" s="59">
        <v>6111125</v>
      </c>
      <c r="G66" s="60">
        <v>17316</v>
      </c>
      <c r="H66" s="59" t="s">
        <v>9211</v>
      </c>
      <c r="I66" s="59"/>
      <c r="J66" s="59" t="s">
        <v>9212</v>
      </c>
      <c r="K66" s="59" t="s">
        <v>9213</v>
      </c>
      <c r="L66" s="59" t="s">
        <v>8935</v>
      </c>
      <c r="M66" s="66">
        <v>25</v>
      </c>
    </row>
    <row r="67" spans="1:13">
      <c r="A67" s="535"/>
      <c r="B67" s="85" t="s">
        <v>9214</v>
      </c>
      <c r="C67" s="31" t="s">
        <v>8929</v>
      </c>
      <c r="D67" s="31" t="str">
        <f t="shared" si="1"/>
        <v>Outubro</v>
      </c>
      <c r="E67" s="66" t="s">
        <v>9215</v>
      </c>
      <c r="F67" s="59" t="s">
        <v>9216</v>
      </c>
      <c r="G67" s="60">
        <v>35108</v>
      </c>
      <c r="H67" s="59" t="s">
        <v>9217</v>
      </c>
      <c r="I67" s="63" t="s">
        <v>9218</v>
      </c>
      <c r="J67" s="59" t="s">
        <v>9219</v>
      </c>
      <c r="K67" s="59" t="s">
        <v>7765</v>
      </c>
      <c r="L67" s="59" t="s">
        <v>8935</v>
      </c>
      <c r="M67" s="66">
        <v>5</v>
      </c>
    </row>
    <row r="68" spans="1:13">
      <c r="A68" s="535"/>
      <c r="B68" s="85" t="s">
        <v>4024</v>
      </c>
      <c r="C68" s="31" t="s">
        <v>8929</v>
      </c>
      <c r="D68" s="31" t="str">
        <f t="shared" si="1"/>
        <v>Outubro</v>
      </c>
      <c r="E68" s="66" t="s">
        <v>9220</v>
      </c>
      <c r="F68" s="59" t="s">
        <v>9221</v>
      </c>
      <c r="G68" s="60">
        <v>27186</v>
      </c>
      <c r="H68" s="59" t="s">
        <v>9222</v>
      </c>
      <c r="I68" s="59" t="s">
        <v>9223</v>
      </c>
      <c r="J68" s="59" t="s">
        <v>9224</v>
      </c>
      <c r="K68" s="59" t="s">
        <v>7853</v>
      </c>
      <c r="L68" s="59" t="s">
        <v>8935</v>
      </c>
      <c r="M68" s="66">
        <v>10</v>
      </c>
    </row>
    <row r="69" spans="1:13">
      <c r="A69" s="535"/>
      <c r="B69" s="85" t="s">
        <v>9225</v>
      </c>
      <c r="C69" s="31" t="s">
        <v>8929</v>
      </c>
      <c r="D69" s="31" t="str">
        <f t="shared" si="1"/>
        <v>Outubro</v>
      </c>
      <c r="E69" s="66" t="s">
        <v>9226</v>
      </c>
      <c r="F69" s="59"/>
      <c r="G69" s="60"/>
      <c r="H69" s="59" t="s">
        <v>9227</v>
      </c>
      <c r="I69" s="63" t="s">
        <v>9228</v>
      </c>
      <c r="J69" s="59" t="s">
        <v>9229</v>
      </c>
      <c r="K69" s="59" t="s">
        <v>558</v>
      </c>
      <c r="L69" s="59" t="s">
        <v>9034</v>
      </c>
      <c r="M69" s="66">
        <v>15</v>
      </c>
    </row>
    <row r="70" spans="1:13">
      <c r="A70" s="535"/>
      <c r="B70" s="85" t="s">
        <v>2769</v>
      </c>
      <c r="C70" s="31" t="s">
        <v>8929</v>
      </c>
      <c r="D70" s="31" t="str">
        <f t="shared" si="1"/>
        <v>Outubro</v>
      </c>
      <c r="E70" s="66" t="s">
        <v>9230</v>
      </c>
      <c r="F70" s="62">
        <v>22347197</v>
      </c>
      <c r="G70" s="60">
        <v>36931</v>
      </c>
      <c r="H70" s="59" t="s">
        <v>9231</v>
      </c>
      <c r="I70" s="63" t="s">
        <v>9232</v>
      </c>
      <c r="J70" s="59" t="s">
        <v>9233</v>
      </c>
      <c r="K70" s="59" t="s">
        <v>9234</v>
      </c>
      <c r="L70" s="59" t="s">
        <v>8940</v>
      </c>
      <c r="M70" s="66">
        <v>5</v>
      </c>
    </row>
    <row r="71" spans="1:13">
      <c r="A71" s="535"/>
      <c r="B71" s="176" t="s">
        <v>8910</v>
      </c>
      <c r="C71" s="17"/>
      <c r="D71" s="17"/>
      <c r="E71" s="22"/>
      <c r="F71" s="22"/>
      <c r="G71" s="22"/>
      <c r="H71" s="22"/>
      <c r="I71" s="22"/>
      <c r="J71" s="22"/>
      <c r="K71" s="22"/>
      <c r="L71" s="22"/>
      <c r="M71" s="22"/>
    </row>
    <row r="72" spans="1:13">
      <c r="A72" s="535"/>
      <c r="B72" s="85" t="s">
        <v>4023</v>
      </c>
      <c r="C72" s="31" t="s">
        <v>8929</v>
      </c>
      <c r="D72" s="31" t="str">
        <f>$B$71</f>
        <v>Novembro</v>
      </c>
      <c r="E72" s="66">
        <v>4989983807</v>
      </c>
      <c r="F72" s="62">
        <v>9173563</v>
      </c>
      <c r="G72" s="60">
        <v>22784</v>
      </c>
      <c r="H72" s="59" t="s">
        <v>9235</v>
      </c>
      <c r="I72" s="61" t="s">
        <v>9236</v>
      </c>
      <c r="J72" s="59" t="s">
        <v>9237</v>
      </c>
      <c r="K72" s="59" t="s">
        <v>9117</v>
      </c>
      <c r="L72" s="59" t="s">
        <v>8940</v>
      </c>
      <c r="M72" s="59">
        <v>0</v>
      </c>
    </row>
    <row r="73" spans="1:13">
      <c r="A73" s="535"/>
      <c r="B73" s="85" t="s">
        <v>4022</v>
      </c>
      <c r="C73" s="31" t="s">
        <v>8929</v>
      </c>
      <c r="D73" s="31" t="str">
        <f t="shared" ref="D73:D107" si="2">$B$71</f>
        <v>Novembro</v>
      </c>
      <c r="E73" s="66" t="s">
        <v>9238</v>
      </c>
      <c r="F73" s="62" t="s">
        <v>9239</v>
      </c>
      <c r="G73" s="60">
        <v>30654</v>
      </c>
      <c r="H73" s="59" t="s">
        <v>9240</v>
      </c>
      <c r="I73" s="61" t="s">
        <v>9241</v>
      </c>
      <c r="J73" s="59" t="s">
        <v>9242</v>
      </c>
      <c r="K73" s="59" t="s">
        <v>7817</v>
      </c>
      <c r="L73" s="59" t="s">
        <v>8935</v>
      </c>
      <c r="M73" s="59">
        <v>5</v>
      </c>
    </row>
    <row r="74" spans="1:13">
      <c r="A74" s="535"/>
      <c r="B74" s="85" t="s">
        <v>4022</v>
      </c>
      <c r="C74" s="31" t="s">
        <v>8929</v>
      </c>
      <c r="D74" s="31" t="str">
        <f t="shared" si="2"/>
        <v>Novembro</v>
      </c>
      <c r="E74" s="66" t="s">
        <v>9238</v>
      </c>
      <c r="F74" s="62" t="s">
        <v>9239</v>
      </c>
      <c r="G74" s="60">
        <v>30654</v>
      </c>
      <c r="H74" s="59" t="s">
        <v>9240</v>
      </c>
      <c r="I74" s="61" t="s">
        <v>9241</v>
      </c>
      <c r="J74" s="59" t="s">
        <v>9243</v>
      </c>
      <c r="K74" s="59" t="s">
        <v>7762</v>
      </c>
      <c r="L74" s="59" t="s">
        <v>8935</v>
      </c>
      <c r="M74" s="59">
        <v>5</v>
      </c>
    </row>
    <row r="75" spans="1:13">
      <c r="A75" s="535"/>
      <c r="B75" s="85" t="s">
        <v>4022</v>
      </c>
      <c r="C75" s="31" t="s">
        <v>8929</v>
      </c>
      <c r="D75" s="31" t="str">
        <f t="shared" si="2"/>
        <v>Novembro</v>
      </c>
      <c r="E75" s="66" t="s">
        <v>9238</v>
      </c>
      <c r="F75" s="62" t="s">
        <v>9239</v>
      </c>
      <c r="G75" s="60">
        <v>30654</v>
      </c>
      <c r="H75" s="59" t="s">
        <v>9240</v>
      </c>
      <c r="I75" s="61" t="s">
        <v>9241</v>
      </c>
      <c r="J75" s="59" t="s">
        <v>9244</v>
      </c>
      <c r="K75" s="59" t="s">
        <v>558</v>
      </c>
      <c r="L75" s="59" t="s">
        <v>8935</v>
      </c>
      <c r="M75" s="59">
        <v>5</v>
      </c>
    </row>
    <row r="76" spans="1:13">
      <c r="A76" s="535"/>
      <c r="B76" s="85" t="s">
        <v>9245</v>
      </c>
      <c r="C76" s="31" t="s">
        <v>8929</v>
      </c>
      <c r="D76" s="31" t="str">
        <f t="shared" si="2"/>
        <v>Novembro</v>
      </c>
      <c r="E76" s="66" t="s">
        <v>9246</v>
      </c>
      <c r="F76" s="62">
        <v>16308633</v>
      </c>
      <c r="G76" s="60">
        <v>32496</v>
      </c>
      <c r="H76" s="59" t="s">
        <v>9247</v>
      </c>
      <c r="I76" s="61" t="s">
        <v>9248</v>
      </c>
      <c r="J76" s="59" t="s">
        <v>9249</v>
      </c>
      <c r="K76" s="59" t="s">
        <v>7784</v>
      </c>
      <c r="L76" s="59" t="s">
        <v>9171</v>
      </c>
      <c r="M76" s="59">
        <v>20</v>
      </c>
    </row>
    <row r="77" spans="1:13">
      <c r="A77" s="535"/>
      <c r="B77" s="85" t="s">
        <v>2883</v>
      </c>
      <c r="C77" s="31" t="s">
        <v>8929</v>
      </c>
      <c r="D77" s="31" t="str">
        <f t="shared" si="2"/>
        <v>Novembro</v>
      </c>
      <c r="E77" s="66">
        <v>58662863604</v>
      </c>
      <c r="F77" s="62" t="s">
        <v>9250</v>
      </c>
      <c r="G77" s="60">
        <v>24059</v>
      </c>
      <c r="H77" s="59">
        <v>35998843414</v>
      </c>
      <c r="I77" s="61" t="s">
        <v>9251</v>
      </c>
      <c r="J77" s="59" t="s">
        <v>9252</v>
      </c>
      <c r="K77" s="59" t="s">
        <v>9253</v>
      </c>
      <c r="L77" s="59" t="s">
        <v>8940</v>
      </c>
      <c r="M77" s="59">
        <v>15</v>
      </c>
    </row>
    <row r="78" spans="1:13">
      <c r="A78" s="535"/>
      <c r="B78" s="85" t="s">
        <v>9254</v>
      </c>
      <c r="C78" s="31" t="s">
        <v>8929</v>
      </c>
      <c r="D78" s="31" t="str">
        <f t="shared" si="2"/>
        <v>Novembro</v>
      </c>
      <c r="E78" s="66">
        <v>12104613663</v>
      </c>
      <c r="F78" s="59">
        <v>14525667</v>
      </c>
      <c r="G78" s="60">
        <v>33574</v>
      </c>
      <c r="H78" s="59">
        <v>35998295874</v>
      </c>
      <c r="I78" s="59" t="s">
        <v>9255</v>
      </c>
      <c r="J78" s="59" t="s">
        <v>9256</v>
      </c>
      <c r="K78" s="59" t="s">
        <v>558</v>
      </c>
      <c r="L78" s="59" t="s">
        <v>8940</v>
      </c>
      <c r="M78" s="59">
        <v>20</v>
      </c>
    </row>
    <row r="79" spans="1:13">
      <c r="A79" s="535"/>
      <c r="B79" s="85" t="s">
        <v>9257</v>
      </c>
      <c r="C79" s="31" t="s">
        <v>8929</v>
      </c>
      <c r="D79" s="31" t="str">
        <f t="shared" si="2"/>
        <v>Novembro</v>
      </c>
      <c r="E79" s="66">
        <v>26478858855</v>
      </c>
      <c r="F79" s="62" t="s">
        <v>9258</v>
      </c>
      <c r="G79" s="60">
        <v>28130</v>
      </c>
      <c r="H79" s="59" t="s">
        <v>9259</v>
      </c>
      <c r="I79" s="61" t="s">
        <v>9260</v>
      </c>
      <c r="J79" s="59" t="s">
        <v>9261</v>
      </c>
      <c r="K79" s="59" t="s">
        <v>9117</v>
      </c>
      <c r="L79" s="59" t="s">
        <v>8935</v>
      </c>
      <c r="M79" s="59">
        <v>5</v>
      </c>
    </row>
    <row r="80" spans="1:13">
      <c r="A80" s="535"/>
      <c r="B80" s="85" t="s">
        <v>9262</v>
      </c>
      <c r="C80" s="31" t="s">
        <v>8929</v>
      </c>
      <c r="D80" s="31" t="str">
        <f t="shared" si="2"/>
        <v>Novembro</v>
      </c>
      <c r="E80" s="66">
        <v>85460443687</v>
      </c>
      <c r="F80" s="62" t="s">
        <v>9263</v>
      </c>
      <c r="G80" s="60">
        <v>26898</v>
      </c>
      <c r="H80" s="59">
        <v>35997519530</v>
      </c>
      <c r="I80" s="61" t="s">
        <v>9264</v>
      </c>
      <c r="J80" s="59" t="s">
        <v>9265</v>
      </c>
      <c r="K80" s="59" t="s">
        <v>7750</v>
      </c>
      <c r="L80" s="59" t="s">
        <v>8935</v>
      </c>
      <c r="M80" s="59">
        <v>20</v>
      </c>
    </row>
    <row r="81" spans="1:13">
      <c r="A81" s="535"/>
      <c r="B81" s="85" t="s">
        <v>3988</v>
      </c>
      <c r="C81" s="31" t="s">
        <v>8929</v>
      </c>
      <c r="D81" s="31" t="str">
        <f t="shared" si="2"/>
        <v>Novembro</v>
      </c>
      <c r="E81" s="64" t="s">
        <v>9029</v>
      </c>
      <c r="F81" s="42" t="s">
        <v>9030</v>
      </c>
      <c r="G81" s="67">
        <v>26227</v>
      </c>
      <c r="H81" s="42" t="s">
        <v>9031</v>
      </c>
      <c r="I81" s="68" t="s">
        <v>9032</v>
      </c>
      <c r="J81" s="42"/>
      <c r="K81" s="42" t="s">
        <v>9117</v>
      </c>
      <c r="L81" s="42" t="s">
        <v>9034</v>
      </c>
      <c r="M81" s="42">
        <v>11</v>
      </c>
    </row>
    <row r="82" spans="1:13">
      <c r="A82" s="535"/>
      <c r="B82" s="85" t="s">
        <v>3987</v>
      </c>
      <c r="C82" s="31" t="s">
        <v>8929</v>
      </c>
      <c r="D82" s="31" t="str">
        <f t="shared" si="2"/>
        <v>Novembro</v>
      </c>
      <c r="E82" s="66" t="s">
        <v>9266</v>
      </c>
      <c r="F82" s="62" t="s">
        <v>9267</v>
      </c>
      <c r="G82" s="60">
        <v>31494</v>
      </c>
      <c r="H82" s="59" t="s">
        <v>9268</v>
      </c>
      <c r="I82" s="61" t="s">
        <v>9269</v>
      </c>
      <c r="J82" s="59" t="s">
        <v>9270</v>
      </c>
      <c r="K82" s="59" t="s">
        <v>558</v>
      </c>
      <c r="L82" s="59" t="s">
        <v>9271</v>
      </c>
      <c r="M82" s="59">
        <v>15</v>
      </c>
    </row>
    <row r="83" spans="1:13">
      <c r="A83" s="535"/>
      <c r="B83" s="85" t="s">
        <v>2881</v>
      </c>
      <c r="C83" s="31" t="s">
        <v>8929</v>
      </c>
      <c r="D83" s="31" t="str">
        <f t="shared" si="2"/>
        <v>Novembro</v>
      </c>
      <c r="E83" s="66">
        <v>11697823610</v>
      </c>
      <c r="F83" s="62" t="s">
        <v>9272</v>
      </c>
      <c r="G83" s="60">
        <v>36231</v>
      </c>
      <c r="H83" s="59" t="s">
        <v>9273</v>
      </c>
      <c r="I83" s="61" t="s">
        <v>9274</v>
      </c>
      <c r="J83" s="59" t="s">
        <v>9275</v>
      </c>
      <c r="K83" s="59" t="s">
        <v>9045</v>
      </c>
      <c r="L83" s="59" t="s">
        <v>9188</v>
      </c>
      <c r="M83" s="59">
        <v>15</v>
      </c>
    </row>
    <row r="84" spans="1:13">
      <c r="A84" s="535" t="s">
        <v>9276</v>
      </c>
      <c r="B84" s="85" t="s">
        <v>9277</v>
      </c>
      <c r="C84" s="31" t="s">
        <v>8929</v>
      </c>
      <c r="D84" s="31" t="str">
        <f t="shared" si="2"/>
        <v>Novembro</v>
      </c>
      <c r="E84" s="66" t="s">
        <v>9278</v>
      </c>
      <c r="F84" s="62" t="s">
        <v>9279</v>
      </c>
      <c r="G84" s="60">
        <v>29556</v>
      </c>
      <c r="H84" s="59" t="s">
        <v>9280</v>
      </c>
      <c r="I84" s="61"/>
      <c r="J84" s="59" t="s">
        <v>9281</v>
      </c>
      <c r="K84" s="59" t="s">
        <v>7765</v>
      </c>
      <c r="L84" s="59" t="s">
        <v>8935</v>
      </c>
      <c r="M84" s="59">
        <v>5</v>
      </c>
    </row>
    <row r="85" spans="1:13">
      <c r="A85" s="535"/>
      <c r="B85" s="85" t="s">
        <v>3975</v>
      </c>
      <c r="C85" s="31" t="s">
        <v>8929</v>
      </c>
      <c r="D85" s="31" t="str">
        <f t="shared" si="2"/>
        <v>Novembro</v>
      </c>
      <c r="E85" s="66">
        <v>6848967610</v>
      </c>
      <c r="F85" s="62" t="s">
        <v>9282</v>
      </c>
      <c r="G85" s="60">
        <v>31164</v>
      </c>
      <c r="H85" s="59" t="s">
        <v>9283</v>
      </c>
      <c r="I85" s="61"/>
      <c r="J85" s="59" t="s">
        <v>9284</v>
      </c>
      <c r="K85" s="59" t="s">
        <v>8578</v>
      </c>
      <c r="L85" s="59" t="s">
        <v>9200</v>
      </c>
      <c r="M85" s="59">
        <v>15</v>
      </c>
    </row>
    <row r="86" spans="1:13">
      <c r="A86" s="535"/>
      <c r="B86" s="85" t="s">
        <v>3977</v>
      </c>
      <c r="C86" s="31" t="s">
        <v>8929</v>
      </c>
      <c r="D86" s="31" t="str">
        <f t="shared" si="2"/>
        <v>Novembro</v>
      </c>
      <c r="E86" s="66" t="s">
        <v>9285</v>
      </c>
      <c r="F86" s="62" t="s">
        <v>9286</v>
      </c>
      <c r="G86" s="60">
        <v>26075</v>
      </c>
      <c r="H86" s="59" t="s">
        <v>9287</v>
      </c>
      <c r="I86" s="61" t="s">
        <v>9288</v>
      </c>
      <c r="J86" s="59" t="s">
        <v>9289</v>
      </c>
      <c r="K86" s="59" t="s">
        <v>9203</v>
      </c>
      <c r="L86" s="59" t="s">
        <v>9290</v>
      </c>
      <c r="M86" s="59">
        <v>20</v>
      </c>
    </row>
    <row r="87" spans="1:13">
      <c r="A87" s="535"/>
      <c r="B87" s="85" t="s">
        <v>9291</v>
      </c>
      <c r="C87" s="31" t="s">
        <v>8929</v>
      </c>
      <c r="D87" s="31" t="str">
        <f t="shared" si="2"/>
        <v>Novembro</v>
      </c>
      <c r="E87" s="66">
        <v>7895872621</v>
      </c>
      <c r="F87" s="62">
        <v>21817311</v>
      </c>
      <c r="G87" s="60">
        <v>33686</v>
      </c>
      <c r="H87" s="59" t="s">
        <v>9292</v>
      </c>
      <c r="I87" s="61"/>
      <c r="J87" s="59" t="s">
        <v>9293</v>
      </c>
      <c r="K87" s="59" t="s">
        <v>9117</v>
      </c>
      <c r="L87" s="59" t="s">
        <v>9294</v>
      </c>
      <c r="M87" s="59">
        <v>25</v>
      </c>
    </row>
    <row r="88" spans="1:13">
      <c r="A88" s="535"/>
      <c r="B88" s="85" t="s">
        <v>3008</v>
      </c>
      <c r="C88" s="31" t="s">
        <v>8929</v>
      </c>
      <c r="D88" s="31" t="str">
        <f t="shared" si="2"/>
        <v>Novembro</v>
      </c>
      <c r="E88" s="66">
        <v>70671213610</v>
      </c>
      <c r="F88" s="62" t="s">
        <v>9295</v>
      </c>
      <c r="G88" s="60">
        <v>30426</v>
      </c>
      <c r="H88" s="59" t="s">
        <v>9296</v>
      </c>
      <c r="I88" s="61"/>
      <c r="J88" s="59" t="s">
        <v>9297</v>
      </c>
      <c r="K88" s="59" t="s">
        <v>1225</v>
      </c>
      <c r="L88" s="59" t="s">
        <v>9034</v>
      </c>
      <c r="M88" s="59">
        <v>10</v>
      </c>
    </row>
    <row r="89" spans="1:13">
      <c r="A89" s="535"/>
      <c r="B89" s="85" t="s">
        <v>9298</v>
      </c>
      <c r="C89" s="31" t="s">
        <v>8929</v>
      </c>
      <c r="D89" s="31" t="str">
        <f t="shared" si="2"/>
        <v>Novembro</v>
      </c>
      <c r="E89" s="66" t="s">
        <v>9299</v>
      </c>
      <c r="F89" s="62" t="s">
        <v>9300</v>
      </c>
      <c r="G89" s="60">
        <v>29757</v>
      </c>
      <c r="H89" s="59" t="s">
        <v>9301</v>
      </c>
      <c r="I89" s="61" t="s">
        <v>9302</v>
      </c>
      <c r="J89" s="59" t="s">
        <v>9303</v>
      </c>
      <c r="K89" s="59" t="s">
        <v>7869</v>
      </c>
      <c r="L89" s="59" t="s">
        <v>9290</v>
      </c>
      <c r="M89" s="59">
        <v>20</v>
      </c>
    </row>
    <row r="90" spans="1:13">
      <c r="A90" s="535"/>
      <c r="B90" s="85" t="s">
        <v>3968</v>
      </c>
      <c r="C90" s="31" t="s">
        <v>8929</v>
      </c>
      <c r="D90" s="31" t="str">
        <f t="shared" si="2"/>
        <v>Novembro</v>
      </c>
      <c r="E90" s="66">
        <v>37955841889</v>
      </c>
      <c r="F90" s="62" t="s">
        <v>9304</v>
      </c>
      <c r="G90" s="60" t="s">
        <v>9305</v>
      </c>
      <c r="H90" s="59" t="s">
        <v>9306</v>
      </c>
      <c r="I90" s="61" t="s">
        <v>9307</v>
      </c>
      <c r="J90" s="59" t="s">
        <v>9308</v>
      </c>
      <c r="K90" s="59" t="s">
        <v>9117</v>
      </c>
      <c r="L90" s="59" t="s">
        <v>8935</v>
      </c>
      <c r="M90" s="59">
        <v>10</v>
      </c>
    </row>
    <row r="91" spans="1:13">
      <c r="A91" s="535"/>
      <c r="B91" s="85" t="s">
        <v>4106</v>
      </c>
      <c r="C91" s="31" t="s">
        <v>8929</v>
      </c>
      <c r="D91" s="31" t="str">
        <f t="shared" si="2"/>
        <v>Novembro</v>
      </c>
      <c r="E91" s="66">
        <v>28381711860</v>
      </c>
      <c r="F91" s="62" t="s">
        <v>9309</v>
      </c>
      <c r="G91" s="60">
        <v>26618</v>
      </c>
      <c r="H91" s="59" t="s">
        <v>9310</v>
      </c>
      <c r="I91" s="61"/>
      <c r="J91" s="59" t="s">
        <v>9311</v>
      </c>
      <c r="K91" s="59" t="s">
        <v>9117</v>
      </c>
      <c r="L91" s="59" t="s">
        <v>8935</v>
      </c>
      <c r="M91" s="59">
        <v>30</v>
      </c>
    </row>
    <row r="92" spans="1:13">
      <c r="A92" s="535"/>
      <c r="B92" s="85" t="s">
        <v>9312</v>
      </c>
      <c r="C92" s="31" t="s">
        <v>8929</v>
      </c>
      <c r="D92" s="31" t="str">
        <f t="shared" si="2"/>
        <v>Novembro</v>
      </c>
      <c r="E92" s="66" t="s">
        <v>9313</v>
      </c>
      <c r="F92" s="62" t="s">
        <v>9314</v>
      </c>
      <c r="G92" s="60"/>
      <c r="H92" s="59">
        <v>35998302193</v>
      </c>
      <c r="I92" s="61"/>
      <c r="J92" s="59" t="s">
        <v>9315</v>
      </c>
      <c r="K92" s="59" t="s">
        <v>7750</v>
      </c>
      <c r="L92" s="59" t="s">
        <v>8935</v>
      </c>
      <c r="M92" s="59">
        <v>20</v>
      </c>
    </row>
    <row r="93" spans="1:13">
      <c r="A93" s="535"/>
      <c r="B93" s="85" t="s">
        <v>4108</v>
      </c>
      <c r="C93" s="31" t="s">
        <v>8929</v>
      </c>
      <c r="D93" s="31" t="str">
        <f t="shared" si="2"/>
        <v>Novembro</v>
      </c>
      <c r="E93" s="66" t="s">
        <v>9316</v>
      </c>
      <c r="F93" s="62">
        <v>65074486</v>
      </c>
      <c r="G93" s="60">
        <v>25604</v>
      </c>
      <c r="H93" s="59" t="s">
        <v>9317</v>
      </c>
      <c r="I93" s="61"/>
      <c r="J93" s="59" t="s">
        <v>9318</v>
      </c>
      <c r="K93" s="59" t="s">
        <v>1225</v>
      </c>
      <c r="L93" s="59" t="s">
        <v>9319</v>
      </c>
      <c r="M93" s="59">
        <v>25</v>
      </c>
    </row>
    <row r="94" spans="1:13">
      <c r="A94" s="535" t="s">
        <v>9276</v>
      </c>
      <c r="B94" s="85" t="s">
        <v>9320</v>
      </c>
      <c r="C94" s="31" t="s">
        <v>8929</v>
      </c>
      <c r="D94" s="31" t="str">
        <f t="shared" si="2"/>
        <v>Novembro</v>
      </c>
      <c r="E94" s="66">
        <v>44130856634</v>
      </c>
      <c r="F94" s="62" t="s">
        <v>9321</v>
      </c>
      <c r="G94" s="60">
        <v>23877</v>
      </c>
      <c r="H94" s="59">
        <v>35999517001</v>
      </c>
      <c r="I94" s="61"/>
      <c r="J94" s="59" t="s">
        <v>9322</v>
      </c>
      <c r="K94" s="59" t="s">
        <v>7853</v>
      </c>
      <c r="L94" s="59" t="s">
        <v>8935</v>
      </c>
      <c r="M94" s="59">
        <v>20</v>
      </c>
    </row>
    <row r="95" spans="1:13">
      <c r="A95" s="535"/>
      <c r="B95" s="85" t="s">
        <v>3956</v>
      </c>
      <c r="C95" s="31" t="s">
        <v>8929</v>
      </c>
      <c r="D95" s="31" t="str">
        <f t="shared" si="2"/>
        <v>Novembro</v>
      </c>
      <c r="E95" s="66">
        <v>5884782616</v>
      </c>
      <c r="F95" s="59" t="s">
        <v>9323</v>
      </c>
      <c r="G95" s="60">
        <v>30218</v>
      </c>
      <c r="H95" s="59">
        <v>35998688651</v>
      </c>
      <c r="I95" s="59"/>
      <c r="J95" s="59" t="s">
        <v>9324</v>
      </c>
      <c r="K95" s="59" t="s">
        <v>8345</v>
      </c>
      <c r="L95" s="59" t="s">
        <v>8935</v>
      </c>
      <c r="M95" s="59">
        <v>20</v>
      </c>
    </row>
    <row r="96" spans="1:13">
      <c r="A96" s="535"/>
      <c r="B96" s="85" t="s">
        <v>9325</v>
      </c>
      <c r="C96" s="31" t="s">
        <v>8929</v>
      </c>
      <c r="D96" s="31" t="str">
        <f t="shared" si="2"/>
        <v>Novembro</v>
      </c>
      <c r="E96" s="66">
        <v>5977031670</v>
      </c>
      <c r="F96" s="59" t="s">
        <v>9326</v>
      </c>
      <c r="G96" s="60">
        <v>34228</v>
      </c>
      <c r="H96" s="59">
        <v>35998689075</v>
      </c>
      <c r="I96" s="61" t="s">
        <v>9327</v>
      </c>
      <c r="J96" s="59" t="s">
        <v>9328</v>
      </c>
      <c r="K96" s="59" t="s">
        <v>9117</v>
      </c>
      <c r="L96" s="59" t="s">
        <v>8940</v>
      </c>
      <c r="M96" s="59">
        <v>10</v>
      </c>
    </row>
    <row r="97" spans="1:13">
      <c r="A97" s="535"/>
      <c r="B97" s="85" t="s">
        <v>3927</v>
      </c>
      <c r="C97" s="31" t="s">
        <v>8929</v>
      </c>
      <c r="D97" s="31" t="str">
        <f t="shared" si="2"/>
        <v>Novembro</v>
      </c>
      <c r="E97" s="66" t="s">
        <v>9329</v>
      </c>
      <c r="F97" s="59" t="s">
        <v>9330</v>
      </c>
      <c r="G97" s="60">
        <v>29724</v>
      </c>
      <c r="H97" s="59" t="s">
        <v>9331</v>
      </c>
      <c r="I97" s="61" t="s">
        <v>9332</v>
      </c>
      <c r="J97" s="59" t="s">
        <v>9333</v>
      </c>
      <c r="K97" s="59" t="s">
        <v>558</v>
      </c>
      <c r="L97" s="59" t="s">
        <v>8940</v>
      </c>
      <c r="M97" s="59">
        <v>20</v>
      </c>
    </row>
    <row r="98" spans="1:13">
      <c r="A98" s="535"/>
      <c r="B98" s="85" t="s">
        <v>4110</v>
      </c>
      <c r="C98" s="31" t="s">
        <v>8929</v>
      </c>
      <c r="D98" s="31" t="str">
        <f>$B$71</f>
        <v>Novembro</v>
      </c>
      <c r="E98" s="66" t="s">
        <v>9334</v>
      </c>
      <c r="F98" s="59">
        <v>237709144</v>
      </c>
      <c r="G98" s="60">
        <v>26318</v>
      </c>
      <c r="H98" s="59" t="s">
        <v>9335</v>
      </c>
      <c r="I98" s="59" t="s">
        <v>9336</v>
      </c>
      <c r="J98" s="59" t="s">
        <v>9337</v>
      </c>
      <c r="K98" s="59" t="s">
        <v>7750</v>
      </c>
      <c r="L98" s="59" t="s">
        <v>9319</v>
      </c>
      <c r="M98" s="59">
        <v>30</v>
      </c>
    </row>
    <row r="99" spans="1:13">
      <c r="A99" s="535"/>
      <c r="B99" s="85" t="s">
        <v>9338</v>
      </c>
      <c r="C99" s="31" t="s">
        <v>8929</v>
      </c>
      <c r="D99" s="31" t="str">
        <f t="shared" si="2"/>
        <v>Novembro</v>
      </c>
      <c r="E99" s="66">
        <v>9390492874</v>
      </c>
      <c r="F99" s="59" t="s">
        <v>9339</v>
      </c>
      <c r="G99" s="60">
        <v>24965</v>
      </c>
      <c r="H99" s="59" t="s">
        <v>9340</v>
      </c>
      <c r="I99" s="61" t="s">
        <v>9341</v>
      </c>
      <c r="J99" s="59" t="s">
        <v>9342</v>
      </c>
      <c r="K99" s="59" t="s">
        <v>1225</v>
      </c>
      <c r="L99" s="59" t="s">
        <v>9319</v>
      </c>
      <c r="M99" s="59">
        <v>10</v>
      </c>
    </row>
    <row r="100" spans="1:13">
      <c r="A100" s="535"/>
      <c r="B100" s="85" t="s">
        <v>9343</v>
      </c>
      <c r="C100" s="31" t="s">
        <v>8929</v>
      </c>
      <c r="D100" s="31" t="str">
        <f t="shared" si="2"/>
        <v>Novembro</v>
      </c>
      <c r="E100" s="66" t="s">
        <v>9344</v>
      </c>
      <c r="F100" s="59">
        <v>6861979</v>
      </c>
      <c r="G100" s="60">
        <v>28762</v>
      </c>
      <c r="H100" s="59" t="s">
        <v>9345</v>
      </c>
      <c r="I100" s="59"/>
      <c r="J100" s="59" t="s">
        <v>9346</v>
      </c>
      <c r="K100" s="59" t="s">
        <v>9203</v>
      </c>
      <c r="L100" s="59"/>
      <c r="M100" s="59"/>
    </row>
    <row r="101" spans="1:13">
      <c r="A101" s="535"/>
      <c r="B101" s="85" t="s">
        <v>2106</v>
      </c>
      <c r="C101" s="31" t="s">
        <v>8929</v>
      </c>
      <c r="D101" s="31" t="str">
        <f t="shared" si="2"/>
        <v>Novembro</v>
      </c>
      <c r="E101" s="24" t="s">
        <v>2108</v>
      </c>
      <c r="F101" s="24" t="s">
        <v>9347</v>
      </c>
      <c r="G101" s="69">
        <v>32623</v>
      </c>
      <c r="H101" s="24" t="s">
        <v>9348</v>
      </c>
      <c r="I101" s="24"/>
      <c r="J101" s="24" t="s">
        <v>9349</v>
      </c>
      <c r="K101" s="59" t="s">
        <v>9117</v>
      </c>
      <c r="L101" s="59" t="s">
        <v>9319</v>
      </c>
      <c r="M101" s="59"/>
    </row>
    <row r="102" spans="1:13">
      <c r="A102" s="535"/>
      <c r="B102" s="85" t="s">
        <v>9350</v>
      </c>
      <c r="C102" s="31" t="s">
        <v>8929</v>
      </c>
      <c r="D102" s="31" t="str">
        <f t="shared" si="2"/>
        <v>Novembro</v>
      </c>
      <c r="E102" s="146">
        <v>2875882627</v>
      </c>
      <c r="F102" s="70" t="s">
        <v>9351</v>
      </c>
      <c r="G102" s="71">
        <v>27917</v>
      </c>
      <c r="H102" s="70" t="s">
        <v>9352</v>
      </c>
      <c r="I102" s="72" t="s">
        <v>9353</v>
      </c>
      <c r="J102" s="70"/>
      <c r="K102" s="70" t="s">
        <v>7874</v>
      </c>
      <c r="L102" s="70" t="s">
        <v>9354</v>
      </c>
      <c r="M102" s="70">
        <v>15</v>
      </c>
    </row>
    <row r="103" spans="1:13">
      <c r="A103" s="535"/>
      <c r="B103" s="85" t="s">
        <v>3940</v>
      </c>
      <c r="C103" s="31" t="s">
        <v>8929</v>
      </c>
      <c r="D103" s="31" t="str">
        <f t="shared" si="2"/>
        <v>Novembro</v>
      </c>
      <c r="E103" s="66">
        <v>12648010840</v>
      </c>
      <c r="F103" s="59">
        <v>232006052</v>
      </c>
      <c r="G103" s="60">
        <v>24993</v>
      </c>
      <c r="H103" s="59">
        <v>35999367972</v>
      </c>
      <c r="I103" s="59"/>
      <c r="J103" s="59" t="s">
        <v>9355</v>
      </c>
      <c r="K103" s="59" t="s">
        <v>7784</v>
      </c>
      <c r="L103" s="59" t="s">
        <v>9034</v>
      </c>
      <c r="M103" s="59">
        <v>15</v>
      </c>
    </row>
    <row r="104" spans="1:13">
      <c r="A104" s="535"/>
      <c r="B104" s="85" t="s">
        <v>3941</v>
      </c>
      <c r="C104" s="31" t="s">
        <v>8929</v>
      </c>
      <c r="D104" s="31" t="str">
        <f t="shared" si="2"/>
        <v>Novembro</v>
      </c>
      <c r="E104" s="66">
        <v>8324408681</v>
      </c>
      <c r="F104" s="59" t="s">
        <v>9356</v>
      </c>
      <c r="G104" s="60">
        <v>31926</v>
      </c>
      <c r="H104" s="59">
        <v>35997091399</v>
      </c>
      <c r="I104" s="61" t="s">
        <v>9357</v>
      </c>
      <c r="J104" s="59" t="s">
        <v>9358</v>
      </c>
      <c r="K104" s="59" t="s">
        <v>558</v>
      </c>
      <c r="L104" s="59" t="s">
        <v>9319</v>
      </c>
      <c r="M104" s="59">
        <v>20</v>
      </c>
    </row>
    <row r="105" spans="1:13">
      <c r="A105" s="535" t="s">
        <v>9276</v>
      </c>
      <c r="B105" s="85" t="s">
        <v>9359</v>
      </c>
      <c r="C105" s="31" t="s">
        <v>8929</v>
      </c>
      <c r="D105" s="31" t="str">
        <f t="shared" si="2"/>
        <v>Novembro</v>
      </c>
      <c r="E105" s="66">
        <v>4726760670</v>
      </c>
      <c r="F105" s="59">
        <v>347016364</v>
      </c>
      <c r="G105" s="59" t="s">
        <v>9360</v>
      </c>
      <c r="H105" s="59">
        <v>35997553841</v>
      </c>
      <c r="I105" s="59"/>
      <c r="J105" s="59" t="s">
        <v>9361</v>
      </c>
      <c r="K105" s="59" t="s">
        <v>9045</v>
      </c>
      <c r="L105" s="59" t="s">
        <v>9188</v>
      </c>
      <c r="M105" s="59">
        <v>5</v>
      </c>
    </row>
    <row r="106" spans="1:13">
      <c r="A106" s="535"/>
      <c r="B106" s="85" t="s">
        <v>9362</v>
      </c>
      <c r="C106" s="31" t="s">
        <v>8929</v>
      </c>
      <c r="D106" s="31" t="str">
        <f t="shared" si="2"/>
        <v>Novembro</v>
      </c>
      <c r="E106" s="66">
        <v>21366730682</v>
      </c>
      <c r="F106" s="60" t="s">
        <v>9363</v>
      </c>
      <c r="G106" s="60">
        <v>19348</v>
      </c>
      <c r="H106" s="59">
        <v>35999001167</v>
      </c>
      <c r="I106" s="59"/>
      <c r="J106" s="59" t="s">
        <v>9364</v>
      </c>
      <c r="K106" s="59" t="s">
        <v>7869</v>
      </c>
      <c r="L106" s="59" t="s">
        <v>9188</v>
      </c>
      <c r="M106" s="59">
        <v>30</v>
      </c>
    </row>
    <row r="107" spans="1:13">
      <c r="A107" s="535"/>
      <c r="B107" s="85" t="s">
        <v>2994</v>
      </c>
      <c r="C107" s="31" t="s">
        <v>8929</v>
      </c>
      <c r="D107" s="31" t="str">
        <f t="shared" si="2"/>
        <v>Novembro</v>
      </c>
      <c r="E107" s="66" t="s">
        <v>9365</v>
      </c>
      <c r="F107" s="59"/>
      <c r="G107" s="59"/>
      <c r="H107" s="59" t="s">
        <v>7280</v>
      </c>
      <c r="I107" s="59"/>
      <c r="J107" s="59" t="s">
        <v>9366</v>
      </c>
      <c r="K107" s="59" t="s">
        <v>9367</v>
      </c>
      <c r="L107" s="59" t="s">
        <v>8940</v>
      </c>
      <c r="M107" s="59">
        <v>10</v>
      </c>
    </row>
    <row r="108" spans="1:13">
      <c r="A108" s="535"/>
      <c r="B108" s="176" t="s">
        <v>7628</v>
      </c>
      <c r="C108" s="17"/>
      <c r="D108" s="17"/>
      <c r="E108" s="22"/>
      <c r="F108" s="22"/>
      <c r="G108" s="22"/>
      <c r="H108" s="22"/>
      <c r="I108" s="22"/>
      <c r="J108" s="22"/>
      <c r="K108" s="22"/>
      <c r="L108" s="22"/>
      <c r="M108" s="22"/>
    </row>
    <row r="109" spans="1:13">
      <c r="A109" s="535"/>
      <c r="B109" s="85" t="s">
        <v>2964</v>
      </c>
      <c r="C109" s="31" t="s">
        <v>8929</v>
      </c>
      <c r="D109" s="31" t="str">
        <f>$B$108</f>
        <v>Dezembro</v>
      </c>
      <c r="E109" s="66" t="s">
        <v>9368</v>
      </c>
      <c r="F109" s="59">
        <v>38478280081</v>
      </c>
      <c r="G109" s="59"/>
      <c r="H109" s="59">
        <v>35998484333</v>
      </c>
      <c r="I109" s="59"/>
      <c r="J109" s="59" t="s">
        <v>9369</v>
      </c>
      <c r="K109" s="59" t="s">
        <v>1225</v>
      </c>
      <c r="L109" s="59" t="s">
        <v>9319</v>
      </c>
      <c r="M109" s="59">
        <v>20</v>
      </c>
    </row>
    <row r="110" spans="1:13">
      <c r="A110" s="535"/>
      <c r="B110" s="85" t="s">
        <v>3904</v>
      </c>
      <c r="C110" s="31" t="s">
        <v>8929</v>
      </c>
      <c r="D110" s="31" t="str">
        <f t="shared" ref="D110:D146" si="3">$B$108</f>
        <v>Dezembro</v>
      </c>
      <c r="E110" s="66">
        <v>4444824662</v>
      </c>
      <c r="F110" s="59" t="s">
        <v>9370</v>
      </c>
      <c r="G110" s="60">
        <v>29486</v>
      </c>
      <c r="H110" s="60" t="s">
        <v>9371</v>
      </c>
      <c r="I110" s="61" t="s">
        <v>9372</v>
      </c>
      <c r="J110" s="59" t="s">
        <v>9373</v>
      </c>
      <c r="K110" s="59" t="s">
        <v>9203</v>
      </c>
      <c r="L110" s="59" t="s">
        <v>9188</v>
      </c>
      <c r="M110" s="59">
        <v>25</v>
      </c>
    </row>
    <row r="111" spans="1:13">
      <c r="A111" s="535"/>
      <c r="B111" s="85" t="s">
        <v>3928</v>
      </c>
      <c r="C111" s="31" t="s">
        <v>8929</v>
      </c>
      <c r="D111" s="31" t="str">
        <f t="shared" si="3"/>
        <v>Dezembro</v>
      </c>
      <c r="E111" s="66" t="s">
        <v>9374</v>
      </c>
      <c r="F111" s="59" t="s">
        <v>9375</v>
      </c>
      <c r="G111" s="60">
        <v>36061</v>
      </c>
      <c r="H111" s="59" t="s">
        <v>9376</v>
      </c>
      <c r="I111" s="61" t="s">
        <v>9377</v>
      </c>
      <c r="J111" s="59" t="s">
        <v>9378</v>
      </c>
      <c r="K111" s="59" t="s">
        <v>558</v>
      </c>
      <c r="L111" s="59" t="s">
        <v>9319</v>
      </c>
      <c r="M111" s="59">
        <v>20</v>
      </c>
    </row>
    <row r="112" spans="1:13">
      <c r="A112" s="535"/>
      <c r="B112" s="85" t="s">
        <v>9379</v>
      </c>
      <c r="C112" s="31" t="s">
        <v>8929</v>
      </c>
      <c r="D112" s="31" t="str">
        <f t="shared" si="3"/>
        <v>Dezembro</v>
      </c>
      <c r="E112" s="66">
        <v>6875272873</v>
      </c>
      <c r="F112" s="59">
        <v>153060748</v>
      </c>
      <c r="G112" s="60">
        <v>24418</v>
      </c>
      <c r="H112" s="59">
        <v>35997652117</v>
      </c>
      <c r="I112" s="59"/>
      <c r="J112" s="59" t="s">
        <v>9380</v>
      </c>
      <c r="K112" s="59" t="s">
        <v>9253</v>
      </c>
      <c r="L112" s="59" t="s">
        <v>9319</v>
      </c>
      <c r="M112" s="59">
        <v>15</v>
      </c>
    </row>
    <row r="113" spans="1:13">
      <c r="A113" s="535" t="s">
        <v>9276</v>
      </c>
      <c r="B113" s="85" t="s">
        <v>3901</v>
      </c>
      <c r="C113" s="31" t="s">
        <v>8929</v>
      </c>
      <c r="D113" s="31" t="str">
        <f t="shared" si="3"/>
        <v>Dezembro</v>
      </c>
      <c r="E113" s="66">
        <v>39639304620</v>
      </c>
      <c r="F113" s="59" t="s">
        <v>9381</v>
      </c>
      <c r="G113" s="60">
        <v>20513</v>
      </c>
      <c r="H113" s="59">
        <v>35998149749</v>
      </c>
      <c r="I113" s="59"/>
      <c r="J113" s="59" t="s">
        <v>9382</v>
      </c>
      <c r="K113" s="59" t="s">
        <v>9117</v>
      </c>
      <c r="L113" s="59" t="s">
        <v>9319</v>
      </c>
      <c r="M113" s="59">
        <v>10</v>
      </c>
    </row>
    <row r="114" spans="1:13">
      <c r="A114" s="535"/>
      <c r="B114" s="85" t="s">
        <v>3894</v>
      </c>
      <c r="C114" s="31" t="s">
        <v>8929</v>
      </c>
      <c r="D114" s="31" t="str">
        <f t="shared" si="3"/>
        <v>Dezembro</v>
      </c>
      <c r="E114" s="66" t="s">
        <v>9383</v>
      </c>
      <c r="F114" s="59" t="s">
        <v>9384</v>
      </c>
      <c r="G114" s="59" t="s">
        <v>9385</v>
      </c>
      <c r="H114" s="59" t="s">
        <v>4572</v>
      </c>
      <c r="I114" s="59"/>
      <c r="J114" s="59" t="s">
        <v>9386</v>
      </c>
      <c r="K114" s="59" t="s">
        <v>8578</v>
      </c>
      <c r="L114" s="59" t="s">
        <v>9034</v>
      </c>
      <c r="M114" s="59">
        <v>10</v>
      </c>
    </row>
    <row r="115" spans="1:13">
      <c r="A115" s="535"/>
      <c r="B115" s="85" t="s">
        <v>3831</v>
      </c>
      <c r="C115" s="31" t="s">
        <v>8929</v>
      </c>
      <c r="D115" s="31" t="str">
        <f t="shared" si="3"/>
        <v>Dezembro</v>
      </c>
      <c r="E115" s="66">
        <v>22998996850</v>
      </c>
      <c r="F115" s="59">
        <v>44405465</v>
      </c>
      <c r="G115" s="60">
        <v>31964</v>
      </c>
      <c r="H115" s="59" t="s">
        <v>9387</v>
      </c>
      <c r="I115" s="59"/>
      <c r="J115" s="59" t="s">
        <v>9388</v>
      </c>
      <c r="K115" s="59" t="s">
        <v>1225</v>
      </c>
      <c r="L115" s="59" t="s">
        <v>9319</v>
      </c>
      <c r="M115" s="59">
        <v>10</v>
      </c>
    </row>
    <row r="116" spans="1:13">
      <c r="A116" s="535"/>
      <c r="B116" s="85" t="s">
        <v>3886</v>
      </c>
      <c r="C116" s="31" t="s">
        <v>8929</v>
      </c>
      <c r="D116" s="31" t="str">
        <f t="shared" si="3"/>
        <v>Dezembro</v>
      </c>
      <c r="E116" s="66" t="s">
        <v>9389</v>
      </c>
      <c r="F116" s="59" t="s">
        <v>9390</v>
      </c>
      <c r="G116" s="59"/>
      <c r="H116" s="59" t="s">
        <v>9391</v>
      </c>
      <c r="I116" s="61" t="s">
        <v>9392</v>
      </c>
      <c r="J116" s="59" t="s">
        <v>9393</v>
      </c>
      <c r="K116" s="59" t="s">
        <v>1225</v>
      </c>
      <c r="L116" s="59" t="s">
        <v>9394</v>
      </c>
      <c r="M116" s="59">
        <v>5</v>
      </c>
    </row>
    <row r="117" spans="1:13">
      <c r="A117" s="535"/>
      <c r="B117" s="85" t="s">
        <v>3883</v>
      </c>
      <c r="C117" s="31" t="s">
        <v>8929</v>
      </c>
      <c r="D117" s="31" t="str">
        <f t="shared" si="3"/>
        <v>Dezembro</v>
      </c>
      <c r="E117" s="66" t="s">
        <v>9395</v>
      </c>
      <c r="F117" s="59" t="s">
        <v>9396</v>
      </c>
      <c r="G117" s="60">
        <v>20248</v>
      </c>
      <c r="H117" s="59" t="s">
        <v>9397</v>
      </c>
      <c r="I117" s="61" t="s">
        <v>9398</v>
      </c>
      <c r="J117" s="59" t="s">
        <v>9399</v>
      </c>
      <c r="K117" s="59" t="s">
        <v>9117</v>
      </c>
      <c r="L117" s="59" t="s">
        <v>8940</v>
      </c>
      <c r="M117" s="59">
        <v>20</v>
      </c>
    </row>
    <row r="118" spans="1:13">
      <c r="A118" s="535"/>
      <c r="B118" s="85" t="s">
        <v>2862</v>
      </c>
      <c r="C118" s="31" t="s">
        <v>8929</v>
      </c>
      <c r="D118" s="31" t="str">
        <f t="shared" si="3"/>
        <v>Dezembro</v>
      </c>
      <c r="E118" s="66">
        <v>7436217437</v>
      </c>
      <c r="F118" s="59" t="s">
        <v>9400</v>
      </c>
      <c r="G118" s="60">
        <v>31781</v>
      </c>
      <c r="H118" s="59">
        <v>11933650910</v>
      </c>
      <c r="I118" s="61" t="s">
        <v>9401</v>
      </c>
      <c r="J118" s="59" t="s">
        <v>9402</v>
      </c>
      <c r="K118" s="59" t="s">
        <v>9403</v>
      </c>
      <c r="L118" s="59" t="s">
        <v>9404</v>
      </c>
      <c r="M118" s="59">
        <v>30</v>
      </c>
    </row>
    <row r="119" spans="1:13">
      <c r="A119" s="535"/>
      <c r="B119" s="85" t="s">
        <v>3885</v>
      </c>
      <c r="C119" s="31" t="s">
        <v>8929</v>
      </c>
      <c r="D119" s="31" t="str">
        <f t="shared" si="3"/>
        <v>Dezembro</v>
      </c>
      <c r="E119" s="24" t="s">
        <v>9405</v>
      </c>
      <c r="F119" s="59" t="s">
        <v>9406</v>
      </c>
      <c r="G119" s="60">
        <v>32093</v>
      </c>
      <c r="H119" s="59" t="s">
        <v>9407</v>
      </c>
      <c r="I119" s="59"/>
      <c r="J119" s="59" t="s">
        <v>9408</v>
      </c>
      <c r="K119" s="59" t="s">
        <v>7869</v>
      </c>
      <c r="L119" s="59" t="s">
        <v>9319</v>
      </c>
      <c r="M119" s="59">
        <v>15</v>
      </c>
    </row>
    <row r="120" spans="1:13">
      <c r="A120" s="535"/>
      <c r="B120" s="85" t="s">
        <v>3881</v>
      </c>
      <c r="C120" s="31" t="s">
        <v>8929</v>
      </c>
      <c r="D120" s="31" t="str">
        <f t="shared" si="3"/>
        <v>Dezembro</v>
      </c>
      <c r="E120" s="66">
        <v>12883090661</v>
      </c>
      <c r="F120" s="59">
        <v>17001233</v>
      </c>
      <c r="G120" s="60">
        <v>33892</v>
      </c>
      <c r="H120" s="59" t="s">
        <v>9409</v>
      </c>
      <c r="I120" s="61" t="s">
        <v>9410</v>
      </c>
      <c r="J120" s="59" t="s">
        <v>9411</v>
      </c>
      <c r="K120" s="59" t="s">
        <v>7784</v>
      </c>
      <c r="L120" s="59" t="s">
        <v>9319</v>
      </c>
      <c r="M120" s="59">
        <v>5</v>
      </c>
    </row>
    <row r="121" spans="1:13">
      <c r="A121" s="535"/>
      <c r="B121" s="85" t="s">
        <v>4235</v>
      </c>
      <c r="C121" s="31" t="s">
        <v>8929</v>
      </c>
      <c r="D121" s="31" t="str">
        <f t="shared" si="3"/>
        <v>Dezembro</v>
      </c>
      <c r="E121" s="66">
        <v>4000034650</v>
      </c>
      <c r="F121" s="60" t="s">
        <v>9412</v>
      </c>
      <c r="G121" s="60">
        <v>28412</v>
      </c>
      <c r="H121" s="59" t="s">
        <v>9413</v>
      </c>
      <c r="I121" s="61"/>
      <c r="J121" s="59" t="s">
        <v>9414</v>
      </c>
      <c r="K121" s="59" t="s">
        <v>8578</v>
      </c>
      <c r="L121" s="59" t="s">
        <v>8935</v>
      </c>
      <c r="M121" s="59">
        <v>30</v>
      </c>
    </row>
    <row r="122" spans="1:13">
      <c r="A122" s="535"/>
      <c r="B122" s="85" t="s">
        <v>3841</v>
      </c>
      <c r="C122" s="31" t="s">
        <v>8929</v>
      </c>
      <c r="D122" s="31" t="str">
        <f t="shared" si="3"/>
        <v>Dezembro</v>
      </c>
      <c r="E122" s="66">
        <v>4000034650</v>
      </c>
      <c r="F122" s="59" t="s">
        <v>9412</v>
      </c>
      <c r="G122" s="60">
        <v>28412</v>
      </c>
      <c r="H122" s="59" t="s">
        <v>9413</v>
      </c>
      <c r="I122" s="61"/>
      <c r="J122" s="59" t="s">
        <v>9415</v>
      </c>
      <c r="K122" s="59" t="s">
        <v>9117</v>
      </c>
      <c r="L122" s="59" t="s">
        <v>9319</v>
      </c>
      <c r="M122" s="59">
        <v>30</v>
      </c>
    </row>
    <row r="123" spans="1:13">
      <c r="A123" s="535"/>
      <c r="B123" s="85" t="s">
        <v>9416</v>
      </c>
      <c r="C123" s="31" t="s">
        <v>8929</v>
      </c>
      <c r="D123" s="31" t="str">
        <f t="shared" si="3"/>
        <v>Dezembro</v>
      </c>
      <c r="E123" s="66">
        <v>13696627690</v>
      </c>
      <c r="F123" s="59">
        <v>19061439</v>
      </c>
      <c r="G123" s="60">
        <v>35786</v>
      </c>
      <c r="H123" s="59">
        <v>35992663979</v>
      </c>
      <c r="I123" s="61" t="s">
        <v>9417</v>
      </c>
      <c r="J123" s="59" t="s">
        <v>9418</v>
      </c>
      <c r="K123" s="59" t="s">
        <v>1225</v>
      </c>
      <c r="L123" s="59" t="s">
        <v>9419</v>
      </c>
      <c r="M123" s="59">
        <v>30</v>
      </c>
    </row>
    <row r="124" spans="1:13">
      <c r="A124" s="535"/>
      <c r="B124" s="87" t="s">
        <v>9420</v>
      </c>
      <c r="C124" s="31" t="s">
        <v>8929</v>
      </c>
      <c r="D124" s="31" t="str">
        <f t="shared" si="3"/>
        <v>Dezembro</v>
      </c>
      <c r="E124" s="126" t="s">
        <v>2254</v>
      </c>
      <c r="F124" s="73">
        <v>16661021</v>
      </c>
      <c r="G124" s="74">
        <v>32435</v>
      </c>
      <c r="H124" s="73" t="s">
        <v>2253</v>
      </c>
      <c r="I124" s="61"/>
      <c r="J124" s="59" t="s">
        <v>9421</v>
      </c>
      <c r="K124" s="59"/>
      <c r="L124" s="59"/>
      <c r="M124" s="59"/>
    </row>
    <row r="125" spans="1:13">
      <c r="A125" s="535"/>
      <c r="B125" s="85" t="s">
        <v>9422</v>
      </c>
      <c r="C125" s="31" t="s">
        <v>8929</v>
      </c>
      <c r="D125" s="31" t="str">
        <f t="shared" si="3"/>
        <v>Dezembro</v>
      </c>
      <c r="E125" s="66">
        <v>34018077653</v>
      </c>
      <c r="F125" s="59">
        <v>1783495</v>
      </c>
      <c r="G125" s="60">
        <v>21413</v>
      </c>
      <c r="H125" s="59" t="s">
        <v>9423</v>
      </c>
      <c r="I125" s="61"/>
      <c r="J125" s="59" t="s">
        <v>9424</v>
      </c>
      <c r="K125" s="59" t="s">
        <v>7784</v>
      </c>
      <c r="L125" s="59" t="s">
        <v>8940</v>
      </c>
      <c r="M125" s="59">
        <v>25</v>
      </c>
    </row>
    <row r="126" spans="1:13">
      <c r="A126" s="535"/>
      <c r="B126" s="85" t="s">
        <v>3838</v>
      </c>
      <c r="C126" s="31" t="s">
        <v>8929</v>
      </c>
      <c r="D126" s="31" t="str">
        <f t="shared" si="3"/>
        <v>Dezembro</v>
      </c>
      <c r="E126" s="66">
        <v>12330411693</v>
      </c>
      <c r="F126" s="59">
        <v>19301709</v>
      </c>
      <c r="G126" s="60">
        <v>34679</v>
      </c>
      <c r="H126" s="59" t="s">
        <v>9425</v>
      </c>
      <c r="I126" s="61" t="s">
        <v>9426</v>
      </c>
      <c r="J126" s="59" t="s">
        <v>9427</v>
      </c>
      <c r="K126" s="59" t="s">
        <v>9428</v>
      </c>
      <c r="L126" s="59" t="s">
        <v>9319</v>
      </c>
      <c r="M126" s="59">
        <v>10</v>
      </c>
    </row>
    <row r="127" spans="1:13">
      <c r="A127" s="535"/>
      <c r="B127" s="85" t="s">
        <v>3837</v>
      </c>
      <c r="C127" s="31" t="s">
        <v>8929</v>
      </c>
      <c r="D127" s="31" t="str">
        <f t="shared" si="3"/>
        <v>Dezembro</v>
      </c>
      <c r="E127" s="66">
        <v>6035198651</v>
      </c>
      <c r="F127" s="59" t="s">
        <v>9429</v>
      </c>
      <c r="G127" s="60">
        <v>24337</v>
      </c>
      <c r="H127" s="59">
        <v>35999142491</v>
      </c>
      <c r="I127" s="61"/>
      <c r="J127" s="59" t="s">
        <v>9430</v>
      </c>
      <c r="K127" s="59" t="s">
        <v>9431</v>
      </c>
      <c r="L127" s="59" t="s">
        <v>9432</v>
      </c>
      <c r="M127" s="59">
        <v>15</v>
      </c>
    </row>
    <row r="128" spans="1:13">
      <c r="A128" s="535"/>
      <c r="B128" s="85" t="s">
        <v>3124</v>
      </c>
      <c r="C128" s="31" t="s">
        <v>8929</v>
      </c>
      <c r="D128" s="31" t="str">
        <f t="shared" si="3"/>
        <v>Dezembro</v>
      </c>
      <c r="E128" s="66" t="s">
        <v>9433</v>
      </c>
      <c r="F128" s="59" t="s">
        <v>9434</v>
      </c>
      <c r="G128" s="60">
        <v>36012</v>
      </c>
      <c r="H128" s="59">
        <v>3599384357</v>
      </c>
      <c r="I128" s="61" t="s">
        <v>9435</v>
      </c>
      <c r="J128" s="59" t="s">
        <v>9436</v>
      </c>
      <c r="K128" s="59" t="s">
        <v>1347</v>
      </c>
      <c r="L128" s="59" t="s">
        <v>9319</v>
      </c>
      <c r="M128" s="59">
        <v>10</v>
      </c>
    </row>
    <row r="129" spans="1:13">
      <c r="A129" s="535"/>
      <c r="B129" s="85" t="s">
        <v>9437</v>
      </c>
      <c r="C129" s="31" t="s">
        <v>8929</v>
      </c>
      <c r="D129" s="31" t="str">
        <f t="shared" si="3"/>
        <v>Dezembro</v>
      </c>
      <c r="E129" s="66">
        <v>4000034650</v>
      </c>
      <c r="F129" s="59" t="s">
        <v>9412</v>
      </c>
      <c r="G129" s="60">
        <v>28412</v>
      </c>
      <c r="H129" s="59" t="s">
        <v>9413</v>
      </c>
      <c r="I129" s="61"/>
      <c r="J129" s="59" t="s">
        <v>9438</v>
      </c>
      <c r="K129" s="59" t="s">
        <v>9067</v>
      </c>
      <c r="L129" s="59" t="s">
        <v>9319</v>
      </c>
      <c r="M129" s="59">
        <v>5</v>
      </c>
    </row>
    <row r="130" spans="1:13">
      <c r="A130" s="535"/>
      <c r="B130" s="85" t="s">
        <v>9439</v>
      </c>
      <c r="C130" s="31" t="s">
        <v>8929</v>
      </c>
      <c r="D130" s="31" t="str">
        <f t="shared" si="3"/>
        <v>Dezembro</v>
      </c>
      <c r="E130" s="66">
        <v>61340855615</v>
      </c>
      <c r="F130" s="59" t="s">
        <v>9440</v>
      </c>
      <c r="G130" s="60" t="s">
        <v>9441</v>
      </c>
      <c r="H130" s="59" t="s">
        <v>9442</v>
      </c>
      <c r="I130" s="61" t="s">
        <v>9443</v>
      </c>
      <c r="J130" s="24" t="s">
        <v>9444</v>
      </c>
      <c r="K130" s="59" t="s">
        <v>1347</v>
      </c>
      <c r="L130" s="59" t="s">
        <v>9319</v>
      </c>
      <c r="M130" s="59">
        <v>25</v>
      </c>
    </row>
    <row r="131" spans="1:13">
      <c r="A131" s="535"/>
      <c r="B131" s="85" t="s">
        <v>9445</v>
      </c>
      <c r="C131" s="31" t="s">
        <v>8929</v>
      </c>
      <c r="D131" s="31" t="str">
        <f t="shared" si="3"/>
        <v>Dezembro</v>
      </c>
      <c r="E131" s="66">
        <v>8961749803</v>
      </c>
      <c r="F131" s="59">
        <v>15278892</v>
      </c>
      <c r="G131" s="60">
        <v>22627</v>
      </c>
      <c r="H131" s="59" t="s">
        <v>9446</v>
      </c>
      <c r="I131" s="61" t="s">
        <v>9447</v>
      </c>
      <c r="J131" s="59" t="s">
        <v>9448</v>
      </c>
      <c r="K131" s="59" t="s">
        <v>9012</v>
      </c>
      <c r="L131" s="59" t="s">
        <v>8995</v>
      </c>
      <c r="M131" s="59">
        <v>25</v>
      </c>
    </row>
    <row r="132" spans="1:13">
      <c r="A132" s="535"/>
      <c r="B132" s="85" t="s">
        <v>9449</v>
      </c>
      <c r="C132" s="31" t="s">
        <v>8929</v>
      </c>
      <c r="D132" s="31" t="str">
        <f t="shared" si="3"/>
        <v>Dezembro</v>
      </c>
      <c r="E132" s="66">
        <v>89022947653</v>
      </c>
      <c r="F132" s="59" t="s">
        <v>9450</v>
      </c>
      <c r="G132" s="60">
        <v>25844</v>
      </c>
      <c r="H132" s="59" t="s">
        <v>9451</v>
      </c>
      <c r="I132" s="61" t="s">
        <v>9452</v>
      </c>
      <c r="J132" s="59" t="s">
        <v>9453</v>
      </c>
      <c r="K132" s="59" t="s">
        <v>7750</v>
      </c>
      <c r="L132" s="59" t="s">
        <v>9454</v>
      </c>
      <c r="M132" s="59">
        <v>10</v>
      </c>
    </row>
    <row r="133" spans="1:13">
      <c r="A133" s="535"/>
      <c r="B133" s="85" t="s">
        <v>9455</v>
      </c>
      <c r="C133" s="31" t="s">
        <v>8929</v>
      </c>
      <c r="D133" s="31" t="str">
        <f t="shared" si="3"/>
        <v>Dezembro</v>
      </c>
      <c r="E133" s="66">
        <v>85464198687</v>
      </c>
      <c r="F133" s="59">
        <v>6286469</v>
      </c>
      <c r="G133" s="60">
        <v>26482</v>
      </c>
      <c r="H133" s="59">
        <v>35998135667</v>
      </c>
      <c r="I133" s="75" t="s">
        <v>9456</v>
      </c>
      <c r="J133" s="59" t="s">
        <v>9457</v>
      </c>
      <c r="K133" s="59" t="s">
        <v>9403</v>
      </c>
      <c r="L133" s="59" t="s">
        <v>9458</v>
      </c>
      <c r="M133" s="59">
        <v>15</v>
      </c>
    </row>
    <row r="134" spans="1:13">
      <c r="A134" s="535"/>
      <c r="B134" s="85" t="s">
        <v>3821</v>
      </c>
      <c r="C134" s="31" t="s">
        <v>8929</v>
      </c>
      <c r="D134" s="31" t="str">
        <f t="shared" si="3"/>
        <v>Dezembro</v>
      </c>
      <c r="E134" s="66" t="s">
        <v>9459</v>
      </c>
      <c r="F134" s="59" t="s">
        <v>9460</v>
      </c>
      <c r="G134" s="60">
        <v>31787</v>
      </c>
      <c r="H134" s="59" t="s">
        <v>9461</v>
      </c>
      <c r="I134" s="61"/>
      <c r="J134" s="59" t="s">
        <v>9462</v>
      </c>
      <c r="K134" s="59" t="s">
        <v>9463</v>
      </c>
      <c r="L134" s="59" t="s">
        <v>9458</v>
      </c>
      <c r="M134" s="59">
        <v>20</v>
      </c>
    </row>
    <row r="135" spans="1:13">
      <c r="A135" s="535"/>
      <c r="B135" s="85" t="s">
        <v>2922</v>
      </c>
      <c r="C135" s="31" t="s">
        <v>8929</v>
      </c>
      <c r="D135" s="31" t="str">
        <f t="shared" si="3"/>
        <v>Dezembro</v>
      </c>
      <c r="E135" s="66">
        <v>9001048641</v>
      </c>
      <c r="F135" s="59" t="s">
        <v>9464</v>
      </c>
      <c r="G135" s="60">
        <v>29792</v>
      </c>
      <c r="H135" s="59" t="s">
        <v>9465</v>
      </c>
      <c r="I135" s="61"/>
      <c r="J135" s="59" t="s">
        <v>9466</v>
      </c>
      <c r="K135" s="59" t="s">
        <v>7874</v>
      </c>
      <c r="L135" s="59" t="s">
        <v>9467</v>
      </c>
      <c r="M135" s="59">
        <v>25</v>
      </c>
    </row>
    <row r="136" spans="1:13">
      <c r="A136" s="535"/>
      <c r="B136" s="85" t="s">
        <v>3198</v>
      </c>
      <c r="C136" s="31" t="s">
        <v>8929</v>
      </c>
      <c r="D136" s="31" t="str">
        <f t="shared" si="3"/>
        <v>Dezembro</v>
      </c>
      <c r="E136" s="66">
        <v>7230507677</v>
      </c>
      <c r="F136" s="59" t="s">
        <v>9468</v>
      </c>
      <c r="G136" s="60">
        <v>30826</v>
      </c>
      <c r="H136" s="59">
        <v>11993550932</v>
      </c>
      <c r="I136" s="61" t="s">
        <v>9469</v>
      </c>
      <c r="J136" s="59" t="s">
        <v>9470</v>
      </c>
      <c r="K136" s="59" t="s">
        <v>9403</v>
      </c>
      <c r="L136" s="59" t="s">
        <v>9319</v>
      </c>
      <c r="M136" s="59">
        <v>25</v>
      </c>
    </row>
    <row r="137" spans="1:13">
      <c r="A137" s="535"/>
      <c r="B137" s="85" t="s">
        <v>9471</v>
      </c>
      <c r="C137" s="31" t="s">
        <v>8929</v>
      </c>
      <c r="D137" s="31" t="str">
        <f t="shared" si="3"/>
        <v>Dezembro</v>
      </c>
      <c r="E137" s="66">
        <v>16083900638</v>
      </c>
      <c r="F137" s="59">
        <v>18105277</v>
      </c>
      <c r="G137" s="60">
        <v>36469</v>
      </c>
      <c r="H137" s="59">
        <v>35998246834</v>
      </c>
      <c r="I137" s="61" t="s">
        <v>9472</v>
      </c>
      <c r="J137" s="59" t="s">
        <v>9473</v>
      </c>
      <c r="K137" s="59" t="s">
        <v>1347</v>
      </c>
      <c r="L137" s="59" t="s">
        <v>9458</v>
      </c>
      <c r="M137" s="59">
        <v>10</v>
      </c>
    </row>
    <row r="138" spans="1:13">
      <c r="A138" s="535"/>
      <c r="B138" s="85" t="s">
        <v>9474</v>
      </c>
      <c r="C138" s="31" t="s">
        <v>8929</v>
      </c>
      <c r="D138" s="31" t="str">
        <f t="shared" si="3"/>
        <v>Dezembro</v>
      </c>
      <c r="E138" s="66">
        <v>73913170634</v>
      </c>
      <c r="F138" s="59">
        <v>23155738</v>
      </c>
      <c r="G138" s="60">
        <v>24698</v>
      </c>
      <c r="H138" s="59">
        <v>35997232976</v>
      </c>
      <c r="I138" s="61"/>
      <c r="J138" s="59" t="s">
        <v>9475</v>
      </c>
      <c r="K138" s="59" t="s">
        <v>9476</v>
      </c>
      <c r="L138" s="59" t="s">
        <v>9458</v>
      </c>
      <c r="M138" s="59">
        <v>25</v>
      </c>
    </row>
    <row r="139" spans="1:13">
      <c r="A139" s="535"/>
      <c r="B139" s="85" t="s">
        <v>2914</v>
      </c>
      <c r="C139" s="31" t="s">
        <v>8929</v>
      </c>
      <c r="D139" s="31" t="str">
        <f t="shared" si="3"/>
        <v>Dezembro</v>
      </c>
      <c r="E139" s="66">
        <v>26577076880</v>
      </c>
      <c r="F139" s="59">
        <v>288247826</v>
      </c>
      <c r="G139" s="60">
        <v>28056</v>
      </c>
      <c r="H139" s="59">
        <v>35999085034</v>
      </c>
      <c r="I139" s="61">
        <v>0</v>
      </c>
      <c r="J139" s="59" t="s">
        <v>9477</v>
      </c>
      <c r="K139" s="59" t="s">
        <v>9117</v>
      </c>
      <c r="L139" s="59" t="s">
        <v>9319</v>
      </c>
      <c r="M139" s="59">
        <v>25</v>
      </c>
    </row>
    <row r="140" spans="1:13">
      <c r="A140" s="535"/>
      <c r="B140" s="85" t="s">
        <v>9478</v>
      </c>
      <c r="C140" s="31" t="s">
        <v>8929</v>
      </c>
      <c r="D140" s="31" t="str">
        <f t="shared" si="3"/>
        <v>Dezembro</v>
      </c>
      <c r="E140" s="66">
        <v>89959337634</v>
      </c>
      <c r="F140" s="59">
        <v>11828098</v>
      </c>
      <c r="G140" s="60">
        <v>22233</v>
      </c>
      <c r="H140" s="59">
        <v>35999587544</v>
      </c>
      <c r="I140" s="61"/>
      <c r="J140" s="59" t="s">
        <v>9479</v>
      </c>
      <c r="K140" s="59" t="s">
        <v>1347</v>
      </c>
      <c r="L140" s="59" t="s">
        <v>9319</v>
      </c>
      <c r="M140" s="59">
        <v>10</v>
      </c>
    </row>
    <row r="141" spans="1:13">
      <c r="A141" s="535"/>
      <c r="B141" s="85" t="s">
        <v>4240</v>
      </c>
      <c r="C141" s="31" t="s">
        <v>8929</v>
      </c>
      <c r="D141" s="31" t="str">
        <f>$B$108</f>
        <v>Dezembro</v>
      </c>
      <c r="E141" s="66">
        <v>17225093681</v>
      </c>
      <c r="F141" s="62">
        <v>21333023</v>
      </c>
      <c r="G141" s="60" t="s">
        <v>9480</v>
      </c>
      <c r="H141" s="59" t="s">
        <v>9481</v>
      </c>
      <c r="I141" s="61"/>
      <c r="J141" s="59" t="s">
        <v>9482</v>
      </c>
      <c r="K141" s="59" t="s">
        <v>7817</v>
      </c>
      <c r="L141" s="59" t="s">
        <v>9319</v>
      </c>
      <c r="M141" s="59">
        <v>25</v>
      </c>
    </row>
    <row r="142" spans="1:13">
      <c r="A142" s="535"/>
      <c r="B142" s="85" t="s">
        <v>3825</v>
      </c>
      <c r="C142" s="31" t="s">
        <v>8929</v>
      </c>
      <c r="D142" s="31" t="str">
        <f t="shared" si="3"/>
        <v>Dezembro</v>
      </c>
      <c r="E142" s="66">
        <v>13151767699</v>
      </c>
      <c r="F142" s="59">
        <v>19788153</v>
      </c>
      <c r="G142" s="60" t="s">
        <v>9483</v>
      </c>
      <c r="H142" s="59" t="s">
        <v>9484</v>
      </c>
      <c r="I142" s="61"/>
      <c r="J142" s="59" t="s">
        <v>9485</v>
      </c>
      <c r="K142" s="59" t="s">
        <v>9117</v>
      </c>
      <c r="L142" s="59" t="s">
        <v>9319</v>
      </c>
      <c r="M142" s="59">
        <v>25</v>
      </c>
    </row>
    <row r="143" spans="1:13">
      <c r="A143" s="535"/>
      <c r="B143" s="85" t="s">
        <v>3828</v>
      </c>
      <c r="C143" s="31" t="s">
        <v>8929</v>
      </c>
      <c r="D143" s="31" t="str">
        <f t="shared" si="3"/>
        <v>Dezembro</v>
      </c>
      <c r="E143" s="66">
        <v>19173832820</v>
      </c>
      <c r="F143" s="59">
        <v>26605199</v>
      </c>
      <c r="G143" s="60">
        <v>26650</v>
      </c>
      <c r="H143" s="59" t="s">
        <v>9486</v>
      </c>
      <c r="I143" s="61"/>
      <c r="J143" s="59" t="s">
        <v>9487</v>
      </c>
      <c r="K143" s="59" t="s">
        <v>7750</v>
      </c>
      <c r="L143" s="59" t="s">
        <v>9404</v>
      </c>
      <c r="M143" s="59">
        <v>10</v>
      </c>
    </row>
    <row r="144" spans="1:13">
      <c r="A144" s="535"/>
      <c r="B144" s="85" t="s">
        <v>3824</v>
      </c>
      <c r="C144" s="31" t="s">
        <v>8929</v>
      </c>
      <c r="D144" s="31" t="str">
        <f t="shared" si="3"/>
        <v>Dezembro</v>
      </c>
      <c r="E144" s="58">
        <v>11827250666</v>
      </c>
      <c r="F144" s="76" t="s">
        <v>9123</v>
      </c>
      <c r="G144" s="77">
        <v>34278</v>
      </c>
      <c r="H144" s="76">
        <v>35998075434</v>
      </c>
      <c r="I144" s="78" t="s">
        <v>9124</v>
      </c>
      <c r="J144" s="59" t="s">
        <v>9488</v>
      </c>
      <c r="K144" s="59" t="s">
        <v>9489</v>
      </c>
      <c r="L144" s="59" t="s">
        <v>9490</v>
      </c>
      <c r="M144" s="59">
        <v>25</v>
      </c>
    </row>
    <row r="145" spans="1:13">
      <c r="A145" s="535" t="s">
        <v>9276</v>
      </c>
      <c r="B145" s="85" t="s">
        <v>3823</v>
      </c>
      <c r="C145" s="31" t="s">
        <v>8929</v>
      </c>
      <c r="D145" s="31" t="str">
        <f t="shared" si="3"/>
        <v>Dezembro</v>
      </c>
      <c r="E145" s="66" t="s">
        <v>9491</v>
      </c>
      <c r="F145" s="62">
        <v>4642451</v>
      </c>
      <c r="G145" s="60">
        <v>12780</v>
      </c>
      <c r="H145" s="59">
        <v>999018453</v>
      </c>
      <c r="I145" s="61" t="s">
        <v>9332</v>
      </c>
      <c r="J145" s="59" t="s">
        <v>9492</v>
      </c>
      <c r="K145" s="59" t="s">
        <v>9213</v>
      </c>
      <c r="L145" s="59" t="s">
        <v>9319</v>
      </c>
      <c r="M145" s="59">
        <v>20</v>
      </c>
    </row>
    <row r="146" spans="1:13">
      <c r="A146" s="535"/>
      <c r="B146" s="88" t="s">
        <v>9493</v>
      </c>
      <c r="C146" s="31" t="s">
        <v>8929</v>
      </c>
      <c r="D146" s="31" t="str">
        <f t="shared" si="3"/>
        <v>Dezembro</v>
      </c>
      <c r="E146" s="66">
        <v>25831305600</v>
      </c>
      <c r="F146" s="62" t="s">
        <v>9494</v>
      </c>
      <c r="G146" s="60">
        <v>20119</v>
      </c>
      <c r="H146" s="59">
        <v>998283551</v>
      </c>
      <c r="I146" s="61"/>
      <c r="J146" s="59" t="s">
        <v>9495</v>
      </c>
      <c r="K146" s="59" t="s">
        <v>9117</v>
      </c>
      <c r="L146" s="59" t="s">
        <v>9490</v>
      </c>
      <c r="M146" s="59"/>
    </row>
    <row r="147" spans="1:13">
      <c r="A147" s="535"/>
      <c r="B147" s="176" t="s">
        <v>7634</v>
      </c>
      <c r="C147" s="17"/>
      <c r="D147" s="17"/>
      <c r="E147" s="22"/>
      <c r="F147" s="22"/>
      <c r="G147" s="22"/>
      <c r="H147" s="22"/>
      <c r="I147" s="22"/>
      <c r="J147" s="22"/>
      <c r="K147" s="22"/>
      <c r="L147" s="22"/>
      <c r="M147" s="22"/>
    </row>
    <row r="148" spans="1:13">
      <c r="A148" s="535"/>
      <c r="B148" s="89" t="s">
        <v>2950</v>
      </c>
      <c r="C148" s="39" t="s">
        <v>8929</v>
      </c>
      <c r="D148" s="39" t="str">
        <f>$B$147</f>
        <v>Janeiro</v>
      </c>
      <c r="E148" s="66">
        <v>5903100627</v>
      </c>
      <c r="F148" s="62">
        <v>11321655</v>
      </c>
      <c r="G148" s="60">
        <v>30306</v>
      </c>
      <c r="H148" s="59">
        <v>35999317689</v>
      </c>
      <c r="I148" s="61" t="s">
        <v>9496</v>
      </c>
      <c r="J148" s="59" t="s">
        <v>9497</v>
      </c>
      <c r="K148" s="59" t="s">
        <v>9012</v>
      </c>
      <c r="L148" s="59" t="s">
        <v>9498</v>
      </c>
      <c r="M148" s="59">
        <v>15</v>
      </c>
    </row>
    <row r="149" spans="1:13">
      <c r="A149" s="535"/>
      <c r="B149" s="89" t="s">
        <v>9499</v>
      </c>
      <c r="C149" s="39" t="s">
        <v>8929</v>
      </c>
      <c r="D149" s="39" t="str">
        <f t="shared" ref="D149:D199" si="4">$B$147</f>
        <v>Janeiro</v>
      </c>
      <c r="E149" s="66">
        <v>41363710630</v>
      </c>
      <c r="F149" s="62" t="s">
        <v>9500</v>
      </c>
      <c r="G149" s="60">
        <v>22800</v>
      </c>
      <c r="H149" s="59" t="s">
        <v>9501</v>
      </c>
      <c r="I149" s="61" t="s">
        <v>9502</v>
      </c>
      <c r="J149" s="59" t="s">
        <v>9503</v>
      </c>
      <c r="K149" s="59" t="s">
        <v>9117</v>
      </c>
      <c r="L149" s="59" t="s">
        <v>9290</v>
      </c>
      <c r="M149" s="59">
        <v>5</v>
      </c>
    </row>
    <row r="150" spans="1:13">
      <c r="A150" s="535"/>
      <c r="B150" s="89" t="s">
        <v>9504</v>
      </c>
      <c r="C150" s="39" t="s">
        <v>8929</v>
      </c>
      <c r="D150" s="39" t="str">
        <f t="shared" si="4"/>
        <v>Janeiro</v>
      </c>
      <c r="E150" s="66">
        <v>6587310842</v>
      </c>
      <c r="F150" s="62">
        <v>476066670</v>
      </c>
      <c r="G150" s="60">
        <v>23744</v>
      </c>
      <c r="H150" s="59" t="s">
        <v>9505</v>
      </c>
      <c r="I150" s="61" t="s">
        <v>9506</v>
      </c>
      <c r="J150" s="59" t="s">
        <v>9507</v>
      </c>
      <c r="K150" s="59" t="s">
        <v>9012</v>
      </c>
      <c r="L150" s="59" t="s">
        <v>9290</v>
      </c>
      <c r="M150" s="59">
        <v>20</v>
      </c>
    </row>
    <row r="151" spans="1:13">
      <c r="A151" s="535"/>
      <c r="B151" s="89" t="s">
        <v>3822</v>
      </c>
      <c r="C151" s="39" t="s">
        <v>8929</v>
      </c>
      <c r="D151" s="39" t="str">
        <f t="shared" si="4"/>
        <v>Janeiro</v>
      </c>
      <c r="E151" s="66">
        <v>203392833</v>
      </c>
      <c r="F151" s="62">
        <v>95955525</v>
      </c>
      <c r="G151" s="60">
        <v>20167</v>
      </c>
      <c r="H151" s="59">
        <v>35999091756</v>
      </c>
      <c r="I151" s="61" t="s">
        <v>9508</v>
      </c>
      <c r="J151" s="59" t="s">
        <v>9509</v>
      </c>
      <c r="K151" s="59" t="s">
        <v>9510</v>
      </c>
      <c r="L151" s="59" t="s">
        <v>9200</v>
      </c>
      <c r="M151" s="59">
        <v>20</v>
      </c>
    </row>
    <row r="152" spans="1:13">
      <c r="A152" s="535"/>
      <c r="B152" s="89" t="s">
        <v>2861</v>
      </c>
      <c r="C152" s="39" t="s">
        <v>8929</v>
      </c>
      <c r="D152" s="39" t="str">
        <f t="shared" si="4"/>
        <v>Janeiro</v>
      </c>
      <c r="E152" s="66">
        <v>13625366606</v>
      </c>
      <c r="F152" s="62" t="s">
        <v>9511</v>
      </c>
      <c r="G152" s="60">
        <v>35509</v>
      </c>
      <c r="H152" s="59" t="s">
        <v>9512</v>
      </c>
      <c r="I152" s="61"/>
      <c r="J152" s="59" t="s">
        <v>9513</v>
      </c>
      <c r="K152" s="59" t="s">
        <v>9012</v>
      </c>
      <c r="L152" s="59" t="s">
        <v>9319</v>
      </c>
      <c r="M152" s="59">
        <v>20</v>
      </c>
    </row>
    <row r="153" spans="1:13">
      <c r="A153" s="535"/>
      <c r="B153" s="89" t="s">
        <v>3819</v>
      </c>
      <c r="C153" s="39" t="s">
        <v>8929</v>
      </c>
      <c r="D153" s="39" t="str">
        <f t="shared" si="4"/>
        <v>Janeiro</v>
      </c>
      <c r="E153" s="66">
        <v>32705109854</v>
      </c>
      <c r="F153" s="62">
        <v>3639642</v>
      </c>
      <c r="G153" s="60">
        <v>31435</v>
      </c>
      <c r="H153" s="59" t="s">
        <v>9514</v>
      </c>
      <c r="I153" s="61"/>
      <c r="J153" s="59" t="s">
        <v>9515</v>
      </c>
      <c r="K153" s="59" t="s">
        <v>9117</v>
      </c>
      <c r="L153" s="59" t="s">
        <v>9290</v>
      </c>
      <c r="M153" s="59">
        <v>15</v>
      </c>
    </row>
    <row r="154" spans="1:13">
      <c r="A154" s="535"/>
      <c r="B154" s="89" t="s">
        <v>3819</v>
      </c>
      <c r="C154" s="39" t="s">
        <v>8929</v>
      </c>
      <c r="D154" s="39" t="str">
        <f t="shared" si="4"/>
        <v>Janeiro</v>
      </c>
      <c r="E154" s="66">
        <v>32705109854</v>
      </c>
      <c r="F154" s="62">
        <v>3639642</v>
      </c>
      <c r="G154" s="60">
        <v>31435</v>
      </c>
      <c r="H154" s="59" t="s">
        <v>9514</v>
      </c>
      <c r="I154" s="61"/>
      <c r="J154" s="59" t="s">
        <v>9516</v>
      </c>
      <c r="K154" s="59" t="s">
        <v>9517</v>
      </c>
      <c r="L154" s="59" t="s">
        <v>9518</v>
      </c>
      <c r="M154" s="59">
        <v>15</v>
      </c>
    </row>
    <row r="155" spans="1:13">
      <c r="A155" s="535"/>
      <c r="B155" s="89" t="s">
        <v>9519</v>
      </c>
      <c r="C155" s="39" t="s">
        <v>8929</v>
      </c>
      <c r="D155" s="39" t="str">
        <f t="shared" si="4"/>
        <v>Janeiro</v>
      </c>
      <c r="E155" s="147">
        <v>21176800000138</v>
      </c>
      <c r="F155" s="62"/>
      <c r="G155" s="60"/>
      <c r="H155" s="59" t="s">
        <v>9520</v>
      </c>
      <c r="I155" s="75" t="s">
        <v>9521</v>
      </c>
      <c r="J155" s="59" t="s">
        <v>9522</v>
      </c>
      <c r="K155" s="59" t="s">
        <v>558</v>
      </c>
      <c r="L155" s="59" t="s">
        <v>8940</v>
      </c>
      <c r="M155" s="59">
        <v>15</v>
      </c>
    </row>
    <row r="156" spans="1:13">
      <c r="A156" s="535"/>
      <c r="B156" s="89" t="s">
        <v>2943</v>
      </c>
      <c r="C156" s="39" t="s">
        <v>8929</v>
      </c>
      <c r="D156" s="39" t="str">
        <f t="shared" si="4"/>
        <v>Janeiro</v>
      </c>
      <c r="E156" s="66" t="s">
        <v>9523</v>
      </c>
      <c r="F156" s="62" t="s">
        <v>9524</v>
      </c>
      <c r="G156" s="60">
        <v>31510</v>
      </c>
      <c r="H156" s="59" t="s">
        <v>9525</v>
      </c>
      <c r="I156" s="61"/>
      <c r="J156" s="59" t="s">
        <v>9526</v>
      </c>
      <c r="K156" s="59" t="s">
        <v>7757</v>
      </c>
      <c r="L156" s="59" t="s">
        <v>8940</v>
      </c>
      <c r="M156" s="59">
        <v>10</v>
      </c>
    </row>
    <row r="157" spans="1:13">
      <c r="A157" s="535"/>
      <c r="B157" s="89" t="s">
        <v>9527</v>
      </c>
      <c r="C157" s="39" t="s">
        <v>8929</v>
      </c>
      <c r="D157" s="39" t="str">
        <f t="shared" si="4"/>
        <v>Janeiro</v>
      </c>
      <c r="E157" s="66" t="s">
        <v>9528</v>
      </c>
      <c r="F157" s="62" t="s">
        <v>9529</v>
      </c>
      <c r="G157" s="60" t="s">
        <v>9530</v>
      </c>
      <c r="H157" s="59" t="s">
        <v>9531</v>
      </c>
      <c r="I157" s="61" t="s">
        <v>9532</v>
      </c>
      <c r="J157" s="59" t="s">
        <v>9533</v>
      </c>
      <c r="K157" s="59" t="s">
        <v>7757</v>
      </c>
      <c r="L157" s="59" t="s">
        <v>8935</v>
      </c>
      <c r="M157" s="59">
        <v>15</v>
      </c>
    </row>
    <row r="158" spans="1:13">
      <c r="A158" s="535"/>
      <c r="B158" s="89" t="s">
        <v>3817</v>
      </c>
      <c r="C158" s="39" t="s">
        <v>8929</v>
      </c>
      <c r="D158" s="39" t="str">
        <f t="shared" si="4"/>
        <v>Janeiro</v>
      </c>
      <c r="E158" s="66">
        <v>21438960425</v>
      </c>
      <c r="F158" s="62" t="s">
        <v>9534</v>
      </c>
      <c r="G158" s="60">
        <v>21861</v>
      </c>
      <c r="H158" s="59">
        <v>35992531081</v>
      </c>
      <c r="I158" s="61"/>
      <c r="J158" s="59" t="s">
        <v>9535</v>
      </c>
      <c r="K158" s="59" t="s">
        <v>1225</v>
      </c>
      <c r="L158" s="59" t="s">
        <v>8935</v>
      </c>
      <c r="M158" s="59">
        <v>10</v>
      </c>
    </row>
    <row r="159" spans="1:13">
      <c r="A159" s="535"/>
      <c r="B159" s="89" t="s">
        <v>9536</v>
      </c>
      <c r="C159" s="39" t="s">
        <v>8929</v>
      </c>
      <c r="D159" s="39" t="str">
        <f t="shared" si="4"/>
        <v>Janeiro</v>
      </c>
      <c r="E159" s="66">
        <v>4195910609</v>
      </c>
      <c r="F159" s="62">
        <v>6682086</v>
      </c>
      <c r="G159" s="60">
        <v>28326</v>
      </c>
      <c r="H159" s="59">
        <v>35999524047</v>
      </c>
      <c r="I159" s="61" t="s">
        <v>9537</v>
      </c>
      <c r="J159" s="59" t="s">
        <v>9538</v>
      </c>
      <c r="K159" s="59" t="s">
        <v>9117</v>
      </c>
      <c r="L159" s="59" t="s">
        <v>9319</v>
      </c>
      <c r="M159" s="59">
        <v>10</v>
      </c>
    </row>
    <row r="160" spans="1:13">
      <c r="A160" s="535"/>
      <c r="B160" s="89" t="s">
        <v>2859</v>
      </c>
      <c r="C160" s="39" t="s">
        <v>8929</v>
      </c>
      <c r="D160" s="39" t="str">
        <f t="shared" si="4"/>
        <v>Janeiro</v>
      </c>
      <c r="E160" s="66">
        <v>1187890669</v>
      </c>
      <c r="F160" s="62">
        <v>15506257</v>
      </c>
      <c r="G160" s="60">
        <v>29599</v>
      </c>
      <c r="H160" s="59">
        <v>35999110862</v>
      </c>
      <c r="I160" s="61"/>
      <c r="J160" s="59" t="s">
        <v>9539</v>
      </c>
      <c r="K160" s="59" t="s">
        <v>7853</v>
      </c>
      <c r="L160" s="59" t="s">
        <v>9034</v>
      </c>
      <c r="M160" s="59">
        <v>25</v>
      </c>
    </row>
    <row r="161" spans="1:14">
      <c r="A161" s="535"/>
      <c r="B161" s="89" t="s">
        <v>3813</v>
      </c>
      <c r="C161" s="39" t="s">
        <v>8929</v>
      </c>
      <c r="D161" s="39" t="str">
        <f t="shared" si="4"/>
        <v>Janeiro</v>
      </c>
      <c r="E161" s="66">
        <v>5592972628</v>
      </c>
      <c r="F161" s="62" t="s">
        <v>9540</v>
      </c>
      <c r="G161" s="60">
        <v>27642</v>
      </c>
      <c r="H161" s="59" t="s">
        <v>9541</v>
      </c>
      <c r="I161" s="61"/>
      <c r="J161" s="59" t="s">
        <v>9542</v>
      </c>
      <c r="K161" s="59" t="s">
        <v>9117</v>
      </c>
      <c r="L161" s="59" t="s">
        <v>9319</v>
      </c>
      <c r="M161" s="59">
        <v>25</v>
      </c>
    </row>
    <row r="162" spans="1:14">
      <c r="A162" s="535"/>
      <c r="B162" s="90" t="s">
        <v>3814</v>
      </c>
      <c r="C162" s="80" t="s">
        <v>8929</v>
      </c>
      <c r="D162" s="39" t="str">
        <f t="shared" si="4"/>
        <v>Janeiro</v>
      </c>
      <c r="E162" s="146" t="s">
        <v>9543</v>
      </c>
      <c r="F162" s="81">
        <v>1</v>
      </c>
      <c r="G162" s="71">
        <v>28940</v>
      </c>
      <c r="H162" s="70" t="s">
        <v>9544</v>
      </c>
      <c r="I162" s="72" t="s">
        <v>9545</v>
      </c>
      <c r="J162" s="70" t="s">
        <v>9546</v>
      </c>
      <c r="K162" s="70" t="s">
        <v>8687</v>
      </c>
      <c r="L162" s="70" t="s">
        <v>8935</v>
      </c>
      <c r="M162" s="70">
        <v>10</v>
      </c>
    </row>
    <row r="163" spans="1:14">
      <c r="A163" s="535">
        <v>44208</v>
      </c>
      <c r="B163" s="91" t="s">
        <v>3816</v>
      </c>
      <c r="C163" s="39" t="s">
        <v>8929</v>
      </c>
      <c r="D163" s="39" t="str">
        <f t="shared" si="4"/>
        <v>Janeiro</v>
      </c>
      <c r="E163" s="64">
        <v>54233577649</v>
      </c>
      <c r="F163" s="31">
        <v>446929</v>
      </c>
      <c r="G163" s="82">
        <v>25754</v>
      </c>
      <c r="H163" s="42">
        <v>35999277701</v>
      </c>
      <c r="I163" s="83" t="s">
        <v>9547</v>
      </c>
      <c r="J163" s="42" t="s">
        <v>9548</v>
      </c>
      <c r="K163" s="42" t="s">
        <v>1347</v>
      </c>
      <c r="L163" s="42" t="s">
        <v>8995</v>
      </c>
      <c r="M163" s="42">
        <v>0</v>
      </c>
      <c r="N163" s="79" t="s">
        <v>9549</v>
      </c>
    </row>
    <row r="164" spans="1:14">
      <c r="A164" s="535">
        <v>44211</v>
      </c>
      <c r="B164" s="31" t="s">
        <v>3018</v>
      </c>
      <c r="C164" s="31" t="s">
        <v>8929</v>
      </c>
      <c r="D164" s="39" t="str">
        <f t="shared" si="4"/>
        <v>Janeiro</v>
      </c>
      <c r="E164" s="143">
        <v>84201860663</v>
      </c>
      <c r="F164" s="31" t="s">
        <v>9550</v>
      </c>
      <c r="G164" s="82">
        <v>21429</v>
      </c>
      <c r="H164" s="31">
        <v>35998275598</v>
      </c>
      <c r="I164" s="31"/>
      <c r="J164" s="31" t="s">
        <v>9551</v>
      </c>
      <c r="K164" s="31" t="s">
        <v>1347</v>
      </c>
      <c r="L164" s="31" t="s">
        <v>8935</v>
      </c>
      <c r="M164" s="31">
        <v>15</v>
      </c>
    </row>
    <row r="165" spans="1:14">
      <c r="A165" s="535">
        <v>44211</v>
      </c>
      <c r="B165" s="17" t="s">
        <v>9552</v>
      </c>
      <c r="C165" s="31" t="s">
        <v>8929</v>
      </c>
      <c r="D165" s="39" t="str">
        <f t="shared" si="4"/>
        <v>Janeiro</v>
      </c>
      <c r="E165" s="143">
        <v>75485532691</v>
      </c>
      <c r="F165" s="31" t="s">
        <v>9553</v>
      </c>
      <c r="G165" s="82">
        <v>25496</v>
      </c>
      <c r="H165" s="31" t="s">
        <v>9554</v>
      </c>
      <c r="I165" s="83" t="s">
        <v>9555</v>
      </c>
      <c r="J165" s="31" t="s">
        <v>9556</v>
      </c>
      <c r="K165" s="31" t="s">
        <v>9136</v>
      </c>
      <c r="L165" s="31" t="s">
        <v>8935</v>
      </c>
      <c r="M165" s="31">
        <v>15</v>
      </c>
    </row>
    <row r="166" spans="1:14">
      <c r="A166" s="535">
        <v>44214</v>
      </c>
      <c r="B166" s="31" t="s">
        <v>3808</v>
      </c>
      <c r="C166" s="31" t="s">
        <v>8929</v>
      </c>
      <c r="D166" s="39" t="str">
        <f t="shared" si="4"/>
        <v>Janeiro</v>
      </c>
      <c r="E166" s="143" t="s">
        <v>7876</v>
      </c>
      <c r="F166" s="31">
        <v>15857205</v>
      </c>
      <c r="G166" s="82">
        <v>33564</v>
      </c>
      <c r="H166" s="31" t="s">
        <v>9557</v>
      </c>
      <c r="I166" s="31" t="s">
        <v>9558</v>
      </c>
      <c r="J166" s="31" t="s">
        <v>9559</v>
      </c>
      <c r="K166" s="31" t="s">
        <v>1225</v>
      </c>
      <c r="L166" s="31" t="s">
        <v>9034</v>
      </c>
      <c r="M166" s="31">
        <v>15</v>
      </c>
    </row>
    <row r="167" spans="1:14" s="22" customFormat="1">
      <c r="A167" s="536">
        <v>44214</v>
      </c>
      <c r="B167" s="84" t="s">
        <v>3344</v>
      </c>
      <c r="C167" s="17" t="s">
        <v>8929</v>
      </c>
      <c r="D167" s="181" t="str">
        <f t="shared" si="4"/>
        <v>Janeiro</v>
      </c>
      <c r="E167" s="182" t="s">
        <v>9560</v>
      </c>
      <c r="F167" s="17" t="s">
        <v>9561</v>
      </c>
      <c r="G167" s="183">
        <v>31707</v>
      </c>
      <c r="H167" s="17" t="s">
        <v>9562</v>
      </c>
      <c r="I167" s="184" t="s">
        <v>9563</v>
      </c>
      <c r="J167" s="17" t="s">
        <v>9564</v>
      </c>
      <c r="K167" s="17" t="s">
        <v>558</v>
      </c>
      <c r="L167" s="17" t="s">
        <v>9294</v>
      </c>
      <c r="M167" s="17">
        <v>15</v>
      </c>
    </row>
    <row r="168" spans="1:14" s="22" customFormat="1">
      <c r="A168" s="536">
        <v>44214</v>
      </c>
      <c r="B168" s="84" t="s">
        <v>2720</v>
      </c>
      <c r="C168" s="17" t="s">
        <v>8929</v>
      </c>
      <c r="D168" s="181" t="str">
        <f t="shared" si="4"/>
        <v>Janeiro</v>
      </c>
      <c r="E168" s="182">
        <v>6409564678</v>
      </c>
      <c r="F168" s="17" t="s">
        <v>9565</v>
      </c>
      <c r="G168" s="183">
        <v>30988</v>
      </c>
      <c r="H168" s="17" t="s">
        <v>9566</v>
      </c>
      <c r="I168" s="184" t="s">
        <v>9567</v>
      </c>
      <c r="J168" s="17" t="s">
        <v>9568</v>
      </c>
      <c r="K168" s="17" t="s">
        <v>1225</v>
      </c>
      <c r="L168" s="17" t="s">
        <v>9569</v>
      </c>
      <c r="M168" s="17">
        <v>10</v>
      </c>
    </row>
    <row r="169" spans="1:14">
      <c r="A169" s="536">
        <v>44214</v>
      </c>
      <c r="B169" s="31" t="s">
        <v>3810</v>
      </c>
      <c r="C169" s="17" t="s">
        <v>8929</v>
      </c>
      <c r="D169" s="181" t="str">
        <f t="shared" si="4"/>
        <v>Janeiro</v>
      </c>
      <c r="E169" s="182">
        <v>12435829604</v>
      </c>
      <c r="F169" s="17" t="s">
        <v>9570</v>
      </c>
      <c r="G169" s="183">
        <v>34292</v>
      </c>
      <c r="H169" s="17" t="s">
        <v>9571</v>
      </c>
      <c r="I169" s="17" t="s">
        <v>9572</v>
      </c>
      <c r="J169" s="17" t="s">
        <v>9573</v>
      </c>
      <c r="K169" s="17" t="s">
        <v>7874</v>
      </c>
      <c r="L169" s="17" t="s">
        <v>8935</v>
      </c>
      <c r="M169" s="17">
        <v>20</v>
      </c>
    </row>
    <row r="170" spans="1:14">
      <c r="A170" s="536">
        <v>44214</v>
      </c>
      <c r="B170" s="16" t="s">
        <v>3806</v>
      </c>
      <c r="C170" s="31" t="s">
        <v>8929</v>
      </c>
      <c r="D170" s="39" t="str">
        <f t="shared" si="4"/>
        <v>Janeiro</v>
      </c>
      <c r="E170" s="143">
        <v>1531244661</v>
      </c>
      <c r="F170" s="39" t="s">
        <v>9574</v>
      </c>
      <c r="G170" s="82">
        <v>33653</v>
      </c>
      <c r="H170" s="39" t="s">
        <v>9575</v>
      </c>
      <c r="I170" s="134" t="s">
        <v>9576</v>
      </c>
      <c r="J170" s="39" t="s">
        <v>9577</v>
      </c>
      <c r="K170" s="39" t="s">
        <v>1347</v>
      </c>
      <c r="L170" s="39" t="s">
        <v>9271</v>
      </c>
      <c r="M170" s="31">
        <v>20</v>
      </c>
    </row>
    <row r="171" spans="1:14">
      <c r="A171" s="536">
        <v>44214</v>
      </c>
      <c r="B171" s="31" t="s">
        <v>3809</v>
      </c>
      <c r="C171" s="31" t="s">
        <v>8929</v>
      </c>
      <c r="D171" s="39" t="str">
        <f t="shared" si="4"/>
        <v>Janeiro</v>
      </c>
      <c r="E171" s="146" t="s">
        <v>9543</v>
      </c>
      <c r="F171" s="81" t="s">
        <v>9578</v>
      </c>
      <c r="G171" s="71">
        <v>28940</v>
      </c>
      <c r="H171" s="70" t="s">
        <v>9544</v>
      </c>
      <c r="I171" s="72" t="s">
        <v>9545</v>
      </c>
      <c r="J171" s="39" t="s">
        <v>9579</v>
      </c>
      <c r="K171" s="39" t="s">
        <v>9580</v>
      </c>
      <c r="L171" s="39" t="s">
        <v>8935</v>
      </c>
      <c r="M171" s="31"/>
    </row>
    <row r="172" spans="1:14">
      <c r="A172" s="536">
        <v>44215</v>
      </c>
      <c r="B172" s="84" t="s">
        <v>3422</v>
      </c>
      <c r="C172" s="31" t="s">
        <v>8929</v>
      </c>
      <c r="D172" s="39" t="str">
        <f t="shared" si="4"/>
        <v>Janeiro</v>
      </c>
      <c r="E172" s="143" t="s">
        <v>9581</v>
      </c>
      <c r="F172" s="31" t="s">
        <v>9582</v>
      </c>
      <c r="G172" s="82">
        <v>26815</v>
      </c>
      <c r="H172" s="31" t="s">
        <v>9583</v>
      </c>
      <c r="I172" s="31" t="s">
        <v>9584</v>
      </c>
      <c r="J172" s="31" t="s">
        <v>9585</v>
      </c>
      <c r="K172" s="31" t="s">
        <v>7817</v>
      </c>
      <c r="L172" s="31" t="s">
        <v>8935</v>
      </c>
      <c r="M172" s="31">
        <v>20</v>
      </c>
    </row>
    <row r="173" spans="1:14">
      <c r="A173" s="536">
        <v>44215</v>
      </c>
      <c r="B173" s="31" t="s">
        <v>3807</v>
      </c>
      <c r="C173" s="31" t="s">
        <v>8929</v>
      </c>
      <c r="D173" s="39" t="str">
        <f t="shared" si="4"/>
        <v>Janeiro</v>
      </c>
      <c r="E173" s="143" t="s">
        <v>9586</v>
      </c>
      <c r="F173" s="138">
        <v>1630858</v>
      </c>
      <c r="G173" s="82">
        <v>22275</v>
      </c>
      <c r="H173" s="31" t="s">
        <v>9587</v>
      </c>
      <c r="I173" s="31"/>
      <c r="J173" s="31" t="s">
        <v>9588</v>
      </c>
      <c r="K173" s="31" t="s">
        <v>558</v>
      </c>
      <c r="L173" s="31" t="s">
        <v>9034</v>
      </c>
      <c r="M173" s="31">
        <v>10</v>
      </c>
    </row>
    <row r="174" spans="1:14">
      <c r="A174" s="536">
        <v>44215</v>
      </c>
      <c r="B174" s="84" t="s">
        <v>9589</v>
      </c>
      <c r="C174" s="31" t="s">
        <v>8929</v>
      </c>
      <c r="D174" s="39" t="str">
        <f t="shared" si="4"/>
        <v>Janeiro</v>
      </c>
      <c r="E174" s="143" t="s">
        <v>9590</v>
      </c>
      <c r="F174" s="31" t="s">
        <v>9591</v>
      </c>
      <c r="G174" s="82">
        <v>35405</v>
      </c>
      <c r="H174" s="31" t="s">
        <v>9592</v>
      </c>
      <c r="I174" s="31"/>
      <c r="J174" s="31" t="s">
        <v>9593</v>
      </c>
      <c r="K174" s="31" t="s">
        <v>7750</v>
      </c>
      <c r="L174" s="31" t="s">
        <v>8940</v>
      </c>
      <c r="M174" s="31">
        <v>20</v>
      </c>
    </row>
    <row r="175" spans="1:14">
      <c r="A175" s="536">
        <v>44215</v>
      </c>
      <c r="B175" s="84" t="s">
        <v>9594</v>
      </c>
      <c r="C175" s="31" t="s">
        <v>8929</v>
      </c>
      <c r="D175" s="39" t="str">
        <f t="shared" si="4"/>
        <v>Janeiro</v>
      </c>
      <c r="E175" s="143" t="s">
        <v>9590</v>
      </c>
      <c r="F175" s="31" t="s">
        <v>9591</v>
      </c>
      <c r="G175" s="82">
        <v>35405</v>
      </c>
      <c r="H175" s="31" t="s">
        <v>9592</v>
      </c>
      <c r="I175" s="31"/>
      <c r="J175" s="31" t="s">
        <v>9595</v>
      </c>
      <c r="K175" s="31" t="s">
        <v>9489</v>
      </c>
      <c r="L175" s="31" t="s">
        <v>8940</v>
      </c>
      <c r="M175" s="31">
        <v>20</v>
      </c>
    </row>
    <row r="176" spans="1:14">
      <c r="A176" s="536">
        <v>44215</v>
      </c>
      <c r="B176" s="84" t="s">
        <v>9596</v>
      </c>
      <c r="C176" s="31" t="s">
        <v>8929</v>
      </c>
      <c r="D176" s="39" t="str">
        <f t="shared" si="4"/>
        <v>Janeiro</v>
      </c>
      <c r="E176" s="143" t="s">
        <v>9590</v>
      </c>
      <c r="F176" s="31" t="s">
        <v>9591</v>
      </c>
      <c r="G176" s="82">
        <v>35405</v>
      </c>
      <c r="H176" s="31" t="s">
        <v>9592</v>
      </c>
      <c r="I176" s="31"/>
      <c r="J176" s="31" t="s">
        <v>9597</v>
      </c>
      <c r="K176" s="31" t="s">
        <v>8578</v>
      </c>
      <c r="L176" s="31" t="s">
        <v>9598</v>
      </c>
      <c r="M176" s="31">
        <v>20</v>
      </c>
    </row>
    <row r="177" spans="1:13">
      <c r="A177" s="536">
        <v>44215</v>
      </c>
      <c r="B177" s="31" t="s">
        <v>9599</v>
      </c>
      <c r="C177" s="31" t="s">
        <v>8929</v>
      </c>
      <c r="D177" s="39" t="str">
        <f t="shared" si="4"/>
        <v>Janeiro</v>
      </c>
      <c r="E177" s="143" t="s">
        <v>9600</v>
      </c>
      <c r="F177" s="31" t="s">
        <v>9601</v>
      </c>
      <c r="G177" s="82">
        <v>14153</v>
      </c>
      <c r="H177" s="31" t="s">
        <v>9602</v>
      </c>
      <c r="I177" s="31" t="s">
        <v>9603</v>
      </c>
      <c r="J177" s="31" t="s">
        <v>9604</v>
      </c>
      <c r="K177" s="31" t="s">
        <v>19</v>
      </c>
      <c r="L177" s="31" t="s">
        <v>9432</v>
      </c>
      <c r="M177" s="31">
        <v>10</v>
      </c>
    </row>
    <row r="178" spans="1:13">
      <c r="A178" s="535">
        <v>44216</v>
      </c>
      <c r="B178" s="84" t="s">
        <v>3804</v>
      </c>
      <c r="C178" s="31" t="s">
        <v>8929</v>
      </c>
      <c r="D178" s="39" t="str">
        <f>$B$147</f>
        <v>Janeiro</v>
      </c>
      <c r="E178" s="143" t="s">
        <v>9605</v>
      </c>
      <c r="F178" s="138">
        <v>22374000</v>
      </c>
      <c r="G178" s="31" t="s">
        <v>9606</v>
      </c>
      <c r="H178" s="39" t="s">
        <v>9607</v>
      </c>
      <c r="I178" s="83" t="s">
        <v>9608</v>
      </c>
      <c r="J178" s="31" t="s">
        <v>9609</v>
      </c>
      <c r="K178" s="39" t="s">
        <v>558</v>
      </c>
      <c r="L178" s="39" t="s">
        <v>8995</v>
      </c>
      <c r="M178" s="31">
        <v>25</v>
      </c>
    </row>
    <row r="179" spans="1:13">
      <c r="A179" s="535">
        <v>44217</v>
      </c>
      <c r="B179" s="84" t="s">
        <v>3802</v>
      </c>
      <c r="C179" s="31" t="s">
        <v>8929</v>
      </c>
      <c r="D179" s="39" t="str">
        <f t="shared" si="4"/>
        <v>Janeiro</v>
      </c>
      <c r="E179" s="143" t="s">
        <v>9610</v>
      </c>
      <c r="F179" s="31">
        <v>832784920041</v>
      </c>
      <c r="G179" s="31"/>
      <c r="H179" s="31" t="s">
        <v>9611</v>
      </c>
      <c r="I179" s="154" t="s">
        <v>9612</v>
      </c>
      <c r="J179" s="31" t="s">
        <v>9613</v>
      </c>
      <c r="K179" s="31" t="s">
        <v>9510</v>
      </c>
      <c r="L179" s="31" t="s">
        <v>9614</v>
      </c>
      <c r="M179" s="31">
        <v>10</v>
      </c>
    </row>
    <row r="180" spans="1:13">
      <c r="A180" s="535">
        <v>44217</v>
      </c>
      <c r="B180" s="84" t="s">
        <v>3802</v>
      </c>
      <c r="C180" s="31" t="s">
        <v>8929</v>
      </c>
      <c r="D180" s="39" t="str">
        <f t="shared" si="4"/>
        <v>Janeiro</v>
      </c>
      <c r="E180" s="143" t="s">
        <v>9610</v>
      </c>
      <c r="F180" s="31">
        <v>832784920041</v>
      </c>
      <c r="G180" s="31"/>
      <c r="H180" s="31" t="s">
        <v>9611</v>
      </c>
      <c r="I180" s="154" t="s">
        <v>9612</v>
      </c>
      <c r="J180" s="31" t="s">
        <v>9615</v>
      </c>
      <c r="K180" s="31" t="s">
        <v>9012</v>
      </c>
      <c r="L180" s="31" t="s">
        <v>9614</v>
      </c>
      <c r="M180" s="31">
        <v>10</v>
      </c>
    </row>
    <row r="181" spans="1:13">
      <c r="A181" s="535">
        <v>44217</v>
      </c>
      <c r="B181" s="84" t="s">
        <v>3802</v>
      </c>
      <c r="C181" s="31" t="s">
        <v>8929</v>
      </c>
      <c r="D181" s="39" t="str">
        <f t="shared" si="4"/>
        <v>Janeiro</v>
      </c>
      <c r="E181" s="143" t="s">
        <v>9610</v>
      </c>
      <c r="F181" s="31">
        <v>832784920041</v>
      </c>
      <c r="G181" s="31"/>
      <c r="H181" s="31" t="s">
        <v>9611</v>
      </c>
      <c r="I181" s="154" t="s">
        <v>9612</v>
      </c>
      <c r="J181" s="31" t="s">
        <v>9616</v>
      </c>
      <c r="K181" s="202" t="s">
        <v>7762</v>
      </c>
      <c r="L181" s="31" t="s">
        <v>9617</v>
      </c>
      <c r="M181" s="31">
        <v>10</v>
      </c>
    </row>
    <row r="182" spans="1:13">
      <c r="A182" s="535">
        <v>44217</v>
      </c>
      <c r="B182" s="84" t="s">
        <v>3802</v>
      </c>
      <c r="C182" s="31" t="s">
        <v>8929</v>
      </c>
      <c r="D182" s="39" t="str">
        <f t="shared" si="4"/>
        <v>Janeiro</v>
      </c>
      <c r="E182" s="143" t="s">
        <v>9610</v>
      </c>
      <c r="F182" s="31">
        <v>832784920041</v>
      </c>
      <c r="G182" s="31"/>
      <c r="H182" s="31" t="s">
        <v>9611</v>
      </c>
      <c r="I182" s="154" t="s">
        <v>9612</v>
      </c>
      <c r="J182" s="31" t="s">
        <v>9618</v>
      </c>
      <c r="K182" s="203" t="s">
        <v>7938</v>
      </c>
      <c r="L182" s="31" t="s">
        <v>9617</v>
      </c>
      <c r="M182" s="31">
        <v>10</v>
      </c>
    </row>
    <row r="183" spans="1:13">
      <c r="A183" s="535">
        <v>44218</v>
      </c>
      <c r="B183" s="31" t="s">
        <v>9619</v>
      </c>
      <c r="C183" s="31" t="s">
        <v>8929</v>
      </c>
      <c r="D183" s="39" t="str">
        <f t="shared" si="4"/>
        <v>Janeiro</v>
      </c>
      <c r="E183" s="31">
        <v>3273371684</v>
      </c>
      <c r="F183" s="31" t="s">
        <v>9620</v>
      </c>
      <c r="G183" s="82">
        <v>28921</v>
      </c>
      <c r="H183" s="31" t="s">
        <v>9621</v>
      </c>
      <c r="I183" s="31"/>
      <c r="J183" s="31" t="s">
        <v>9622</v>
      </c>
      <c r="K183" s="31" t="s">
        <v>7765</v>
      </c>
      <c r="L183" s="31" t="s">
        <v>8935</v>
      </c>
      <c r="M183" s="31">
        <v>10</v>
      </c>
    </row>
    <row r="184" spans="1:13">
      <c r="A184" s="535">
        <v>44221</v>
      </c>
      <c r="B184" s="31" t="s">
        <v>9623</v>
      </c>
      <c r="C184" s="31" t="s">
        <v>8929</v>
      </c>
      <c r="D184" s="39" t="str">
        <f t="shared" si="4"/>
        <v>Janeiro</v>
      </c>
      <c r="E184" s="31">
        <v>29199053845</v>
      </c>
      <c r="F184" s="31">
        <v>282233891</v>
      </c>
      <c r="G184" s="82">
        <v>29379</v>
      </c>
      <c r="H184" s="31" t="s">
        <v>9624</v>
      </c>
      <c r="I184" s="31"/>
      <c r="J184" s="31" t="s">
        <v>9625</v>
      </c>
      <c r="K184" s="31" t="s">
        <v>7853</v>
      </c>
      <c r="L184" s="31" t="s">
        <v>9171</v>
      </c>
      <c r="M184" s="31">
        <v>10</v>
      </c>
    </row>
    <row r="185" spans="1:13">
      <c r="A185" s="537">
        <v>44221</v>
      </c>
      <c r="B185" s="164" t="s">
        <v>3053</v>
      </c>
      <c r="C185" s="31" t="s">
        <v>8929</v>
      </c>
      <c r="D185" t="s">
        <v>7634</v>
      </c>
      <c r="E185">
        <v>13474786636</v>
      </c>
      <c r="F185" t="s">
        <v>9626</v>
      </c>
      <c r="G185" s="163">
        <v>36281</v>
      </c>
      <c r="H185">
        <v>35984769714</v>
      </c>
      <c r="J185" s="164" t="s">
        <v>9627</v>
      </c>
      <c r="K185" s="164" t="s">
        <v>7765</v>
      </c>
      <c r="L185" s="164" t="s">
        <v>8995</v>
      </c>
      <c r="M185" s="31">
        <v>10</v>
      </c>
    </row>
    <row r="186" spans="1:13">
      <c r="A186" s="535">
        <v>44221</v>
      </c>
      <c r="B186" s="31" t="s">
        <v>9628</v>
      </c>
      <c r="C186" s="31" t="s">
        <v>8929</v>
      </c>
      <c r="D186" s="39" t="str">
        <f t="shared" si="4"/>
        <v>Janeiro</v>
      </c>
      <c r="E186" s="31">
        <v>11700683675</v>
      </c>
      <c r="F186" s="31">
        <v>20722430</v>
      </c>
      <c r="G186" s="163">
        <v>36828</v>
      </c>
      <c r="H186" s="82" t="s">
        <v>9629</v>
      </c>
      <c r="I186" s="31" t="s">
        <v>9630</v>
      </c>
      <c r="J186" s="31" t="s">
        <v>9631</v>
      </c>
      <c r="K186" s="31" t="s">
        <v>7750</v>
      </c>
      <c r="L186" s="31" t="s">
        <v>8935</v>
      </c>
      <c r="M186" s="31">
        <v>25</v>
      </c>
    </row>
    <row r="187" spans="1:13">
      <c r="A187" s="535">
        <v>44222</v>
      </c>
      <c r="B187" s="16" t="s">
        <v>9632</v>
      </c>
      <c r="C187" s="39" t="s">
        <v>8929</v>
      </c>
      <c r="D187" s="39" t="str">
        <f>$B$147</f>
        <v>Janeiro</v>
      </c>
      <c r="E187" s="16" t="s">
        <v>9368</v>
      </c>
      <c r="F187" s="165">
        <v>38478280081</v>
      </c>
      <c r="G187" s="31"/>
      <c r="H187" s="31" t="s">
        <v>9633</v>
      </c>
      <c r="I187" s="31"/>
      <c r="J187" s="39" t="s">
        <v>9634</v>
      </c>
      <c r="K187" s="39" t="s">
        <v>1225</v>
      </c>
      <c r="L187" s="39" t="s">
        <v>8935</v>
      </c>
      <c r="M187" s="31">
        <v>20</v>
      </c>
    </row>
    <row r="188" spans="1:13">
      <c r="A188" s="535">
        <v>44222</v>
      </c>
      <c r="B188" s="84" t="s">
        <v>4904</v>
      </c>
      <c r="C188" s="31" t="s">
        <v>8929</v>
      </c>
      <c r="D188" s="39" t="str">
        <f t="shared" si="4"/>
        <v>Janeiro</v>
      </c>
      <c r="E188" s="31" t="s">
        <v>9635</v>
      </c>
      <c r="F188" s="31" t="s">
        <v>9636</v>
      </c>
      <c r="G188" s="82">
        <v>25738</v>
      </c>
      <c r="H188" s="31" t="s">
        <v>9637</v>
      </c>
      <c r="I188" s="154" t="s">
        <v>9638</v>
      </c>
      <c r="J188" s="31" t="s">
        <v>9639</v>
      </c>
      <c r="K188" s="31" t="s">
        <v>9510</v>
      </c>
      <c r="L188" s="31" t="s">
        <v>9319</v>
      </c>
      <c r="M188" s="31">
        <v>25</v>
      </c>
    </row>
    <row r="189" spans="1:13">
      <c r="A189" s="535">
        <v>44223</v>
      </c>
      <c r="B189" s="84" t="s">
        <v>3800</v>
      </c>
      <c r="C189" s="31" t="s">
        <v>8929</v>
      </c>
      <c r="D189" s="39" t="str">
        <f t="shared" si="4"/>
        <v>Janeiro</v>
      </c>
      <c r="E189" s="31">
        <v>6036145667</v>
      </c>
      <c r="F189" s="31" t="s">
        <v>9640</v>
      </c>
      <c r="G189" s="82">
        <v>29515</v>
      </c>
      <c r="H189" s="31" t="s">
        <v>9641</v>
      </c>
      <c r="I189" s="31" t="s">
        <v>9642</v>
      </c>
      <c r="J189" s="31" t="s">
        <v>9643</v>
      </c>
      <c r="K189" s="31" t="s">
        <v>7874</v>
      </c>
      <c r="L189" s="31" t="s">
        <v>9294</v>
      </c>
      <c r="M189" s="31">
        <v>10</v>
      </c>
    </row>
    <row r="190" spans="1:13">
      <c r="A190" s="535">
        <v>44224</v>
      </c>
      <c r="B190" s="31" t="s">
        <v>3799</v>
      </c>
      <c r="C190" s="31" t="s">
        <v>8929</v>
      </c>
      <c r="D190" s="39" t="str">
        <f t="shared" si="4"/>
        <v>Janeiro</v>
      </c>
      <c r="E190" s="31" t="s">
        <v>9644</v>
      </c>
      <c r="F190" s="31" t="s">
        <v>9645</v>
      </c>
      <c r="G190" s="31" t="s">
        <v>9646</v>
      </c>
      <c r="H190" s="31" t="s">
        <v>9647</v>
      </c>
      <c r="I190" s="83" t="s">
        <v>9648</v>
      </c>
      <c r="J190" s="31" t="s">
        <v>9649</v>
      </c>
      <c r="K190" s="31" t="s">
        <v>1225</v>
      </c>
      <c r="L190" s="31" t="s">
        <v>9034</v>
      </c>
      <c r="M190" s="31">
        <v>20</v>
      </c>
    </row>
    <row r="191" spans="1:13">
      <c r="A191" s="535">
        <v>44224</v>
      </c>
      <c r="B191" s="84" t="s">
        <v>3798</v>
      </c>
      <c r="C191" s="31" t="s">
        <v>8929</v>
      </c>
      <c r="D191" t="s">
        <v>7634</v>
      </c>
      <c r="E191" s="31">
        <v>2561916464</v>
      </c>
      <c r="F191" s="31" t="s">
        <v>9650</v>
      </c>
      <c r="G191" s="82">
        <v>28061</v>
      </c>
      <c r="H191" s="31" t="s">
        <v>9651</v>
      </c>
      <c r="I191" s="31" t="s">
        <v>9652</v>
      </c>
      <c r="J191" s="31" t="s">
        <v>9653</v>
      </c>
      <c r="K191" s="31" t="s">
        <v>1225</v>
      </c>
      <c r="L191" s="31" t="s">
        <v>8940</v>
      </c>
      <c r="M191" s="31">
        <v>10</v>
      </c>
    </row>
    <row r="192" spans="1:13">
      <c r="A192" s="535">
        <v>44224</v>
      </c>
      <c r="B192" s="84" t="s">
        <v>9654</v>
      </c>
      <c r="C192" s="31" t="s">
        <v>8929</v>
      </c>
      <c r="D192" s="39" t="str">
        <f t="shared" si="4"/>
        <v>Janeiro</v>
      </c>
      <c r="E192" s="31">
        <v>37509431000198</v>
      </c>
      <c r="F192" s="31" t="s">
        <v>9655</v>
      </c>
      <c r="H192" s="31" t="s">
        <v>9656</v>
      </c>
      <c r="I192" s="31" t="s">
        <v>9657</v>
      </c>
      <c r="J192" s="31" t="s">
        <v>9658</v>
      </c>
      <c r="K192" s="31" t="s">
        <v>9659</v>
      </c>
      <c r="L192" s="31" t="s">
        <v>8940</v>
      </c>
      <c r="M192" s="31">
        <v>15</v>
      </c>
    </row>
    <row r="193" spans="1:14">
      <c r="A193" s="535">
        <v>44225</v>
      </c>
      <c r="B193" s="39" t="s">
        <v>9660</v>
      </c>
      <c r="C193" s="31" t="s">
        <v>8929</v>
      </c>
      <c r="D193" s="39" t="str">
        <f>$B$147</f>
        <v>Janeiro</v>
      </c>
      <c r="E193" s="31"/>
      <c r="F193" s="31"/>
      <c r="G193" s="31"/>
      <c r="H193" s="31" t="s">
        <v>9661</v>
      </c>
      <c r="I193" s="31"/>
      <c r="J193" s="31"/>
      <c r="K193" s="31"/>
      <c r="L193" s="31"/>
      <c r="M193" s="31"/>
    </row>
    <row r="194" spans="1:14">
      <c r="A194" s="535">
        <v>44225</v>
      </c>
      <c r="B194" s="39" t="s">
        <v>9662</v>
      </c>
      <c r="C194" s="31" t="s">
        <v>8929</v>
      </c>
      <c r="D194" s="39" t="str">
        <f t="shared" si="4"/>
        <v>Janeiro</v>
      </c>
      <c r="E194" s="31"/>
      <c r="F194" s="31"/>
      <c r="G194" s="31"/>
      <c r="H194" s="31" t="s">
        <v>9661</v>
      </c>
      <c r="I194" s="31"/>
      <c r="J194" s="31"/>
      <c r="K194" s="31"/>
      <c r="L194" s="31"/>
      <c r="M194" s="31"/>
    </row>
    <row r="195" spans="1:14">
      <c r="A195" s="535">
        <v>44225</v>
      </c>
      <c r="B195" s="84" t="s">
        <v>2953</v>
      </c>
      <c r="C195" s="31" t="s">
        <v>8929</v>
      </c>
      <c r="D195" s="39" t="str">
        <f t="shared" si="4"/>
        <v>Janeiro</v>
      </c>
      <c r="E195" s="31" t="s">
        <v>9663</v>
      </c>
      <c r="F195" s="31" t="s">
        <v>9664</v>
      </c>
      <c r="G195" s="163">
        <v>28131</v>
      </c>
      <c r="H195" s="31" t="s">
        <v>9665</v>
      </c>
      <c r="I195" s="31"/>
      <c r="J195" s="31" t="s">
        <v>9666</v>
      </c>
      <c r="K195" s="31" t="s">
        <v>8578</v>
      </c>
      <c r="L195" s="31" t="s">
        <v>8935</v>
      </c>
      <c r="M195" s="31">
        <v>10</v>
      </c>
    </row>
    <row r="196" spans="1:14">
      <c r="A196" s="535">
        <v>44225</v>
      </c>
      <c r="B196" s="84" t="s">
        <v>2953</v>
      </c>
      <c r="C196" s="31" t="s">
        <v>8929</v>
      </c>
      <c r="D196" s="39" t="str">
        <f t="shared" si="4"/>
        <v>Janeiro</v>
      </c>
      <c r="E196" s="31" t="s">
        <v>9663</v>
      </c>
      <c r="F196" s="31" t="s">
        <v>9664</v>
      </c>
      <c r="G196" s="163">
        <v>28131</v>
      </c>
      <c r="H196" s="31" t="s">
        <v>9665</v>
      </c>
      <c r="I196" s="31"/>
      <c r="J196" s="31" t="s">
        <v>9667</v>
      </c>
      <c r="K196" s="31" t="s">
        <v>7784</v>
      </c>
      <c r="L196" s="31" t="s">
        <v>8935</v>
      </c>
      <c r="M196" s="31">
        <v>10</v>
      </c>
    </row>
    <row r="197" spans="1:14">
      <c r="A197" s="535">
        <v>44225</v>
      </c>
      <c r="B197" s="84" t="s">
        <v>3015</v>
      </c>
      <c r="C197" s="31" t="s">
        <v>8929</v>
      </c>
      <c r="D197" s="39" t="str">
        <f t="shared" si="4"/>
        <v>Janeiro</v>
      </c>
      <c r="E197" s="31">
        <v>5285071682</v>
      </c>
      <c r="F197" s="31" t="s">
        <v>9668</v>
      </c>
      <c r="G197" s="82">
        <v>29760</v>
      </c>
      <c r="H197" s="31">
        <v>35998451543</v>
      </c>
      <c r="I197" s="154" t="s">
        <v>9669</v>
      </c>
      <c r="J197" s="31" t="s">
        <v>9670</v>
      </c>
      <c r="K197" s="31" t="s">
        <v>7771</v>
      </c>
      <c r="L197" s="31" t="s">
        <v>9671</v>
      </c>
      <c r="M197" s="31">
        <v>15</v>
      </c>
    </row>
    <row r="198" spans="1:14">
      <c r="A198" s="535">
        <v>44225</v>
      </c>
      <c r="B198" s="84" t="s">
        <v>9672</v>
      </c>
      <c r="C198" s="31" t="s">
        <v>8929</v>
      </c>
      <c r="D198" s="39" t="str">
        <f>$B$147</f>
        <v>Janeiro</v>
      </c>
      <c r="E198" s="31"/>
      <c r="F198" s="31"/>
      <c r="G198" s="31"/>
      <c r="H198" s="31">
        <v>35998451543</v>
      </c>
      <c r="I198" s="31"/>
      <c r="J198" s="31"/>
      <c r="K198" s="31"/>
      <c r="L198" s="31"/>
      <c r="M198" s="31"/>
    </row>
    <row r="199" spans="1:14">
      <c r="A199" s="535">
        <v>44225</v>
      </c>
      <c r="B199" s="84" t="s">
        <v>3015</v>
      </c>
      <c r="C199" s="31" t="s">
        <v>8929</v>
      </c>
      <c r="D199" s="39" t="str">
        <f t="shared" si="4"/>
        <v>Janeiro</v>
      </c>
      <c r="E199" s="31"/>
      <c r="F199" s="31"/>
      <c r="G199" s="31"/>
      <c r="H199" s="31">
        <v>35998451543</v>
      </c>
      <c r="I199" s="31"/>
      <c r="J199" s="31"/>
      <c r="K199" s="31"/>
      <c r="L199" s="31"/>
      <c r="M199" s="31"/>
    </row>
    <row r="200" spans="1:14">
      <c r="A200" s="535"/>
      <c r="B200" s="176" t="s">
        <v>7656</v>
      </c>
      <c r="C200" s="17"/>
      <c r="D200" s="17"/>
      <c r="E200" s="22"/>
      <c r="F200" s="22"/>
      <c r="G200" s="22"/>
      <c r="H200" s="22"/>
      <c r="I200" s="22"/>
      <c r="J200" s="22"/>
      <c r="K200" s="22"/>
      <c r="L200" s="22"/>
      <c r="M200" s="22"/>
    </row>
    <row r="201" spans="1:14">
      <c r="A201" s="535">
        <v>44229</v>
      </c>
      <c r="B201" s="31" t="s">
        <v>2874</v>
      </c>
      <c r="C201" s="31" t="s">
        <v>8929</v>
      </c>
      <c r="D201" s="39" t="s">
        <v>7656</v>
      </c>
      <c r="E201" s="31">
        <v>11697748651</v>
      </c>
      <c r="F201" s="31" t="s">
        <v>9673</v>
      </c>
      <c r="G201" s="82">
        <v>35771</v>
      </c>
      <c r="H201" s="31">
        <v>997473373</v>
      </c>
      <c r="I201" s="31" t="s">
        <v>9674</v>
      </c>
      <c r="J201" s="31" t="s">
        <v>9675</v>
      </c>
      <c r="K201" s="31" t="s">
        <v>7817</v>
      </c>
      <c r="L201" s="31" t="s">
        <v>9432</v>
      </c>
      <c r="M201" s="31">
        <v>25</v>
      </c>
    </row>
    <row r="202" spans="1:14">
      <c r="A202" s="535">
        <v>44229</v>
      </c>
      <c r="B202" s="31" t="s">
        <v>3795</v>
      </c>
      <c r="C202" s="31" t="s">
        <v>8929</v>
      </c>
      <c r="D202" s="39" t="s">
        <v>7656</v>
      </c>
      <c r="E202" s="31" t="s">
        <v>9676</v>
      </c>
      <c r="F202" s="31" t="s">
        <v>9677</v>
      </c>
      <c r="G202" s="82">
        <v>32717</v>
      </c>
      <c r="H202" s="31" t="s">
        <v>4909</v>
      </c>
      <c r="I202" s="31" t="s">
        <v>9678</v>
      </c>
      <c r="J202" s="31" t="s">
        <v>9679</v>
      </c>
      <c r="K202" s="31" t="s">
        <v>7874</v>
      </c>
      <c r="L202" s="31" t="s">
        <v>8935</v>
      </c>
      <c r="M202" s="31">
        <v>10</v>
      </c>
    </row>
    <row r="203" spans="1:14">
      <c r="A203" s="535">
        <v>44230</v>
      </c>
      <c r="B203" s="133" t="s">
        <v>9680</v>
      </c>
      <c r="C203" s="31" t="s">
        <v>8929</v>
      </c>
      <c r="D203" s="39" t="s">
        <v>7656</v>
      </c>
      <c r="E203" s="31" t="s">
        <v>9681</v>
      </c>
      <c r="F203" s="31"/>
      <c r="G203" s="82">
        <v>30656</v>
      </c>
      <c r="H203" s="31" t="s">
        <v>9682</v>
      </c>
      <c r="I203" s="31" t="s">
        <v>9683</v>
      </c>
      <c r="J203" s="31" t="s">
        <v>9684</v>
      </c>
      <c r="K203" s="31" t="s">
        <v>7886</v>
      </c>
      <c r="L203" s="31" t="s">
        <v>8940</v>
      </c>
      <c r="M203" s="31">
        <v>15</v>
      </c>
      <c r="N203" s="164" t="s">
        <v>9685</v>
      </c>
    </row>
    <row r="204" spans="1:14">
      <c r="A204" s="535">
        <v>44230</v>
      </c>
      <c r="B204" s="85" t="s">
        <v>9074</v>
      </c>
      <c r="C204" s="31" t="s">
        <v>8929</v>
      </c>
      <c r="D204" s="39" t="s">
        <v>7656</v>
      </c>
      <c r="E204" s="46" t="s">
        <v>9075</v>
      </c>
      <c r="F204" s="35" t="s">
        <v>9076</v>
      </c>
      <c r="G204" s="43">
        <v>23007</v>
      </c>
      <c r="H204" s="35" t="s">
        <v>9077</v>
      </c>
      <c r="I204" s="44" t="s">
        <v>9078</v>
      </c>
      <c r="J204" s="35" t="s">
        <v>9686</v>
      </c>
      <c r="K204" s="35" t="s">
        <v>558</v>
      </c>
      <c r="L204" s="35" t="s">
        <v>8940</v>
      </c>
      <c r="M204" s="35">
        <v>10</v>
      </c>
    </row>
    <row r="205" spans="1:14">
      <c r="A205" s="535">
        <v>44230</v>
      </c>
      <c r="B205" s="31" t="s">
        <v>3786</v>
      </c>
      <c r="C205" s="31" t="s">
        <v>8929</v>
      </c>
      <c r="D205" s="39" t="s">
        <v>7656</v>
      </c>
      <c r="E205" s="31">
        <v>13677564646</v>
      </c>
      <c r="F205" s="31" t="s">
        <v>9687</v>
      </c>
      <c r="G205" s="82">
        <v>35985</v>
      </c>
      <c r="H205" s="31" t="s">
        <v>9688</v>
      </c>
      <c r="I205" s="31" t="s">
        <v>9689</v>
      </c>
      <c r="J205" s="31" t="s">
        <v>9690</v>
      </c>
      <c r="K205" s="31" t="s">
        <v>7886</v>
      </c>
      <c r="L205" s="31" t="s">
        <v>9188</v>
      </c>
      <c r="M205" s="31">
        <v>15</v>
      </c>
      <c r="N205" s="164" t="s">
        <v>9685</v>
      </c>
    </row>
    <row r="206" spans="1:14">
      <c r="A206" s="535">
        <v>44231</v>
      </c>
      <c r="B206" s="31" t="s">
        <v>9691</v>
      </c>
      <c r="C206" s="31" t="s">
        <v>8929</v>
      </c>
      <c r="D206" s="39" t="s">
        <v>7656</v>
      </c>
      <c r="E206" s="31">
        <v>38555558859</v>
      </c>
      <c r="F206" s="31">
        <v>23034657</v>
      </c>
      <c r="G206" s="31">
        <v>18061986</v>
      </c>
      <c r="H206" s="31">
        <v>35998647855</v>
      </c>
      <c r="I206" s="83" t="s">
        <v>9692</v>
      </c>
      <c r="J206" s="31" t="s">
        <v>9693</v>
      </c>
      <c r="K206" s="31" t="s">
        <v>9694</v>
      </c>
      <c r="L206" s="31" t="s">
        <v>8935</v>
      </c>
      <c r="M206" s="31">
        <v>15</v>
      </c>
    </row>
    <row r="207" spans="1:14">
      <c r="A207" s="535">
        <v>44231</v>
      </c>
      <c r="B207" s="84" t="s">
        <v>3793</v>
      </c>
      <c r="C207" s="31" t="s">
        <v>8929</v>
      </c>
      <c r="D207" s="39" t="s">
        <v>7656</v>
      </c>
      <c r="E207" s="31" t="s">
        <v>9695</v>
      </c>
      <c r="F207" s="31" t="s">
        <v>9696</v>
      </c>
      <c r="G207" s="82">
        <v>31211</v>
      </c>
      <c r="H207" s="31" t="s">
        <v>9697</v>
      </c>
      <c r="I207" s="83" t="s">
        <v>9698</v>
      </c>
      <c r="J207" s="31" t="s">
        <v>9699</v>
      </c>
      <c r="K207" s="31" t="s">
        <v>1347</v>
      </c>
      <c r="L207" s="31" t="s">
        <v>8940</v>
      </c>
      <c r="M207" s="31">
        <v>15</v>
      </c>
    </row>
    <row r="208" spans="1:14">
      <c r="A208" s="535">
        <v>44235</v>
      </c>
      <c r="B208" s="31" t="s">
        <v>9700</v>
      </c>
      <c r="C208" s="31" t="s">
        <v>8929</v>
      </c>
      <c r="D208" s="39" t="s">
        <v>7656</v>
      </c>
      <c r="E208" s="31">
        <v>340378867</v>
      </c>
      <c r="F208" s="31">
        <v>11570297</v>
      </c>
      <c r="G208" s="31">
        <v>17011977</v>
      </c>
      <c r="H208" s="31" t="s">
        <v>9701</v>
      </c>
      <c r="I208" s="83" t="s">
        <v>9702</v>
      </c>
      <c r="J208" s="31" t="s">
        <v>9703</v>
      </c>
      <c r="K208" s="31" t="s">
        <v>9704</v>
      </c>
      <c r="L208" s="31" t="s">
        <v>8935</v>
      </c>
      <c r="M208" s="31">
        <v>25</v>
      </c>
    </row>
    <row r="209" spans="1:14">
      <c r="A209" s="535">
        <v>44235</v>
      </c>
      <c r="B209" s="84" t="s">
        <v>9705</v>
      </c>
      <c r="C209" s="31" t="s">
        <v>8929</v>
      </c>
      <c r="D209" s="39" t="s">
        <v>7656</v>
      </c>
      <c r="E209" s="31">
        <v>40581305000159</v>
      </c>
      <c r="F209" s="31" t="s">
        <v>9706</v>
      </c>
      <c r="G209" s="31"/>
      <c r="H209" s="31" t="s">
        <v>9707</v>
      </c>
      <c r="I209" s="83" t="s">
        <v>9708</v>
      </c>
      <c r="J209" s="31" t="s">
        <v>9709</v>
      </c>
      <c r="K209" s="31" t="s">
        <v>9510</v>
      </c>
      <c r="L209" s="31" t="s">
        <v>9290</v>
      </c>
      <c r="M209" s="31">
        <v>10</v>
      </c>
      <c r="N209" s="164" t="s">
        <v>9710</v>
      </c>
    </row>
    <row r="210" spans="1:14">
      <c r="A210" s="535">
        <v>44235</v>
      </c>
      <c r="B210" s="31" t="s">
        <v>3792</v>
      </c>
      <c r="C210" s="39" t="s">
        <v>8929</v>
      </c>
      <c r="D210" s="39" t="s">
        <v>7656</v>
      </c>
      <c r="E210" s="31" t="s">
        <v>9711</v>
      </c>
      <c r="F210" s="31" t="s">
        <v>9712</v>
      </c>
      <c r="G210" s="82">
        <v>31910</v>
      </c>
      <c r="H210" s="31">
        <v>35997084775</v>
      </c>
      <c r="I210" s="31" t="s">
        <v>9713</v>
      </c>
      <c r="J210" s="31" t="s">
        <v>9714</v>
      </c>
      <c r="K210" s="31" t="s">
        <v>1225</v>
      </c>
      <c r="L210" s="31" t="s">
        <v>9715</v>
      </c>
      <c r="M210" s="31">
        <v>25</v>
      </c>
      <c r="N210">
        <v>100</v>
      </c>
    </row>
    <row r="211" spans="1:14">
      <c r="A211" s="535">
        <v>44235</v>
      </c>
      <c r="B211" s="31" t="s">
        <v>3787</v>
      </c>
      <c r="C211" s="39" t="s">
        <v>8929</v>
      </c>
      <c r="D211" s="39" t="s">
        <v>7656</v>
      </c>
      <c r="E211" s="31">
        <v>5122410666</v>
      </c>
      <c r="F211" s="31" t="s">
        <v>9716</v>
      </c>
      <c r="G211" s="82">
        <v>29956</v>
      </c>
      <c r="H211" s="31">
        <v>35997409645</v>
      </c>
      <c r="I211" s="31" t="s">
        <v>9717</v>
      </c>
      <c r="J211" s="31" t="s">
        <v>9718</v>
      </c>
      <c r="K211" s="31" t="s">
        <v>1225</v>
      </c>
      <c r="L211" s="31" t="s">
        <v>8940</v>
      </c>
      <c r="M211" s="31">
        <v>15</v>
      </c>
    </row>
    <row r="212" spans="1:14">
      <c r="A212" s="535">
        <v>44235</v>
      </c>
      <c r="B212" s="17" t="s">
        <v>2857</v>
      </c>
      <c r="C212" s="31" t="s">
        <v>8929</v>
      </c>
      <c r="D212" s="39" t="s">
        <v>7656</v>
      </c>
      <c r="E212" s="31">
        <v>10539226637</v>
      </c>
      <c r="F212" s="31">
        <v>17885567</v>
      </c>
      <c r="G212" s="82">
        <v>32518</v>
      </c>
      <c r="H212" s="31">
        <v>998891871</v>
      </c>
      <c r="I212" s="31" t="s">
        <v>9719</v>
      </c>
      <c r="J212" s="31" t="s">
        <v>9720</v>
      </c>
      <c r="K212" s="31" t="s">
        <v>7874</v>
      </c>
      <c r="L212" s="31"/>
      <c r="M212" s="31"/>
    </row>
    <row r="213" spans="1:14">
      <c r="A213" s="535">
        <v>44236</v>
      </c>
      <c r="B213" s="31" t="s">
        <v>9721</v>
      </c>
      <c r="C213" s="31" t="s">
        <v>8929</v>
      </c>
      <c r="D213" s="39" t="s">
        <v>7656</v>
      </c>
      <c r="E213" s="31" t="s">
        <v>9722</v>
      </c>
      <c r="F213" s="31" t="s">
        <v>9723</v>
      </c>
      <c r="G213" s="82">
        <v>29359</v>
      </c>
      <c r="H213" s="31">
        <v>35998240415</v>
      </c>
      <c r="I213" s="31" t="s">
        <v>9724</v>
      </c>
      <c r="J213" s="31" t="s">
        <v>9725</v>
      </c>
      <c r="K213" s="31" t="s">
        <v>1225</v>
      </c>
      <c r="L213" s="31" t="s">
        <v>8935</v>
      </c>
      <c r="M213" s="31">
        <v>15</v>
      </c>
    </row>
    <row r="214" spans="1:14">
      <c r="A214" s="535">
        <v>44236</v>
      </c>
      <c r="B214" s="31" t="s">
        <v>4066</v>
      </c>
      <c r="C214" s="31" t="s">
        <v>8929</v>
      </c>
      <c r="D214" s="39" t="s">
        <v>7656</v>
      </c>
      <c r="E214" s="31" t="s">
        <v>7752</v>
      </c>
      <c r="F214" s="31" t="s">
        <v>9726</v>
      </c>
      <c r="G214" s="82">
        <v>36275</v>
      </c>
      <c r="H214" s="31">
        <v>35999327431</v>
      </c>
      <c r="I214" s="31" t="s">
        <v>9727</v>
      </c>
      <c r="J214" s="31" t="s">
        <v>9728</v>
      </c>
      <c r="K214" s="31" t="s">
        <v>558</v>
      </c>
      <c r="L214" s="31" t="s">
        <v>9171</v>
      </c>
      <c r="M214" s="31">
        <v>5</v>
      </c>
    </row>
    <row r="215" spans="1:14">
      <c r="A215" s="535">
        <v>44237</v>
      </c>
      <c r="B215" s="31" t="s">
        <v>3790</v>
      </c>
      <c r="C215" s="31" t="s">
        <v>8929</v>
      </c>
      <c r="D215" s="39" t="s">
        <v>7656</v>
      </c>
      <c r="E215" s="31">
        <v>3000607501</v>
      </c>
      <c r="F215" s="31">
        <v>1443330582</v>
      </c>
      <c r="G215" s="31">
        <v>16051989</v>
      </c>
      <c r="H215" s="31" t="s">
        <v>9729</v>
      </c>
      <c r="I215" s="83" t="s">
        <v>9730</v>
      </c>
      <c r="J215" s="31" t="s">
        <v>9731</v>
      </c>
      <c r="K215" s="31" t="s">
        <v>8345</v>
      </c>
      <c r="L215" s="31" t="s">
        <v>9432</v>
      </c>
      <c r="M215" s="31">
        <v>15</v>
      </c>
    </row>
    <row r="216" spans="1:14">
      <c r="A216" s="535">
        <v>44237</v>
      </c>
      <c r="B216" s="84" t="s">
        <v>9732</v>
      </c>
      <c r="C216" s="31" t="s">
        <v>8929</v>
      </c>
      <c r="D216" s="39" t="s">
        <v>7656</v>
      </c>
      <c r="E216" s="31" t="s">
        <v>9733</v>
      </c>
      <c r="F216" s="138">
        <v>11236003</v>
      </c>
      <c r="G216" s="82">
        <v>30545</v>
      </c>
      <c r="H216" s="31" t="s">
        <v>9734</v>
      </c>
      <c r="I216" s="31" t="s">
        <v>9735</v>
      </c>
      <c r="J216" s="31" t="s">
        <v>9736</v>
      </c>
      <c r="K216" s="31" t="s">
        <v>7886</v>
      </c>
      <c r="L216" s="31" t="s">
        <v>8940</v>
      </c>
      <c r="M216" s="31">
        <v>10</v>
      </c>
      <c r="N216" s="164" t="s">
        <v>9685</v>
      </c>
    </row>
    <row r="217" spans="1:14">
      <c r="A217" s="535">
        <v>44238</v>
      </c>
      <c r="B217" s="17" t="s">
        <v>3789</v>
      </c>
      <c r="C217" s="31" t="s">
        <v>8929</v>
      </c>
      <c r="D217" s="39" t="s">
        <v>7656</v>
      </c>
      <c r="E217" s="31">
        <v>62312898691</v>
      </c>
      <c r="F217" s="138">
        <v>532840380</v>
      </c>
      <c r="G217" s="82">
        <v>16472</v>
      </c>
      <c r="H217" s="31">
        <v>35999694473</v>
      </c>
      <c r="I217" s="31"/>
      <c r="J217" s="31" t="s">
        <v>9737</v>
      </c>
      <c r="K217" s="31" t="s">
        <v>558</v>
      </c>
      <c r="L217" s="31" t="s">
        <v>8935</v>
      </c>
      <c r="M217" s="31">
        <v>10</v>
      </c>
    </row>
    <row r="218" spans="1:14">
      <c r="A218" s="535">
        <v>44238</v>
      </c>
      <c r="B218" s="17" t="s">
        <v>9738</v>
      </c>
      <c r="C218" s="31" t="s">
        <v>8929</v>
      </c>
      <c r="D218" s="39" t="s">
        <v>7656</v>
      </c>
      <c r="E218" s="31">
        <v>2026231656</v>
      </c>
      <c r="F218" s="138" t="s">
        <v>9739</v>
      </c>
      <c r="G218" s="82">
        <v>28342</v>
      </c>
      <c r="H218" s="31">
        <v>35998384658</v>
      </c>
      <c r="I218" s="31"/>
      <c r="J218" s="31" t="s">
        <v>9740</v>
      </c>
      <c r="K218" s="31" t="s">
        <v>7750</v>
      </c>
      <c r="L218" s="31" t="s">
        <v>8940</v>
      </c>
      <c r="M218" s="31">
        <v>25</v>
      </c>
    </row>
    <row r="219" spans="1:14">
      <c r="A219" s="535">
        <v>44238</v>
      </c>
      <c r="B219" s="17" t="s">
        <v>9741</v>
      </c>
      <c r="C219" s="31" t="s">
        <v>8929</v>
      </c>
      <c r="D219" s="39" t="s">
        <v>7656</v>
      </c>
      <c r="E219" s="31"/>
      <c r="F219" s="138"/>
      <c r="G219" s="82"/>
      <c r="H219" s="31"/>
      <c r="J219" s="31"/>
      <c r="K219" s="31"/>
      <c r="L219" s="31"/>
      <c r="M219" s="31"/>
    </row>
    <row r="220" spans="1:14">
      <c r="A220" s="535">
        <v>44239</v>
      </c>
      <c r="B220" s="17" t="s">
        <v>3785</v>
      </c>
      <c r="C220" s="31" t="s">
        <v>8929</v>
      </c>
      <c r="D220" s="39" t="s">
        <v>7656</v>
      </c>
      <c r="E220" s="31" t="s">
        <v>9742</v>
      </c>
      <c r="F220" s="138" t="s">
        <v>9743</v>
      </c>
      <c r="G220" s="82">
        <v>30589</v>
      </c>
      <c r="H220" s="31" t="s">
        <v>9744</v>
      </c>
      <c r="I220" s="31" t="s">
        <v>9745</v>
      </c>
      <c r="J220" s="31" t="s">
        <v>9746</v>
      </c>
      <c r="K220" s="31" t="s">
        <v>9510</v>
      </c>
      <c r="L220" s="31" t="s">
        <v>9614</v>
      </c>
      <c r="M220" s="31">
        <v>15</v>
      </c>
    </row>
    <row r="221" spans="1:14">
      <c r="A221" s="535">
        <v>44239</v>
      </c>
      <c r="B221" s="17" t="s">
        <v>9747</v>
      </c>
      <c r="C221" s="31" t="s">
        <v>8929</v>
      </c>
      <c r="D221" s="39" t="s">
        <v>7656</v>
      </c>
      <c r="E221" s="31">
        <v>8353924650</v>
      </c>
      <c r="F221" s="138">
        <v>15361662</v>
      </c>
      <c r="G221" s="82">
        <v>31565</v>
      </c>
      <c r="H221" s="31" t="s">
        <v>9748</v>
      </c>
      <c r="I221" s="31" t="s">
        <v>9749</v>
      </c>
      <c r="J221" s="31" t="s">
        <v>9750</v>
      </c>
      <c r="K221" s="31" t="s">
        <v>7853</v>
      </c>
      <c r="L221" s="31" t="s">
        <v>8935</v>
      </c>
      <c r="M221" s="31">
        <v>10</v>
      </c>
    </row>
    <row r="222" spans="1:14">
      <c r="A222" s="535">
        <v>44239</v>
      </c>
      <c r="B222" s="17" t="s">
        <v>9751</v>
      </c>
      <c r="C222" s="31" t="s">
        <v>8929</v>
      </c>
      <c r="D222" s="39" t="s">
        <v>7656</v>
      </c>
      <c r="E222" s="31">
        <v>34020560625</v>
      </c>
      <c r="F222" s="138">
        <v>19992967341</v>
      </c>
      <c r="G222" s="82"/>
      <c r="H222" s="31">
        <v>19992967341</v>
      </c>
      <c r="I222" s="31"/>
      <c r="J222" s="31" t="s">
        <v>9324</v>
      </c>
      <c r="K222" s="31" t="s">
        <v>7757</v>
      </c>
      <c r="L222" s="31" t="s">
        <v>8935</v>
      </c>
      <c r="M222" s="31"/>
    </row>
    <row r="223" spans="1:14">
      <c r="A223" s="535">
        <v>44242</v>
      </c>
      <c r="B223" s="17" t="s">
        <v>3782</v>
      </c>
      <c r="C223" s="31" t="s">
        <v>8929</v>
      </c>
      <c r="D223" s="39" t="s">
        <v>7656</v>
      </c>
      <c r="E223" s="31">
        <v>8086999629</v>
      </c>
      <c r="F223" s="138">
        <v>15142766</v>
      </c>
      <c r="G223" s="82">
        <v>24249</v>
      </c>
      <c r="H223" s="31">
        <v>35998948088</v>
      </c>
      <c r="I223" s="31"/>
      <c r="J223" s="31" t="s">
        <v>9752</v>
      </c>
      <c r="K223" s="31" t="s">
        <v>7750</v>
      </c>
      <c r="L223" s="31" t="s">
        <v>9294</v>
      </c>
      <c r="M223" s="31">
        <v>15</v>
      </c>
    </row>
    <row r="224" spans="1:14">
      <c r="A224" s="535">
        <v>44242</v>
      </c>
      <c r="B224" s="17" t="s">
        <v>3780</v>
      </c>
      <c r="C224" s="31" t="s">
        <v>8929</v>
      </c>
      <c r="D224" s="39" t="s">
        <v>7656</v>
      </c>
      <c r="E224" s="31">
        <v>70290570662</v>
      </c>
      <c r="F224" s="138">
        <v>2196847</v>
      </c>
      <c r="G224" s="82">
        <v>37358</v>
      </c>
      <c r="H224" s="31">
        <v>35998466782</v>
      </c>
      <c r="I224" s="154" t="s">
        <v>9753</v>
      </c>
      <c r="J224" s="31" t="s">
        <v>9754</v>
      </c>
      <c r="K224" s="31" t="s">
        <v>7765</v>
      </c>
      <c r="L224" s="31" t="s">
        <v>9034</v>
      </c>
      <c r="M224" s="31">
        <v>20</v>
      </c>
    </row>
    <row r="225" spans="1:14">
      <c r="A225" s="535">
        <v>44242</v>
      </c>
      <c r="B225" s="17" t="s">
        <v>3779</v>
      </c>
      <c r="C225" s="31" t="s">
        <v>8929</v>
      </c>
      <c r="D225" s="39" t="s">
        <v>7656</v>
      </c>
      <c r="E225" s="31">
        <v>5976965801</v>
      </c>
      <c r="F225" s="138" t="s">
        <v>9755</v>
      </c>
      <c r="G225" s="82">
        <v>30122</v>
      </c>
      <c r="H225" s="31" t="s">
        <v>9756</v>
      </c>
      <c r="I225" s="31"/>
      <c r="J225" s="31" t="s">
        <v>9757</v>
      </c>
      <c r="K225" s="164" t="s">
        <v>558</v>
      </c>
      <c r="L225" s="31" t="s">
        <v>8935</v>
      </c>
      <c r="M225" s="31">
        <v>25</v>
      </c>
    </row>
    <row r="226" spans="1:14">
      <c r="A226" s="535">
        <v>44242</v>
      </c>
      <c r="B226" s="84" t="s">
        <v>3783</v>
      </c>
      <c r="C226" s="31" t="s">
        <v>8929</v>
      </c>
      <c r="D226" s="39" t="s">
        <v>7656</v>
      </c>
      <c r="E226" s="31" t="s">
        <v>9758</v>
      </c>
      <c r="F226" s="138" t="s">
        <v>9759</v>
      </c>
      <c r="G226" s="82"/>
      <c r="H226" s="31" t="s">
        <v>9760</v>
      </c>
      <c r="I226" s="31"/>
      <c r="J226" s="31" t="s">
        <v>9761</v>
      </c>
      <c r="K226" s="31" t="s">
        <v>8578</v>
      </c>
      <c r="L226" s="31" t="s">
        <v>9432</v>
      </c>
      <c r="M226" s="31">
        <v>5</v>
      </c>
    </row>
    <row r="227" spans="1:14">
      <c r="A227" s="535">
        <v>44244</v>
      </c>
      <c r="B227" s="17" t="s">
        <v>3781</v>
      </c>
      <c r="C227" s="31" t="s">
        <v>8929</v>
      </c>
      <c r="D227" s="39" t="s">
        <v>7656</v>
      </c>
      <c r="E227" s="31">
        <v>7882101656</v>
      </c>
      <c r="F227" s="138" t="s">
        <v>9762</v>
      </c>
      <c r="G227" s="82">
        <v>28361</v>
      </c>
      <c r="H227" s="31">
        <v>35998644653</v>
      </c>
      <c r="I227" s="31"/>
      <c r="J227" s="31" t="s">
        <v>9763</v>
      </c>
      <c r="K227" s="31" t="s">
        <v>9764</v>
      </c>
      <c r="L227" s="31" t="s">
        <v>9765</v>
      </c>
      <c r="M227" s="31">
        <v>10</v>
      </c>
    </row>
    <row r="228" spans="1:14">
      <c r="A228" s="535">
        <v>44244</v>
      </c>
      <c r="B228" s="17" t="s">
        <v>3778</v>
      </c>
      <c r="C228" s="31" t="s">
        <v>8929</v>
      </c>
      <c r="D228" s="39" t="s">
        <v>7656</v>
      </c>
      <c r="E228" s="31">
        <v>11607421623</v>
      </c>
      <c r="F228" s="138" t="s">
        <v>9766</v>
      </c>
      <c r="G228" s="82" t="s">
        <v>9767</v>
      </c>
      <c r="H228" s="31" t="s">
        <v>9768</v>
      </c>
      <c r="I228" s="31" t="s">
        <v>1643</v>
      </c>
      <c r="J228" s="31" t="s">
        <v>9769</v>
      </c>
      <c r="K228" s="31" t="s">
        <v>7750</v>
      </c>
      <c r="L228" s="31" t="s">
        <v>8935</v>
      </c>
      <c r="M228" s="31">
        <v>15</v>
      </c>
    </row>
    <row r="229" spans="1:14">
      <c r="A229" s="535">
        <v>44244</v>
      </c>
      <c r="B229" s="17" t="s">
        <v>2843</v>
      </c>
      <c r="C229" s="31" t="s">
        <v>8929</v>
      </c>
      <c r="D229" s="39" t="s">
        <v>7656</v>
      </c>
      <c r="E229" s="31">
        <v>45353878850</v>
      </c>
      <c r="F229" s="138">
        <v>41934398</v>
      </c>
      <c r="G229" s="82">
        <v>35109</v>
      </c>
      <c r="H229" s="31">
        <v>19986085186</v>
      </c>
      <c r="I229" s="31" t="s">
        <v>9770</v>
      </c>
      <c r="J229" s="31" t="s">
        <v>9771</v>
      </c>
      <c r="K229" s="31" t="s">
        <v>9510</v>
      </c>
      <c r="L229" s="31" t="s">
        <v>9518</v>
      </c>
      <c r="M229" s="31">
        <v>25</v>
      </c>
      <c r="N229" t="s">
        <v>9034</v>
      </c>
    </row>
    <row r="230" spans="1:14">
      <c r="A230" s="535">
        <v>44244</v>
      </c>
      <c r="B230" s="181" t="s">
        <v>3776</v>
      </c>
      <c r="C230" s="39" t="s">
        <v>8929</v>
      </c>
      <c r="D230" s="39" t="s">
        <v>7656</v>
      </c>
      <c r="E230" s="31">
        <v>61013412672</v>
      </c>
      <c r="F230" s="138">
        <v>11256703</v>
      </c>
      <c r="G230" s="82">
        <v>27460</v>
      </c>
      <c r="H230" s="31">
        <v>997148182</v>
      </c>
      <c r="I230" s="83" t="s">
        <v>9772</v>
      </c>
      <c r="J230" s="31" t="s">
        <v>9773</v>
      </c>
      <c r="K230" s="31" t="s">
        <v>9510</v>
      </c>
      <c r="L230" s="31" t="s">
        <v>9490</v>
      </c>
      <c r="M230" s="31">
        <v>10</v>
      </c>
    </row>
    <row r="231" spans="1:14">
      <c r="A231" s="535">
        <v>44244</v>
      </c>
      <c r="B231" s="181" t="s">
        <v>3770</v>
      </c>
      <c r="C231" s="39" t="s">
        <v>8929</v>
      </c>
      <c r="D231" s="39" t="s">
        <v>7656</v>
      </c>
      <c r="E231" s="31">
        <v>3145322699</v>
      </c>
      <c r="F231" s="138">
        <v>384761148</v>
      </c>
      <c r="G231" s="82">
        <v>27121</v>
      </c>
      <c r="H231" s="31">
        <v>999211604</v>
      </c>
      <c r="I231" s="83" t="s">
        <v>9774</v>
      </c>
      <c r="J231" s="39" t="s">
        <v>9775</v>
      </c>
      <c r="K231" s="39" t="s">
        <v>558</v>
      </c>
      <c r="L231" s="39" t="s">
        <v>9034</v>
      </c>
      <c r="M231" s="31">
        <v>25</v>
      </c>
      <c r="N231" s="164" t="s">
        <v>9776</v>
      </c>
    </row>
    <row r="232" spans="1:14">
      <c r="A232" s="535">
        <v>44244</v>
      </c>
      <c r="B232" s="181" t="s">
        <v>3770</v>
      </c>
      <c r="C232" s="39" t="s">
        <v>9777</v>
      </c>
      <c r="D232" s="39" t="s">
        <v>7656</v>
      </c>
      <c r="E232" s="31">
        <v>3145322699</v>
      </c>
      <c r="F232" s="138">
        <v>384761148</v>
      </c>
      <c r="G232" s="82">
        <v>27121</v>
      </c>
      <c r="H232" s="31">
        <v>999211604</v>
      </c>
      <c r="I232" s="83" t="s">
        <v>9774</v>
      </c>
      <c r="J232" s="39" t="s">
        <v>9778</v>
      </c>
      <c r="K232" s="39" t="s">
        <v>7874</v>
      </c>
      <c r="L232" s="39" t="s">
        <v>9432</v>
      </c>
      <c r="M232" s="31">
        <v>25</v>
      </c>
      <c r="N232" s="164" t="s">
        <v>9779</v>
      </c>
    </row>
    <row r="233" spans="1:14">
      <c r="A233" s="535">
        <v>44245</v>
      </c>
      <c r="B233" s="208" t="s">
        <v>9780</v>
      </c>
      <c r="C233" s="39" t="s">
        <v>8929</v>
      </c>
      <c r="D233" s="39" t="s">
        <v>9781</v>
      </c>
      <c r="E233" s="31" t="s">
        <v>7891</v>
      </c>
      <c r="F233" s="138" t="s">
        <v>9782</v>
      </c>
      <c r="G233" s="82">
        <v>36522</v>
      </c>
      <c r="H233" s="31" t="s">
        <v>9783</v>
      </c>
      <c r="I233" s="83" t="s">
        <v>9784</v>
      </c>
      <c r="J233" s="39" t="s">
        <v>9785</v>
      </c>
      <c r="K233" s="39" t="s">
        <v>9786</v>
      </c>
      <c r="L233" s="39" t="s">
        <v>9614</v>
      </c>
      <c r="M233" s="31">
        <v>25</v>
      </c>
      <c r="N233" t="s">
        <v>9787</v>
      </c>
    </row>
    <row r="234" spans="1:14">
      <c r="A234" s="535">
        <v>44245</v>
      </c>
      <c r="B234" s="208" t="s">
        <v>9788</v>
      </c>
      <c r="C234" s="39" t="s">
        <v>8929</v>
      </c>
      <c r="D234" s="39" t="s">
        <v>9781</v>
      </c>
      <c r="E234" s="31" t="s">
        <v>9789</v>
      </c>
      <c r="F234" s="138" t="s">
        <v>9790</v>
      </c>
      <c r="G234" s="82">
        <v>24916</v>
      </c>
      <c r="H234" s="31" t="s">
        <v>9791</v>
      </c>
      <c r="I234" s="154" t="s">
        <v>9792</v>
      </c>
      <c r="J234" s="39" t="s">
        <v>9793</v>
      </c>
      <c r="K234" s="39" t="s">
        <v>7874</v>
      </c>
      <c r="L234" s="39" t="s">
        <v>9794</v>
      </c>
      <c r="M234" s="31">
        <v>25</v>
      </c>
      <c r="N234" t="s">
        <v>9795</v>
      </c>
    </row>
    <row r="235" spans="1:14">
      <c r="A235" s="535">
        <v>44245</v>
      </c>
      <c r="B235" s="181" t="s">
        <v>9796</v>
      </c>
      <c r="C235" s="39" t="s">
        <v>8929</v>
      </c>
      <c r="D235" s="39" t="s">
        <v>9781</v>
      </c>
      <c r="E235" s="31">
        <v>77243080634</v>
      </c>
      <c r="F235" s="138" t="s">
        <v>9797</v>
      </c>
      <c r="G235" s="82">
        <v>25445</v>
      </c>
      <c r="H235" s="31" t="s">
        <v>9798</v>
      </c>
      <c r="I235" s="154" t="s">
        <v>9799</v>
      </c>
      <c r="J235" s="39" t="s">
        <v>9800</v>
      </c>
      <c r="K235" s="39" t="s">
        <v>9510</v>
      </c>
      <c r="L235" s="39" t="s">
        <v>9794</v>
      </c>
      <c r="M235" s="31">
        <v>20</v>
      </c>
    </row>
    <row r="236" spans="1:14">
      <c r="A236" s="535">
        <v>44245</v>
      </c>
      <c r="B236" s="181" t="s">
        <v>9796</v>
      </c>
      <c r="C236" s="39" t="s">
        <v>8929</v>
      </c>
      <c r="D236" s="39" t="s">
        <v>9781</v>
      </c>
      <c r="E236" s="31">
        <v>77243080634</v>
      </c>
      <c r="F236" s="138" t="s">
        <v>9797</v>
      </c>
      <c r="G236" s="82">
        <v>25445</v>
      </c>
      <c r="H236" s="31" t="s">
        <v>9798</v>
      </c>
      <c r="I236" s="154" t="s">
        <v>9799</v>
      </c>
      <c r="J236" s="39" t="s">
        <v>9801</v>
      </c>
      <c r="K236" s="39" t="s">
        <v>9510</v>
      </c>
      <c r="L236" s="39" t="s">
        <v>9671</v>
      </c>
      <c r="M236" s="31">
        <v>20</v>
      </c>
    </row>
    <row r="237" spans="1:14">
      <c r="A237" s="535">
        <v>44245</v>
      </c>
      <c r="B237" s="181" t="s">
        <v>9796</v>
      </c>
      <c r="C237" s="39" t="s">
        <v>8929</v>
      </c>
      <c r="D237" s="39" t="s">
        <v>9781</v>
      </c>
      <c r="E237" s="31">
        <v>77243080634</v>
      </c>
      <c r="F237" s="138" t="s">
        <v>9797</v>
      </c>
      <c r="G237" s="82">
        <v>25445</v>
      </c>
      <c r="H237" s="31" t="s">
        <v>9798</v>
      </c>
      <c r="I237" s="154" t="s">
        <v>9799</v>
      </c>
      <c r="J237" s="39" t="s">
        <v>9802</v>
      </c>
      <c r="K237" s="39" t="s">
        <v>9510</v>
      </c>
      <c r="L237" s="39" t="s">
        <v>9803</v>
      </c>
      <c r="M237" s="31">
        <v>20</v>
      </c>
    </row>
    <row r="238" spans="1:14">
      <c r="A238" s="535">
        <v>44245</v>
      </c>
      <c r="B238" s="181" t="s">
        <v>9804</v>
      </c>
      <c r="C238" s="39" t="s">
        <v>8929</v>
      </c>
      <c r="D238" s="39" t="s">
        <v>7656</v>
      </c>
      <c r="E238" s="31">
        <v>13692024665</v>
      </c>
      <c r="F238" s="138" t="s">
        <v>9805</v>
      </c>
      <c r="G238" s="82">
        <v>36497</v>
      </c>
      <c r="H238" s="31" t="s">
        <v>9806</v>
      </c>
      <c r="I238" s="154"/>
      <c r="J238" s="39" t="s">
        <v>9807</v>
      </c>
      <c r="K238" s="39" t="s">
        <v>8153</v>
      </c>
      <c r="L238" s="39" t="s">
        <v>8935</v>
      </c>
      <c r="M238" s="31">
        <v>10</v>
      </c>
    </row>
    <row r="239" spans="1:14">
      <c r="A239" s="535">
        <v>44246</v>
      </c>
      <c r="B239" s="208" t="s">
        <v>3771</v>
      </c>
      <c r="C239" s="39" t="s">
        <v>8929</v>
      </c>
      <c r="D239" s="39" t="s">
        <v>7656</v>
      </c>
      <c r="E239" s="31" t="s">
        <v>7894</v>
      </c>
      <c r="F239" s="138" t="s">
        <v>9808</v>
      </c>
      <c r="G239" s="82">
        <v>35168</v>
      </c>
      <c r="H239" s="31" t="s">
        <v>9809</v>
      </c>
      <c r="I239" s="154" t="s">
        <v>9810</v>
      </c>
      <c r="J239" s="39" t="s">
        <v>9811</v>
      </c>
      <c r="K239" s="39"/>
      <c r="L239" s="39"/>
      <c r="M239" s="31"/>
    </row>
    <row r="240" spans="1:14">
      <c r="A240" s="535">
        <v>44246</v>
      </c>
      <c r="B240" s="181" t="s">
        <v>2936</v>
      </c>
      <c r="C240" s="39" t="s">
        <v>8929</v>
      </c>
      <c r="D240" s="39" t="s">
        <v>7656</v>
      </c>
      <c r="E240" s="31" t="s">
        <v>9812</v>
      </c>
      <c r="F240" s="138" t="s">
        <v>9813</v>
      </c>
      <c r="G240" s="82">
        <v>33579</v>
      </c>
      <c r="H240" s="31" t="s">
        <v>9814</v>
      </c>
      <c r="I240" s="83"/>
      <c r="J240" s="39" t="s">
        <v>9815</v>
      </c>
      <c r="K240" s="39" t="s">
        <v>7853</v>
      </c>
      <c r="L240" s="39" t="s">
        <v>8935</v>
      </c>
      <c r="M240" s="31">
        <v>25</v>
      </c>
    </row>
    <row r="241" spans="1:14">
      <c r="A241" s="535">
        <v>44246</v>
      </c>
      <c r="B241" s="181" t="s">
        <v>9816</v>
      </c>
      <c r="C241" s="39" t="s">
        <v>8929</v>
      </c>
      <c r="D241" s="39" t="s">
        <v>7656</v>
      </c>
      <c r="E241" s="31">
        <v>4975206641</v>
      </c>
      <c r="F241" s="138">
        <v>7807724</v>
      </c>
      <c r="G241" s="82">
        <v>28866</v>
      </c>
      <c r="H241" s="31">
        <v>35998164704</v>
      </c>
      <c r="I241" s="83" t="s">
        <v>9817</v>
      </c>
      <c r="J241" s="39" t="s">
        <v>9818</v>
      </c>
      <c r="K241" s="39" t="s">
        <v>558</v>
      </c>
      <c r="L241" s="39" t="s">
        <v>9188</v>
      </c>
      <c r="M241" s="31">
        <v>20</v>
      </c>
      <c r="N241" s="164" t="s">
        <v>9819</v>
      </c>
    </row>
    <row r="242" spans="1:14" ht="16.5" customHeight="1">
      <c r="A242" s="538">
        <v>44249</v>
      </c>
      <c r="B242" s="209" t="s">
        <v>3775</v>
      </c>
      <c r="C242" s="210" t="s">
        <v>8929</v>
      </c>
      <c r="D242" s="210" t="s">
        <v>7656</v>
      </c>
      <c r="E242" s="211">
        <v>6107180613</v>
      </c>
      <c r="F242" s="211" t="s">
        <v>9820</v>
      </c>
      <c r="G242" s="212">
        <v>30607</v>
      </c>
      <c r="H242" s="211">
        <v>998689911</v>
      </c>
      <c r="I242" s="213" t="s">
        <v>9821</v>
      </c>
      <c r="J242" s="210" t="s">
        <v>9822</v>
      </c>
      <c r="K242" s="210" t="s">
        <v>7750</v>
      </c>
      <c r="L242" s="210" t="s">
        <v>8935</v>
      </c>
      <c r="M242" s="211">
        <v>20</v>
      </c>
    </row>
    <row r="243" spans="1:14">
      <c r="A243" s="535">
        <v>44249</v>
      </c>
      <c r="B243" s="181" t="s">
        <v>9823</v>
      </c>
      <c r="C243" s="39" t="s">
        <v>8929</v>
      </c>
      <c r="D243" s="39" t="s">
        <v>7656</v>
      </c>
      <c r="E243" s="31">
        <v>79060730887</v>
      </c>
      <c r="F243" s="138">
        <v>134541128</v>
      </c>
      <c r="G243" s="82">
        <v>20736</v>
      </c>
      <c r="H243" s="31">
        <v>11993843186</v>
      </c>
      <c r="I243" s="83"/>
      <c r="J243" s="39" t="s">
        <v>9824</v>
      </c>
      <c r="K243" s="39" t="s">
        <v>1225</v>
      </c>
      <c r="L243" s="39" t="s">
        <v>9271</v>
      </c>
      <c r="M243" s="31">
        <v>25</v>
      </c>
    </row>
    <row r="244" spans="1:14">
      <c r="A244" s="535">
        <v>44249</v>
      </c>
      <c r="B244" s="181" t="s">
        <v>2868</v>
      </c>
      <c r="C244" s="39" t="s">
        <v>8929</v>
      </c>
      <c r="D244" s="39" t="s">
        <v>7656</v>
      </c>
      <c r="E244" s="31">
        <v>12126562611</v>
      </c>
      <c r="F244" s="138" t="s">
        <v>9825</v>
      </c>
      <c r="G244" s="82">
        <v>34276</v>
      </c>
      <c r="H244" s="31">
        <v>35992177939</v>
      </c>
      <c r="I244" s="83"/>
      <c r="J244" s="39" t="s">
        <v>9826</v>
      </c>
      <c r="K244" s="39" t="s">
        <v>9827</v>
      </c>
      <c r="L244" s="39" t="s">
        <v>8935</v>
      </c>
      <c r="M244" s="31">
        <v>10</v>
      </c>
    </row>
    <row r="245" spans="1:14">
      <c r="A245" s="535">
        <v>44250</v>
      </c>
      <c r="B245" s="181" t="s">
        <v>3767</v>
      </c>
      <c r="C245" s="39" t="s">
        <v>8929</v>
      </c>
      <c r="D245" s="39" t="s">
        <v>7656</v>
      </c>
      <c r="E245" s="31">
        <v>5698895619</v>
      </c>
      <c r="F245" s="138" t="s">
        <v>9828</v>
      </c>
      <c r="G245" s="82">
        <v>29789</v>
      </c>
      <c r="H245" s="31" t="s">
        <v>9829</v>
      </c>
      <c r="I245" s="83"/>
      <c r="J245" s="31" t="s">
        <v>9830</v>
      </c>
      <c r="K245" s="31" t="s">
        <v>7757</v>
      </c>
      <c r="L245" s="31" t="s">
        <v>9490</v>
      </c>
      <c r="M245" s="31">
        <v>20</v>
      </c>
    </row>
    <row r="246" spans="1:14">
      <c r="A246" s="535">
        <v>44250</v>
      </c>
      <c r="B246" s="181" t="s">
        <v>3768</v>
      </c>
      <c r="C246" s="39" t="s">
        <v>8929</v>
      </c>
      <c r="D246" s="39" t="s">
        <v>7656</v>
      </c>
      <c r="E246" s="31" t="s">
        <v>9831</v>
      </c>
      <c r="F246" s="138" t="s">
        <v>9832</v>
      </c>
      <c r="G246" s="82" t="s">
        <v>9833</v>
      </c>
      <c r="H246" s="31">
        <v>997018520</v>
      </c>
      <c r="I246" s="83" t="s">
        <v>9834</v>
      </c>
      <c r="J246" s="39" t="s">
        <v>9835</v>
      </c>
      <c r="K246" s="39" t="s">
        <v>9836</v>
      </c>
      <c r="L246" s="39" t="s">
        <v>8935</v>
      </c>
      <c r="M246" s="31">
        <v>5</v>
      </c>
    </row>
    <row r="247" spans="1:14">
      <c r="A247" s="535">
        <v>44251</v>
      </c>
      <c r="B247" s="181" t="s">
        <v>9837</v>
      </c>
      <c r="C247" s="39" t="s">
        <v>8929</v>
      </c>
      <c r="D247" s="39" t="s">
        <v>7656</v>
      </c>
      <c r="E247" s="31">
        <v>73912751668</v>
      </c>
      <c r="F247" s="138" t="s">
        <v>9838</v>
      </c>
      <c r="G247" s="82">
        <v>26018</v>
      </c>
      <c r="H247" s="31">
        <v>35998781703</v>
      </c>
      <c r="I247" s="154" t="s">
        <v>9839</v>
      </c>
      <c r="J247" s="39" t="s">
        <v>9840</v>
      </c>
      <c r="K247" s="39" t="s">
        <v>9510</v>
      </c>
      <c r="L247" s="39" t="s">
        <v>9841</v>
      </c>
      <c r="M247" s="31">
        <v>25</v>
      </c>
    </row>
    <row r="248" spans="1:14">
      <c r="A248" s="535">
        <v>44251</v>
      </c>
      <c r="B248" s="181" t="s">
        <v>9837</v>
      </c>
      <c r="C248" s="39" t="s">
        <v>8929</v>
      </c>
      <c r="D248" s="39" t="s">
        <v>7656</v>
      </c>
      <c r="E248" s="31">
        <v>73912751668</v>
      </c>
      <c r="F248" s="138" t="s">
        <v>9838</v>
      </c>
      <c r="G248" s="82">
        <v>26018</v>
      </c>
      <c r="H248" s="31">
        <v>35998781703</v>
      </c>
      <c r="I248" s="154" t="s">
        <v>9839</v>
      </c>
      <c r="J248" s="39" t="s">
        <v>9842</v>
      </c>
      <c r="K248" s="39" t="s">
        <v>9510</v>
      </c>
      <c r="L248" s="39" t="s">
        <v>9803</v>
      </c>
      <c r="M248" s="31">
        <v>25</v>
      </c>
      <c r="N248" t="s">
        <v>9843</v>
      </c>
    </row>
    <row r="249" spans="1:14">
      <c r="A249" s="535">
        <v>44252</v>
      </c>
      <c r="B249" s="181" t="s">
        <v>2847</v>
      </c>
      <c r="C249" s="39" t="s">
        <v>8929</v>
      </c>
      <c r="D249" s="39" t="s">
        <v>7656</v>
      </c>
      <c r="E249" s="31">
        <v>8633030640</v>
      </c>
      <c r="F249" s="138">
        <v>13876837</v>
      </c>
      <c r="G249" s="82">
        <v>33714</v>
      </c>
      <c r="H249" s="31">
        <v>35998302188</v>
      </c>
      <c r="I249" s="154" t="s">
        <v>9844</v>
      </c>
      <c r="J249" s="39" t="s">
        <v>9845</v>
      </c>
      <c r="K249" s="39" t="s">
        <v>9846</v>
      </c>
      <c r="L249" s="39" t="s">
        <v>9518</v>
      </c>
      <c r="M249" s="31">
        <v>10</v>
      </c>
      <c r="N249" t="s">
        <v>9847</v>
      </c>
    </row>
    <row r="250" spans="1:14">
      <c r="A250" s="535">
        <v>44253</v>
      </c>
      <c r="B250" s="31" t="s">
        <v>2871</v>
      </c>
      <c r="C250" s="31" t="s">
        <v>8929</v>
      </c>
      <c r="D250" s="39" t="s">
        <v>7656</v>
      </c>
      <c r="E250" s="31">
        <v>2746534699</v>
      </c>
      <c r="F250" s="31">
        <v>19055556</v>
      </c>
      <c r="G250" s="82">
        <v>27929</v>
      </c>
      <c r="H250" s="31">
        <v>35998441667</v>
      </c>
      <c r="I250" s="154" t="s">
        <v>9848</v>
      </c>
      <c r="J250" s="31" t="s">
        <v>9849</v>
      </c>
      <c r="K250" s="31" t="s">
        <v>8296</v>
      </c>
      <c r="L250" s="31" t="s">
        <v>9518</v>
      </c>
      <c r="M250" s="31">
        <v>10</v>
      </c>
    </row>
    <row r="251" spans="1:14">
      <c r="A251" s="535">
        <v>44254</v>
      </c>
      <c r="B251" s="31" t="s">
        <v>3764</v>
      </c>
      <c r="C251" s="31" t="s">
        <v>8929</v>
      </c>
      <c r="D251" s="39" t="s">
        <v>7656</v>
      </c>
      <c r="E251" s="31" t="s">
        <v>1072</v>
      </c>
      <c r="F251" s="31" t="s">
        <v>9850</v>
      </c>
      <c r="G251" s="31"/>
      <c r="H251" s="31"/>
      <c r="I251" s="31"/>
      <c r="J251" s="31"/>
      <c r="K251" s="31"/>
      <c r="L251" s="31"/>
      <c r="M251" s="31"/>
    </row>
    <row r="252" spans="1:14">
      <c r="A252" s="535">
        <v>44254</v>
      </c>
      <c r="B252" s="31" t="s">
        <v>9851</v>
      </c>
      <c r="C252" s="31" t="s">
        <v>8929</v>
      </c>
      <c r="D252" s="39" t="s">
        <v>7656</v>
      </c>
      <c r="E252" s="31"/>
      <c r="F252" s="31"/>
      <c r="G252" s="31"/>
      <c r="H252" s="31"/>
      <c r="I252" s="31"/>
      <c r="J252" s="31"/>
      <c r="K252" s="31"/>
      <c r="L252" s="31"/>
      <c r="M252" s="31"/>
    </row>
    <row r="253" spans="1:14">
      <c r="A253" s="535">
        <v>44254</v>
      </c>
      <c r="B253" s="31" t="s">
        <v>9852</v>
      </c>
      <c r="C253" s="31" t="s">
        <v>8929</v>
      </c>
      <c r="D253" s="39" t="s">
        <v>7656</v>
      </c>
      <c r="E253" s="31"/>
      <c r="F253" s="31"/>
      <c r="G253" s="31"/>
      <c r="H253" s="31"/>
      <c r="I253" s="31"/>
      <c r="J253" s="31"/>
      <c r="K253" s="31"/>
      <c r="L253" s="31"/>
      <c r="M253" s="31"/>
    </row>
    <row r="254" spans="1:14">
      <c r="A254" s="535"/>
      <c r="B254" s="176" t="s">
        <v>7672</v>
      </c>
      <c r="C254" s="17"/>
      <c r="D254" s="17"/>
      <c r="E254" s="22"/>
      <c r="F254" s="22"/>
      <c r="G254" s="22"/>
      <c r="H254" s="22"/>
      <c r="I254" s="22"/>
      <c r="J254" s="22"/>
      <c r="K254" s="22"/>
      <c r="L254" s="22"/>
      <c r="M254" s="22"/>
    </row>
    <row r="255" spans="1:14">
      <c r="A255" s="535">
        <v>44256</v>
      </c>
      <c r="B255" s="208" t="s">
        <v>9853</v>
      </c>
      <c r="C255" s="31" t="s">
        <v>8929</v>
      </c>
      <c r="D255" s="39" t="s">
        <v>9854</v>
      </c>
      <c r="E255" s="31"/>
      <c r="F255" s="31"/>
      <c r="G255" s="31"/>
      <c r="H255" s="31" t="s">
        <v>9855</v>
      </c>
      <c r="I255" s="31"/>
      <c r="J255" s="31"/>
      <c r="K255" s="31"/>
      <c r="L255" s="31"/>
      <c r="M255" s="31"/>
    </row>
    <row r="256" spans="1:14">
      <c r="A256" s="535">
        <v>44256</v>
      </c>
      <c r="B256" s="31" t="s">
        <v>9856</v>
      </c>
      <c r="C256" s="31" t="s">
        <v>8929</v>
      </c>
      <c r="D256" s="39" t="s">
        <v>9854</v>
      </c>
      <c r="E256" s="31"/>
      <c r="F256" s="31"/>
      <c r="G256" s="31"/>
      <c r="H256" s="31" t="s">
        <v>9857</v>
      </c>
      <c r="I256" s="31"/>
      <c r="J256" s="31"/>
      <c r="K256" s="31"/>
      <c r="L256" s="31"/>
      <c r="M256" s="31"/>
    </row>
    <row r="257" spans="1:14">
      <c r="A257" s="535">
        <v>44256</v>
      </c>
      <c r="B257" s="84" t="s">
        <v>9858</v>
      </c>
      <c r="C257" s="31" t="s">
        <v>8929</v>
      </c>
      <c r="D257" s="39" t="s">
        <v>9854</v>
      </c>
      <c r="E257" s="31"/>
      <c r="F257" s="31"/>
      <c r="G257" s="31"/>
      <c r="H257" s="31" t="s">
        <v>9859</v>
      </c>
      <c r="I257" s="31"/>
      <c r="J257" s="31"/>
      <c r="K257" s="31"/>
      <c r="L257" s="31"/>
      <c r="M257" s="31"/>
    </row>
    <row r="258" spans="1:14">
      <c r="A258" s="535">
        <v>44257</v>
      </c>
      <c r="B258" s="31" t="s">
        <v>9860</v>
      </c>
      <c r="C258" s="31" t="s">
        <v>8929</v>
      </c>
      <c r="D258" s="39" t="s">
        <v>9854</v>
      </c>
      <c r="E258" s="31"/>
      <c r="F258" s="31"/>
      <c r="G258" s="31"/>
      <c r="H258" s="31">
        <v>11994844601</v>
      </c>
      <c r="I258" s="31"/>
      <c r="J258" s="31"/>
      <c r="K258" s="31"/>
      <c r="L258" s="31"/>
      <c r="M258" s="31"/>
    </row>
    <row r="259" spans="1:14">
      <c r="A259" s="535">
        <v>44257</v>
      </c>
      <c r="B259" t="s">
        <v>2925</v>
      </c>
      <c r="C259" s="31" t="s">
        <v>8929</v>
      </c>
      <c r="D259" s="39" t="s">
        <v>9854</v>
      </c>
      <c r="E259" s="31"/>
      <c r="F259" s="31"/>
      <c r="G259" s="31"/>
      <c r="H259" s="31"/>
      <c r="I259" s="31"/>
      <c r="J259" s="31"/>
      <c r="K259" s="31"/>
      <c r="L259" s="31" t="s">
        <v>9290</v>
      </c>
      <c r="M259" s="31">
        <v>5</v>
      </c>
      <c r="N259" t="s">
        <v>9861</v>
      </c>
    </row>
    <row r="260" spans="1:14">
      <c r="A260" s="535">
        <v>44258</v>
      </c>
      <c r="B260" s="31" t="s">
        <v>3762</v>
      </c>
      <c r="C260" s="31" t="s">
        <v>8929</v>
      </c>
      <c r="D260" s="39" t="s">
        <v>9854</v>
      </c>
      <c r="E260" s="31"/>
      <c r="F260" s="31"/>
      <c r="G260" s="31"/>
      <c r="H260" s="31"/>
      <c r="I260" s="31"/>
      <c r="J260" s="31"/>
      <c r="K260" s="31"/>
      <c r="L260" s="31"/>
      <c r="M260" s="31"/>
    </row>
    <row r="261" spans="1:14">
      <c r="A261" s="535">
        <v>44258</v>
      </c>
      <c r="B261" s="31" t="s">
        <v>4957</v>
      </c>
      <c r="C261" s="31" t="s">
        <v>8929</v>
      </c>
      <c r="D261" s="39" t="s">
        <v>9854</v>
      </c>
      <c r="E261" s="31"/>
      <c r="F261" s="31"/>
      <c r="G261" s="31"/>
      <c r="H261" s="31"/>
      <c r="I261" s="31"/>
      <c r="J261" s="31"/>
      <c r="K261" s="31"/>
      <c r="L261" s="31"/>
      <c r="M261" s="31"/>
    </row>
    <row r="262" spans="1:14">
      <c r="A262" s="535">
        <v>44258</v>
      </c>
      <c r="B262" s="31" t="s">
        <v>4957</v>
      </c>
      <c r="C262" s="31" t="s">
        <v>8929</v>
      </c>
      <c r="D262" s="39" t="s">
        <v>9854</v>
      </c>
      <c r="E262" s="31"/>
      <c r="F262" s="31"/>
      <c r="G262" s="31"/>
      <c r="H262" s="31"/>
      <c r="I262" s="31"/>
      <c r="J262" s="31"/>
      <c r="K262" s="31"/>
      <c r="L262" s="31"/>
      <c r="M262" s="31"/>
    </row>
    <row r="263" spans="1:14">
      <c r="A263" s="535">
        <v>44258</v>
      </c>
      <c r="B263" s="31" t="s">
        <v>4957</v>
      </c>
      <c r="C263" s="31" t="s">
        <v>8929</v>
      </c>
      <c r="D263" s="39" t="s">
        <v>9854</v>
      </c>
      <c r="E263" s="31"/>
      <c r="F263" s="31"/>
      <c r="G263" s="31"/>
      <c r="H263" s="31"/>
      <c r="I263" s="31"/>
      <c r="J263" s="31"/>
      <c r="K263" s="31"/>
      <c r="L263" s="31"/>
      <c r="M263" s="31"/>
    </row>
    <row r="264" spans="1:14">
      <c r="A264" s="535">
        <v>44258</v>
      </c>
      <c r="B264" s="31" t="s">
        <v>4957</v>
      </c>
      <c r="C264" s="31" t="s">
        <v>8929</v>
      </c>
      <c r="D264" s="39" t="s">
        <v>9854</v>
      </c>
      <c r="E264" s="31"/>
      <c r="F264" s="31"/>
      <c r="G264" s="31"/>
      <c r="H264" s="31"/>
      <c r="I264" s="31"/>
      <c r="J264" s="31"/>
      <c r="K264" s="31"/>
      <c r="L264" s="31"/>
      <c r="M264" s="31"/>
    </row>
    <row r="265" spans="1:14">
      <c r="A265" s="535">
        <v>44258</v>
      </c>
      <c r="B265" s="31" t="s">
        <v>4957</v>
      </c>
      <c r="C265" s="31" t="s">
        <v>8929</v>
      </c>
      <c r="D265" s="39" t="s">
        <v>9854</v>
      </c>
      <c r="E265" s="31"/>
      <c r="F265" s="31"/>
      <c r="G265" s="31"/>
      <c r="H265" s="31"/>
      <c r="I265" s="31"/>
      <c r="J265" s="31"/>
      <c r="K265" s="31"/>
      <c r="L265" s="31"/>
      <c r="M265" s="31"/>
    </row>
    <row r="266" spans="1:14">
      <c r="A266" s="535">
        <v>44258</v>
      </c>
      <c r="B266" s="31" t="s">
        <v>9862</v>
      </c>
      <c r="C266" s="39" t="s">
        <v>8929</v>
      </c>
      <c r="D266" s="39" t="s">
        <v>9854</v>
      </c>
      <c r="E266" s="31"/>
      <c r="F266" s="31"/>
      <c r="G266" s="31"/>
      <c r="H266" s="31"/>
      <c r="I266" s="31"/>
      <c r="J266" s="31"/>
      <c r="K266" s="31"/>
      <c r="L266" s="31"/>
      <c r="M266" s="31"/>
    </row>
    <row r="267" spans="1:14">
      <c r="A267" s="535">
        <v>44259</v>
      </c>
      <c r="B267" s="31" t="s">
        <v>9863</v>
      </c>
      <c r="C267" s="31" t="s">
        <v>8929</v>
      </c>
      <c r="D267" s="39" t="s">
        <v>9854</v>
      </c>
      <c r="E267" s="31"/>
      <c r="F267" s="31"/>
      <c r="G267" s="31"/>
      <c r="H267" s="31" t="s">
        <v>9864</v>
      </c>
      <c r="I267" s="31"/>
      <c r="J267" s="31"/>
      <c r="K267" s="31"/>
      <c r="L267" s="31"/>
      <c r="M267" s="31"/>
    </row>
    <row r="268" spans="1:14">
      <c r="A268" s="535">
        <v>44259</v>
      </c>
      <c r="B268" s="31" t="s">
        <v>3758</v>
      </c>
      <c r="C268" s="31" t="s">
        <v>8929</v>
      </c>
      <c r="D268" s="39" t="s">
        <v>9854</v>
      </c>
      <c r="E268" s="31"/>
      <c r="F268" s="31"/>
      <c r="G268" s="31"/>
      <c r="H268" s="31">
        <v>35998058434</v>
      </c>
      <c r="I268" s="31"/>
      <c r="J268" s="31"/>
      <c r="K268" s="31"/>
      <c r="L268" s="31" t="s">
        <v>9865</v>
      </c>
      <c r="M268" s="31">
        <v>20</v>
      </c>
      <c r="N268">
        <v>99.9</v>
      </c>
    </row>
    <row r="269" spans="1:14">
      <c r="A269" s="535">
        <v>44259</v>
      </c>
      <c r="B269" s="31" t="s">
        <v>3742</v>
      </c>
      <c r="C269" s="31" t="s">
        <v>8929</v>
      </c>
      <c r="D269" s="39" t="s">
        <v>9854</v>
      </c>
      <c r="E269" s="31"/>
      <c r="F269" s="31"/>
      <c r="G269" s="31"/>
      <c r="H269" s="31"/>
      <c r="I269" s="31"/>
      <c r="J269" s="31"/>
      <c r="K269" s="31"/>
      <c r="L269" s="31"/>
      <c r="M269" s="31"/>
    </row>
    <row r="270" spans="1:14">
      <c r="A270" s="535">
        <v>44260</v>
      </c>
      <c r="B270" s="84" t="s">
        <v>9866</v>
      </c>
      <c r="C270" s="31" t="s">
        <v>8929</v>
      </c>
      <c r="D270" s="39" t="s">
        <v>9854</v>
      </c>
      <c r="E270" s="31"/>
      <c r="F270" s="31"/>
      <c r="G270" s="31"/>
      <c r="H270" s="31"/>
      <c r="I270" s="31"/>
      <c r="J270" s="31"/>
      <c r="K270" s="31"/>
      <c r="L270" s="31"/>
      <c r="M270" s="31"/>
    </row>
    <row r="271" spans="1:14">
      <c r="A271" s="535">
        <v>44260</v>
      </c>
      <c r="B271" s="31" t="s">
        <v>9867</v>
      </c>
      <c r="C271" s="31" t="s">
        <v>8929</v>
      </c>
      <c r="D271" s="39" t="s">
        <v>9854</v>
      </c>
      <c r="E271" s="31"/>
      <c r="F271" s="31"/>
      <c r="G271" s="31"/>
      <c r="H271" s="31" t="s">
        <v>9868</v>
      </c>
      <c r="I271" s="31"/>
      <c r="J271" s="31" t="s">
        <v>9869</v>
      </c>
      <c r="K271" s="31" t="s">
        <v>7853</v>
      </c>
      <c r="L271" s="31"/>
      <c r="M271" s="31"/>
    </row>
    <row r="272" spans="1:14">
      <c r="A272" s="535">
        <v>44260</v>
      </c>
      <c r="B272" s="31" t="s">
        <v>3757</v>
      </c>
      <c r="C272" s="31" t="s">
        <v>8929</v>
      </c>
      <c r="D272" s="39" t="s">
        <v>9854</v>
      </c>
      <c r="E272" s="31"/>
      <c r="F272" s="31"/>
      <c r="G272" s="31"/>
      <c r="H272" s="31"/>
      <c r="I272" s="31"/>
      <c r="J272" s="31"/>
      <c r="K272" s="31"/>
      <c r="L272" s="31"/>
      <c r="M272" s="31"/>
    </row>
    <row r="273" spans="1:13">
      <c r="A273" s="535">
        <v>44263</v>
      </c>
      <c r="B273" s="84" t="s">
        <v>9870</v>
      </c>
      <c r="C273" s="31" t="s">
        <v>8929</v>
      </c>
      <c r="D273" s="39" t="s">
        <v>9854</v>
      </c>
      <c r="E273" s="31"/>
      <c r="F273" s="31"/>
      <c r="G273" s="31"/>
      <c r="H273" s="31">
        <v>35991196233</v>
      </c>
      <c r="I273" s="31"/>
      <c r="J273" s="31"/>
      <c r="K273" s="31"/>
      <c r="L273" s="31" t="s">
        <v>9765</v>
      </c>
      <c r="M273" s="31">
        <v>5</v>
      </c>
    </row>
    <row r="274" spans="1:13">
      <c r="A274" s="539">
        <v>44263</v>
      </c>
      <c r="B274" s="31" t="s">
        <v>9257</v>
      </c>
      <c r="C274" s="31" t="s">
        <v>8929</v>
      </c>
      <c r="D274" s="39" t="s">
        <v>9854</v>
      </c>
      <c r="E274" s="31"/>
      <c r="F274" s="31"/>
      <c r="G274" s="31"/>
      <c r="H274" s="31" t="s">
        <v>9871</v>
      </c>
      <c r="I274" s="31"/>
      <c r="J274" s="31"/>
      <c r="K274" s="31"/>
      <c r="L274" s="31"/>
      <c r="M274" s="31"/>
    </row>
    <row r="275" spans="1:13">
      <c r="A275" s="535">
        <v>44263</v>
      </c>
      <c r="B275" s="31" t="s">
        <v>4961</v>
      </c>
      <c r="C275" s="31" t="s">
        <v>8929</v>
      </c>
      <c r="D275" s="39" t="s">
        <v>9854</v>
      </c>
      <c r="E275" s="31"/>
      <c r="F275" s="31"/>
      <c r="G275" s="31"/>
      <c r="H275" s="31">
        <v>19982472205</v>
      </c>
      <c r="I275" s="31"/>
      <c r="J275" s="31"/>
      <c r="K275" s="31"/>
      <c r="L275" s="31"/>
      <c r="M275" s="31"/>
    </row>
    <row r="276" spans="1:13">
      <c r="A276" s="535">
        <v>44263</v>
      </c>
      <c r="B276" s="84" t="s">
        <v>9872</v>
      </c>
      <c r="C276" s="31" t="s">
        <v>8929</v>
      </c>
      <c r="D276" s="39" t="s">
        <v>9854</v>
      </c>
      <c r="E276" s="31"/>
      <c r="F276" s="31"/>
      <c r="G276" s="31"/>
      <c r="H276" s="31" t="s">
        <v>9873</v>
      </c>
      <c r="I276" s="31"/>
      <c r="J276" s="31"/>
      <c r="K276" s="31"/>
      <c r="L276" s="31"/>
      <c r="M276" s="31"/>
    </row>
    <row r="277" spans="1:13">
      <c r="A277" s="535">
        <v>44264</v>
      </c>
      <c r="B277" s="31" t="s">
        <v>3756</v>
      </c>
      <c r="C277" s="31" t="s">
        <v>8929</v>
      </c>
      <c r="D277" s="39" t="s">
        <v>9854</v>
      </c>
      <c r="E277" s="31"/>
      <c r="F277" s="31"/>
      <c r="G277" s="31"/>
      <c r="H277" s="31" t="s">
        <v>4959</v>
      </c>
      <c r="I277" s="31"/>
      <c r="J277" s="31"/>
      <c r="K277" s="31"/>
      <c r="L277" s="31"/>
      <c r="M277" s="31"/>
    </row>
    <row r="278" spans="1:13">
      <c r="A278" s="535">
        <v>44264</v>
      </c>
      <c r="B278" s="84" t="s">
        <v>3749</v>
      </c>
      <c r="C278" s="39" t="s">
        <v>8929</v>
      </c>
      <c r="D278" s="39" t="s">
        <v>9854</v>
      </c>
      <c r="E278" s="31"/>
      <c r="F278" s="31"/>
      <c r="G278" s="31"/>
      <c r="H278" s="31" t="s">
        <v>9874</v>
      </c>
      <c r="I278" s="31"/>
      <c r="J278" s="31"/>
      <c r="K278" s="31"/>
      <c r="L278" s="31"/>
      <c r="M278" s="31"/>
    </row>
    <row r="279" spans="1:13">
      <c r="A279" s="535">
        <v>44264</v>
      </c>
      <c r="B279" s="31" t="s">
        <v>2930</v>
      </c>
      <c r="C279" s="31" t="s">
        <v>8929</v>
      </c>
      <c r="D279" s="39" t="s">
        <v>9854</v>
      </c>
      <c r="E279" s="31"/>
      <c r="F279" s="31"/>
      <c r="G279" s="31"/>
      <c r="H279" s="31"/>
      <c r="I279" s="31"/>
      <c r="J279" s="31"/>
      <c r="K279" s="31"/>
      <c r="L279" s="31"/>
      <c r="M279" s="31"/>
    </row>
    <row r="280" spans="1:13">
      <c r="A280" s="535">
        <v>44265</v>
      </c>
      <c r="B280" s="84" t="s">
        <v>3753</v>
      </c>
      <c r="C280" s="31" t="s">
        <v>8929</v>
      </c>
      <c r="D280" s="39" t="s">
        <v>9854</v>
      </c>
      <c r="E280" s="31"/>
      <c r="F280" s="31"/>
      <c r="G280" s="31"/>
      <c r="H280" s="31" t="s">
        <v>9875</v>
      </c>
      <c r="I280" s="31"/>
      <c r="J280" s="31"/>
      <c r="K280" s="31"/>
      <c r="L280" s="31"/>
      <c r="M280" s="31"/>
    </row>
    <row r="281" spans="1:13">
      <c r="A281" s="535">
        <v>44266</v>
      </c>
      <c r="B281" s="84" t="s">
        <v>9876</v>
      </c>
      <c r="C281" s="31" t="s">
        <v>8929</v>
      </c>
      <c r="D281" s="39" t="s">
        <v>9854</v>
      </c>
      <c r="E281" s="31"/>
      <c r="F281" s="31"/>
      <c r="G281" s="31"/>
      <c r="H281" s="230" t="s">
        <v>9877</v>
      </c>
      <c r="I281" s="31"/>
      <c r="J281" s="31"/>
      <c r="K281" s="31"/>
      <c r="L281" s="31"/>
      <c r="M281" s="31"/>
    </row>
    <row r="282" spans="1:13">
      <c r="A282" s="535">
        <v>44266</v>
      </c>
      <c r="B282" s="223" t="s">
        <v>9878</v>
      </c>
      <c r="C282" s="31" t="s">
        <v>8929</v>
      </c>
      <c r="D282" s="39" t="s">
        <v>9854</v>
      </c>
      <c r="E282" s="31"/>
      <c r="F282" s="31"/>
      <c r="G282" s="31"/>
      <c r="H282" s="31" t="s">
        <v>9879</v>
      </c>
      <c r="I282" s="31"/>
      <c r="J282" s="31"/>
      <c r="K282" s="31"/>
      <c r="L282" s="31"/>
      <c r="M282" s="31"/>
    </row>
    <row r="283" spans="1:13">
      <c r="A283" s="535">
        <v>44266</v>
      </c>
      <c r="B283" s="223" t="s">
        <v>9880</v>
      </c>
      <c r="C283" s="39" t="s">
        <v>8929</v>
      </c>
      <c r="D283" s="39" t="s">
        <v>9854</v>
      </c>
      <c r="E283" s="31"/>
      <c r="F283" s="31"/>
      <c r="G283" s="31"/>
      <c r="H283" s="31" t="s">
        <v>9881</v>
      </c>
      <c r="I283" s="31"/>
      <c r="J283" s="31"/>
      <c r="K283" s="31"/>
      <c r="L283" s="31"/>
      <c r="M283" s="31"/>
    </row>
    <row r="284" spans="1:13">
      <c r="A284" s="535">
        <v>44266</v>
      </c>
      <c r="B284" s="223" t="s">
        <v>9880</v>
      </c>
      <c r="C284" s="31" t="s">
        <v>8929</v>
      </c>
      <c r="D284" s="39" t="s">
        <v>9854</v>
      </c>
      <c r="E284" s="31"/>
      <c r="F284" s="31"/>
      <c r="G284" s="31"/>
      <c r="H284" s="31"/>
      <c r="I284" s="31"/>
      <c r="J284" s="31"/>
      <c r="K284" s="31"/>
      <c r="L284" s="31"/>
      <c r="M284" s="31"/>
    </row>
    <row r="285" spans="1:13">
      <c r="A285" s="535">
        <v>44266</v>
      </c>
      <c r="B285" s="31" t="s">
        <v>2952</v>
      </c>
      <c r="C285" s="31" t="s">
        <v>8929</v>
      </c>
      <c r="D285" s="39" t="s">
        <v>9854</v>
      </c>
      <c r="E285" s="31"/>
      <c r="F285" s="31"/>
      <c r="G285" s="31"/>
      <c r="H285" s="231" t="s">
        <v>9882</v>
      </c>
      <c r="I285" s="31"/>
      <c r="J285" s="31"/>
      <c r="K285" s="31"/>
      <c r="L285" s="31"/>
      <c r="M285" s="31"/>
    </row>
    <row r="286" spans="1:13">
      <c r="A286" s="535">
        <v>44266</v>
      </c>
      <c r="B286" s="31" t="s">
        <v>3746</v>
      </c>
      <c r="C286" s="39" t="s">
        <v>8929</v>
      </c>
      <c r="D286" s="39" t="s">
        <v>9854</v>
      </c>
      <c r="E286" s="31"/>
      <c r="F286" s="31"/>
      <c r="G286" s="31"/>
      <c r="H286" s="231" t="s">
        <v>9883</v>
      </c>
      <c r="I286" s="31"/>
      <c r="J286" s="31"/>
      <c r="K286" s="31"/>
      <c r="L286" s="31"/>
      <c r="M286" s="31"/>
    </row>
    <row r="287" spans="1:13">
      <c r="A287" s="535">
        <v>44267</v>
      </c>
      <c r="B287" s="84" t="s">
        <v>3747</v>
      </c>
      <c r="C287" s="31" t="s">
        <v>8929</v>
      </c>
      <c r="D287" s="39" t="s">
        <v>9854</v>
      </c>
      <c r="E287" s="31"/>
      <c r="F287" s="31"/>
      <c r="G287" s="31"/>
      <c r="H287" s="230" t="s">
        <v>9884</v>
      </c>
      <c r="I287" s="31"/>
      <c r="J287" s="31"/>
      <c r="K287" s="31"/>
      <c r="L287" s="31"/>
      <c r="M287" s="31"/>
    </row>
    <row r="288" spans="1:13">
      <c r="A288" s="535">
        <v>44267</v>
      </c>
      <c r="B288" s="84" t="s">
        <v>3798</v>
      </c>
      <c r="C288" s="31" t="s">
        <v>8929</v>
      </c>
      <c r="D288" s="39" t="s">
        <v>9854</v>
      </c>
      <c r="E288" s="31"/>
      <c r="F288" s="31"/>
      <c r="G288" s="31"/>
      <c r="H288" s="31"/>
      <c r="I288" s="31"/>
      <c r="J288" s="31"/>
      <c r="K288" s="31"/>
      <c r="L288" s="31"/>
      <c r="M288" s="31"/>
    </row>
    <row r="289" spans="1:13">
      <c r="A289" s="535">
        <v>44267</v>
      </c>
      <c r="B289" s="31" t="s">
        <v>9885</v>
      </c>
      <c r="C289" s="39" t="s">
        <v>8929</v>
      </c>
      <c r="D289" s="39" t="s">
        <v>9854</v>
      </c>
      <c r="E289" s="31"/>
      <c r="F289" s="31"/>
      <c r="G289" s="31"/>
      <c r="H289" s="231" t="s">
        <v>9886</v>
      </c>
      <c r="I289" s="31"/>
      <c r="J289" s="31"/>
      <c r="K289" s="31"/>
      <c r="L289" s="31"/>
      <c r="M289" s="31"/>
    </row>
    <row r="290" spans="1:13">
      <c r="A290" s="535">
        <v>44270</v>
      </c>
      <c r="B290" s="31" t="s">
        <v>9887</v>
      </c>
      <c r="C290" s="39" t="s">
        <v>8929</v>
      </c>
      <c r="D290" s="39" t="s">
        <v>9854</v>
      </c>
      <c r="E290" s="31"/>
      <c r="F290" s="31"/>
      <c r="G290" s="31"/>
      <c r="H290" s="231" t="s">
        <v>4971</v>
      </c>
      <c r="I290" s="31"/>
      <c r="J290" s="31"/>
      <c r="K290" s="31"/>
      <c r="L290" s="31"/>
      <c r="M290" s="31"/>
    </row>
    <row r="291" spans="1:13">
      <c r="A291" s="535">
        <v>44270</v>
      </c>
      <c r="B291" s="218" t="s">
        <v>9888</v>
      </c>
      <c r="C291" s="39" t="s">
        <v>8929</v>
      </c>
      <c r="D291" s="39" t="s">
        <v>9854</v>
      </c>
      <c r="E291" s="31"/>
      <c r="F291" s="31"/>
      <c r="G291" s="31"/>
      <c r="H291" s="231"/>
      <c r="I291" s="31"/>
      <c r="J291" s="31"/>
      <c r="K291" s="31"/>
      <c r="L291" s="31"/>
      <c r="M291" s="31"/>
    </row>
    <row r="292" spans="1:13">
      <c r="A292" s="535">
        <v>44270</v>
      </c>
      <c r="B292" s="31" t="s">
        <v>9889</v>
      </c>
      <c r="C292" s="31" t="s">
        <v>8929</v>
      </c>
      <c r="D292" s="39" t="s">
        <v>9854</v>
      </c>
      <c r="E292" s="31"/>
      <c r="F292" s="31"/>
      <c r="G292" s="31"/>
      <c r="H292" s="231" t="s">
        <v>9890</v>
      </c>
      <c r="I292" s="31"/>
      <c r="J292" s="31"/>
      <c r="K292" s="31"/>
      <c r="L292" s="31"/>
      <c r="M292" s="31"/>
    </row>
    <row r="293" spans="1:13">
      <c r="A293" s="535">
        <v>44271</v>
      </c>
      <c r="B293" s="39" t="s">
        <v>9891</v>
      </c>
      <c r="C293" s="39" t="s">
        <v>8929</v>
      </c>
      <c r="D293" s="39" t="s">
        <v>9854</v>
      </c>
      <c r="E293" s="31"/>
      <c r="F293" s="31"/>
      <c r="G293" s="31"/>
      <c r="H293" s="231" t="s">
        <v>9892</v>
      </c>
      <c r="I293" s="31"/>
      <c r="J293" s="31"/>
      <c r="K293" s="31"/>
      <c r="L293" s="31"/>
      <c r="M293" s="31"/>
    </row>
    <row r="294" spans="1:13">
      <c r="A294" s="535">
        <v>44271</v>
      </c>
      <c r="B294" s="31" t="s">
        <v>9893</v>
      </c>
      <c r="C294" s="31" t="s">
        <v>8929</v>
      </c>
      <c r="D294" s="39" t="s">
        <v>9854</v>
      </c>
      <c r="E294" s="31"/>
      <c r="F294" s="31"/>
      <c r="G294" s="31"/>
      <c r="H294" s="31"/>
      <c r="I294" s="31"/>
      <c r="J294" s="31"/>
      <c r="K294" s="31"/>
      <c r="L294" s="31"/>
      <c r="M294" s="31"/>
    </row>
    <row r="295" spans="1:13">
      <c r="A295" s="535">
        <v>44271</v>
      </c>
      <c r="B295" s="31" t="s">
        <v>3745</v>
      </c>
      <c r="C295" s="39" t="s">
        <v>8929</v>
      </c>
      <c r="D295" s="39" t="s">
        <v>9854</v>
      </c>
      <c r="E295" s="31"/>
      <c r="F295" s="31"/>
      <c r="G295" s="31"/>
      <c r="H295" s="231" t="s">
        <v>9894</v>
      </c>
      <c r="I295" s="31"/>
      <c r="J295" s="31"/>
      <c r="K295" s="31"/>
      <c r="L295" s="31"/>
      <c r="M295" s="31"/>
    </row>
    <row r="296" spans="1:13">
      <c r="A296" s="535">
        <v>44272</v>
      </c>
      <c r="B296" s="31" t="s">
        <v>3743</v>
      </c>
      <c r="C296" s="31" t="s">
        <v>8929</v>
      </c>
      <c r="D296" s="39" t="s">
        <v>9854</v>
      </c>
      <c r="E296" s="31"/>
      <c r="F296" s="31"/>
      <c r="G296" s="31"/>
      <c r="H296" s="231" t="s">
        <v>4976</v>
      </c>
      <c r="I296" s="31"/>
      <c r="J296" s="31"/>
      <c r="K296" s="31"/>
      <c r="L296" s="31"/>
      <c r="M296" s="31"/>
    </row>
    <row r="297" spans="1:13">
      <c r="A297" s="535">
        <v>44272</v>
      </c>
      <c r="B297" s="31" t="s">
        <v>9895</v>
      </c>
      <c r="C297" s="31" t="s">
        <v>8929</v>
      </c>
      <c r="D297" s="39" t="s">
        <v>9854</v>
      </c>
      <c r="E297" s="31"/>
      <c r="F297" s="31"/>
      <c r="G297" s="31"/>
      <c r="H297" s="31"/>
      <c r="I297" s="31"/>
      <c r="J297" s="31"/>
      <c r="K297" s="31"/>
      <c r="L297" s="31"/>
      <c r="M297" s="31"/>
    </row>
    <row r="298" spans="1:13">
      <c r="A298" s="535">
        <v>44272</v>
      </c>
      <c r="B298" s="31" t="s">
        <v>3718</v>
      </c>
      <c r="C298" s="39" t="s">
        <v>8929</v>
      </c>
      <c r="D298" s="39" t="s">
        <v>9854</v>
      </c>
      <c r="E298" s="31"/>
      <c r="F298" s="31"/>
      <c r="G298" s="31"/>
      <c r="H298" s="246" t="s">
        <v>9896</v>
      </c>
      <c r="I298" s="31"/>
      <c r="J298" s="31"/>
      <c r="K298" s="31"/>
      <c r="L298" s="31"/>
      <c r="M298" s="31"/>
    </row>
    <row r="299" spans="1:13">
      <c r="A299" s="535">
        <v>44273</v>
      </c>
      <c r="B299" s="84" t="s">
        <v>9897</v>
      </c>
      <c r="C299" s="39" t="s">
        <v>8929</v>
      </c>
      <c r="D299" s="39" t="s">
        <v>9854</v>
      </c>
      <c r="E299" s="31"/>
      <c r="F299" s="31"/>
      <c r="G299" s="31"/>
      <c r="H299" s="246" t="s">
        <v>4978</v>
      </c>
      <c r="I299" s="31"/>
      <c r="J299" s="31"/>
      <c r="K299" s="31"/>
      <c r="L299" s="31"/>
      <c r="M299" s="31"/>
    </row>
    <row r="300" spans="1:13">
      <c r="A300" s="535">
        <v>44273</v>
      </c>
      <c r="B300" s="39" t="s">
        <v>9898</v>
      </c>
      <c r="C300" s="39" t="s">
        <v>8929</v>
      </c>
      <c r="D300" s="39" t="s">
        <v>9854</v>
      </c>
      <c r="E300" s="31"/>
      <c r="F300" s="31"/>
      <c r="G300" s="31"/>
      <c r="H300" s="31" t="s">
        <v>4982</v>
      </c>
      <c r="I300" s="31"/>
      <c r="J300" s="31"/>
      <c r="K300" s="31"/>
      <c r="L300" s="31"/>
      <c r="M300" s="31"/>
    </row>
    <row r="301" spans="1:13">
      <c r="A301" s="535">
        <v>44273</v>
      </c>
      <c r="B301" s="31" t="s">
        <v>3736</v>
      </c>
      <c r="C301" s="39" t="s">
        <v>8929</v>
      </c>
      <c r="D301" s="39" t="s">
        <v>9854</v>
      </c>
      <c r="E301" s="31"/>
      <c r="F301" s="31"/>
      <c r="G301" s="31"/>
      <c r="H301" s="247" t="s">
        <v>9899</v>
      </c>
      <c r="I301" s="31"/>
      <c r="J301" s="31"/>
      <c r="K301" s="31"/>
      <c r="L301" s="31"/>
      <c r="M301" s="31"/>
    </row>
    <row r="302" spans="1:13">
      <c r="A302" s="535">
        <v>44277</v>
      </c>
      <c r="B302" s="31" t="s">
        <v>2852</v>
      </c>
      <c r="C302" s="39" t="s">
        <v>8929</v>
      </c>
      <c r="D302" s="39" t="s">
        <v>9854</v>
      </c>
      <c r="E302" s="31"/>
      <c r="F302" s="31"/>
      <c r="G302" s="31"/>
      <c r="H302" s="246" t="s">
        <v>9900</v>
      </c>
      <c r="I302" s="31"/>
      <c r="J302" s="31"/>
      <c r="K302" s="31"/>
      <c r="L302" s="31"/>
      <c r="M302" s="31"/>
    </row>
    <row r="303" spans="1:13">
      <c r="A303" s="535">
        <v>44277</v>
      </c>
      <c r="B303" s="31" t="s">
        <v>9901</v>
      </c>
      <c r="C303" s="31" t="s">
        <v>8929</v>
      </c>
      <c r="D303" s="39" t="s">
        <v>9854</v>
      </c>
      <c r="E303" s="31"/>
      <c r="F303" s="31"/>
      <c r="G303" s="31"/>
      <c r="H303" s="247" t="s">
        <v>9902</v>
      </c>
      <c r="I303" s="31"/>
      <c r="J303" s="31"/>
      <c r="K303" s="31"/>
      <c r="L303" s="31"/>
      <c r="M303" s="31"/>
    </row>
    <row r="304" spans="1:13">
      <c r="A304" s="535">
        <v>44277</v>
      </c>
      <c r="B304" s="31" t="s">
        <v>3735</v>
      </c>
      <c r="C304" s="31" t="s">
        <v>8929</v>
      </c>
      <c r="D304" s="39" t="s">
        <v>9854</v>
      </c>
      <c r="E304" s="31"/>
      <c r="F304" s="31"/>
      <c r="G304" s="31"/>
      <c r="H304" s="246" t="s">
        <v>4985</v>
      </c>
      <c r="I304" s="31"/>
      <c r="J304" s="31"/>
      <c r="K304" s="31"/>
      <c r="L304" s="31"/>
      <c r="M304" s="31"/>
    </row>
    <row r="305" spans="1:13">
      <c r="A305" s="535">
        <v>44277</v>
      </c>
      <c r="B305" s="84" t="s">
        <v>3733</v>
      </c>
      <c r="C305" s="31" t="s">
        <v>8929</v>
      </c>
      <c r="D305" s="39" t="s">
        <v>9854</v>
      </c>
      <c r="E305" s="31"/>
      <c r="F305" s="31"/>
      <c r="G305" s="31"/>
      <c r="H305" s="246" t="s">
        <v>9903</v>
      </c>
      <c r="I305" s="31"/>
      <c r="J305" s="31"/>
      <c r="K305" s="31"/>
      <c r="L305" s="31"/>
      <c r="M305" s="31"/>
    </row>
    <row r="306" spans="1:13">
      <c r="A306" s="535">
        <v>44277</v>
      </c>
      <c r="B306" s="84" t="s">
        <v>9904</v>
      </c>
      <c r="C306" s="31" t="s">
        <v>8929</v>
      </c>
      <c r="D306" s="39" t="s">
        <v>9854</v>
      </c>
      <c r="E306" s="31"/>
      <c r="F306" s="31"/>
      <c r="G306" s="31"/>
      <c r="H306" s="246" t="s">
        <v>4988</v>
      </c>
      <c r="I306" s="31"/>
      <c r="J306" s="31"/>
      <c r="K306" s="31"/>
      <c r="L306" s="31"/>
      <c r="M306" s="31"/>
    </row>
    <row r="307" spans="1:13">
      <c r="A307" s="535">
        <v>44277</v>
      </c>
      <c r="B307" s="31" t="s">
        <v>2935</v>
      </c>
      <c r="C307" s="31" t="s">
        <v>8929</v>
      </c>
      <c r="D307" s="39" t="s">
        <v>9854</v>
      </c>
      <c r="E307" s="31"/>
      <c r="F307" s="31"/>
      <c r="G307" s="31"/>
      <c r="H307" s="246" t="s">
        <v>9905</v>
      </c>
      <c r="I307" s="31"/>
      <c r="J307" s="31"/>
      <c r="K307" s="31"/>
      <c r="L307" s="31"/>
      <c r="M307" s="31"/>
    </row>
    <row r="308" spans="1:13">
      <c r="A308" s="535">
        <v>44278</v>
      </c>
      <c r="B308" s="31" t="s">
        <v>3734</v>
      </c>
      <c r="C308" s="31" t="s">
        <v>8929</v>
      </c>
      <c r="D308" s="39" t="s">
        <v>9854</v>
      </c>
      <c r="E308" s="31"/>
      <c r="F308" s="31"/>
      <c r="G308" s="31"/>
      <c r="H308" s="247" t="s">
        <v>9906</v>
      </c>
      <c r="I308" s="31"/>
      <c r="J308" s="31"/>
      <c r="K308" s="31"/>
      <c r="L308" s="31"/>
      <c r="M308" s="31"/>
    </row>
    <row r="309" spans="1:13">
      <c r="A309" s="535">
        <v>44278</v>
      </c>
      <c r="B309" s="84" t="s">
        <v>9907</v>
      </c>
      <c r="C309" s="31" t="s">
        <v>8929</v>
      </c>
      <c r="D309" s="39" t="s">
        <v>9854</v>
      </c>
      <c r="E309" s="31"/>
      <c r="F309" s="31"/>
      <c r="G309" s="31"/>
      <c r="H309" s="246" t="s">
        <v>9908</v>
      </c>
      <c r="I309" s="31"/>
      <c r="J309" s="31"/>
      <c r="K309" s="31"/>
      <c r="L309" s="31"/>
      <c r="M309" s="31"/>
    </row>
    <row r="310" spans="1:13">
      <c r="A310" s="535">
        <v>44278</v>
      </c>
      <c r="B310" s="84" t="s">
        <v>9907</v>
      </c>
      <c r="C310" s="31" t="s">
        <v>8929</v>
      </c>
      <c r="D310" s="39" t="s">
        <v>9854</v>
      </c>
      <c r="E310" s="31"/>
      <c r="F310" s="31"/>
      <c r="G310" s="31"/>
      <c r="H310" s="246" t="s">
        <v>9908</v>
      </c>
      <c r="I310" s="31"/>
      <c r="J310" s="31"/>
      <c r="K310" s="31"/>
      <c r="L310" s="31"/>
      <c r="M310" s="31"/>
    </row>
    <row r="311" spans="1:13">
      <c r="A311" s="535">
        <v>44279</v>
      </c>
      <c r="B311" s="84" t="s">
        <v>3724</v>
      </c>
      <c r="C311" s="31" t="s">
        <v>8929</v>
      </c>
      <c r="D311" s="39" t="s">
        <v>9854</v>
      </c>
      <c r="E311" s="31"/>
      <c r="F311" s="31"/>
      <c r="G311" s="31"/>
      <c r="H311" s="246" t="s">
        <v>4993</v>
      </c>
      <c r="I311" s="31"/>
      <c r="J311" s="31"/>
      <c r="K311" s="31"/>
      <c r="L311" s="31"/>
      <c r="M311" s="31"/>
    </row>
    <row r="312" spans="1:13">
      <c r="A312" s="535">
        <v>44280</v>
      </c>
      <c r="B312" s="31" t="s">
        <v>3732</v>
      </c>
      <c r="C312" s="39" t="s">
        <v>8929</v>
      </c>
      <c r="D312" s="39" t="s">
        <v>9854</v>
      </c>
      <c r="E312" s="31"/>
      <c r="F312" s="31"/>
      <c r="G312" s="31"/>
      <c r="H312" s="246" t="s">
        <v>4987</v>
      </c>
      <c r="I312" s="31"/>
      <c r="J312" s="31"/>
      <c r="K312" s="31"/>
      <c r="L312" s="31"/>
      <c r="M312" s="31"/>
    </row>
    <row r="313" spans="1:13">
      <c r="A313" s="535">
        <v>44280</v>
      </c>
      <c r="B313" s="84" t="s">
        <v>3727</v>
      </c>
      <c r="C313" s="31" t="s">
        <v>8929</v>
      </c>
      <c r="D313" s="39" t="s">
        <v>9854</v>
      </c>
      <c r="E313" s="31"/>
      <c r="F313" s="31"/>
      <c r="G313" s="31"/>
      <c r="H313" s="246" t="s">
        <v>9909</v>
      </c>
      <c r="I313" s="31"/>
      <c r="J313" s="31"/>
      <c r="K313" s="31"/>
      <c r="L313" s="31"/>
      <c r="M313" s="31"/>
    </row>
    <row r="314" spans="1:13">
      <c r="A314" s="535">
        <v>44281</v>
      </c>
      <c r="B314" s="31" t="s">
        <v>9910</v>
      </c>
      <c r="C314" s="31" t="s">
        <v>8929</v>
      </c>
      <c r="D314" s="39" t="s">
        <v>9854</v>
      </c>
      <c r="E314" s="31"/>
      <c r="F314" s="31"/>
      <c r="G314" s="31"/>
      <c r="H314" s="246" t="s">
        <v>9911</v>
      </c>
      <c r="I314" s="31"/>
      <c r="J314" s="31"/>
      <c r="K314" s="31"/>
      <c r="L314" s="31"/>
      <c r="M314" s="31"/>
    </row>
    <row r="315" spans="1:13">
      <c r="A315" s="535">
        <v>44281</v>
      </c>
      <c r="B315" s="31" t="s">
        <v>9912</v>
      </c>
      <c r="C315" s="31" t="s">
        <v>8929</v>
      </c>
      <c r="D315" s="39" t="s">
        <v>9854</v>
      </c>
      <c r="E315" s="31"/>
      <c r="F315" s="31"/>
      <c r="G315" s="31"/>
      <c r="H315" s="247" t="s">
        <v>9913</v>
      </c>
      <c r="I315" s="31"/>
      <c r="J315" s="31"/>
      <c r="K315" s="31"/>
      <c r="L315" s="31"/>
      <c r="M315" s="31"/>
    </row>
    <row r="316" spans="1:13">
      <c r="A316" s="535">
        <v>44284</v>
      </c>
      <c r="B316" s="84" t="s">
        <v>9914</v>
      </c>
      <c r="C316" s="31" t="s">
        <v>8929</v>
      </c>
      <c r="D316" s="39" t="s">
        <v>9854</v>
      </c>
      <c r="E316" s="31"/>
      <c r="F316" s="31"/>
      <c r="G316" s="31"/>
      <c r="H316" s="246" t="s">
        <v>9915</v>
      </c>
      <c r="I316" s="31"/>
      <c r="J316" s="31"/>
      <c r="K316" s="31"/>
      <c r="L316" s="31"/>
      <c r="M316" s="31"/>
    </row>
    <row r="317" spans="1:13">
      <c r="A317" s="535">
        <v>44284</v>
      </c>
      <c r="B317" s="31" t="s">
        <v>3728</v>
      </c>
      <c r="C317" s="39" t="s">
        <v>8929</v>
      </c>
      <c r="D317" s="39" t="s">
        <v>9854</v>
      </c>
      <c r="E317" s="31"/>
      <c r="F317" s="31"/>
      <c r="G317" s="31"/>
      <c r="H317" s="246" t="s">
        <v>4990</v>
      </c>
      <c r="I317" s="31"/>
      <c r="J317" s="31"/>
      <c r="K317" s="31"/>
      <c r="L317" s="31"/>
      <c r="M317" s="31"/>
    </row>
    <row r="318" spans="1:13">
      <c r="A318" s="535">
        <v>44284</v>
      </c>
      <c r="B318" s="84" t="s">
        <v>9916</v>
      </c>
      <c r="C318" s="39" t="s">
        <v>8929</v>
      </c>
      <c r="D318" s="39" t="s">
        <v>9854</v>
      </c>
      <c r="E318" s="31"/>
      <c r="F318" s="31"/>
      <c r="G318" s="31"/>
      <c r="H318" s="31" t="s">
        <v>9917</v>
      </c>
      <c r="I318" s="31"/>
      <c r="J318" s="31"/>
      <c r="K318" s="31"/>
      <c r="L318" s="31"/>
      <c r="M318" s="31"/>
    </row>
    <row r="319" spans="1:13">
      <c r="A319" s="535">
        <v>44284</v>
      </c>
      <c r="B319" s="31" t="s">
        <v>9918</v>
      </c>
      <c r="C319" s="39" t="s">
        <v>8929</v>
      </c>
      <c r="D319" s="39" t="s">
        <v>9854</v>
      </c>
      <c r="E319" s="31"/>
      <c r="F319" s="31"/>
      <c r="G319" s="31"/>
      <c r="H319" s="246" t="s">
        <v>9919</v>
      </c>
      <c r="I319" s="31"/>
      <c r="J319" s="31"/>
      <c r="K319" s="31"/>
      <c r="L319" s="31"/>
      <c r="M319" s="31"/>
    </row>
    <row r="320" spans="1:13">
      <c r="A320" s="535">
        <v>44285</v>
      </c>
      <c r="B320" s="31" t="s">
        <v>9920</v>
      </c>
      <c r="C320" s="31" t="s">
        <v>8929</v>
      </c>
      <c r="D320" s="39" t="s">
        <v>9854</v>
      </c>
      <c r="E320" s="31"/>
      <c r="F320" s="31"/>
      <c r="G320" s="31"/>
      <c r="H320" s="246" t="s">
        <v>4992</v>
      </c>
      <c r="I320" s="31"/>
      <c r="J320" s="31"/>
      <c r="K320" s="31"/>
      <c r="L320" s="31"/>
      <c r="M320" s="31"/>
    </row>
    <row r="321" spans="1:13">
      <c r="A321" s="535">
        <v>44285</v>
      </c>
      <c r="B321" s="31" t="s">
        <v>9921</v>
      </c>
      <c r="C321" s="31" t="s">
        <v>8929</v>
      </c>
      <c r="D321" s="39" t="s">
        <v>9854</v>
      </c>
      <c r="E321" s="31"/>
      <c r="F321" s="31"/>
      <c r="G321" s="31"/>
      <c r="H321" s="246" t="s">
        <v>4254</v>
      </c>
      <c r="I321" s="31"/>
      <c r="J321" s="31"/>
      <c r="K321" s="31"/>
      <c r="L321" s="31"/>
      <c r="M321" s="31"/>
    </row>
    <row r="322" spans="1:13">
      <c r="A322" s="535">
        <v>44285</v>
      </c>
      <c r="B322" s="31" t="s">
        <v>3216</v>
      </c>
      <c r="C322" s="31" t="s">
        <v>8929</v>
      </c>
      <c r="D322" s="39" t="s">
        <v>9854</v>
      </c>
      <c r="E322" s="31"/>
      <c r="F322" s="31"/>
      <c r="G322" s="31"/>
      <c r="H322" s="246" t="s">
        <v>9922</v>
      </c>
      <c r="I322" s="31"/>
      <c r="J322" s="31"/>
      <c r="K322" s="31"/>
      <c r="L322" s="31"/>
      <c r="M322" s="31"/>
    </row>
    <row r="323" spans="1:13">
      <c r="A323" s="535">
        <v>44285</v>
      </c>
      <c r="B323" s="84" t="s">
        <v>3723</v>
      </c>
      <c r="C323" s="31" t="s">
        <v>8929</v>
      </c>
      <c r="D323" s="39" t="s">
        <v>9854</v>
      </c>
      <c r="E323" s="31"/>
      <c r="F323" s="31"/>
      <c r="G323" s="31"/>
      <c r="H323" s="246" t="s">
        <v>9923</v>
      </c>
      <c r="I323" s="31"/>
      <c r="J323" s="31"/>
      <c r="K323" s="31"/>
      <c r="L323" s="31"/>
      <c r="M323" s="31"/>
    </row>
    <row r="324" spans="1:13">
      <c r="A324" s="535">
        <v>44286</v>
      </c>
      <c r="B324" s="240" t="s">
        <v>9924</v>
      </c>
      <c r="C324" s="31" t="s">
        <v>8929</v>
      </c>
      <c r="D324" s="39" t="s">
        <v>9854</v>
      </c>
      <c r="E324" s="31"/>
      <c r="F324" s="31"/>
      <c r="G324" s="31"/>
      <c r="H324" s="247" t="s">
        <v>9925</v>
      </c>
      <c r="I324" s="31"/>
      <c r="J324" s="31"/>
      <c r="K324" s="31"/>
      <c r="L324" s="31"/>
      <c r="M324" s="31"/>
    </row>
    <row r="325" spans="1:13">
      <c r="A325" s="535">
        <v>44286</v>
      </c>
      <c r="B325" s="84" t="s">
        <v>9926</v>
      </c>
      <c r="C325" s="31" t="s">
        <v>8929</v>
      </c>
      <c r="D325" s="39" t="s">
        <v>9854</v>
      </c>
      <c r="E325" s="31"/>
      <c r="F325" s="31"/>
      <c r="G325" s="31"/>
      <c r="H325" s="246" t="s">
        <v>4997</v>
      </c>
      <c r="I325" s="31"/>
      <c r="J325" s="31"/>
      <c r="K325" s="31"/>
      <c r="L325" s="31"/>
      <c r="M325" s="31"/>
    </row>
    <row r="326" spans="1:13">
      <c r="A326" s="535">
        <v>44286</v>
      </c>
      <c r="B326" s="240" t="s">
        <v>9927</v>
      </c>
      <c r="C326" s="31" t="s">
        <v>8929</v>
      </c>
      <c r="D326" s="39" t="s">
        <v>9854</v>
      </c>
      <c r="E326" s="31"/>
      <c r="F326" s="31"/>
      <c r="G326" s="31"/>
      <c r="H326" s="246" t="s">
        <v>9928</v>
      </c>
      <c r="I326" s="31"/>
      <c r="J326" s="31"/>
      <c r="K326" s="31"/>
      <c r="L326" s="31"/>
      <c r="M326" s="31"/>
    </row>
    <row r="327" spans="1:13">
      <c r="A327" s="535">
        <v>44227</v>
      </c>
      <c r="B327" s="240" t="s">
        <v>9929</v>
      </c>
      <c r="C327" s="31" t="s">
        <v>8929</v>
      </c>
      <c r="D327" s="39" t="s">
        <v>9854</v>
      </c>
      <c r="E327" s="31"/>
      <c r="F327" s="31"/>
      <c r="G327" s="31"/>
      <c r="H327" s="246" t="s">
        <v>9930</v>
      </c>
      <c r="I327" s="31"/>
      <c r="J327" s="31"/>
      <c r="K327" s="31"/>
      <c r="L327" s="31"/>
      <c r="M327" s="31"/>
    </row>
    <row r="328" spans="1:13">
      <c r="A328" s="535">
        <v>44227</v>
      </c>
      <c r="B328" s="240" t="s">
        <v>9931</v>
      </c>
      <c r="C328" s="31" t="s">
        <v>8929</v>
      </c>
      <c r="D328" s="39" t="s">
        <v>9854</v>
      </c>
      <c r="E328" s="31"/>
      <c r="F328" s="31"/>
      <c r="G328" s="31"/>
      <c r="H328" s="246" t="s">
        <v>9932</v>
      </c>
      <c r="I328" s="31"/>
      <c r="J328" s="31"/>
      <c r="K328" s="31"/>
      <c r="L328" s="31"/>
      <c r="M328" s="31"/>
    </row>
    <row r="329" spans="1:13">
      <c r="A329" s="535"/>
      <c r="B329" s="219" t="s">
        <v>7684</v>
      </c>
      <c r="C329" s="31"/>
      <c r="D329" s="39"/>
      <c r="E329" s="31"/>
      <c r="F329" s="31"/>
      <c r="G329" s="31"/>
      <c r="H329" s="31"/>
      <c r="I329" s="31"/>
      <c r="J329" s="31"/>
      <c r="K329" s="31"/>
      <c r="L329" s="31"/>
      <c r="M329" s="31"/>
    </row>
    <row r="330" spans="1:13">
      <c r="A330" s="535">
        <v>44287</v>
      </c>
      <c r="B330" s="240" t="s">
        <v>3003</v>
      </c>
      <c r="C330" t="s">
        <v>8929</v>
      </c>
      <c r="D330" s="39" t="s">
        <v>9933</v>
      </c>
      <c r="E330" s="31"/>
      <c r="F330" s="31"/>
      <c r="G330" s="31"/>
      <c r="H330" s="247" t="s">
        <v>9934</v>
      </c>
      <c r="I330" s="31"/>
      <c r="J330" s="31"/>
      <c r="K330" s="31"/>
      <c r="L330" s="31"/>
      <c r="M330" s="31"/>
    </row>
    <row r="331" spans="1:13">
      <c r="A331" s="535">
        <v>44291</v>
      </c>
      <c r="B331" s="240" t="s">
        <v>9935</v>
      </c>
      <c r="C331" s="31" t="s">
        <v>8929</v>
      </c>
      <c r="D331" s="39" t="s">
        <v>9933</v>
      </c>
      <c r="E331" s="31"/>
      <c r="F331" s="31"/>
      <c r="G331" s="31"/>
      <c r="H331" s="246" t="s">
        <v>9936</v>
      </c>
      <c r="I331" s="31"/>
      <c r="J331" s="31"/>
      <c r="K331" s="31"/>
      <c r="L331" s="31"/>
      <c r="M331" s="31"/>
    </row>
    <row r="332" spans="1:13">
      <c r="A332" s="535">
        <v>44291</v>
      </c>
      <c r="B332" s="84" t="s">
        <v>5005</v>
      </c>
      <c r="C332" s="31" t="s">
        <v>8929</v>
      </c>
      <c r="D332" s="39" t="s">
        <v>9933</v>
      </c>
      <c r="E332" s="31"/>
      <c r="F332" s="31"/>
      <c r="G332" s="31"/>
      <c r="H332" s="247" t="s">
        <v>9937</v>
      </c>
      <c r="I332" s="31"/>
      <c r="J332" s="31"/>
      <c r="K332" s="31"/>
      <c r="L332" s="31"/>
      <c r="M332" s="31"/>
    </row>
    <row r="333" spans="1:13">
      <c r="A333" s="535">
        <v>44291</v>
      </c>
      <c r="B333" s="240" t="s">
        <v>3714</v>
      </c>
      <c r="C333" s="39" t="s">
        <v>8929</v>
      </c>
      <c r="D333" s="39" t="s">
        <v>9933</v>
      </c>
      <c r="E333" s="31"/>
      <c r="F333" s="31"/>
      <c r="G333" s="31"/>
      <c r="H333" s="246" t="s">
        <v>5003</v>
      </c>
      <c r="I333" s="31"/>
      <c r="J333" s="31"/>
      <c r="K333" s="31"/>
      <c r="L333" s="31"/>
      <c r="M333" s="31"/>
    </row>
    <row r="334" spans="1:13">
      <c r="A334" s="535">
        <v>44291</v>
      </c>
      <c r="B334" s="240" t="s">
        <v>9938</v>
      </c>
      <c r="C334" s="39" t="s">
        <v>8929</v>
      </c>
      <c r="D334" s="39" t="s">
        <v>9933</v>
      </c>
      <c r="E334" s="31"/>
      <c r="F334" s="31"/>
      <c r="G334" s="31"/>
      <c r="H334" s="31" t="s">
        <v>9939</v>
      </c>
      <c r="I334" s="31"/>
      <c r="J334" s="31"/>
      <c r="K334" s="31"/>
      <c r="L334" s="31"/>
      <c r="M334" s="31"/>
    </row>
    <row r="335" spans="1:13">
      <c r="A335" s="535">
        <v>44291</v>
      </c>
      <c r="B335" s="240" t="s">
        <v>3716</v>
      </c>
      <c r="C335" s="31" t="s">
        <v>8929</v>
      </c>
      <c r="D335" s="39" t="s">
        <v>9933</v>
      </c>
      <c r="E335" s="31"/>
      <c r="F335" s="31"/>
      <c r="G335" s="31"/>
      <c r="H335" s="246" t="s">
        <v>5000</v>
      </c>
      <c r="I335" s="31"/>
      <c r="J335" s="31"/>
      <c r="K335" s="31"/>
      <c r="L335" s="31"/>
      <c r="M335" s="31"/>
    </row>
    <row r="336" spans="1:13">
      <c r="A336" s="535">
        <v>44291</v>
      </c>
      <c r="B336" s="84" t="s">
        <v>3710</v>
      </c>
      <c r="C336" s="31" t="s">
        <v>8929</v>
      </c>
      <c r="D336" s="39" t="s">
        <v>9933</v>
      </c>
      <c r="E336" s="31"/>
      <c r="F336" s="31"/>
      <c r="G336" s="31"/>
      <c r="H336" s="246" t="s">
        <v>9940</v>
      </c>
      <c r="I336" s="31"/>
      <c r="J336" s="31"/>
      <c r="K336" s="31"/>
      <c r="L336" s="31"/>
      <c r="M336" s="31"/>
    </row>
    <row r="337" spans="1:13">
      <c r="A337" s="535">
        <v>44291</v>
      </c>
      <c r="B337" s="84" t="s">
        <v>9941</v>
      </c>
      <c r="C337" s="31" t="s">
        <v>8929</v>
      </c>
      <c r="D337" s="39" t="s">
        <v>9933</v>
      </c>
      <c r="E337" s="31"/>
      <c r="F337" s="31"/>
      <c r="G337" s="31"/>
      <c r="H337" s="246" t="s">
        <v>9942</v>
      </c>
      <c r="I337" s="31"/>
      <c r="J337" s="31"/>
      <c r="K337" s="31"/>
      <c r="L337" s="31"/>
      <c r="M337" s="31"/>
    </row>
    <row r="338" spans="1:13">
      <c r="A338" s="535">
        <v>44291</v>
      </c>
      <c r="B338" s="84" t="s">
        <v>3701</v>
      </c>
      <c r="C338" s="31" t="s">
        <v>8929</v>
      </c>
      <c r="D338" s="39" t="s">
        <v>9933</v>
      </c>
      <c r="E338" s="31"/>
      <c r="F338" s="31"/>
      <c r="G338" s="31"/>
      <c r="H338" s="247" t="s">
        <v>4141</v>
      </c>
      <c r="I338" s="31"/>
      <c r="J338" s="31"/>
      <c r="K338" s="31"/>
      <c r="L338" s="31"/>
      <c r="M338" s="31"/>
    </row>
    <row r="339" spans="1:13">
      <c r="A339" s="535">
        <v>44291</v>
      </c>
      <c r="B339" s="84" t="s">
        <v>9943</v>
      </c>
      <c r="C339" s="31" t="s">
        <v>8929</v>
      </c>
      <c r="D339" s="39" t="s">
        <v>9933</v>
      </c>
      <c r="E339" s="31"/>
      <c r="F339" s="31"/>
      <c r="G339" s="31"/>
      <c r="H339" s="31" t="s">
        <v>4141</v>
      </c>
      <c r="I339" s="31"/>
      <c r="J339" s="31"/>
      <c r="K339" s="31"/>
      <c r="L339" s="31"/>
      <c r="M339" s="31"/>
    </row>
    <row r="340" spans="1:13">
      <c r="A340" s="535">
        <v>44291</v>
      </c>
      <c r="B340" s="84" t="s">
        <v>9944</v>
      </c>
      <c r="C340" s="31" t="s">
        <v>8929</v>
      </c>
      <c r="D340" s="39" t="s">
        <v>9933</v>
      </c>
      <c r="E340" s="31"/>
      <c r="F340" s="31"/>
      <c r="G340" s="31"/>
      <c r="H340" s="246" t="s">
        <v>4256</v>
      </c>
      <c r="I340" s="31"/>
      <c r="J340" s="31"/>
      <c r="K340" s="31"/>
      <c r="L340" s="31"/>
      <c r="M340" s="31"/>
    </row>
    <row r="341" spans="1:13">
      <c r="A341" s="535">
        <v>44291</v>
      </c>
      <c r="B341" s="240" t="s">
        <v>3709</v>
      </c>
      <c r="C341" s="31" t="s">
        <v>8929</v>
      </c>
      <c r="D341" s="39" t="s">
        <v>9933</v>
      </c>
      <c r="E341" s="31"/>
      <c r="F341" s="31"/>
      <c r="G341" s="31"/>
      <c r="H341" s="246" t="s">
        <v>9945</v>
      </c>
      <c r="I341" s="31"/>
      <c r="J341" s="31"/>
      <c r="K341" s="31"/>
      <c r="L341" s="31"/>
      <c r="M341" s="31"/>
    </row>
    <row r="342" spans="1:13">
      <c r="A342" s="535">
        <v>44291</v>
      </c>
      <c r="B342" s="240" t="s">
        <v>9946</v>
      </c>
      <c r="C342" s="31" t="s">
        <v>8929</v>
      </c>
      <c r="D342" s="39" t="s">
        <v>9933</v>
      </c>
      <c r="E342" s="31"/>
      <c r="F342" s="31"/>
      <c r="G342" s="31"/>
      <c r="H342" s="246" t="s">
        <v>9947</v>
      </c>
      <c r="I342" s="31"/>
      <c r="J342" s="31"/>
      <c r="K342" s="31"/>
      <c r="L342" s="31"/>
      <c r="M342" s="31"/>
    </row>
    <row r="343" spans="1:13">
      <c r="A343" s="535">
        <v>44291</v>
      </c>
      <c r="B343" s="240" t="s">
        <v>3704</v>
      </c>
      <c r="C343" s="31" t="s">
        <v>8929</v>
      </c>
      <c r="D343" s="39" t="s">
        <v>9933</v>
      </c>
      <c r="E343" s="31"/>
      <c r="F343" s="31"/>
      <c r="G343" s="31"/>
      <c r="H343" s="246" t="s">
        <v>5016</v>
      </c>
      <c r="I343" s="31"/>
      <c r="J343" s="31"/>
      <c r="K343" s="31"/>
      <c r="L343" s="31"/>
      <c r="M343" s="31"/>
    </row>
    <row r="344" spans="1:13">
      <c r="A344" s="535">
        <v>44292</v>
      </c>
      <c r="B344" s="240" t="s">
        <v>3707</v>
      </c>
      <c r="C344" s="31" t="s">
        <v>8929</v>
      </c>
      <c r="D344" s="39" t="s">
        <v>9933</v>
      </c>
      <c r="E344" s="31"/>
      <c r="F344" s="31"/>
      <c r="G344" s="31"/>
      <c r="H344" s="246" t="s">
        <v>5014</v>
      </c>
      <c r="I344" s="31"/>
      <c r="J344" s="31"/>
      <c r="K344" s="31"/>
      <c r="L344" s="31"/>
      <c r="M344" s="31"/>
    </row>
    <row r="345" spans="1:13">
      <c r="A345" s="535">
        <v>44292</v>
      </c>
      <c r="B345" s="84" t="s">
        <v>3703</v>
      </c>
      <c r="C345" s="39" t="s">
        <v>8929</v>
      </c>
      <c r="D345" s="39" t="s">
        <v>9933</v>
      </c>
      <c r="E345" s="31"/>
      <c r="F345" s="31"/>
      <c r="G345" s="31"/>
      <c r="H345" s="246" t="s">
        <v>5017</v>
      </c>
      <c r="I345" s="31"/>
      <c r="J345" s="31"/>
      <c r="K345" s="31"/>
      <c r="L345" s="31"/>
      <c r="M345" s="31"/>
    </row>
    <row r="346" spans="1:13">
      <c r="A346" s="535">
        <v>44292</v>
      </c>
      <c r="B346" s="240" t="s">
        <v>3712</v>
      </c>
      <c r="C346" s="39" t="s">
        <v>8929</v>
      </c>
      <c r="D346" s="39" t="s">
        <v>9933</v>
      </c>
      <c r="E346" s="31"/>
      <c r="F346" s="31"/>
      <c r="G346" s="31"/>
      <c r="H346" s="247" t="s">
        <v>9948</v>
      </c>
      <c r="I346" s="31"/>
      <c r="J346" s="31"/>
      <c r="K346" s="31"/>
      <c r="L346" s="31"/>
      <c r="M346" s="31"/>
    </row>
    <row r="347" spans="1:13">
      <c r="A347" s="535">
        <v>44293</v>
      </c>
      <c r="B347" s="240" t="s">
        <v>3711</v>
      </c>
      <c r="C347" s="31" t="s">
        <v>8929</v>
      </c>
      <c r="D347" s="39" t="s">
        <v>9933</v>
      </c>
      <c r="E347" s="31"/>
      <c r="F347" s="31"/>
      <c r="G347" s="31"/>
      <c r="H347" s="246" t="s">
        <v>5008</v>
      </c>
      <c r="I347" s="31"/>
      <c r="J347" s="31"/>
      <c r="K347" s="31"/>
      <c r="L347" s="31"/>
      <c r="M347" s="31"/>
    </row>
    <row r="348" spans="1:13">
      <c r="A348" s="535">
        <v>44293</v>
      </c>
      <c r="B348" s="240" t="s">
        <v>3706</v>
      </c>
      <c r="C348" s="31" t="s">
        <v>8929</v>
      </c>
      <c r="D348" s="39" t="s">
        <v>9933</v>
      </c>
      <c r="E348" s="31"/>
      <c r="F348" s="31"/>
      <c r="G348" s="31"/>
      <c r="H348" s="246" t="s">
        <v>5015</v>
      </c>
      <c r="I348" s="31"/>
      <c r="J348" s="31"/>
      <c r="K348" s="31"/>
      <c r="L348" s="31"/>
      <c r="M348" s="31"/>
    </row>
    <row r="349" spans="1:13">
      <c r="A349" s="535">
        <v>44293</v>
      </c>
      <c r="B349" s="240" t="s">
        <v>9949</v>
      </c>
      <c r="C349" s="31" t="s">
        <v>8929</v>
      </c>
      <c r="D349" s="39" t="s">
        <v>9933</v>
      </c>
      <c r="E349" s="31"/>
      <c r="F349" s="31"/>
      <c r="G349" s="31"/>
      <c r="H349" s="246" t="s">
        <v>5011</v>
      </c>
      <c r="I349" s="31"/>
      <c r="J349" s="31"/>
      <c r="K349" s="31"/>
      <c r="L349" s="31"/>
      <c r="M349" s="31"/>
    </row>
    <row r="350" spans="1:13">
      <c r="A350" s="535">
        <v>44294</v>
      </c>
      <c r="B350" s="240" t="s">
        <v>9950</v>
      </c>
      <c r="C350" s="31" t="s">
        <v>8929</v>
      </c>
      <c r="D350" s="39" t="s">
        <v>9933</v>
      </c>
      <c r="E350" s="31"/>
      <c r="F350" s="31"/>
      <c r="G350" s="31"/>
      <c r="H350" s="246" t="s">
        <v>5019</v>
      </c>
      <c r="I350" s="31"/>
      <c r="J350" s="31"/>
      <c r="K350" s="31"/>
      <c r="L350" s="31"/>
      <c r="M350" s="31"/>
    </row>
    <row r="351" spans="1:13">
      <c r="A351" s="535">
        <v>44294</v>
      </c>
      <c r="B351" s="240" t="s">
        <v>3699</v>
      </c>
      <c r="C351" s="31" t="s">
        <v>8929</v>
      </c>
      <c r="D351" s="39" t="s">
        <v>9933</v>
      </c>
      <c r="E351" s="31"/>
      <c r="F351" s="31"/>
      <c r="G351" s="31"/>
      <c r="H351" s="246" t="s">
        <v>5020</v>
      </c>
      <c r="I351" s="31"/>
      <c r="J351" s="31"/>
      <c r="K351" s="31"/>
      <c r="L351" s="31"/>
      <c r="M351" s="31"/>
    </row>
    <row r="352" spans="1:13">
      <c r="A352" s="535">
        <v>44294</v>
      </c>
      <c r="B352" s="240" t="s">
        <v>3698</v>
      </c>
      <c r="C352" s="31" t="s">
        <v>8929</v>
      </c>
      <c r="D352" s="39" t="s">
        <v>9933</v>
      </c>
      <c r="E352" s="31"/>
      <c r="F352" s="31"/>
      <c r="G352" s="31"/>
      <c r="H352" s="246" t="s">
        <v>5021</v>
      </c>
      <c r="I352" s="31"/>
      <c r="J352" s="31"/>
      <c r="K352" s="31"/>
      <c r="L352" s="31"/>
      <c r="M352" s="31"/>
    </row>
    <row r="353" spans="1:13">
      <c r="A353" s="535">
        <v>44294</v>
      </c>
      <c r="B353" s="84" t="s">
        <v>9951</v>
      </c>
      <c r="C353" s="31" t="s">
        <v>8929</v>
      </c>
      <c r="D353" s="39" t="s">
        <v>9933</v>
      </c>
      <c r="E353" s="31"/>
      <c r="F353" s="31"/>
      <c r="G353" s="31"/>
      <c r="H353" s="246" t="s">
        <v>5023</v>
      </c>
      <c r="I353" s="31"/>
      <c r="J353" s="31"/>
      <c r="K353" s="31"/>
      <c r="L353" s="31"/>
      <c r="M353" s="31"/>
    </row>
    <row r="354" spans="1:13">
      <c r="A354" s="535">
        <v>44295</v>
      </c>
      <c r="B354" s="84" t="s">
        <v>3062</v>
      </c>
      <c r="C354" s="31" t="s">
        <v>8929</v>
      </c>
      <c r="D354" s="39" t="s">
        <v>9933</v>
      </c>
      <c r="E354" s="31"/>
      <c r="F354" s="31"/>
      <c r="G354" s="31"/>
      <c r="H354" s="247" t="s">
        <v>9952</v>
      </c>
      <c r="I354" s="31"/>
      <c r="J354" s="31"/>
      <c r="K354" s="31"/>
      <c r="L354" s="31"/>
      <c r="M354" s="31"/>
    </row>
    <row r="355" spans="1:13">
      <c r="A355" s="535">
        <v>44295</v>
      </c>
      <c r="B355" s="84" t="s">
        <v>9953</v>
      </c>
      <c r="C355" s="31" t="s">
        <v>8929</v>
      </c>
      <c r="D355" s="39" t="s">
        <v>9933</v>
      </c>
      <c r="E355" s="31"/>
      <c r="F355" s="31"/>
      <c r="G355" s="31"/>
      <c r="H355" s="246" t="s">
        <v>5018</v>
      </c>
      <c r="I355" s="31"/>
      <c r="J355" s="31"/>
      <c r="K355" s="31"/>
      <c r="L355" s="31"/>
      <c r="M355" s="31"/>
    </row>
    <row r="356" spans="1:13">
      <c r="A356" s="535">
        <v>44298</v>
      </c>
      <c r="B356" s="240" t="s">
        <v>2878</v>
      </c>
      <c r="C356" s="31" t="s">
        <v>8929</v>
      </c>
      <c r="D356" s="39" t="s">
        <v>9933</v>
      </c>
      <c r="E356" s="31"/>
      <c r="F356" s="31"/>
      <c r="G356" s="31"/>
      <c r="H356" s="246" t="s">
        <v>4258</v>
      </c>
      <c r="I356" s="31"/>
      <c r="J356" s="31"/>
      <c r="K356" s="31"/>
      <c r="L356" s="31"/>
      <c r="M356" s="31"/>
    </row>
    <row r="357" spans="1:13">
      <c r="A357" s="535">
        <v>44298</v>
      </c>
      <c r="B357" s="240" t="s">
        <v>9954</v>
      </c>
      <c r="C357" s="31" t="s">
        <v>8929</v>
      </c>
      <c r="D357" s="39" t="s">
        <v>9933</v>
      </c>
      <c r="E357" s="31"/>
      <c r="F357" s="31"/>
      <c r="G357" s="31"/>
      <c r="H357" s="246" t="s">
        <v>4257</v>
      </c>
      <c r="I357" s="31"/>
      <c r="J357" s="31"/>
      <c r="K357" s="31"/>
      <c r="L357" s="31"/>
      <c r="M357" s="31"/>
    </row>
    <row r="358" spans="1:13">
      <c r="A358" s="535">
        <v>44298</v>
      </c>
      <c r="B358" s="240" t="s">
        <v>9955</v>
      </c>
      <c r="C358" s="31" t="s">
        <v>8929</v>
      </c>
      <c r="D358" s="39" t="s">
        <v>9933</v>
      </c>
      <c r="E358" s="31"/>
      <c r="F358" s="31"/>
      <c r="G358" s="31"/>
      <c r="H358" s="31" t="s">
        <v>9956</v>
      </c>
      <c r="I358" s="31"/>
      <c r="J358" s="31"/>
      <c r="K358" s="31"/>
      <c r="L358" s="31"/>
      <c r="M358" s="31"/>
    </row>
    <row r="359" spans="1:13">
      <c r="A359" s="535">
        <v>44298</v>
      </c>
      <c r="B359" s="240" t="s">
        <v>9957</v>
      </c>
      <c r="C359" s="31" t="s">
        <v>8929</v>
      </c>
      <c r="D359" s="39" t="s">
        <v>9933</v>
      </c>
      <c r="E359" s="31"/>
      <c r="F359" s="31"/>
      <c r="G359" s="31"/>
      <c r="H359" s="31" t="s">
        <v>9958</v>
      </c>
      <c r="I359" s="31"/>
      <c r="J359" s="31"/>
      <c r="K359" s="31"/>
      <c r="L359" s="31"/>
      <c r="M359" s="31"/>
    </row>
    <row r="360" spans="1:13">
      <c r="A360" s="535">
        <v>44298</v>
      </c>
      <c r="B360" s="240" t="s">
        <v>2882</v>
      </c>
      <c r="C360" s="31" t="s">
        <v>8929</v>
      </c>
      <c r="D360" s="39" t="s">
        <v>9933</v>
      </c>
      <c r="E360" s="31"/>
      <c r="F360" s="31"/>
      <c r="G360" s="31"/>
      <c r="H360" s="31" t="s">
        <v>9959</v>
      </c>
      <c r="I360" s="31"/>
      <c r="J360" s="31"/>
      <c r="K360" s="31"/>
      <c r="L360" s="31"/>
      <c r="M360" s="31"/>
    </row>
    <row r="361" spans="1:13">
      <c r="A361" s="535">
        <v>44299</v>
      </c>
      <c r="B361" s="240" t="s">
        <v>3697</v>
      </c>
      <c r="C361" s="31" t="s">
        <v>8929</v>
      </c>
      <c r="D361" s="39" t="s">
        <v>9933</v>
      </c>
      <c r="E361" s="31"/>
      <c r="F361" s="31"/>
      <c r="G361" s="31"/>
      <c r="H361" s="31" t="s">
        <v>9960</v>
      </c>
      <c r="I361" s="31"/>
      <c r="J361" s="31"/>
      <c r="K361" s="31"/>
      <c r="L361" s="31"/>
      <c r="M361" s="31"/>
    </row>
    <row r="362" spans="1:13">
      <c r="A362" s="540">
        <v>44299</v>
      </c>
      <c r="B362" s="240" t="s">
        <v>3694</v>
      </c>
      <c r="C362" s="31" t="s">
        <v>8929</v>
      </c>
      <c r="D362" s="39" t="s">
        <v>9933</v>
      </c>
      <c r="E362" s="31"/>
      <c r="F362" s="31"/>
      <c r="G362" s="31"/>
      <c r="H362" s="31" t="s">
        <v>9961</v>
      </c>
      <c r="I362" s="31"/>
      <c r="J362" s="31"/>
      <c r="K362" s="31"/>
      <c r="L362" s="31"/>
      <c r="M362" s="31"/>
    </row>
    <row r="363" spans="1:13">
      <c r="A363" s="535">
        <v>44300</v>
      </c>
      <c r="B363" s="240" t="s">
        <v>9962</v>
      </c>
      <c r="C363" s="31" t="s">
        <v>8929</v>
      </c>
      <c r="D363" s="39" t="s">
        <v>9933</v>
      </c>
      <c r="E363" s="31"/>
      <c r="F363" s="31"/>
      <c r="G363" s="31"/>
      <c r="H363" s="31"/>
      <c r="I363" s="31"/>
      <c r="J363" s="31"/>
      <c r="K363" s="31"/>
      <c r="L363" s="31"/>
      <c r="M363" s="31"/>
    </row>
    <row r="364" spans="1:13">
      <c r="A364" s="522">
        <v>44300</v>
      </c>
      <c r="B364" s="84" t="s">
        <v>9963</v>
      </c>
      <c r="C364" s="31" t="s">
        <v>8929</v>
      </c>
      <c r="D364" s="39" t="s">
        <v>9933</v>
      </c>
      <c r="E364" s="31"/>
      <c r="F364" s="31"/>
      <c r="G364" s="31"/>
      <c r="H364" s="31"/>
      <c r="I364" s="31"/>
      <c r="J364" s="31"/>
      <c r="K364" s="31"/>
      <c r="L364" s="31"/>
      <c r="M364" s="31"/>
    </row>
    <row r="365" spans="1:13">
      <c r="A365" s="535">
        <v>44300</v>
      </c>
      <c r="B365" s="84" t="s">
        <v>3690</v>
      </c>
      <c r="C365" s="31" t="s">
        <v>8929</v>
      </c>
      <c r="D365" s="39" t="s">
        <v>9933</v>
      </c>
      <c r="E365" s="31"/>
      <c r="F365" s="31"/>
      <c r="G365" s="31"/>
      <c r="H365" s="31" t="s">
        <v>9964</v>
      </c>
      <c r="I365" s="31"/>
      <c r="J365" s="31"/>
      <c r="K365" s="31"/>
      <c r="L365" s="31"/>
      <c r="M365" s="31"/>
    </row>
    <row r="366" spans="1:13">
      <c r="A366" s="535">
        <v>44300</v>
      </c>
      <c r="B366" s="240" t="s">
        <v>3691</v>
      </c>
      <c r="C366" s="31" t="s">
        <v>8929</v>
      </c>
      <c r="D366" s="39" t="s">
        <v>9933</v>
      </c>
      <c r="E366" s="31"/>
      <c r="F366" s="31"/>
      <c r="G366" s="31"/>
      <c r="H366" s="31" t="s">
        <v>9965</v>
      </c>
      <c r="I366" s="31"/>
      <c r="J366" s="31"/>
      <c r="K366" s="31"/>
      <c r="L366" s="31"/>
      <c r="M366" s="31"/>
    </row>
    <row r="367" spans="1:13">
      <c r="A367" s="535">
        <v>44300</v>
      </c>
      <c r="B367" s="84" t="s">
        <v>2927</v>
      </c>
      <c r="C367" s="31" t="s">
        <v>8929</v>
      </c>
      <c r="D367" s="39" t="s">
        <v>9933</v>
      </c>
      <c r="E367" s="31"/>
      <c r="F367" s="31"/>
      <c r="G367" s="31"/>
      <c r="H367" s="31" t="s">
        <v>9966</v>
      </c>
      <c r="I367" s="31"/>
      <c r="J367" s="31"/>
      <c r="K367" s="31"/>
      <c r="L367" s="31"/>
      <c r="M367" s="31"/>
    </row>
    <row r="368" spans="1:13">
      <c r="A368" s="535">
        <v>44300</v>
      </c>
      <c r="B368" s="240" t="s">
        <v>9967</v>
      </c>
      <c r="C368" s="31" t="s">
        <v>8929</v>
      </c>
      <c r="D368" s="39" t="s">
        <v>9933</v>
      </c>
      <c r="E368" s="31"/>
      <c r="F368" s="31"/>
      <c r="G368" s="31"/>
      <c r="H368" s="31" t="s">
        <v>9968</v>
      </c>
      <c r="I368" s="31"/>
      <c r="J368" s="31"/>
      <c r="K368" s="31"/>
      <c r="L368" s="31"/>
      <c r="M368" s="31"/>
    </row>
    <row r="369" spans="1:13">
      <c r="A369" s="535">
        <v>44301</v>
      </c>
      <c r="B369" s="84" t="s">
        <v>9969</v>
      </c>
      <c r="C369" s="31" t="s">
        <v>8929</v>
      </c>
      <c r="D369" s="39" t="s">
        <v>9933</v>
      </c>
      <c r="E369" s="31"/>
      <c r="F369" s="31"/>
      <c r="G369" s="31"/>
      <c r="H369" s="31" t="s">
        <v>9970</v>
      </c>
      <c r="I369" s="31"/>
      <c r="J369" s="31"/>
      <c r="K369" s="31"/>
      <c r="L369" s="31"/>
      <c r="M369" s="31"/>
    </row>
    <row r="370" spans="1:13">
      <c r="A370" s="535">
        <v>44302</v>
      </c>
      <c r="B370" s="240" t="s">
        <v>3006</v>
      </c>
      <c r="C370" s="39" t="s">
        <v>8929</v>
      </c>
      <c r="D370" s="39" t="s">
        <v>9933</v>
      </c>
      <c r="E370" s="31"/>
      <c r="F370" s="31"/>
      <c r="G370" s="31"/>
      <c r="H370" s="231" t="s">
        <v>9971</v>
      </c>
      <c r="I370" s="31"/>
      <c r="J370" s="31"/>
      <c r="K370" s="31"/>
      <c r="L370" s="31"/>
      <c r="M370" s="31"/>
    </row>
    <row r="371" spans="1:13">
      <c r="A371" s="535">
        <v>44303</v>
      </c>
      <c r="B371" s="249" t="s">
        <v>2968</v>
      </c>
      <c r="C371" s="31" t="s">
        <v>8929</v>
      </c>
      <c r="D371" s="39" t="s">
        <v>9933</v>
      </c>
      <c r="E371" s="31"/>
      <c r="F371" s="31"/>
      <c r="G371" s="31"/>
      <c r="H371" s="31"/>
      <c r="I371" s="31"/>
      <c r="J371" s="31"/>
      <c r="K371" s="31"/>
      <c r="L371" s="31"/>
      <c r="M371" s="31"/>
    </row>
    <row r="372" spans="1:13">
      <c r="A372" s="535">
        <v>44303</v>
      </c>
      <c r="B372" s="240" t="s">
        <v>2864</v>
      </c>
      <c r="C372" s="31" t="s">
        <v>8929</v>
      </c>
      <c r="D372" s="39" t="s">
        <v>9933</v>
      </c>
      <c r="E372" s="31"/>
      <c r="F372" s="31"/>
      <c r="G372" s="31"/>
      <c r="H372" s="31"/>
      <c r="I372" s="31"/>
      <c r="J372" s="31"/>
      <c r="K372" s="31"/>
      <c r="L372" s="31"/>
      <c r="M372" s="31"/>
    </row>
    <row r="373" spans="1:13">
      <c r="A373" s="535">
        <v>44305</v>
      </c>
      <c r="B373" s="240" t="s">
        <v>9972</v>
      </c>
      <c r="C373" s="31" t="s">
        <v>8929</v>
      </c>
      <c r="D373" s="39" t="s">
        <v>9933</v>
      </c>
      <c r="E373" s="31"/>
      <c r="F373" s="31"/>
      <c r="G373" s="31"/>
      <c r="H373" s="231" t="s">
        <v>9973</v>
      </c>
      <c r="I373" s="31"/>
      <c r="J373" s="31"/>
      <c r="K373" s="31"/>
      <c r="L373" s="31"/>
      <c r="M373" s="31"/>
    </row>
    <row r="374" spans="1:13">
      <c r="A374" s="535">
        <v>44305</v>
      </c>
      <c r="B374" s="208" t="s">
        <v>3688</v>
      </c>
      <c r="C374" s="31" t="s">
        <v>8929</v>
      </c>
      <c r="D374" s="39" t="s">
        <v>9933</v>
      </c>
      <c r="E374" s="31"/>
      <c r="F374" s="31"/>
      <c r="G374" s="31"/>
      <c r="H374" s="231" t="s">
        <v>5034</v>
      </c>
      <c r="I374" s="31"/>
      <c r="J374" s="31"/>
      <c r="K374" s="31"/>
      <c r="L374" s="31"/>
      <c r="M374" s="31"/>
    </row>
    <row r="375" spans="1:13">
      <c r="A375" s="535">
        <v>44305</v>
      </c>
      <c r="B375" s="258" t="s">
        <v>9974</v>
      </c>
      <c r="C375" s="31" t="s">
        <v>8929</v>
      </c>
      <c r="D375" s="39" t="s">
        <v>9933</v>
      </c>
      <c r="E375" s="31"/>
      <c r="F375" s="31"/>
      <c r="G375" s="31"/>
      <c r="H375" s="231" t="s">
        <v>5035</v>
      </c>
      <c r="I375" s="31"/>
      <c r="J375" s="31"/>
      <c r="K375" s="31"/>
      <c r="L375" s="31"/>
      <c r="M375" s="31"/>
    </row>
    <row r="376" spans="1:13">
      <c r="A376" s="535">
        <v>44305</v>
      </c>
      <c r="B376" s="240" t="s">
        <v>9975</v>
      </c>
      <c r="C376" s="31" t="s">
        <v>8929</v>
      </c>
      <c r="D376" s="39" t="s">
        <v>9933</v>
      </c>
      <c r="E376" s="31"/>
      <c r="F376" s="31"/>
      <c r="G376" s="31"/>
      <c r="H376" s="231" t="s">
        <v>5033</v>
      </c>
      <c r="I376" s="31"/>
      <c r="J376" s="31"/>
      <c r="K376" s="31"/>
      <c r="L376" s="31"/>
      <c r="M376" s="31"/>
    </row>
    <row r="377" spans="1:13">
      <c r="A377" s="535">
        <v>44306</v>
      </c>
      <c r="B377" s="240" t="s">
        <v>9976</v>
      </c>
      <c r="C377" s="31" t="s">
        <v>8929</v>
      </c>
      <c r="D377" s="39" t="s">
        <v>9933</v>
      </c>
      <c r="E377" s="31"/>
      <c r="F377" s="31"/>
      <c r="G377" s="31"/>
      <c r="H377" s="31"/>
      <c r="I377" s="31"/>
      <c r="J377" s="31"/>
      <c r="K377" s="31"/>
      <c r="L377" s="31"/>
      <c r="M377" s="31"/>
    </row>
    <row r="378" spans="1:13">
      <c r="A378" s="535">
        <v>44308</v>
      </c>
      <c r="B378" s="240" t="s">
        <v>9977</v>
      </c>
      <c r="C378" s="31" t="s">
        <v>8929</v>
      </c>
      <c r="D378" s="39" t="s">
        <v>9933</v>
      </c>
      <c r="E378" s="31"/>
      <c r="F378" s="31"/>
      <c r="G378" s="31"/>
      <c r="H378" s="230" t="s">
        <v>9978</v>
      </c>
      <c r="I378" s="31"/>
      <c r="J378" s="31"/>
      <c r="K378" s="31"/>
      <c r="L378" s="31"/>
      <c r="M378" s="31"/>
    </row>
    <row r="379" spans="1:13">
      <c r="A379" s="535">
        <v>44309</v>
      </c>
      <c r="B379" s="258" t="s">
        <v>2932</v>
      </c>
      <c r="C379" s="31" t="s">
        <v>8929</v>
      </c>
      <c r="D379" s="39" t="s">
        <v>9933</v>
      </c>
      <c r="E379" s="31"/>
      <c r="F379" s="31"/>
      <c r="G379" s="31"/>
      <c r="H379" s="231" t="s">
        <v>5037</v>
      </c>
      <c r="I379" s="31"/>
      <c r="J379" s="31"/>
      <c r="K379" s="31"/>
      <c r="L379" s="31"/>
      <c r="M379" s="31"/>
    </row>
    <row r="380" spans="1:13">
      <c r="A380" s="535">
        <v>44309</v>
      </c>
      <c r="B380" s="240" t="s">
        <v>9979</v>
      </c>
      <c r="C380" s="31" t="s">
        <v>8929</v>
      </c>
      <c r="D380" s="39" t="s">
        <v>9933</v>
      </c>
      <c r="E380" s="31"/>
      <c r="F380" s="31"/>
      <c r="G380" s="31"/>
      <c r="H380" s="231" t="s">
        <v>5038</v>
      </c>
      <c r="I380" s="31"/>
      <c r="J380" s="31"/>
      <c r="K380" s="31"/>
      <c r="L380" s="31"/>
      <c r="M380" s="31"/>
    </row>
    <row r="381" spans="1:13">
      <c r="A381" s="535">
        <v>44312</v>
      </c>
      <c r="B381" s="240" t="s">
        <v>3245</v>
      </c>
      <c r="C381" s="31" t="s">
        <v>8929</v>
      </c>
      <c r="D381" s="39" t="s">
        <v>9933</v>
      </c>
      <c r="E381" s="31"/>
      <c r="F381" s="31"/>
      <c r="G381" s="31"/>
      <c r="H381" s="231" t="s">
        <v>9980</v>
      </c>
      <c r="I381" s="31"/>
      <c r="J381" s="31"/>
      <c r="K381" s="31"/>
      <c r="L381" s="31"/>
      <c r="M381" s="31"/>
    </row>
    <row r="382" spans="1:13">
      <c r="A382" s="535">
        <v>44313</v>
      </c>
      <c r="B382" s="240" t="s">
        <v>9981</v>
      </c>
      <c r="C382" s="31" t="s">
        <v>8929</v>
      </c>
      <c r="D382" s="39" t="s">
        <v>9933</v>
      </c>
      <c r="E382" s="31"/>
      <c r="F382" s="31"/>
      <c r="G382" s="31"/>
      <c r="H382" s="231" t="s">
        <v>4260</v>
      </c>
      <c r="I382" s="31"/>
      <c r="J382" s="31"/>
      <c r="K382" s="31"/>
      <c r="L382" s="31"/>
      <c r="M382" s="31"/>
    </row>
    <row r="383" spans="1:13">
      <c r="A383" s="535">
        <v>44313</v>
      </c>
      <c r="B383" s="240" t="s">
        <v>9982</v>
      </c>
      <c r="C383" s="31" t="s">
        <v>8929</v>
      </c>
      <c r="D383" s="39" t="s">
        <v>9933</v>
      </c>
      <c r="E383" s="31"/>
      <c r="F383" s="31"/>
      <c r="G383" s="31"/>
      <c r="H383" s="231" t="s">
        <v>5039</v>
      </c>
      <c r="I383" s="31"/>
      <c r="J383" s="31"/>
      <c r="K383" s="31"/>
      <c r="L383" s="31"/>
      <c r="M383" s="31"/>
    </row>
    <row r="384" spans="1:13">
      <c r="A384" s="540">
        <v>44314</v>
      </c>
      <c r="B384" s="240" t="s">
        <v>2846</v>
      </c>
      <c r="C384" s="31" t="s">
        <v>8929</v>
      </c>
      <c r="D384" s="39" t="s">
        <v>9933</v>
      </c>
      <c r="E384" s="31"/>
      <c r="F384" s="31"/>
      <c r="G384" s="31"/>
      <c r="H384" s="230" t="s">
        <v>9983</v>
      </c>
      <c r="I384" s="31"/>
      <c r="J384" s="31"/>
      <c r="K384" s="31"/>
      <c r="L384" s="31"/>
      <c r="M384" s="31"/>
    </row>
    <row r="385" spans="1:13">
      <c r="A385" s="535">
        <v>44315</v>
      </c>
      <c r="B385" s="240" t="s">
        <v>3683</v>
      </c>
      <c r="C385" s="31" t="s">
        <v>8929</v>
      </c>
      <c r="D385" s="39" t="s">
        <v>9933</v>
      </c>
      <c r="E385" s="31"/>
      <c r="F385" s="31"/>
      <c r="G385" s="31"/>
      <c r="H385" s="31"/>
      <c r="I385" s="31"/>
      <c r="J385" s="31"/>
      <c r="K385" s="31"/>
      <c r="L385" s="31"/>
      <c r="M385" s="31"/>
    </row>
    <row r="386" spans="1:13">
      <c r="A386" s="535">
        <v>44316</v>
      </c>
      <c r="B386" s="84" t="s">
        <v>9984</v>
      </c>
      <c r="C386" s="31" t="s">
        <v>8929</v>
      </c>
      <c r="D386" s="39" t="s">
        <v>9933</v>
      </c>
      <c r="E386" s="31"/>
      <c r="F386" s="31"/>
      <c r="G386" s="31"/>
      <c r="H386" s="31"/>
      <c r="I386" s="31"/>
      <c r="J386" s="31"/>
      <c r="K386" s="31"/>
      <c r="L386" s="31"/>
      <c r="M386" s="31"/>
    </row>
    <row r="387" spans="1:13">
      <c r="A387" s="535">
        <v>44316</v>
      </c>
      <c r="B387" s="240" t="s">
        <v>9985</v>
      </c>
      <c r="C387" s="31" t="s">
        <v>8929</v>
      </c>
      <c r="D387" s="39" t="s">
        <v>9933</v>
      </c>
      <c r="E387" s="31"/>
      <c r="F387" s="31"/>
      <c r="G387" s="31"/>
      <c r="H387" s="31"/>
      <c r="I387" s="31"/>
      <c r="J387" s="31"/>
      <c r="K387" s="31"/>
      <c r="L387" s="31"/>
      <c r="M387" s="31"/>
    </row>
    <row r="388" spans="1:13">
      <c r="A388" s="535"/>
      <c r="B388" s="219" t="s">
        <v>2715</v>
      </c>
      <c r="C388" s="31"/>
      <c r="D388" s="39"/>
      <c r="E388" s="31"/>
      <c r="F388" s="31"/>
      <c r="G388" s="31"/>
      <c r="H388" s="31"/>
      <c r="I388" s="31"/>
      <c r="J388" s="31"/>
      <c r="K388" s="31"/>
      <c r="L388" s="31"/>
      <c r="M388" s="31"/>
    </row>
    <row r="389" spans="1:13">
      <c r="A389" s="535">
        <v>44317</v>
      </c>
      <c r="B389" s="240" t="s">
        <v>3677</v>
      </c>
      <c r="C389" s="31" t="s">
        <v>8929</v>
      </c>
      <c r="D389" s="31" t="s">
        <v>9986</v>
      </c>
      <c r="E389" s="31"/>
      <c r="F389" s="31"/>
      <c r="G389" s="31"/>
      <c r="H389" s="31"/>
      <c r="I389" s="31"/>
      <c r="J389" s="31"/>
      <c r="K389" s="31"/>
      <c r="L389" s="31"/>
      <c r="M389" s="31"/>
    </row>
    <row r="390" spans="1:13">
      <c r="A390" s="535">
        <v>44317</v>
      </c>
      <c r="B390" s="84" t="s">
        <v>2716</v>
      </c>
      <c r="C390" s="31" t="s">
        <v>8929</v>
      </c>
      <c r="D390" s="39" t="s">
        <v>9986</v>
      </c>
      <c r="E390" s="31"/>
      <c r="F390" s="31"/>
      <c r="G390" s="31"/>
      <c r="H390" s="31"/>
      <c r="I390" s="31"/>
      <c r="J390" s="31"/>
      <c r="K390" s="31"/>
      <c r="L390" s="31"/>
      <c r="M390" s="31"/>
    </row>
    <row r="391" spans="1:13">
      <c r="A391" s="535">
        <v>44319</v>
      </c>
      <c r="B391" s="84" t="s">
        <v>2717</v>
      </c>
      <c r="C391" s="31" t="s">
        <v>8929</v>
      </c>
      <c r="D391" s="39" t="s">
        <v>9986</v>
      </c>
      <c r="E391" s="31"/>
      <c r="F391" s="31"/>
      <c r="G391" s="31"/>
      <c r="H391" s="31"/>
      <c r="I391" s="31"/>
      <c r="J391" s="31"/>
      <c r="K391" s="31"/>
      <c r="L391" s="31"/>
      <c r="M391" s="31"/>
    </row>
    <row r="392" spans="1:13">
      <c r="A392" s="535">
        <v>44320</v>
      </c>
      <c r="B392" s="84" t="s">
        <v>2718</v>
      </c>
      <c r="C392" s="31" t="s">
        <v>8929</v>
      </c>
      <c r="D392" s="39" t="s">
        <v>9986</v>
      </c>
      <c r="E392" s="31"/>
      <c r="F392" s="31"/>
      <c r="G392" s="31"/>
      <c r="H392" s="31"/>
      <c r="I392" s="31"/>
      <c r="J392" s="31"/>
      <c r="K392" s="31"/>
      <c r="L392" s="31"/>
      <c r="M392" s="31"/>
    </row>
    <row r="393" spans="1:13">
      <c r="A393" s="535">
        <v>44321</v>
      </c>
      <c r="B393" s="84" t="s">
        <v>2719</v>
      </c>
      <c r="C393" s="31" t="s">
        <v>8929</v>
      </c>
      <c r="D393" s="39" t="s">
        <v>9986</v>
      </c>
      <c r="E393" s="31"/>
      <c r="F393" s="31"/>
      <c r="G393" s="31"/>
      <c r="H393" s="31"/>
      <c r="I393" s="31"/>
      <c r="J393" s="31"/>
      <c r="K393" s="31"/>
      <c r="L393" s="31"/>
      <c r="M393" s="31"/>
    </row>
    <row r="394" spans="1:13">
      <c r="A394" s="535">
        <v>44323</v>
      </c>
      <c r="B394" s="240" t="s">
        <v>3031</v>
      </c>
      <c r="C394" s="31" t="s">
        <v>8929</v>
      </c>
      <c r="D394" s="39" t="s">
        <v>9986</v>
      </c>
      <c r="E394" s="31"/>
      <c r="F394" s="31"/>
      <c r="G394" s="31"/>
      <c r="H394" s="31"/>
      <c r="I394" s="31"/>
      <c r="J394" s="31"/>
      <c r="K394" s="31"/>
      <c r="L394" s="31"/>
      <c r="M394" s="31"/>
    </row>
    <row r="395" spans="1:13">
      <c r="A395" s="535">
        <v>44323</v>
      </c>
      <c r="B395" s="84" t="s">
        <v>2720</v>
      </c>
      <c r="C395" s="31" t="s">
        <v>8929</v>
      </c>
      <c r="D395" s="39" t="s">
        <v>9986</v>
      </c>
      <c r="E395" s="31"/>
      <c r="F395" s="31"/>
      <c r="G395" s="31"/>
      <c r="H395" s="31"/>
      <c r="I395" s="31"/>
      <c r="J395" s="31"/>
      <c r="K395" s="31"/>
      <c r="L395" s="31"/>
      <c r="M395" s="31"/>
    </row>
    <row r="396" spans="1:13">
      <c r="A396" s="535">
        <v>44326</v>
      </c>
      <c r="B396" s="84" t="s">
        <v>2721</v>
      </c>
      <c r="C396" s="31" t="s">
        <v>8929</v>
      </c>
      <c r="D396" s="39" t="s">
        <v>9986</v>
      </c>
      <c r="E396" s="31"/>
      <c r="F396" s="31"/>
      <c r="G396" s="31"/>
      <c r="H396" s="31"/>
      <c r="I396" s="31"/>
      <c r="J396" s="31"/>
      <c r="K396" s="31"/>
      <c r="L396" s="31"/>
      <c r="M396" s="31"/>
    </row>
    <row r="397" spans="1:13">
      <c r="A397" s="535">
        <v>44326</v>
      </c>
      <c r="B397" s="84" t="s">
        <v>2722</v>
      </c>
      <c r="C397" s="31" t="s">
        <v>8929</v>
      </c>
      <c r="D397" s="39" t="s">
        <v>9986</v>
      </c>
      <c r="E397" s="31"/>
      <c r="F397" s="31"/>
      <c r="G397" s="31"/>
      <c r="H397" s="31"/>
      <c r="I397" s="31"/>
      <c r="J397" s="31"/>
      <c r="K397" s="31"/>
      <c r="L397" s="31"/>
      <c r="M397" s="31"/>
    </row>
    <row r="398" spans="1:13">
      <c r="A398" s="535">
        <v>44327</v>
      </c>
      <c r="B398" s="240" t="s">
        <v>9987</v>
      </c>
      <c r="C398" s="31" t="s">
        <v>8929</v>
      </c>
      <c r="D398" s="39" t="s">
        <v>9986</v>
      </c>
      <c r="E398" s="31"/>
      <c r="F398" s="31"/>
      <c r="G398" s="31"/>
      <c r="H398" s="31"/>
      <c r="I398" s="31"/>
      <c r="J398" s="31"/>
      <c r="K398" s="31"/>
      <c r="L398" s="31"/>
      <c r="M398" s="31"/>
    </row>
    <row r="399" spans="1:13">
      <c r="A399" s="535">
        <v>44327</v>
      </c>
      <c r="B399" s="240" t="s">
        <v>3675</v>
      </c>
      <c r="C399" s="31" t="s">
        <v>8929</v>
      </c>
      <c r="D399" s="39" t="s">
        <v>9986</v>
      </c>
      <c r="E399" s="31"/>
      <c r="F399" s="31"/>
      <c r="G399" s="31"/>
      <c r="H399" s="31"/>
      <c r="I399" s="31"/>
      <c r="J399" s="31"/>
      <c r="K399" s="31"/>
      <c r="L399" s="31"/>
      <c r="M399" s="31"/>
    </row>
    <row r="400" spans="1:13">
      <c r="A400" s="535">
        <v>44327</v>
      </c>
      <c r="B400" s="84" t="s">
        <v>2723</v>
      </c>
      <c r="C400" s="31" t="s">
        <v>8929</v>
      </c>
      <c r="D400" s="39" t="s">
        <v>9986</v>
      </c>
      <c r="E400" s="31"/>
      <c r="F400" s="31"/>
      <c r="G400" s="31"/>
      <c r="H400" s="31"/>
      <c r="I400" s="31"/>
      <c r="J400" s="31"/>
      <c r="K400" s="31"/>
      <c r="L400" s="31"/>
      <c r="M400" s="31"/>
    </row>
    <row r="401" spans="1:13">
      <c r="A401" s="535">
        <v>44327</v>
      </c>
      <c r="B401" s="240" t="s">
        <v>9988</v>
      </c>
      <c r="C401" s="31" t="s">
        <v>8929</v>
      </c>
      <c r="D401" s="39" t="s">
        <v>9986</v>
      </c>
      <c r="E401" s="31"/>
      <c r="F401" s="31"/>
      <c r="G401" s="31"/>
      <c r="H401" s="31"/>
      <c r="I401" s="31"/>
      <c r="J401" s="31"/>
      <c r="K401" s="31"/>
      <c r="L401" s="31"/>
      <c r="M401" s="31"/>
    </row>
    <row r="402" spans="1:13">
      <c r="A402" s="535">
        <v>44328</v>
      </c>
      <c r="B402" s="84" t="s">
        <v>2724</v>
      </c>
      <c r="C402" s="31" t="s">
        <v>8929</v>
      </c>
      <c r="D402" s="39" t="s">
        <v>9986</v>
      </c>
      <c r="E402" s="31"/>
      <c r="F402" s="31"/>
      <c r="G402" s="31"/>
      <c r="H402" s="31"/>
      <c r="I402" s="31"/>
      <c r="J402" s="31"/>
      <c r="K402" s="31"/>
      <c r="L402" s="31"/>
      <c r="M402" s="31"/>
    </row>
    <row r="403" spans="1:13">
      <c r="A403" s="535">
        <v>44329</v>
      </c>
      <c r="B403" s="84" t="s">
        <v>2725</v>
      </c>
      <c r="C403" s="31" t="s">
        <v>8929</v>
      </c>
      <c r="D403" s="39" t="s">
        <v>9986</v>
      </c>
      <c r="E403" s="31"/>
      <c r="F403" s="31"/>
      <c r="G403" s="31"/>
      <c r="H403" s="31"/>
      <c r="I403" s="31"/>
      <c r="J403" s="31"/>
      <c r="K403" s="31"/>
      <c r="L403" s="31"/>
      <c r="M403" s="31"/>
    </row>
    <row r="404" spans="1:13">
      <c r="A404" s="535">
        <v>44329</v>
      </c>
      <c r="B404" s="84" t="s">
        <v>2726</v>
      </c>
      <c r="C404" s="31" t="s">
        <v>8929</v>
      </c>
      <c r="D404" s="39" t="s">
        <v>9986</v>
      </c>
      <c r="E404" s="31"/>
      <c r="F404" s="31"/>
      <c r="G404" s="31"/>
      <c r="H404" s="31"/>
      <c r="I404" s="31"/>
      <c r="J404" s="31"/>
      <c r="K404" s="31"/>
      <c r="L404" s="31"/>
      <c r="M404" s="31"/>
    </row>
    <row r="405" spans="1:13">
      <c r="A405" s="535">
        <v>44329</v>
      </c>
      <c r="B405" s="84" t="s">
        <v>2727</v>
      </c>
      <c r="C405" s="31" t="s">
        <v>8929</v>
      </c>
      <c r="D405" s="39" t="s">
        <v>9986</v>
      </c>
      <c r="E405" s="31"/>
      <c r="F405" s="31"/>
      <c r="G405" s="31"/>
      <c r="H405" s="31"/>
      <c r="I405" s="31"/>
      <c r="J405" s="31"/>
      <c r="K405" s="31"/>
      <c r="L405" s="31"/>
      <c r="M405" s="31"/>
    </row>
    <row r="406" spans="1:13">
      <c r="A406" s="535">
        <v>44330</v>
      </c>
      <c r="B406" s="240" t="s">
        <v>9989</v>
      </c>
      <c r="C406" s="31" t="s">
        <v>8929</v>
      </c>
      <c r="D406" s="39" t="s">
        <v>9986</v>
      </c>
      <c r="E406" s="31"/>
      <c r="F406" s="31"/>
      <c r="G406" s="31"/>
      <c r="H406" s="31"/>
      <c r="I406" s="31"/>
      <c r="J406" s="31"/>
      <c r="K406" s="31"/>
      <c r="L406" s="31"/>
      <c r="M406" s="31"/>
    </row>
    <row r="407" spans="1:13">
      <c r="A407" s="535">
        <v>44330</v>
      </c>
      <c r="B407" s="240" t="s">
        <v>9990</v>
      </c>
      <c r="C407" s="31" t="s">
        <v>8929</v>
      </c>
      <c r="D407" s="39" t="s">
        <v>9986</v>
      </c>
      <c r="E407" s="31"/>
      <c r="F407" s="31"/>
      <c r="G407" s="31"/>
      <c r="H407" s="31"/>
      <c r="I407" s="31"/>
      <c r="J407" s="31"/>
      <c r="K407" s="31"/>
      <c r="L407" s="31"/>
      <c r="M407" s="31"/>
    </row>
    <row r="408" spans="1:13">
      <c r="A408" s="535">
        <v>44330</v>
      </c>
      <c r="B408" s="240" t="s">
        <v>9991</v>
      </c>
      <c r="C408" s="31" t="s">
        <v>8929</v>
      </c>
      <c r="D408" s="39" t="s">
        <v>9986</v>
      </c>
      <c r="E408" s="31"/>
      <c r="F408" s="31"/>
      <c r="G408" s="31"/>
      <c r="H408" s="31"/>
      <c r="I408" s="31"/>
      <c r="J408" s="31"/>
      <c r="K408" s="31"/>
      <c r="L408" s="31"/>
      <c r="M408" s="31"/>
    </row>
    <row r="409" spans="1:13">
      <c r="A409" s="535">
        <v>44333</v>
      </c>
      <c r="B409" s="240" t="s">
        <v>9992</v>
      </c>
      <c r="C409" s="31" t="s">
        <v>8929</v>
      </c>
      <c r="D409" s="39" t="s">
        <v>9986</v>
      </c>
      <c r="E409" s="31"/>
      <c r="F409" s="31"/>
      <c r="G409" s="31"/>
      <c r="H409" s="31"/>
      <c r="I409" s="31"/>
      <c r="J409" s="31"/>
      <c r="K409" s="31"/>
      <c r="L409" s="31"/>
      <c r="M409" s="31"/>
    </row>
    <row r="410" spans="1:13">
      <c r="A410" s="535">
        <v>44333</v>
      </c>
      <c r="B410" s="240" t="s">
        <v>9993</v>
      </c>
      <c r="C410" s="31" t="s">
        <v>8929</v>
      </c>
      <c r="D410" s="39" t="s">
        <v>9986</v>
      </c>
      <c r="E410" s="31"/>
      <c r="F410" s="31"/>
      <c r="G410" s="31"/>
      <c r="H410" s="31"/>
      <c r="I410" s="31"/>
      <c r="J410" s="31"/>
      <c r="K410" s="31"/>
      <c r="L410" s="31"/>
      <c r="M410" s="31"/>
    </row>
    <row r="411" spans="1:13">
      <c r="A411" s="535">
        <v>44333</v>
      </c>
      <c r="B411" s="84" t="s">
        <v>2728</v>
      </c>
      <c r="C411" s="31" t="s">
        <v>8929</v>
      </c>
      <c r="D411" s="39" t="s">
        <v>9986</v>
      </c>
      <c r="E411" s="31"/>
      <c r="F411" s="31"/>
      <c r="G411" s="31"/>
      <c r="H411" s="31"/>
      <c r="I411" s="31"/>
      <c r="J411" s="31"/>
      <c r="K411" s="31"/>
      <c r="L411" s="31"/>
      <c r="M411" s="31"/>
    </row>
    <row r="412" spans="1:13">
      <c r="A412" s="535">
        <v>44334</v>
      </c>
      <c r="B412" s="240" t="s">
        <v>9994</v>
      </c>
      <c r="C412" s="31" t="s">
        <v>8929</v>
      </c>
      <c r="D412" s="39" t="s">
        <v>9986</v>
      </c>
      <c r="E412" s="31"/>
      <c r="F412" s="31"/>
      <c r="G412" s="31"/>
      <c r="H412" s="31"/>
      <c r="I412" s="31"/>
      <c r="J412" s="31"/>
      <c r="K412" s="31"/>
      <c r="L412" s="31"/>
      <c r="M412" s="31"/>
    </row>
    <row r="413" spans="1:13">
      <c r="A413" s="535">
        <v>44335</v>
      </c>
      <c r="B413" s="240" t="s">
        <v>3667</v>
      </c>
      <c r="C413" s="31" t="s">
        <v>8929</v>
      </c>
      <c r="D413" s="39" t="s">
        <v>9986</v>
      </c>
      <c r="E413" s="31"/>
      <c r="F413" s="31"/>
      <c r="G413" s="31"/>
      <c r="H413" s="31"/>
      <c r="I413" s="31"/>
      <c r="J413" s="31"/>
      <c r="K413" s="31"/>
      <c r="L413" s="31"/>
      <c r="M413" s="31"/>
    </row>
    <row r="414" spans="1:13">
      <c r="A414" s="535">
        <v>44335</v>
      </c>
      <c r="B414" s="84" t="s">
        <v>2729</v>
      </c>
      <c r="C414" s="31" t="s">
        <v>9995</v>
      </c>
      <c r="D414" s="39" t="s">
        <v>9986</v>
      </c>
      <c r="E414" s="31"/>
      <c r="F414" s="31"/>
      <c r="G414" s="31"/>
      <c r="H414" s="31"/>
      <c r="I414" s="31"/>
      <c r="J414" s="31"/>
      <c r="K414" s="31"/>
      <c r="L414" s="31"/>
      <c r="M414" s="31"/>
    </row>
    <row r="415" spans="1:13">
      <c r="A415" s="535">
        <v>44335</v>
      </c>
      <c r="B415" s="240" t="s">
        <v>4003</v>
      </c>
      <c r="C415" s="31" t="s">
        <v>8929</v>
      </c>
      <c r="D415" s="39" t="s">
        <v>9986</v>
      </c>
      <c r="E415" s="31"/>
      <c r="F415" s="31"/>
      <c r="G415" s="31"/>
      <c r="H415" s="31"/>
      <c r="I415" s="31"/>
      <c r="J415" s="31"/>
      <c r="K415" s="31"/>
      <c r="L415" s="31"/>
      <c r="M415" s="31"/>
    </row>
    <row r="416" spans="1:13">
      <c r="A416" s="535">
        <v>44336</v>
      </c>
      <c r="B416" s="240" t="s">
        <v>2897</v>
      </c>
      <c r="C416" s="31" t="s">
        <v>8929</v>
      </c>
      <c r="D416" s="39" t="s">
        <v>9986</v>
      </c>
      <c r="E416" s="31"/>
      <c r="F416" s="31"/>
      <c r="G416" s="31"/>
      <c r="H416" s="31"/>
      <c r="I416" s="31"/>
      <c r="J416" s="31"/>
      <c r="K416" s="31"/>
      <c r="L416" s="31"/>
      <c r="M416" s="31"/>
    </row>
    <row r="417" spans="1:13">
      <c r="A417" s="535">
        <v>44336</v>
      </c>
      <c r="B417" s="240" t="s">
        <v>3666</v>
      </c>
      <c r="C417" s="31" t="s">
        <v>8929</v>
      </c>
      <c r="D417" s="39" t="s">
        <v>9986</v>
      </c>
      <c r="E417" s="31"/>
      <c r="F417" s="31"/>
      <c r="G417" s="31"/>
      <c r="H417" s="31"/>
      <c r="I417" s="31"/>
      <c r="J417" s="31"/>
      <c r="K417" s="31"/>
      <c r="L417" s="31"/>
      <c r="M417" s="31"/>
    </row>
    <row r="418" spans="1:13">
      <c r="A418" s="535">
        <v>44337</v>
      </c>
      <c r="B418" s="84" t="s">
        <v>2730</v>
      </c>
      <c r="C418" s="31" t="s">
        <v>8929</v>
      </c>
      <c r="D418" s="39" t="s">
        <v>9986</v>
      </c>
      <c r="E418" s="31"/>
      <c r="F418" s="31"/>
      <c r="G418" s="31"/>
      <c r="H418" s="31"/>
      <c r="I418" s="31"/>
      <c r="J418" s="31"/>
      <c r="K418" s="31"/>
      <c r="L418" s="31"/>
      <c r="M418" s="31"/>
    </row>
    <row r="419" spans="1:13">
      <c r="A419" s="535">
        <v>44337</v>
      </c>
      <c r="B419" s="240" t="s">
        <v>3665</v>
      </c>
      <c r="C419" s="31" t="s">
        <v>8929</v>
      </c>
      <c r="D419" s="39" t="s">
        <v>9986</v>
      </c>
      <c r="E419" s="31"/>
      <c r="F419" s="31"/>
      <c r="G419" s="31"/>
      <c r="H419" s="31"/>
      <c r="I419" s="31"/>
      <c r="J419" s="31"/>
      <c r="K419" s="31"/>
      <c r="L419" s="31"/>
      <c r="M419" s="31"/>
    </row>
    <row r="420" spans="1:13">
      <c r="A420" s="535">
        <v>44337</v>
      </c>
      <c r="B420" s="240" t="s">
        <v>3664</v>
      </c>
      <c r="C420" s="31" t="s">
        <v>8929</v>
      </c>
      <c r="D420" s="39" t="s">
        <v>9986</v>
      </c>
      <c r="E420" s="31"/>
      <c r="F420" s="31"/>
      <c r="G420" s="31"/>
      <c r="H420" s="31"/>
      <c r="I420" s="31"/>
      <c r="J420" s="31"/>
      <c r="K420" s="31"/>
      <c r="L420" s="31"/>
      <c r="M420" s="31"/>
    </row>
    <row r="421" spans="1:13">
      <c r="A421" s="535">
        <v>44338</v>
      </c>
      <c r="B421" s="240" t="s">
        <v>3266</v>
      </c>
      <c r="C421" s="31" t="s">
        <v>8929</v>
      </c>
      <c r="D421" s="39" t="s">
        <v>9986</v>
      </c>
      <c r="E421" s="31"/>
      <c r="F421" s="31"/>
      <c r="G421" s="31"/>
      <c r="H421" s="31"/>
      <c r="I421" s="31"/>
      <c r="J421" s="31"/>
      <c r="K421" s="31"/>
      <c r="L421" s="31"/>
      <c r="M421" s="31"/>
    </row>
    <row r="422" spans="1:13">
      <c r="A422" s="535">
        <v>44310</v>
      </c>
      <c r="B422" s="240" t="s">
        <v>3660</v>
      </c>
      <c r="C422" s="31" t="s">
        <v>8929</v>
      </c>
      <c r="D422" s="39" t="s">
        <v>9986</v>
      </c>
      <c r="E422" s="31" t="s">
        <v>9996</v>
      </c>
      <c r="F422" s="31"/>
      <c r="G422" s="31"/>
      <c r="H422" s="31"/>
      <c r="I422" s="31"/>
      <c r="J422" s="31"/>
      <c r="K422" s="31"/>
      <c r="L422" s="31"/>
      <c r="M422" s="31"/>
    </row>
    <row r="423" spans="1:13">
      <c r="A423" s="536">
        <v>44340</v>
      </c>
      <c r="B423" s="262" t="s">
        <v>3100</v>
      </c>
      <c r="C423" s="31" t="s">
        <v>8929</v>
      </c>
      <c r="D423" s="39" t="s">
        <v>9986</v>
      </c>
      <c r="E423" s="31"/>
      <c r="F423" s="31"/>
      <c r="G423" s="31"/>
      <c r="H423" s="31"/>
      <c r="I423" s="31"/>
      <c r="J423" s="31"/>
      <c r="K423" s="31"/>
      <c r="L423" s="31"/>
      <c r="M423" s="31"/>
    </row>
    <row r="424" spans="1:13">
      <c r="A424" s="535">
        <v>44341</v>
      </c>
      <c r="B424" s="262" t="s">
        <v>9997</v>
      </c>
      <c r="C424" s="31" t="s">
        <v>8929</v>
      </c>
      <c r="D424" s="39" t="s">
        <v>9986</v>
      </c>
      <c r="E424" s="31" t="s">
        <v>9998</v>
      </c>
      <c r="F424" s="31"/>
      <c r="G424" s="31"/>
      <c r="H424" s="31"/>
      <c r="I424" s="31"/>
      <c r="J424" s="31"/>
      <c r="K424" s="31"/>
      <c r="L424" s="31"/>
      <c r="M424" s="31"/>
    </row>
    <row r="425" spans="1:13">
      <c r="A425" s="535">
        <v>44341</v>
      </c>
      <c r="B425" s="108" t="s">
        <v>2731</v>
      </c>
      <c r="C425" s="31" t="s">
        <v>8929</v>
      </c>
      <c r="D425" s="39" t="s">
        <v>9986</v>
      </c>
      <c r="E425" s="31"/>
      <c r="F425" s="31"/>
      <c r="G425" s="31"/>
      <c r="H425" s="31"/>
      <c r="I425" s="31"/>
      <c r="J425" s="31"/>
      <c r="K425" s="31"/>
      <c r="L425" s="31"/>
      <c r="M425" s="31"/>
    </row>
    <row r="426" spans="1:13">
      <c r="A426" s="535">
        <v>44344</v>
      </c>
      <c r="B426" s="108" t="s">
        <v>2732</v>
      </c>
      <c r="C426" s="31" t="s">
        <v>8929</v>
      </c>
      <c r="D426" s="39" t="s">
        <v>9986</v>
      </c>
      <c r="E426" s="31" t="s">
        <v>9999</v>
      </c>
      <c r="F426" s="31"/>
      <c r="G426" s="31"/>
      <c r="H426" s="31"/>
      <c r="I426" s="31"/>
      <c r="J426" s="31"/>
      <c r="K426" s="31"/>
      <c r="L426" s="31"/>
      <c r="M426" s="31"/>
    </row>
    <row r="427" spans="1:13">
      <c r="A427" s="535">
        <v>44344</v>
      </c>
      <c r="B427" s="108" t="s">
        <v>10000</v>
      </c>
      <c r="C427" t="s">
        <v>8929</v>
      </c>
      <c r="D427" s="39" t="s">
        <v>9986</v>
      </c>
      <c r="E427" t="s">
        <v>9998</v>
      </c>
      <c r="F427" s="31"/>
      <c r="G427" s="31"/>
      <c r="H427" s="31"/>
      <c r="I427" s="31"/>
      <c r="J427" s="31"/>
      <c r="K427" s="31"/>
      <c r="L427" s="31"/>
      <c r="M427" s="31"/>
    </row>
    <row r="428" spans="1:13">
      <c r="A428" s="540">
        <v>44344</v>
      </c>
      <c r="B428" s="261" t="s">
        <v>3662</v>
      </c>
      <c r="C428" t="s">
        <v>8929</v>
      </c>
      <c r="D428" s="39" t="s">
        <v>9986</v>
      </c>
      <c r="E428" t="s">
        <v>9998</v>
      </c>
      <c r="F428" s="31"/>
      <c r="G428" s="31"/>
      <c r="H428" s="31"/>
      <c r="I428" s="31"/>
      <c r="J428" s="31"/>
      <c r="K428" s="31"/>
      <c r="L428" s="31"/>
      <c r="M428" s="31"/>
    </row>
    <row r="429" spans="1:13">
      <c r="A429" s="535">
        <v>44344</v>
      </c>
      <c r="B429" s="149" t="s">
        <v>10001</v>
      </c>
      <c r="C429" t="s">
        <v>8929</v>
      </c>
      <c r="D429" s="39" t="s">
        <v>9986</v>
      </c>
      <c r="E429" t="s">
        <v>10002</v>
      </c>
      <c r="F429" s="31"/>
      <c r="G429" s="31"/>
      <c r="H429" s="31"/>
      <c r="I429" s="31"/>
      <c r="J429" s="31"/>
      <c r="K429" s="31"/>
      <c r="L429" s="31"/>
      <c r="M429" s="31"/>
    </row>
    <row r="430" spans="1:13">
      <c r="A430" s="535">
        <v>44347</v>
      </c>
      <c r="B430" s="262" t="s">
        <v>3657</v>
      </c>
      <c r="C430" s="31" t="s">
        <v>8929</v>
      </c>
      <c r="D430" s="39" t="s">
        <v>9986</v>
      </c>
      <c r="E430" s="31" t="s">
        <v>9999</v>
      </c>
      <c r="F430" s="31"/>
      <c r="G430" s="31"/>
      <c r="H430" s="31"/>
      <c r="I430" s="31"/>
      <c r="J430" s="31"/>
      <c r="K430" s="31"/>
      <c r="L430" s="31"/>
      <c r="M430" s="31"/>
    </row>
    <row r="431" spans="1:13">
      <c r="A431" s="535"/>
      <c r="B431" s="219" t="s">
        <v>2738</v>
      </c>
      <c r="C431" s="31"/>
      <c r="D431" s="39"/>
      <c r="E431" s="31"/>
      <c r="F431" s="31"/>
      <c r="G431" s="31"/>
      <c r="H431" s="31"/>
      <c r="I431" s="31"/>
      <c r="J431" s="31"/>
      <c r="K431" s="31"/>
      <c r="L431" s="31"/>
      <c r="M431" s="31"/>
    </row>
    <row r="432" spans="1:13">
      <c r="A432" s="535">
        <v>44348</v>
      </c>
      <c r="B432" s="108" t="s">
        <v>2739</v>
      </c>
      <c r="C432" s="31" t="s">
        <v>8929</v>
      </c>
      <c r="D432" s="39" t="s">
        <v>10003</v>
      </c>
      <c r="E432" s="31" t="s">
        <v>10004</v>
      </c>
      <c r="F432" s="31"/>
      <c r="G432" s="31"/>
      <c r="H432" s="31"/>
      <c r="I432" s="31"/>
      <c r="J432" s="31"/>
      <c r="K432" s="31"/>
      <c r="L432" s="31"/>
      <c r="M432" s="31"/>
    </row>
    <row r="433" spans="1:13">
      <c r="A433" s="535">
        <v>44348</v>
      </c>
      <c r="B433" s="265" t="s">
        <v>3658</v>
      </c>
      <c r="C433" s="39" t="s">
        <v>8929</v>
      </c>
      <c r="D433" s="39" t="s">
        <v>10003</v>
      </c>
      <c r="E433" s="39" t="s">
        <v>10004</v>
      </c>
      <c r="F433" s="31"/>
      <c r="G433" s="31"/>
      <c r="H433" s="31"/>
      <c r="I433" s="31"/>
      <c r="J433" s="31"/>
      <c r="K433" s="31"/>
      <c r="L433" s="31"/>
      <c r="M433" s="31"/>
    </row>
    <row r="434" spans="1:13">
      <c r="A434" s="535">
        <v>44348</v>
      </c>
      <c r="B434" s="108" t="s">
        <v>2740</v>
      </c>
      <c r="C434" s="39" t="s">
        <v>8929</v>
      </c>
      <c r="D434" s="39" t="s">
        <v>10003</v>
      </c>
      <c r="E434" s="31" t="s">
        <v>9998</v>
      </c>
      <c r="F434" s="31"/>
      <c r="G434" s="31"/>
      <c r="H434" s="31"/>
      <c r="I434" s="31"/>
      <c r="J434" s="31"/>
      <c r="K434" s="31"/>
      <c r="L434" s="31"/>
      <c r="M434" s="31"/>
    </row>
    <row r="435" spans="1:13">
      <c r="A435" s="535">
        <v>44351</v>
      </c>
      <c r="B435" s="84" t="s">
        <v>2741</v>
      </c>
      <c r="C435" s="31" t="s">
        <v>8929</v>
      </c>
      <c r="D435" s="39" t="s">
        <v>10003</v>
      </c>
      <c r="E435" s="31" t="s">
        <v>9998</v>
      </c>
      <c r="F435" s="31"/>
      <c r="G435" s="31"/>
      <c r="H435" s="31"/>
      <c r="I435" s="31"/>
      <c r="J435" s="31"/>
      <c r="K435" s="31"/>
      <c r="L435" s="31"/>
      <c r="M435" s="31"/>
    </row>
    <row r="436" spans="1:13">
      <c r="A436" s="535">
        <v>44351</v>
      </c>
      <c r="B436" s="240" t="s">
        <v>3656</v>
      </c>
      <c r="C436" s="31" t="s">
        <v>8929</v>
      </c>
      <c r="D436" s="39" t="s">
        <v>10003</v>
      </c>
      <c r="E436" s="31" t="s">
        <v>9998</v>
      </c>
      <c r="F436" s="31"/>
      <c r="G436" s="31"/>
      <c r="H436" s="31"/>
      <c r="I436" s="31"/>
      <c r="J436" s="31"/>
      <c r="K436" s="31"/>
      <c r="L436" s="31"/>
      <c r="M436" s="31"/>
    </row>
    <row r="437" spans="1:13">
      <c r="A437" s="535">
        <v>44351</v>
      </c>
      <c r="B437" s="240" t="s">
        <v>10005</v>
      </c>
      <c r="C437" s="31" t="s">
        <v>8929</v>
      </c>
      <c r="D437" s="39" t="s">
        <v>10003</v>
      </c>
      <c r="E437" s="31" t="s">
        <v>9999</v>
      </c>
      <c r="F437" s="31"/>
      <c r="G437" s="31"/>
      <c r="H437" s="31"/>
      <c r="I437" s="31"/>
      <c r="J437" s="31"/>
      <c r="K437" s="31"/>
      <c r="L437" s="31"/>
      <c r="M437" s="31"/>
    </row>
    <row r="438" spans="1:13">
      <c r="A438" s="535">
        <v>44352</v>
      </c>
      <c r="B438" t="s">
        <v>3655</v>
      </c>
      <c r="C438" s="31" t="s">
        <v>8929</v>
      </c>
      <c r="D438" s="39" t="s">
        <v>10003</v>
      </c>
      <c r="E438" s="31" t="s">
        <v>9998</v>
      </c>
      <c r="F438" s="31"/>
      <c r="G438" s="31"/>
      <c r="H438" s="31"/>
      <c r="I438" s="31"/>
      <c r="J438" s="31"/>
      <c r="K438" s="31"/>
      <c r="L438" s="31"/>
      <c r="M438" s="31"/>
    </row>
    <row r="439" spans="1:13">
      <c r="A439" s="535">
        <v>44354</v>
      </c>
      <c r="B439" s="240" t="s">
        <v>10006</v>
      </c>
      <c r="C439" s="31" t="s">
        <v>8929</v>
      </c>
      <c r="D439" s="39" t="s">
        <v>2738</v>
      </c>
      <c r="E439" s="31" t="s">
        <v>9996</v>
      </c>
      <c r="F439" s="31"/>
      <c r="G439" s="31"/>
      <c r="H439" s="31"/>
      <c r="I439" s="31"/>
      <c r="J439" s="31"/>
      <c r="K439" s="31"/>
      <c r="L439" s="31"/>
      <c r="M439" s="31"/>
    </row>
    <row r="440" spans="1:13">
      <c r="A440" s="535">
        <v>44354</v>
      </c>
      <c r="B440" s="240" t="s">
        <v>2885</v>
      </c>
      <c r="C440" s="31" t="s">
        <v>9995</v>
      </c>
      <c r="D440" s="39" t="s">
        <v>2738</v>
      </c>
      <c r="E440" s="31" t="s">
        <v>10004</v>
      </c>
      <c r="F440" s="31"/>
      <c r="G440" s="31"/>
      <c r="H440" s="31"/>
      <c r="I440" s="31"/>
      <c r="J440" s="31"/>
      <c r="K440" s="31"/>
      <c r="L440" s="31"/>
      <c r="M440" s="31"/>
    </row>
    <row r="441" spans="1:13">
      <c r="A441" s="535">
        <v>44354</v>
      </c>
      <c r="B441" s="84" t="s">
        <v>2742</v>
      </c>
      <c r="C441" s="39" t="s">
        <v>8929</v>
      </c>
      <c r="D441" s="39" t="s">
        <v>10003</v>
      </c>
      <c r="E441" s="31" t="s">
        <v>10007</v>
      </c>
      <c r="F441" s="31"/>
      <c r="G441" s="31"/>
      <c r="H441" s="31"/>
      <c r="I441" s="31"/>
      <c r="J441" s="31"/>
      <c r="K441" s="31"/>
      <c r="L441" s="31"/>
      <c r="M441" s="31"/>
    </row>
    <row r="442" spans="1:13">
      <c r="A442" s="535">
        <v>44354</v>
      </c>
      <c r="B442" s="84" t="s">
        <v>2743</v>
      </c>
      <c r="C442" s="39" t="s">
        <v>8929</v>
      </c>
      <c r="D442" s="39" t="s">
        <v>10003</v>
      </c>
      <c r="E442" s="31" t="s">
        <v>9999</v>
      </c>
      <c r="F442" s="31"/>
      <c r="G442" s="31"/>
      <c r="H442" s="31"/>
      <c r="I442" s="31"/>
      <c r="J442" s="31"/>
      <c r="K442" s="31"/>
      <c r="L442" s="31"/>
      <c r="M442" s="31"/>
    </row>
    <row r="443" spans="1:13">
      <c r="A443" s="535">
        <v>44354</v>
      </c>
      <c r="B443" s="240" t="s">
        <v>2850</v>
      </c>
      <c r="C443" s="31" t="s">
        <v>8929</v>
      </c>
      <c r="D443" s="39" t="s">
        <v>10003</v>
      </c>
      <c r="E443" s="31" t="s">
        <v>10004</v>
      </c>
      <c r="F443" s="31"/>
      <c r="G443" s="31"/>
      <c r="H443" s="31"/>
      <c r="I443" s="31"/>
      <c r="J443" s="31"/>
      <c r="K443" s="31"/>
      <c r="L443" s="31"/>
      <c r="M443" s="31"/>
    </row>
    <row r="444" spans="1:13">
      <c r="A444" s="535">
        <v>44355</v>
      </c>
      <c r="B444" s="240" t="s">
        <v>10008</v>
      </c>
      <c r="C444" s="31" t="s">
        <v>8929</v>
      </c>
      <c r="D444" s="39" t="s">
        <v>10003</v>
      </c>
      <c r="E444" s="31"/>
      <c r="F444" s="31"/>
      <c r="G444" s="31"/>
      <c r="H444" s="31"/>
      <c r="I444" s="31"/>
      <c r="J444" s="31"/>
      <c r="K444" s="31"/>
      <c r="L444" s="31"/>
      <c r="M444" s="31"/>
    </row>
    <row r="445" spans="1:13">
      <c r="A445" s="535">
        <v>44355</v>
      </c>
      <c r="B445" s="240" t="s">
        <v>3873</v>
      </c>
      <c r="C445" s="31" t="s">
        <v>9995</v>
      </c>
      <c r="D445" s="39" t="s">
        <v>10003</v>
      </c>
      <c r="E445" s="31" t="s">
        <v>10004</v>
      </c>
      <c r="F445" s="31"/>
      <c r="G445" s="31"/>
      <c r="H445" s="31"/>
      <c r="I445" s="31"/>
      <c r="J445" s="31"/>
      <c r="K445" s="31"/>
      <c r="L445" s="31"/>
      <c r="M445" s="31"/>
    </row>
    <row r="446" spans="1:13">
      <c r="A446" s="535">
        <v>44356</v>
      </c>
      <c r="B446" s="240" t="s">
        <v>3097</v>
      </c>
      <c r="C446" s="31" t="s">
        <v>8929</v>
      </c>
      <c r="D446" s="39" t="s">
        <v>10003</v>
      </c>
      <c r="E446" s="31" t="s">
        <v>9999</v>
      </c>
      <c r="F446" s="31"/>
      <c r="G446" s="31"/>
      <c r="H446" s="31"/>
      <c r="I446" s="31"/>
      <c r="J446" s="31"/>
      <c r="K446" s="31"/>
      <c r="L446" s="31"/>
      <c r="M446" s="31"/>
    </row>
    <row r="447" spans="1:13">
      <c r="A447" s="535">
        <v>44356</v>
      </c>
      <c r="B447" s="240" t="s">
        <v>3653</v>
      </c>
      <c r="C447" s="31" t="s">
        <v>8929</v>
      </c>
      <c r="D447" s="39" t="s">
        <v>10003</v>
      </c>
      <c r="E447" s="31" t="s">
        <v>10007</v>
      </c>
      <c r="F447" s="31"/>
      <c r="G447" s="31"/>
      <c r="H447" s="31"/>
      <c r="I447" s="31"/>
      <c r="J447" s="31"/>
      <c r="K447" s="31"/>
      <c r="L447" s="31"/>
      <c r="M447" s="31"/>
    </row>
    <row r="448" spans="1:13">
      <c r="A448" s="535">
        <v>44357</v>
      </c>
      <c r="B448" s="240" t="s">
        <v>3651</v>
      </c>
      <c r="C448" s="31" t="s">
        <v>8929</v>
      </c>
      <c r="D448" s="39" t="s">
        <v>10003</v>
      </c>
      <c r="E448" s="31" t="s">
        <v>9996</v>
      </c>
      <c r="F448" s="31"/>
      <c r="G448" s="31"/>
      <c r="H448" s="31"/>
      <c r="I448" s="31"/>
      <c r="J448" s="31"/>
      <c r="K448" s="31"/>
      <c r="L448" s="31"/>
      <c r="M448" s="31"/>
    </row>
    <row r="449" spans="1:13">
      <c r="A449" s="535">
        <v>44357</v>
      </c>
      <c r="B449" s="240" t="s">
        <v>10009</v>
      </c>
      <c r="C449" s="31" t="s">
        <v>8929</v>
      </c>
      <c r="D449" s="39" t="s">
        <v>10003</v>
      </c>
      <c r="E449" s="31" t="s">
        <v>9996</v>
      </c>
      <c r="F449" s="31"/>
      <c r="G449" s="31"/>
      <c r="H449" s="31"/>
      <c r="I449" s="31"/>
      <c r="J449" s="31"/>
      <c r="K449" s="31"/>
      <c r="L449" s="31"/>
      <c r="M449" s="31"/>
    </row>
    <row r="450" spans="1:13">
      <c r="A450" s="535">
        <v>44358</v>
      </c>
      <c r="B450" s="240" t="s">
        <v>2904</v>
      </c>
      <c r="C450" s="31" t="s">
        <v>8929</v>
      </c>
      <c r="D450" s="39" t="s">
        <v>10003</v>
      </c>
      <c r="E450" s="31" t="s">
        <v>9996</v>
      </c>
      <c r="F450" s="31"/>
      <c r="G450" s="31"/>
      <c r="H450" s="31"/>
      <c r="I450" s="31"/>
      <c r="J450" s="31"/>
      <c r="K450" s="31"/>
      <c r="L450" s="31"/>
      <c r="M450" s="31"/>
    </row>
    <row r="451" spans="1:13">
      <c r="A451" s="535">
        <v>44358</v>
      </c>
      <c r="B451" s="84" t="s">
        <v>2744</v>
      </c>
      <c r="C451" s="31" t="s">
        <v>8929</v>
      </c>
      <c r="D451" s="39" t="s">
        <v>10003</v>
      </c>
      <c r="E451" s="31" t="s">
        <v>10004</v>
      </c>
      <c r="F451" s="31"/>
      <c r="G451" s="31"/>
      <c r="H451" s="31"/>
      <c r="I451" s="31"/>
      <c r="J451" s="31"/>
      <c r="K451" s="31"/>
      <c r="L451" s="31"/>
      <c r="M451" s="31"/>
    </row>
    <row r="452" spans="1:13">
      <c r="A452" s="535">
        <v>44361</v>
      </c>
      <c r="B452" s="84" t="s">
        <v>2745</v>
      </c>
      <c r="C452" s="31" t="s">
        <v>8929</v>
      </c>
      <c r="D452" s="39" t="s">
        <v>2738</v>
      </c>
      <c r="E452" s="31" t="s">
        <v>10010</v>
      </c>
      <c r="F452" s="31"/>
      <c r="G452" s="31"/>
      <c r="H452" s="31"/>
      <c r="I452" s="31"/>
      <c r="J452" s="31"/>
      <c r="K452" s="31"/>
      <c r="L452" s="31"/>
      <c r="M452" s="31"/>
    </row>
    <row r="453" spans="1:13">
      <c r="A453" s="535">
        <v>44361</v>
      </c>
      <c r="B453" s="84" t="s">
        <v>2746</v>
      </c>
      <c r="C453" s="31" t="s">
        <v>8929</v>
      </c>
      <c r="D453" s="39" t="s">
        <v>10003</v>
      </c>
      <c r="E453" s="31" t="s">
        <v>9065</v>
      </c>
      <c r="F453" s="31"/>
      <c r="G453" s="31"/>
      <c r="H453" s="31"/>
      <c r="I453" s="31"/>
      <c r="J453" s="31"/>
      <c r="K453" s="31"/>
      <c r="L453" s="31"/>
      <c r="M453" s="31"/>
    </row>
    <row r="454" spans="1:13">
      <c r="A454" s="535">
        <v>44362</v>
      </c>
      <c r="B454" s="240" t="s">
        <v>2925</v>
      </c>
      <c r="C454" s="31" t="s">
        <v>8929</v>
      </c>
      <c r="D454" s="39" t="s">
        <v>2738</v>
      </c>
      <c r="E454" s="31" t="s">
        <v>9999</v>
      </c>
      <c r="F454" s="31"/>
      <c r="G454" s="31"/>
      <c r="H454" s="31"/>
      <c r="I454" s="31"/>
      <c r="J454" s="31"/>
      <c r="K454" s="31"/>
      <c r="L454" s="31"/>
      <c r="M454" s="31"/>
    </row>
    <row r="455" spans="1:13">
      <c r="A455" s="535">
        <v>44363</v>
      </c>
      <c r="B455" s="240" t="s">
        <v>2873</v>
      </c>
      <c r="C455" s="39" t="s">
        <v>8929</v>
      </c>
      <c r="D455" s="39" t="s">
        <v>10003</v>
      </c>
      <c r="E455" s="31" t="s">
        <v>10011</v>
      </c>
      <c r="F455" s="31"/>
      <c r="G455" s="31"/>
      <c r="H455" s="31"/>
      <c r="I455" s="31"/>
      <c r="J455" s="31"/>
      <c r="K455" s="31"/>
      <c r="L455" s="31"/>
      <c r="M455" s="31"/>
    </row>
    <row r="456" spans="1:13">
      <c r="A456" s="535">
        <v>44363</v>
      </c>
      <c r="B456" s="240" t="s">
        <v>3304</v>
      </c>
      <c r="C456" s="39" t="s">
        <v>8929</v>
      </c>
      <c r="D456" s="39" t="s">
        <v>10003</v>
      </c>
      <c r="E456" s="31" t="s">
        <v>10011</v>
      </c>
      <c r="F456" s="31"/>
      <c r="G456" s="31"/>
      <c r="H456" s="31"/>
      <c r="I456" s="31"/>
      <c r="J456" s="31"/>
      <c r="K456" s="31"/>
      <c r="L456" s="31"/>
      <c r="M456" s="31"/>
    </row>
    <row r="457" spans="1:13">
      <c r="A457" s="535">
        <v>44364</v>
      </c>
      <c r="B457" s="84" t="s">
        <v>2747</v>
      </c>
      <c r="C457" s="31" t="s">
        <v>8929</v>
      </c>
      <c r="D457" s="39" t="s">
        <v>10003</v>
      </c>
      <c r="E457" s="31" t="s">
        <v>9999</v>
      </c>
      <c r="F457" s="31"/>
      <c r="G457" s="31"/>
      <c r="H457" s="31"/>
      <c r="I457" s="31"/>
      <c r="J457" s="31"/>
      <c r="K457" s="31"/>
      <c r="L457" s="31"/>
      <c r="M457" s="31"/>
    </row>
    <row r="458" spans="1:13">
      <c r="A458" s="535">
        <v>44364</v>
      </c>
      <c r="B458" s="84" t="s">
        <v>2748</v>
      </c>
      <c r="C458" s="31" t="s">
        <v>8929</v>
      </c>
      <c r="D458" s="39" t="s">
        <v>2738</v>
      </c>
      <c r="E458" s="31" t="s">
        <v>9996</v>
      </c>
      <c r="F458" s="31"/>
      <c r="G458" s="31"/>
      <c r="H458" s="31"/>
      <c r="I458" s="31"/>
      <c r="J458" s="31"/>
      <c r="K458" s="31"/>
      <c r="L458" s="31"/>
      <c r="M458" s="31"/>
    </row>
    <row r="459" spans="1:13">
      <c r="A459" s="535">
        <v>44365</v>
      </c>
      <c r="B459" s="240" t="s">
        <v>10012</v>
      </c>
      <c r="C459" s="31" t="s">
        <v>8929</v>
      </c>
      <c r="D459" s="39" t="s">
        <v>2738</v>
      </c>
      <c r="E459" s="31" t="s">
        <v>9999</v>
      </c>
      <c r="F459" s="31"/>
      <c r="G459" s="31"/>
      <c r="H459" s="31"/>
      <c r="I459" s="31"/>
      <c r="J459" s="31"/>
      <c r="K459" s="31"/>
      <c r="L459" s="31"/>
      <c r="M459" s="31"/>
    </row>
    <row r="460" spans="1:13">
      <c r="A460" s="540">
        <v>44365</v>
      </c>
      <c r="B460" s="274" t="s">
        <v>3649</v>
      </c>
      <c r="C460" s="31" t="s">
        <v>8929</v>
      </c>
      <c r="D460" s="39" t="s">
        <v>2738</v>
      </c>
      <c r="E460" s="31" t="s">
        <v>9999</v>
      </c>
      <c r="F460" s="31"/>
      <c r="G460" s="31"/>
      <c r="H460" s="31"/>
      <c r="I460" s="31"/>
      <c r="J460" s="31"/>
      <c r="K460" s="31"/>
      <c r="L460" s="31"/>
      <c r="M460" s="31"/>
    </row>
    <row r="461" spans="1:13">
      <c r="A461" s="536">
        <v>44365</v>
      </c>
      <c r="B461" s="17" t="s">
        <v>10013</v>
      </c>
      <c r="C461" s="31" t="s">
        <v>8929</v>
      </c>
      <c r="D461" s="39" t="s">
        <v>10003</v>
      </c>
      <c r="E461" s="31" t="s">
        <v>10007</v>
      </c>
      <c r="F461" s="31"/>
      <c r="G461" s="31"/>
      <c r="H461" s="31"/>
      <c r="I461" s="31"/>
      <c r="J461" s="31"/>
      <c r="K461" s="31"/>
      <c r="L461" s="31"/>
      <c r="M461" s="31"/>
    </row>
    <row r="462" spans="1:13">
      <c r="A462" s="535">
        <v>44368</v>
      </c>
      <c r="B462" s="274" t="s">
        <v>10014</v>
      </c>
      <c r="C462" s="31" t="s">
        <v>8929</v>
      </c>
      <c r="D462" s="39" t="s">
        <v>10003</v>
      </c>
      <c r="E462" s="31" t="s">
        <v>10011</v>
      </c>
      <c r="F462" s="31"/>
      <c r="G462" s="31"/>
      <c r="H462" s="31"/>
      <c r="I462" s="31"/>
      <c r="J462" s="31"/>
      <c r="K462" s="31"/>
      <c r="L462" s="31"/>
      <c r="M462" s="31"/>
    </row>
    <row r="463" spans="1:13">
      <c r="A463" s="535">
        <v>44368</v>
      </c>
      <c r="B463" s="240" t="s">
        <v>3646</v>
      </c>
      <c r="C463" s="31" t="s">
        <v>8929</v>
      </c>
      <c r="D463" s="39" t="s">
        <v>10003</v>
      </c>
      <c r="E463" s="31" t="s">
        <v>10002</v>
      </c>
      <c r="F463" s="31"/>
      <c r="G463" s="31"/>
      <c r="H463" s="31"/>
      <c r="I463" s="31"/>
      <c r="J463" s="31"/>
      <c r="K463" s="31"/>
      <c r="L463" s="31"/>
      <c r="M463" s="31"/>
    </row>
    <row r="464" spans="1:13">
      <c r="A464" s="535">
        <v>44368</v>
      </c>
      <c r="B464" s="274" t="s">
        <v>10015</v>
      </c>
      <c r="C464" s="31" t="s">
        <v>8929</v>
      </c>
      <c r="D464" s="39" t="s">
        <v>10003</v>
      </c>
      <c r="E464" s="31" t="s">
        <v>10002</v>
      </c>
      <c r="F464" s="31"/>
      <c r="G464" s="31"/>
      <c r="H464" s="31"/>
      <c r="I464" s="31"/>
      <c r="J464" s="31"/>
      <c r="K464" s="31"/>
      <c r="L464" s="31"/>
      <c r="M464" s="31"/>
    </row>
    <row r="465" spans="1:13">
      <c r="A465" s="535">
        <v>44368</v>
      </c>
      <c r="B465" s="274" t="s">
        <v>3374</v>
      </c>
      <c r="C465" s="31" t="s">
        <v>8929</v>
      </c>
      <c r="D465" s="39" t="s">
        <v>2738</v>
      </c>
      <c r="E465" s="31" t="s">
        <v>10002</v>
      </c>
      <c r="F465" s="31"/>
      <c r="G465" s="31"/>
      <c r="H465" s="31"/>
      <c r="I465" s="31"/>
      <c r="J465" s="31"/>
      <c r="K465" s="31"/>
      <c r="L465" s="31"/>
      <c r="M465" s="31"/>
    </row>
    <row r="466" spans="1:13">
      <c r="A466" s="535">
        <v>44368</v>
      </c>
      <c r="B466" s="240" t="s">
        <v>3645</v>
      </c>
      <c r="C466" s="31" t="s">
        <v>8929</v>
      </c>
      <c r="D466" s="39" t="s">
        <v>2738</v>
      </c>
      <c r="E466" s="31"/>
      <c r="F466" s="31"/>
      <c r="G466" s="31"/>
      <c r="H466" s="31"/>
      <c r="I466" s="31"/>
      <c r="J466" s="31"/>
      <c r="K466" s="31"/>
      <c r="L466" s="31"/>
      <c r="M466" s="31"/>
    </row>
    <row r="467" spans="1:13">
      <c r="A467" s="535">
        <v>44369</v>
      </c>
      <c r="B467" s="240" t="s">
        <v>3644</v>
      </c>
      <c r="C467" s="31" t="s">
        <v>8929</v>
      </c>
      <c r="D467" s="39" t="s">
        <v>10003</v>
      </c>
      <c r="E467" s="31"/>
      <c r="F467" s="31"/>
      <c r="G467" s="31"/>
      <c r="H467" s="31"/>
      <c r="I467" s="31"/>
      <c r="J467" s="31"/>
      <c r="K467" s="31"/>
      <c r="L467" s="31"/>
      <c r="M467" s="31"/>
    </row>
    <row r="468" spans="1:13">
      <c r="A468" s="535">
        <v>44370</v>
      </c>
      <c r="B468" s="240" t="s">
        <v>3643</v>
      </c>
      <c r="C468" s="31" t="s">
        <v>8929</v>
      </c>
      <c r="D468" s="39" t="s">
        <v>2738</v>
      </c>
      <c r="E468" s="31" t="s">
        <v>9999</v>
      </c>
      <c r="F468" s="31"/>
      <c r="G468" s="31"/>
      <c r="H468" s="31"/>
      <c r="I468" s="31"/>
      <c r="J468" s="31"/>
      <c r="K468" s="31"/>
      <c r="L468" s="31"/>
      <c r="M468" s="31"/>
    </row>
    <row r="469" spans="1:13">
      <c r="A469" s="535">
        <v>44370</v>
      </c>
      <c r="B469" s="240" t="s">
        <v>10016</v>
      </c>
      <c r="C469" s="31" t="s">
        <v>8929</v>
      </c>
      <c r="D469" s="277" t="s">
        <v>10003</v>
      </c>
      <c r="E469" s="39" t="s">
        <v>10007</v>
      </c>
      <c r="F469" s="31"/>
      <c r="G469" s="31"/>
      <c r="H469" s="31"/>
      <c r="I469" s="31"/>
      <c r="J469" s="31"/>
      <c r="K469" s="31"/>
      <c r="L469" s="31"/>
      <c r="M469" s="31"/>
    </row>
    <row r="470" spans="1:13">
      <c r="A470" s="535">
        <v>44371</v>
      </c>
      <c r="B470" s="240" t="s">
        <v>2863</v>
      </c>
      <c r="C470" s="31" t="s">
        <v>8929</v>
      </c>
      <c r="D470" s="39" t="s">
        <v>10003</v>
      </c>
      <c r="E470" s="31" t="s">
        <v>9999</v>
      </c>
      <c r="F470" s="31"/>
      <c r="G470" s="31"/>
      <c r="H470" s="31"/>
      <c r="I470" s="31"/>
      <c r="J470" s="31"/>
      <c r="K470" s="31"/>
      <c r="L470" s="31"/>
      <c r="M470" s="31"/>
    </row>
    <row r="471" spans="1:13">
      <c r="A471" s="535">
        <v>44372</v>
      </c>
      <c r="B471" s="240" t="s">
        <v>3641</v>
      </c>
      <c r="C471" s="31" t="s">
        <v>8929</v>
      </c>
      <c r="D471" s="39" t="s">
        <v>10003</v>
      </c>
      <c r="E471" s="31" t="s">
        <v>9999</v>
      </c>
      <c r="F471" s="31"/>
      <c r="G471" s="31"/>
      <c r="H471" s="31"/>
      <c r="I471" s="31"/>
      <c r="J471" s="31"/>
      <c r="K471" s="31"/>
      <c r="L471" s="31"/>
      <c r="M471" s="31"/>
    </row>
    <row r="472" spans="1:13">
      <c r="A472" s="535">
        <v>44372</v>
      </c>
      <c r="B472" s="240" t="s">
        <v>3640</v>
      </c>
      <c r="C472" s="31" t="s">
        <v>8929</v>
      </c>
      <c r="D472" s="39" t="s">
        <v>10003</v>
      </c>
      <c r="E472" s="31" t="s">
        <v>9996</v>
      </c>
      <c r="F472" s="31"/>
      <c r="G472" s="31"/>
      <c r="H472" s="31"/>
      <c r="I472" s="31"/>
      <c r="J472" s="31"/>
      <c r="K472" s="31"/>
      <c r="L472" s="31"/>
      <c r="M472" s="31"/>
    </row>
    <row r="473" spans="1:13">
      <c r="A473" s="535">
        <v>44375</v>
      </c>
      <c r="B473" s="240" t="s">
        <v>3638</v>
      </c>
      <c r="C473" s="31" t="s">
        <v>8929</v>
      </c>
      <c r="D473" s="39" t="s">
        <v>10003</v>
      </c>
      <c r="E473" s="31" t="s">
        <v>10011</v>
      </c>
      <c r="F473" s="31"/>
      <c r="G473" s="31"/>
      <c r="H473" s="31"/>
      <c r="I473" s="31"/>
      <c r="J473" s="31"/>
      <c r="K473" s="31"/>
      <c r="L473" s="31"/>
      <c r="M473" s="31"/>
    </row>
    <row r="474" spans="1:13">
      <c r="A474" s="535">
        <v>44375</v>
      </c>
      <c r="B474" s="84" t="s">
        <v>2749</v>
      </c>
      <c r="C474" s="31" t="s">
        <v>8929</v>
      </c>
      <c r="D474" s="39" t="s">
        <v>10003</v>
      </c>
      <c r="E474" s="31" t="s">
        <v>10002</v>
      </c>
      <c r="F474" s="31"/>
      <c r="G474" s="31"/>
      <c r="H474" s="31"/>
      <c r="I474" s="31"/>
      <c r="J474" s="31"/>
      <c r="K474" s="31"/>
      <c r="L474" s="31"/>
      <c r="M474" s="31"/>
    </row>
    <row r="475" spans="1:13">
      <c r="A475" s="535">
        <v>44375</v>
      </c>
      <c r="B475" s="278" t="s">
        <v>10017</v>
      </c>
      <c r="C475" s="31" t="s">
        <v>8929</v>
      </c>
      <c r="D475" s="39" t="s">
        <v>10003</v>
      </c>
      <c r="E475" s="31"/>
      <c r="F475" s="31"/>
      <c r="G475" s="31"/>
      <c r="H475" s="31"/>
      <c r="I475" s="31"/>
      <c r="J475" s="31"/>
      <c r="K475" s="31"/>
      <c r="L475" s="31"/>
      <c r="M475" s="31"/>
    </row>
    <row r="476" spans="1:13">
      <c r="A476" s="535">
        <v>44377</v>
      </c>
      <c r="B476" s="84" t="s">
        <v>2750</v>
      </c>
      <c r="C476" s="31" t="s">
        <v>8929</v>
      </c>
      <c r="D476" s="39" t="s">
        <v>10003</v>
      </c>
      <c r="E476" s="31"/>
      <c r="F476" s="31"/>
      <c r="G476" s="31"/>
      <c r="H476" s="31"/>
      <c r="I476" s="31"/>
      <c r="J476" s="31"/>
      <c r="K476" s="31"/>
      <c r="L476" s="31"/>
      <c r="M476" s="31"/>
    </row>
    <row r="477" spans="1:13">
      <c r="A477" s="535"/>
      <c r="B477" s="219" t="s">
        <v>2755</v>
      </c>
      <c r="C477" s="31"/>
      <c r="D477" s="39"/>
      <c r="E477" s="31"/>
      <c r="F477" s="31"/>
      <c r="G477" s="31"/>
      <c r="H477" s="31"/>
      <c r="I477" s="31"/>
      <c r="J477" s="31"/>
      <c r="K477" s="31"/>
      <c r="L477" s="31"/>
      <c r="M477" s="31"/>
    </row>
    <row r="478" spans="1:13">
      <c r="A478" s="535">
        <v>44378</v>
      </c>
      <c r="B478" s="84" t="s">
        <v>10018</v>
      </c>
      <c r="C478" t="s">
        <v>8929</v>
      </c>
      <c r="D478" s="39" t="s">
        <v>10019</v>
      </c>
      <c r="E478" s="31"/>
      <c r="F478" s="31"/>
      <c r="G478" s="31"/>
      <c r="H478" s="31"/>
      <c r="I478" s="31"/>
      <c r="J478" s="31"/>
      <c r="K478" s="31"/>
      <c r="L478" s="31"/>
      <c r="M478" s="31"/>
    </row>
    <row r="479" spans="1:13">
      <c r="A479" s="535">
        <v>44378</v>
      </c>
      <c r="B479" s="240" t="s">
        <v>2884</v>
      </c>
      <c r="C479" s="31" t="s">
        <v>8929</v>
      </c>
      <c r="D479" s="39" t="s">
        <v>10019</v>
      </c>
      <c r="E479" s="31"/>
      <c r="F479" s="31"/>
      <c r="G479" s="31"/>
      <c r="H479" s="31"/>
      <c r="I479" s="31"/>
      <c r="J479" s="31"/>
      <c r="K479" s="31"/>
      <c r="L479" s="31"/>
      <c r="M479" s="31"/>
    </row>
    <row r="480" spans="1:13">
      <c r="A480" s="535">
        <v>44379</v>
      </c>
      <c r="B480" s="240" t="s">
        <v>3091</v>
      </c>
      <c r="C480" t="s">
        <v>8929</v>
      </c>
      <c r="D480" s="39" t="s">
        <v>10019</v>
      </c>
      <c r="E480" s="31"/>
      <c r="F480" s="31"/>
      <c r="G480" s="31"/>
      <c r="H480" s="31"/>
      <c r="I480" s="31"/>
      <c r="J480" s="31"/>
      <c r="K480" s="31"/>
      <c r="L480" s="31"/>
      <c r="M480" s="31"/>
    </row>
    <row r="481" spans="1:13">
      <c r="A481" s="535">
        <v>44382</v>
      </c>
      <c r="B481" s="240" t="s">
        <v>3637</v>
      </c>
      <c r="C481" t="s">
        <v>8929</v>
      </c>
      <c r="D481" s="39" t="s">
        <v>10019</v>
      </c>
      <c r="E481" s="31"/>
      <c r="F481" s="31"/>
      <c r="G481" s="31"/>
      <c r="H481" s="31"/>
      <c r="I481" s="31"/>
      <c r="J481" s="31"/>
      <c r="K481" s="31"/>
      <c r="L481" s="31"/>
      <c r="M481" s="31"/>
    </row>
    <row r="482" spans="1:13">
      <c r="A482" s="535">
        <v>44382</v>
      </c>
      <c r="B482" s="240" t="s">
        <v>10020</v>
      </c>
      <c r="C482" t="s">
        <v>8929</v>
      </c>
      <c r="D482" s="39" t="s">
        <v>2755</v>
      </c>
      <c r="E482" s="31"/>
      <c r="F482" s="31"/>
      <c r="G482" s="31"/>
      <c r="H482" s="31"/>
      <c r="I482" s="31"/>
      <c r="J482" s="31"/>
      <c r="K482" s="31"/>
      <c r="L482" s="31"/>
      <c r="M482" s="31"/>
    </row>
    <row r="483" spans="1:13">
      <c r="A483" s="535">
        <v>44383</v>
      </c>
      <c r="B483" s="240" t="s">
        <v>3633</v>
      </c>
      <c r="C483" s="31" t="s">
        <v>8929</v>
      </c>
      <c r="D483" s="39" t="s">
        <v>10019</v>
      </c>
      <c r="E483" s="31"/>
      <c r="F483" s="31"/>
      <c r="G483" s="31"/>
      <c r="H483" s="31"/>
      <c r="I483" s="31"/>
      <c r="J483" s="31"/>
      <c r="K483" s="31"/>
      <c r="L483" s="31"/>
      <c r="M483" s="31"/>
    </row>
    <row r="484" spans="1:13">
      <c r="A484" s="535">
        <v>44383</v>
      </c>
      <c r="B484" s="240" t="s">
        <v>10021</v>
      </c>
      <c r="C484" s="31" t="s">
        <v>8929</v>
      </c>
      <c r="D484" s="39" t="s">
        <v>10019</v>
      </c>
      <c r="E484" s="31"/>
      <c r="F484" s="31"/>
      <c r="G484" s="31"/>
      <c r="H484" s="31"/>
      <c r="I484" s="31"/>
      <c r="J484" s="31"/>
      <c r="K484" s="31"/>
      <c r="L484" s="31"/>
      <c r="M484" s="31"/>
    </row>
    <row r="485" spans="1:13">
      <c r="A485" s="535">
        <v>44383</v>
      </c>
      <c r="B485" s="240" t="s">
        <v>3310</v>
      </c>
      <c r="C485" s="31" t="s">
        <v>8929</v>
      </c>
      <c r="D485" s="39" t="s">
        <v>2755</v>
      </c>
      <c r="E485" s="31"/>
      <c r="F485" s="31"/>
      <c r="G485" s="31"/>
      <c r="H485" s="31"/>
      <c r="I485" s="31"/>
      <c r="J485" s="31"/>
      <c r="K485" s="31"/>
      <c r="L485" s="31"/>
      <c r="M485" s="31"/>
    </row>
    <row r="486" spans="1:13">
      <c r="A486" s="535">
        <v>44384</v>
      </c>
      <c r="B486" s="240" t="s">
        <v>3629</v>
      </c>
      <c r="C486" s="31" t="s">
        <v>8929</v>
      </c>
      <c r="D486" s="39" t="s">
        <v>10019</v>
      </c>
      <c r="E486" s="31"/>
      <c r="F486" s="31"/>
      <c r="G486" s="31"/>
      <c r="H486" s="31"/>
      <c r="I486" s="31"/>
      <c r="J486" s="31"/>
      <c r="K486" s="31"/>
      <c r="L486" s="31"/>
      <c r="M486" s="31"/>
    </row>
    <row r="487" spans="1:13">
      <c r="A487" s="535">
        <v>44384</v>
      </c>
      <c r="B487" s="240" t="s">
        <v>10022</v>
      </c>
      <c r="C487" s="31" t="s">
        <v>8929</v>
      </c>
      <c r="D487" s="202" t="s">
        <v>10019</v>
      </c>
      <c r="E487" s="31"/>
      <c r="F487" s="31"/>
      <c r="G487" s="31"/>
      <c r="H487" s="31"/>
      <c r="I487" s="31"/>
      <c r="J487" s="31"/>
      <c r="K487" s="31"/>
      <c r="L487" s="31"/>
      <c r="M487" s="31"/>
    </row>
    <row r="488" spans="1:13">
      <c r="A488" s="535">
        <v>44385</v>
      </c>
      <c r="B488" s="84" t="s">
        <v>10023</v>
      </c>
      <c r="C488" s="31" t="s">
        <v>8929</v>
      </c>
      <c r="D488" s="202" t="s">
        <v>10019</v>
      </c>
      <c r="E488" s="31"/>
      <c r="F488" s="31"/>
      <c r="G488" s="31"/>
      <c r="H488" s="31"/>
      <c r="I488" s="31"/>
      <c r="J488" s="31"/>
      <c r="K488" s="31"/>
      <c r="L488" s="31"/>
      <c r="M488" s="31"/>
    </row>
    <row r="489" spans="1:13">
      <c r="A489" s="535">
        <v>44385</v>
      </c>
      <c r="B489" s="84" t="s">
        <v>3626</v>
      </c>
      <c r="C489" s="31" t="s">
        <v>8929</v>
      </c>
      <c r="D489" s="39" t="s">
        <v>10019</v>
      </c>
      <c r="E489" s="31"/>
      <c r="F489" s="31"/>
      <c r="G489" s="31"/>
      <c r="H489" s="31"/>
      <c r="I489" s="31"/>
      <c r="J489" s="31"/>
      <c r="K489" s="31"/>
      <c r="L489" s="31"/>
      <c r="M489" s="31"/>
    </row>
    <row r="490" spans="1:13">
      <c r="A490" s="535">
        <v>44386</v>
      </c>
      <c r="B490" s="84" t="s">
        <v>3625</v>
      </c>
      <c r="C490" t="s">
        <v>8929</v>
      </c>
      <c r="D490" s="39" t="s">
        <v>10019</v>
      </c>
      <c r="E490" s="31" t="s">
        <v>10024</v>
      </c>
      <c r="F490" s="31"/>
      <c r="G490" s="31"/>
      <c r="H490" s="31"/>
      <c r="I490" s="31"/>
      <c r="J490" s="31"/>
      <c r="K490" s="31"/>
      <c r="L490" s="31"/>
      <c r="M490" s="31"/>
    </row>
    <row r="491" spans="1:13">
      <c r="A491" s="535">
        <v>44386</v>
      </c>
      <c r="B491" s="240" t="s">
        <v>3624</v>
      </c>
      <c r="C491" t="s">
        <v>8929</v>
      </c>
      <c r="D491" s="39" t="s">
        <v>10019</v>
      </c>
      <c r="E491" s="31" t="s">
        <v>10024</v>
      </c>
      <c r="F491" s="31"/>
      <c r="G491" s="31"/>
      <c r="H491" s="31"/>
      <c r="I491" s="31"/>
      <c r="J491" s="31"/>
      <c r="K491" s="31"/>
      <c r="L491" s="31"/>
      <c r="M491" s="31"/>
    </row>
    <row r="492" spans="1:13">
      <c r="A492" s="535">
        <v>44386</v>
      </c>
      <c r="B492" s="240" t="s">
        <v>10025</v>
      </c>
      <c r="C492" t="s">
        <v>8929</v>
      </c>
      <c r="D492" s="39" t="s">
        <v>2755</v>
      </c>
      <c r="E492" s="31" t="s">
        <v>10024</v>
      </c>
      <c r="F492" s="31"/>
      <c r="G492" s="31"/>
      <c r="H492" s="31"/>
      <c r="I492" s="31"/>
      <c r="J492" s="31"/>
      <c r="K492" s="31"/>
      <c r="L492" s="31"/>
      <c r="M492" s="31"/>
    </row>
    <row r="493" spans="1:13">
      <c r="A493" s="535">
        <v>44389</v>
      </c>
      <c r="B493" s="84" t="s">
        <v>3622</v>
      </c>
      <c r="C493" s="31" t="s">
        <v>8929</v>
      </c>
      <c r="D493" s="39" t="s">
        <v>10019</v>
      </c>
      <c r="E493" s="31" t="s">
        <v>10026</v>
      </c>
      <c r="F493" s="31"/>
      <c r="G493" s="31"/>
      <c r="H493" s="31"/>
      <c r="I493" s="31"/>
      <c r="J493" s="31"/>
      <c r="K493" s="31"/>
      <c r="L493" s="31"/>
      <c r="M493" s="31"/>
    </row>
    <row r="494" spans="1:13">
      <c r="A494" s="535">
        <v>44389</v>
      </c>
      <c r="B494" s="84" t="s">
        <v>3621</v>
      </c>
      <c r="C494" s="31" t="s">
        <v>8929</v>
      </c>
      <c r="D494" s="39" t="s">
        <v>10019</v>
      </c>
      <c r="E494" s="31"/>
      <c r="F494" s="31"/>
      <c r="G494" s="31"/>
      <c r="H494" s="31"/>
      <c r="I494" s="31"/>
      <c r="J494" s="31"/>
      <c r="K494" s="31"/>
      <c r="L494" s="31"/>
      <c r="M494" s="31"/>
    </row>
    <row r="495" spans="1:13">
      <c r="A495" s="535">
        <v>44389</v>
      </c>
      <c r="B495" s="240" t="s">
        <v>2937</v>
      </c>
      <c r="C495" s="31" t="s">
        <v>8929</v>
      </c>
      <c r="D495" s="39" t="s">
        <v>10019</v>
      </c>
      <c r="E495" s="31" t="s">
        <v>10004</v>
      </c>
      <c r="F495" s="31"/>
      <c r="G495" s="31"/>
      <c r="H495" s="31"/>
      <c r="I495" s="31"/>
      <c r="J495" s="31"/>
      <c r="K495" s="31"/>
      <c r="L495" s="31"/>
      <c r="M495" s="31"/>
    </row>
    <row r="496" spans="1:13">
      <c r="A496" s="535">
        <v>44389</v>
      </c>
      <c r="B496" s="240" t="s">
        <v>3041</v>
      </c>
      <c r="C496" s="31" t="s">
        <v>8929</v>
      </c>
      <c r="D496" s="39" t="s">
        <v>10019</v>
      </c>
      <c r="E496" s="31" t="s">
        <v>10004</v>
      </c>
      <c r="F496" s="31"/>
      <c r="G496" s="31"/>
      <c r="H496" s="31"/>
      <c r="I496" s="31"/>
      <c r="J496" s="31"/>
      <c r="K496" s="31"/>
      <c r="L496" s="31"/>
      <c r="M496" s="31"/>
    </row>
    <row r="497" spans="1:13">
      <c r="A497" s="535">
        <v>44390</v>
      </c>
      <c r="B497" s="240" t="s">
        <v>6687</v>
      </c>
      <c r="C497" s="31" t="s">
        <v>8929</v>
      </c>
      <c r="D497" s="39" t="s">
        <v>2755</v>
      </c>
      <c r="E497" s="133">
        <v>44413</v>
      </c>
      <c r="F497" s="31"/>
      <c r="G497" s="31"/>
      <c r="H497" s="31"/>
      <c r="I497" s="31"/>
      <c r="J497" s="31"/>
      <c r="K497" s="31"/>
      <c r="L497" s="31"/>
      <c r="M497" s="31"/>
    </row>
    <row r="498" spans="1:13">
      <c r="A498" s="539">
        <v>44390</v>
      </c>
      <c r="B498" s="240" t="s">
        <v>3186</v>
      </c>
      <c r="C498" s="31" t="s">
        <v>8929</v>
      </c>
      <c r="D498" s="39" t="s">
        <v>10019</v>
      </c>
      <c r="E498" s="31" t="s">
        <v>10010</v>
      </c>
      <c r="F498" s="31"/>
      <c r="G498" s="31"/>
      <c r="H498" s="31"/>
      <c r="I498" s="31"/>
      <c r="J498" s="31"/>
      <c r="K498" s="31"/>
      <c r="L498" s="31"/>
      <c r="M498" s="31"/>
    </row>
    <row r="499" spans="1:13">
      <c r="A499" s="535">
        <v>44391</v>
      </c>
      <c r="B499" s="240" t="s">
        <v>10027</v>
      </c>
      <c r="C499" s="31" t="s">
        <v>8929</v>
      </c>
      <c r="D499" s="39" t="s">
        <v>10019</v>
      </c>
      <c r="E499" s="31" t="s">
        <v>10010</v>
      </c>
      <c r="F499" s="31"/>
      <c r="G499" s="31"/>
      <c r="H499" s="31"/>
      <c r="I499" s="31"/>
      <c r="J499" s="31"/>
      <c r="K499" s="31"/>
      <c r="L499" s="31"/>
      <c r="M499" s="31"/>
    </row>
    <row r="500" spans="1:13">
      <c r="A500" s="535">
        <v>44391</v>
      </c>
      <c r="B500" s="84" t="s">
        <v>9891</v>
      </c>
      <c r="C500" s="31" t="s">
        <v>8929</v>
      </c>
      <c r="D500" s="39" t="s">
        <v>2755</v>
      </c>
      <c r="E500" s="31" t="s">
        <v>10024</v>
      </c>
      <c r="F500" s="31"/>
      <c r="G500" s="31"/>
      <c r="H500" s="31"/>
      <c r="I500" s="31"/>
      <c r="J500" s="31"/>
      <c r="K500" s="31"/>
      <c r="L500" s="31"/>
      <c r="M500" s="31"/>
    </row>
    <row r="501" spans="1:13">
      <c r="A501" s="535">
        <v>44391</v>
      </c>
      <c r="B501" s="240" t="s">
        <v>3620</v>
      </c>
      <c r="C501" s="31" t="s">
        <v>8929</v>
      </c>
      <c r="D501" s="39" t="s">
        <v>10019</v>
      </c>
      <c r="E501" s="31" t="s">
        <v>10010</v>
      </c>
      <c r="F501" s="31"/>
      <c r="G501" s="31"/>
      <c r="H501" s="31"/>
      <c r="I501" s="31"/>
      <c r="J501" s="31"/>
      <c r="K501" s="31"/>
      <c r="L501" s="31"/>
      <c r="M501" s="31"/>
    </row>
    <row r="502" spans="1:13">
      <c r="A502" s="535">
        <v>44391</v>
      </c>
      <c r="B502" s="84" t="s">
        <v>10028</v>
      </c>
      <c r="C502" s="31" t="s">
        <v>8929</v>
      </c>
      <c r="D502" s="39" t="s">
        <v>10019</v>
      </c>
      <c r="E502" s="31" t="s">
        <v>10026</v>
      </c>
      <c r="F502" s="31"/>
      <c r="G502" s="31"/>
      <c r="H502" s="31"/>
      <c r="I502" s="31"/>
      <c r="J502" s="31"/>
      <c r="K502" s="31"/>
      <c r="L502" s="31"/>
      <c r="M502" s="31"/>
    </row>
    <row r="503" spans="1:13">
      <c r="A503" s="535">
        <v>44398</v>
      </c>
      <c r="B503" s="240" t="s">
        <v>2933</v>
      </c>
      <c r="C503" s="31" t="s">
        <v>8929</v>
      </c>
      <c r="D503" s="39" t="s">
        <v>2755</v>
      </c>
      <c r="E503" s="31" t="s">
        <v>10004</v>
      </c>
      <c r="F503" s="31"/>
      <c r="G503" s="31"/>
      <c r="H503" s="31"/>
      <c r="I503" s="31"/>
      <c r="J503" s="31"/>
      <c r="K503" s="31"/>
      <c r="L503" s="31"/>
      <c r="M503" s="31"/>
    </row>
    <row r="504" spans="1:13">
      <c r="A504" s="535">
        <v>44398</v>
      </c>
      <c r="B504" s="84" t="s">
        <v>3040</v>
      </c>
      <c r="C504" s="31" t="s">
        <v>8929</v>
      </c>
      <c r="D504" s="39" t="s">
        <v>2755</v>
      </c>
      <c r="E504" s="31" t="s">
        <v>9996</v>
      </c>
      <c r="F504" s="31"/>
      <c r="G504" s="31"/>
      <c r="H504" s="31"/>
      <c r="I504" s="31"/>
      <c r="J504" s="31"/>
      <c r="K504" s="31"/>
      <c r="L504" s="31"/>
      <c r="M504" s="31"/>
    </row>
    <row r="505" spans="1:13">
      <c r="A505" s="535">
        <v>44398</v>
      </c>
      <c r="B505" s="240" t="s">
        <v>2762</v>
      </c>
      <c r="C505" s="31" t="s">
        <v>8929</v>
      </c>
      <c r="D505" s="39" t="s">
        <v>10019</v>
      </c>
      <c r="E505" s="31" t="s">
        <v>10010</v>
      </c>
      <c r="F505" s="31"/>
      <c r="G505" s="31"/>
      <c r="H505" s="31"/>
      <c r="I505" s="31"/>
      <c r="J505" s="31"/>
      <c r="K505" s="31"/>
      <c r="L505" s="31"/>
      <c r="M505" s="31"/>
    </row>
    <row r="506" spans="1:13">
      <c r="A506" s="535">
        <v>44399</v>
      </c>
      <c r="B506" s="84" t="s">
        <v>2896</v>
      </c>
      <c r="C506" s="31" t="s">
        <v>8929</v>
      </c>
      <c r="D506" s="39" t="s">
        <v>10019</v>
      </c>
      <c r="E506" s="31"/>
      <c r="F506" s="31"/>
      <c r="G506" s="31"/>
      <c r="H506" s="31"/>
      <c r="I506" s="31"/>
      <c r="J506" s="31"/>
      <c r="K506" s="31"/>
      <c r="L506" s="31"/>
      <c r="M506" s="31"/>
    </row>
    <row r="507" spans="1:13">
      <c r="A507" s="535">
        <v>44399</v>
      </c>
      <c r="B507" s="240" t="s">
        <v>3031</v>
      </c>
      <c r="C507" s="31" t="s">
        <v>8929</v>
      </c>
      <c r="D507" s="39" t="s">
        <v>2755</v>
      </c>
      <c r="E507" s="31"/>
      <c r="F507" s="31"/>
      <c r="G507" s="31"/>
      <c r="H507" s="31"/>
      <c r="I507" s="31"/>
      <c r="J507" s="31"/>
      <c r="K507" s="31"/>
      <c r="L507" s="31"/>
      <c r="M507" s="31"/>
    </row>
    <row r="508" spans="1:13">
      <c r="A508" s="535">
        <v>44399</v>
      </c>
      <c r="B508" s="240" t="s">
        <v>2764</v>
      </c>
      <c r="C508" s="31" t="s">
        <v>8929</v>
      </c>
      <c r="D508" s="39" t="s">
        <v>10019</v>
      </c>
      <c r="E508" s="31"/>
      <c r="F508" s="31"/>
      <c r="G508" s="31"/>
      <c r="H508" s="31"/>
      <c r="I508" s="31"/>
      <c r="J508" s="31"/>
      <c r="K508" s="31"/>
      <c r="L508" s="31"/>
      <c r="M508" s="31"/>
    </row>
    <row r="509" spans="1:13">
      <c r="A509" s="535">
        <v>44399</v>
      </c>
      <c r="B509" s="240" t="s">
        <v>2929</v>
      </c>
      <c r="C509" s="31" t="s">
        <v>8929</v>
      </c>
      <c r="D509" s="39" t="s">
        <v>2755</v>
      </c>
      <c r="E509" s="31"/>
      <c r="F509" s="31"/>
      <c r="G509" s="31"/>
      <c r="H509" s="31"/>
      <c r="I509" s="31"/>
      <c r="J509" s="31"/>
      <c r="K509" s="31"/>
      <c r="L509" s="31"/>
      <c r="M509" s="31"/>
    </row>
    <row r="510" spans="1:13">
      <c r="A510" s="535">
        <v>44399</v>
      </c>
      <c r="B510" s="240" t="s">
        <v>3619</v>
      </c>
      <c r="C510" s="31" t="s">
        <v>8929</v>
      </c>
      <c r="D510" s="39" t="s">
        <v>10019</v>
      </c>
      <c r="E510" s="31"/>
      <c r="F510" s="31"/>
      <c r="G510" s="31"/>
      <c r="H510" s="31"/>
      <c r="I510" s="31"/>
      <c r="J510" s="31"/>
      <c r="K510" s="31"/>
      <c r="L510" s="31"/>
      <c r="M510" s="31"/>
    </row>
    <row r="511" spans="1:13">
      <c r="A511" s="535">
        <v>44222</v>
      </c>
      <c r="B511" s="84" t="s">
        <v>10029</v>
      </c>
      <c r="C511" s="31" t="s">
        <v>8929</v>
      </c>
      <c r="D511" s="39" t="s">
        <v>10019</v>
      </c>
      <c r="E511" s="31" t="s">
        <v>10004</v>
      </c>
      <c r="F511" s="31"/>
      <c r="G511" s="31"/>
      <c r="H511" s="31"/>
      <c r="I511" s="31"/>
      <c r="J511" s="31"/>
      <c r="K511" s="31"/>
      <c r="L511" s="31"/>
      <c r="M511" s="31"/>
    </row>
    <row r="512" spans="1:13">
      <c r="A512" s="535">
        <v>44222</v>
      </c>
      <c r="B512" s="84" t="s">
        <v>10030</v>
      </c>
      <c r="C512" s="31" t="s">
        <v>8929</v>
      </c>
      <c r="D512" s="39" t="s">
        <v>10019</v>
      </c>
      <c r="E512" s="31" t="s">
        <v>10004</v>
      </c>
      <c r="F512" s="31"/>
      <c r="G512" s="31"/>
      <c r="H512" s="31"/>
      <c r="I512" s="31"/>
      <c r="J512" s="31"/>
      <c r="K512" s="31"/>
      <c r="L512" s="31"/>
      <c r="M512" s="31"/>
    </row>
    <row r="513" spans="1:13">
      <c r="A513" s="535">
        <v>44222</v>
      </c>
      <c r="B513" s="84" t="s">
        <v>10031</v>
      </c>
      <c r="C513" s="31" t="s">
        <v>8929</v>
      </c>
      <c r="D513" s="39" t="s">
        <v>10019</v>
      </c>
      <c r="E513" s="31" t="s">
        <v>10026</v>
      </c>
      <c r="F513" s="31"/>
      <c r="G513" s="31"/>
      <c r="H513" s="31"/>
      <c r="I513" s="31"/>
      <c r="J513" s="31"/>
      <c r="K513" s="31"/>
      <c r="L513" s="31"/>
      <c r="M513" s="31"/>
    </row>
    <row r="514" spans="1:13">
      <c r="A514" s="535">
        <v>44405</v>
      </c>
      <c r="B514" s="240" t="s">
        <v>10032</v>
      </c>
      <c r="C514" s="31" t="s">
        <v>8929</v>
      </c>
      <c r="D514" s="39" t="s">
        <v>10019</v>
      </c>
      <c r="E514" s="31"/>
      <c r="F514" s="31"/>
      <c r="G514" s="31"/>
      <c r="H514" s="31"/>
      <c r="I514" s="31"/>
      <c r="J514" s="31"/>
      <c r="K514" s="31"/>
      <c r="L514" s="31"/>
      <c r="M514" s="31"/>
    </row>
    <row r="515" spans="1:13">
      <c r="A515" s="535">
        <v>44405</v>
      </c>
      <c r="B515" s="240" t="s">
        <v>10033</v>
      </c>
      <c r="C515" s="31" t="s">
        <v>8929</v>
      </c>
      <c r="D515" s="39" t="s">
        <v>10019</v>
      </c>
      <c r="E515" s="31" t="s">
        <v>10010</v>
      </c>
      <c r="F515" s="31"/>
      <c r="G515" s="31"/>
      <c r="H515" s="31"/>
      <c r="I515" s="31"/>
      <c r="J515" s="31"/>
      <c r="K515" s="31"/>
      <c r="L515" s="31"/>
      <c r="M515" s="31"/>
    </row>
    <row r="516" spans="1:13">
      <c r="A516" s="535">
        <v>44405</v>
      </c>
      <c r="B516" s="84" t="s">
        <v>10034</v>
      </c>
      <c r="C516" s="31" t="s">
        <v>8929</v>
      </c>
      <c r="D516" s="39" t="s">
        <v>10019</v>
      </c>
      <c r="E516" s="31"/>
      <c r="F516" s="31"/>
      <c r="G516" s="31"/>
      <c r="H516" s="31"/>
      <c r="I516" s="31"/>
      <c r="J516" s="31"/>
      <c r="K516" s="31"/>
      <c r="L516" s="31"/>
      <c r="M516" s="31"/>
    </row>
    <row r="517" spans="1:13">
      <c r="A517" s="535">
        <v>44405</v>
      </c>
      <c r="B517" s="240" t="s">
        <v>10035</v>
      </c>
      <c r="C517" s="31" t="s">
        <v>8929</v>
      </c>
      <c r="D517" s="39" t="s">
        <v>10019</v>
      </c>
      <c r="E517" s="31" t="s">
        <v>10010</v>
      </c>
      <c r="F517" s="31"/>
      <c r="G517" s="31"/>
      <c r="H517" s="31"/>
      <c r="I517" s="31"/>
      <c r="J517" s="31"/>
      <c r="K517" s="31"/>
      <c r="L517" s="31"/>
      <c r="M517" s="31"/>
    </row>
    <row r="518" spans="1:13">
      <c r="A518" s="535">
        <v>44405</v>
      </c>
      <c r="B518" s="240" t="s">
        <v>3615</v>
      </c>
      <c r="C518" s="31" t="s">
        <v>8929</v>
      </c>
      <c r="D518" s="39" t="s">
        <v>10019</v>
      </c>
      <c r="E518" s="31" t="s">
        <v>9999</v>
      </c>
      <c r="F518" s="31"/>
      <c r="G518" s="31"/>
      <c r="H518" s="31"/>
      <c r="I518" s="31"/>
      <c r="J518" s="31"/>
      <c r="K518" s="31"/>
      <c r="L518" s="31"/>
      <c r="M518" s="31"/>
    </row>
    <row r="519" spans="1:13">
      <c r="A519" s="535">
        <v>44405</v>
      </c>
      <c r="B519" s="240" t="s">
        <v>2903</v>
      </c>
      <c r="C519" s="31" t="s">
        <v>8929</v>
      </c>
      <c r="D519" s="39" t="s">
        <v>2755</v>
      </c>
      <c r="E519" s="31" t="s">
        <v>9999</v>
      </c>
      <c r="F519" s="31"/>
      <c r="G519" s="31"/>
      <c r="H519" s="31"/>
      <c r="I519" s="31"/>
      <c r="J519" s="31"/>
      <c r="K519" s="31"/>
      <c r="L519" s="31"/>
      <c r="M519" s="31"/>
    </row>
    <row r="520" spans="1:13">
      <c r="A520" s="535">
        <v>44406</v>
      </c>
      <c r="B520" s="240" t="s">
        <v>10036</v>
      </c>
      <c r="C520" s="31" t="s">
        <v>8929</v>
      </c>
      <c r="D520" s="39" t="s">
        <v>10019</v>
      </c>
      <c r="E520" s="31" t="s">
        <v>9999</v>
      </c>
      <c r="F520" s="31"/>
      <c r="G520" s="31"/>
      <c r="H520" s="31"/>
      <c r="I520" s="31"/>
      <c r="J520" s="31"/>
      <c r="K520" s="31"/>
      <c r="L520" s="31"/>
      <c r="M520" s="31"/>
    </row>
    <row r="521" spans="1:13">
      <c r="A521" s="535">
        <v>44406</v>
      </c>
      <c r="B521" s="84" t="s">
        <v>3616</v>
      </c>
      <c r="C521" s="31" t="s">
        <v>8929</v>
      </c>
      <c r="D521" s="39"/>
      <c r="E521" s="31"/>
      <c r="F521" s="31"/>
      <c r="G521" s="31"/>
      <c r="H521" s="31"/>
      <c r="I521" s="31"/>
      <c r="J521" s="31"/>
      <c r="K521" s="31"/>
      <c r="L521" s="31"/>
      <c r="M521" s="31"/>
    </row>
    <row r="522" spans="1:13">
      <c r="A522" s="535">
        <v>44407</v>
      </c>
      <c r="B522" s="240" t="s">
        <v>10037</v>
      </c>
      <c r="C522" s="31" t="s">
        <v>8929</v>
      </c>
      <c r="D522" s="39" t="s">
        <v>2755</v>
      </c>
      <c r="E522" s="31" t="s">
        <v>9999</v>
      </c>
      <c r="F522" s="31"/>
      <c r="G522" s="31"/>
      <c r="H522" s="31"/>
      <c r="I522" s="31"/>
      <c r="J522" s="31"/>
      <c r="K522" s="31"/>
      <c r="L522" s="31"/>
      <c r="M522" s="31"/>
    </row>
    <row r="523" spans="1:13">
      <c r="A523" s="535">
        <v>44407</v>
      </c>
      <c r="B523" s="84" t="s">
        <v>10038</v>
      </c>
      <c r="C523" s="31" t="s">
        <v>8929</v>
      </c>
      <c r="D523" s="39" t="s">
        <v>10019</v>
      </c>
      <c r="E523" s="31" t="s">
        <v>9998</v>
      </c>
      <c r="F523" s="31"/>
      <c r="G523" s="31"/>
      <c r="H523" s="31"/>
      <c r="I523" s="31"/>
      <c r="J523" s="31"/>
      <c r="K523" s="31"/>
      <c r="L523" s="31"/>
      <c r="M523" s="31"/>
    </row>
    <row r="524" spans="1:13">
      <c r="A524" s="535">
        <v>44407</v>
      </c>
      <c r="B524" s="240" t="s">
        <v>10039</v>
      </c>
      <c r="C524" s="31" t="s">
        <v>8929</v>
      </c>
      <c r="D524" s="39" t="s">
        <v>2755</v>
      </c>
      <c r="E524" s="31"/>
      <c r="F524" s="31"/>
      <c r="G524" s="31"/>
      <c r="H524" s="31"/>
      <c r="I524" s="31"/>
      <c r="J524" s="31"/>
      <c r="K524" s="31"/>
      <c r="L524" s="31"/>
      <c r="M524" s="31"/>
    </row>
    <row r="525" spans="1:13">
      <c r="A525" s="535">
        <v>44407</v>
      </c>
      <c r="B525" s="149" t="s">
        <v>2767</v>
      </c>
      <c r="C525" s="31" t="s">
        <v>8929</v>
      </c>
      <c r="D525" s="39" t="s">
        <v>10019</v>
      </c>
      <c r="E525" s="31"/>
      <c r="F525" s="31"/>
      <c r="G525" s="31"/>
      <c r="H525" s="31"/>
      <c r="I525" s="31"/>
      <c r="J525" s="31"/>
      <c r="K525" s="31"/>
      <c r="L525" s="31"/>
      <c r="M525" s="31"/>
    </row>
    <row r="526" spans="1:13">
      <c r="A526" s="535"/>
      <c r="B526" s="219" t="s">
        <v>7720</v>
      </c>
      <c r="C526" s="31"/>
      <c r="D526" s="39"/>
      <c r="E526" s="31"/>
      <c r="F526" s="31"/>
      <c r="G526" s="31"/>
      <c r="H526" s="31"/>
      <c r="I526" s="31"/>
      <c r="J526" s="31"/>
      <c r="K526" s="31"/>
      <c r="L526" s="31"/>
      <c r="M526" s="31"/>
    </row>
    <row r="527" spans="1:13">
      <c r="A527" s="535">
        <v>44410</v>
      </c>
      <c r="B527" s="240" t="s">
        <v>3613</v>
      </c>
      <c r="C527" s="31" t="s">
        <v>8929</v>
      </c>
      <c r="D527" s="39" t="s">
        <v>10040</v>
      </c>
      <c r="E527" s="31"/>
      <c r="F527" s="31"/>
      <c r="G527" s="31"/>
      <c r="H527" s="31"/>
      <c r="I527" s="31"/>
      <c r="J527" s="31"/>
      <c r="K527" s="31"/>
      <c r="L527" s="31"/>
      <c r="M527" s="31"/>
    </row>
    <row r="528" spans="1:13">
      <c r="A528" s="535">
        <v>44410</v>
      </c>
      <c r="B528" s="240" t="s">
        <v>10041</v>
      </c>
      <c r="C528" s="31" t="s">
        <v>8929</v>
      </c>
      <c r="D528" s="39" t="s">
        <v>10040</v>
      </c>
      <c r="E528" s="31"/>
      <c r="F528" s="31"/>
      <c r="G528" s="31"/>
      <c r="H528" s="31"/>
      <c r="I528" s="31"/>
      <c r="J528" s="31"/>
      <c r="K528" s="31"/>
      <c r="L528" s="31"/>
      <c r="M528" s="31"/>
    </row>
    <row r="529" spans="1:13">
      <c r="A529" s="535">
        <v>44410</v>
      </c>
      <c r="B529" s="240" t="s">
        <v>2773</v>
      </c>
      <c r="C529" s="31" t="s">
        <v>8929</v>
      </c>
      <c r="D529" s="39" t="s">
        <v>10040</v>
      </c>
      <c r="E529" s="31"/>
      <c r="F529" s="31"/>
      <c r="G529" s="31"/>
      <c r="H529" s="31"/>
      <c r="I529" s="31"/>
      <c r="J529" s="31"/>
      <c r="K529" s="31"/>
      <c r="L529" s="31"/>
      <c r="M529" s="31"/>
    </row>
    <row r="530" spans="1:13">
      <c r="A530" s="535">
        <v>44410</v>
      </c>
      <c r="B530" s="240" t="s">
        <v>2771</v>
      </c>
      <c r="C530" s="31" t="s">
        <v>8929</v>
      </c>
      <c r="D530" s="39" t="s">
        <v>10042</v>
      </c>
      <c r="E530" s="31"/>
      <c r="F530" s="31"/>
      <c r="G530" s="31"/>
      <c r="H530" s="31"/>
      <c r="I530" s="31"/>
      <c r="J530" s="31"/>
      <c r="K530" s="31"/>
      <c r="L530" s="31"/>
      <c r="M530" s="31"/>
    </row>
    <row r="531" spans="1:13">
      <c r="A531" s="535">
        <v>44411</v>
      </c>
      <c r="B531" s="240" t="s">
        <v>3687</v>
      </c>
      <c r="C531" s="31" t="s">
        <v>8929</v>
      </c>
      <c r="D531" s="39" t="s">
        <v>10042</v>
      </c>
      <c r="E531" s="31"/>
      <c r="F531" s="31"/>
      <c r="G531" s="31"/>
      <c r="H531" s="31"/>
      <c r="I531" s="31"/>
      <c r="J531" s="31"/>
      <c r="K531" s="31"/>
      <c r="L531" s="31"/>
      <c r="M531" s="31"/>
    </row>
    <row r="532" spans="1:13">
      <c r="A532" s="535">
        <v>44412</v>
      </c>
      <c r="B532" s="274" t="s">
        <v>2792</v>
      </c>
      <c r="C532" s="31" t="s">
        <v>8929</v>
      </c>
      <c r="D532" s="39" t="s">
        <v>10042</v>
      </c>
      <c r="E532" s="31"/>
      <c r="F532" s="31"/>
      <c r="G532" s="31"/>
      <c r="H532" s="31"/>
      <c r="I532" s="31"/>
      <c r="J532" s="31"/>
      <c r="K532" s="31"/>
      <c r="L532" s="31"/>
      <c r="M532" s="31"/>
    </row>
    <row r="533" spans="1:13">
      <c r="A533" s="535">
        <v>44412</v>
      </c>
      <c r="B533" s="274" t="s">
        <v>2793</v>
      </c>
      <c r="C533" s="31" t="s">
        <v>8929</v>
      </c>
      <c r="D533" s="39" t="s">
        <v>10042</v>
      </c>
      <c r="E533" s="31"/>
      <c r="F533" s="31"/>
      <c r="G533" s="31"/>
      <c r="H533" s="31"/>
      <c r="I533" s="31"/>
      <c r="J533" s="31"/>
      <c r="K533" s="31"/>
      <c r="L533" s="31"/>
      <c r="M533" s="31"/>
    </row>
    <row r="534" spans="1:13">
      <c r="A534" s="535">
        <v>44412</v>
      </c>
      <c r="B534" s="240" t="s">
        <v>10043</v>
      </c>
      <c r="C534" s="31" t="s">
        <v>8929</v>
      </c>
      <c r="D534" s="39" t="s">
        <v>10042</v>
      </c>
      <c r="E534" s="31"/>
      <c r="F534" s="31"/>
      <c r="G534" s="31"/>
      <c r="H534" s="31"/>
      <c r="I534" s="31"/>
      <c r="J534" s="31"/>
      <c r="K534" s="31"/>
      <c r="L534" s="31"/>
      <c r="M534" s="31"/>
    </row>
    <row r="535" spans="1:13">
      <c r="A535" s="535">
        <v>44413</v>
      </c>
      <c r="B535" s="2" t="s">
        <v>2794</v>
      </c>
      <c r="C535" s="31" t="s">
        <v>8929</v>
      </c>
      <c r="D535" s="39" t="s">
        <v>10042</v>
      </c>
      <c r="E535" s="31" t="s">
        <v>9996</v>
      </c>
      <c r="F535" s="31"/>
      <c r="G535" s="31"/>
      <c r="H535" s="31"/>
      <c r="I535" s="31"/>
      <c r="J535" s="31"/>
      <c r="K535" s="31"/>
      <c r="L535" s="31"/>
      <c r="M535" s="31"/>
    </row>
    <row r="536" spans="1:13">
      <c r="A536" s="535">
        <v>44413</v>
      </c>
      <c r="B536" s="240" t="s">
        <v>2776</v>
      </c>
      <c r="C536" s="31" t="s">
        <v>8929</v>
      </c>
      <c r="D536" s="39" t="s">
        <v>10042</v>
      </c>
      <c r="E536" s="31"/>
      <c r="F536" s="31"/>
      <c r="G536" s="31"/>
      <c r="H536" s="31"/>
      <c r="I536" s="31"/>
      <c r="J536" s="31"/>
      <c r="K536" s="31"/>
      <c r="L536" s="31"/>
      <c r="M536" s="31"/>
    </row>
    <row r="537" spans="1:13">
      <c r="A537" s="535">
        <v>44413</v>
      </c>
      <c r="B537" s="274" t="s">
        <v>2795</v>
      </c>
      <c r="C537" s="31" t="s">
        <v>8929</v>
      </c>
      <c r="D537" s="39" t="s">
        <v>10042</v>
      </c>
      <c r="E537" s="31" t="s">
        <v>9998</v>
      </c>
      <c r="F537" s="31"/>
      <c r="G537" s="31"/>
      <c r="H537" s="31"/>
      <c r="I537" s="31"/>
      <c r="J537" s="31"/>
      <c r="K537" s="31"/>
      <c r="L537" s="31"/>
      <c r="M537" s="31"/>
    </row>
    <row r="538" spans="1:13">
      <c r="A538" s="535">
        <v>44413</v>
      </c>
      <c r="B538" s="240" t="s">
        <v>10044</v>
      </c>
      <c r="C538" s="31" t="s">
        <v>8929</v>
      </c>
      <c r="D538" s="39" t="s">
        <v>10042</v>
      </c>
      <c r="E538" s="31"/>
      <c r="F538" s="31"/>
      <c r="G538" s="31"/>
      <c r="H538" s="31"/>
      <c r="I538" s="31"/>
      <c r="J538" s="31"/>
      <c r="K538" s="31"/>
      <c r="L538" s="31"/>
      <c r="M538" s="31"/>
    </row>
    <row r="539" spans="1:13">
      <c r="A539" s="535">
        <v>44413</v>
      </c>
      <c r="B539" s="274" t="s">
        <v>2796</v>
      </c>
      <c r="C539" s="31" t="s">
        <v>8929</v>
      </c>
      <c r="D539" s="39" t="s">
        <v>10042</v>
      </c>
      <c r="E539" s="31" t="s">
        <v>9999</v>
      </c>
      <c r="F539" s="31"/>
      <c r="G539" s="31"/>
      <c r="H539" s="31"/>
      <c r="I539" s="31"/>
      <c r="J539" s="31"/>
      <c r="K539" s="31"/>
      <c r="L539" s="31"/>
      <c r="M539" s="31"/>
    </row>
    <row r="540" spans="1:13">
      <c r="A540" s="535">
        <v>44414</v>
      </c>
      <c r="B540" s="240" t="s">
        <v>5155</v>
      </c>
      <c r="C540" s="31" t="s">
        <v>8929</v>
      </c>
      <c r="D540" s="39" t="s">
        <v>10042</v>
      </c>
      <c r="E540" s="31"/>
      <c r="F540" s="31"/>
      <c r="G540" s="31"/>
      <c r="H540" s="31"/>
      <c r="I540" s="31"/>
      <c r="J540" s="31"/>
      <c r="K540" s="31"/>
      <c r="L540" s="31"/>
      <c r="M540" s="31"/>
    </row>
    <row r="541" spans="1:13">
      <c r="A541" s="540">
        <v>44414</v>
      </c>
      <c r="B541" s="274" t="s">
        <v>2797</v>
      </c>
      <c r="C541" s="31" t="s">
        <v>8929</v>
      </c>
      <c r="D541" s="39" t="s">
        <v>10042</v>
      </c>
      <c r="E541" s="31"/>
      <c r="F541" s="31"/>
      <c r="G541" s="31"/>
      <c r="H541" s="31"/>
      <c r="I541" s="31"/>
      <c r="J541" s="31"/>
      <c r="K541" s="31"/>
      <c r="L541" s="31"/>
      <c r="M541" s="31"/>
    </row>
    <row r="542" spans="1:13">
      <c r="A542" s="535">
        <v>44417</v>
      </c>
      <c r="B542" s="240" t="s">
        <v>10045</v>
      </c>
      <c r="C542" s="31" t="s">
        <v>8929</v>
      </c>
      <c r="D542" s="39" t="s">
        <v>10042</v>
      </c>
      <c r="E542" s="31" t="s">
        <v>10026</v>
      </c>
      <c r="F542" s="31"/>
      <c r="G542" s="31"/>
      <c r="H542" s="31"/>
      <c r="I542" s="31"/>
      <c r="J542" s="31"/>
      <c r="K542" s="31"/>
      <c r="L542" s="31"/>
      <c r="M542" s="31"/>
    </row>
    <row r="543" spans="1:13">
      <c r="A543" s="535">
        <v>44417</v>
      </c>
      <c r="B543" s="274" t="s">
        <v>2798</v>
      </c>
      <c r="C543" s="31" t="s">
        <v>8929</v>
      </c>
      <c r="D543" s="39" t="s">
        <v>10042</v>
      </c>
      <c r="E543" s="31"/>
      <c r="F543" s="31"/>
      <c r="G543" s="31"/>
      <c r="H543" s="31"/>
      <c r="I543" s="31"/>
      <c r="J543" s="31"/>
      <c r="K543" s="31"/>
      <c r="L543" s="31"/>
      <c r="M543" s="31"/>
    </row>
    <row r="544" spans="1:13">
      <c r="A544" s="535">
        <v>44417</v>
      </c>
      <c r="B544" s="240" t="s">
        <v>2778</v>
      </c>
      <c r="C544" s="31" t="s">
        <v>8929</v>
      </c>
      <c r="D544" s="39" t="s">
        <v>10042</v>
      </c>
      <c r="E544" s="31"/>
      <c r="F544" s="31"/>
      <c r="G544" s="31"/>
      <c r="H544" s="31"/>
      <c r="I544" s="31"/>
      <c r="J544" s="31"/>
      <c r="K544" s="31"/>
      <c r="L544" s="31"/>
      <c r="M544" s="31"/>
    </row>
    <row r="545" spans="1:13">
      <c r="A545" s="535">
        <v>44417</v>
      </c>
      <c r="B545" s="240" t="s">
        <v>10046</v>
      </c>
      <c r="C545" s="31" t="s">
        <v>8929</v>
      </c>
      <c r="D545" s="39" t="s">
        <v>10040</v>
      </c>
      <c r="E545" s="31"/>
      <c r="F545" s="31"/>
      <c r="G545" s="31"/>
      <c r="H545" s="31"/>
      <c r="I545" s="31"/>
      <c r="J545" s="31"/>
      <c r="K545" s="31"/>
      <c r="L545" s="31"/>
      <c r="M545" s="31"/>
    </row>
    <row r="546" spans="1:13">
      <c r="A546" s="535">
        <v>44417</v>
      </c>
      <c r="B546" s="240" t="s">
        <v>2782</v>
      </c>
      <c r="C546" s="31" t="s">
        <v>8929</v>
      </c>
      <c r="D546" s="39" t="s">
        <v>10040</v>
      </c>
      <c r="E546" s="31"/>
      <c r="F546" s="31"/>
      <c r="G546" s="31"/>
      <c r="H546" s="31"/>
      <c r="I546" s="31"/>
      <c r="J546" s="31"/>
      <c r="K546" s="31"/>
      <c r="L546" s="31"/>
      <c r="M546" s="31"/>
    </row>
    <row r="547" spans="1:13">
      <c r="A547" s="535">
        <v>44417</v>
      </c>
      <c r="B547" s="274" t="s">
        <v>2799</v>
      </c>
      <c r="C547" s="31" t="s">
        <v>8929</v>
      </c>
      <c r="D547" s="39" t="s">
        <v>10040</v>
      </c>
      <c r="E547" s="31"/>
      <c r="F547" s="31"/>
      <c r="G547" s="31"/>
      <c r="H547" s="31"/>
      <c r="I547" s="31"/>
      <c r="J547" s="31"/>
      <c r="K547" s="31"/>
      <c r="L547" s="31"/>
      <c r="M547" s="31"/>
    </row>
    <row r="548" spans="1:13">
      <c r="A548" s="535">
        <v>44418</v>
      </c>
      <c r="B548" s="274" t="s">
        <v>2800</v>
      </c>
      <c r="C548" s="31" t="s">
        <v>8929</v>
      </c>
      <c r="D548" s="39" t="s">
        <v>10040</v>
      </c>
      <c r="E548" s="31"/>
      <c r="F548" s="31"/>
      <c r="G548" s="31"/>
      <c r="H548" s="31"/>
      <c r="I548" s="31"/>
      <c r="J548" s="31"/>
      <c r="K548" s="31"/>
      <c r="L548" s="31"/>
      <c r="M548" s="31"/>
    </row>
    <row r="549" spans="1:13">
      <c r="A549" s="535">
        <v>44418</v>
      </c>
      <c r="B549" s="274" t="s">
        <v>2801</v>
      </c>
      <c r="C549" s="31" t="s">
        <v>8929</v>
      </c>
      <c r="D549" s="39" t="s">
        <v>10040</v>
      </c>
      <c r="E549" s="31"/>
      <c r="F549" s="31"/>
      <c r="G549" s="31"/>
      <c r="H549" s="31"/>
      <c r="I549" s="31"/>
      <c r="J549" s="31"/>
      <c r="K549" s="31"/>
      <c r="L549" s="31"/>
      <c r="M549" s="31"/>
    </row>
    <row r="550" spans="1:13">
      <c r="A550" s="535">
        <v>44418</v>
      </c>
      <c r="B550" s="84" t="s">
        <v>10047</v>
      </c>
      <c r="C550" s="31" t="s">
        <v>8929</v>
      </c>
      <c r="D550" s="39" t="s">
        <v>10040</v>
      </c>
      <c r="E550" s="31"/>
      <c r="F550" s="31"/>
      <c r="G550" s="31"/>
      <c r="H550" s="31"/>
      <c r="I550" s="31"/>
      <c r="J550" s="31"/>
      <c r="K550" s="31"/>
      <c r="L550" s="31"/>
      <c r="M550" s="31"/>
    </row>
    <row r="551" spans="1:13">
      <c r="A551" s="535">
        <v>44419</v>
      </c>
      <c r="B551" s="2" t="s">
        <v>2802</v>
      </c>
      <c r="C551" s="31" t="s">
        <v>8929</v>
      </c>
      <c r="D551" s="39" t="s">
        <v>10040</v>
      </c>
      <c r="E551" s="31"/>
      <c r="F551" s="31"/>
      <c r="G551" s="31"/>
      <c r="H551" s="31"/>
      <c r="I551" s="31"/>
      <c r="J551" s="31"/>
      <c r="K551" s="31"/>
      <c r="L551" s="31"/>
      <c r="M551" s="31"/>
    </row>
    <row r="552" spans="1:13">
      <c r="A552" s="535">
        <v>44419</v>
      </c>
      <c r="B552" s="84" t="s">
        <v>10048</v>
      </c>
      <c r="C552" s="31" t="s">
        <v>8929</v>
      </c>
      <c r="D552" s="39" t="s">
        <v>10040</v>
      </c>
      <c r="E552" s="31"/>
      <c r="F552" s="31"/>
      <c r="G552" s="31"/>
      <c r="H552" s="31"/>
      <c r="I552" s="31"/>
      <c r="J552" s="31"/>
      <c r="K552" s="31"/>
      <c r="L552" s="31"/>
      <c r="M552" s="31"/>
    </row>
    <row r="553" spans="1:13">
      <c r="A553" s="535">
        <v>44419</v>
      </c>
      <c r="B553" s="240" t="s">
        <v>3599</v>
      </c>
      <c r="C553" s="31" t="s">
        <v>8929</v>
      </c>
      <c r="D553" s="39" t="s">
        <v>10040</v>
      </c>
      <c r="E553" s="31"/>
      <c r="F553" s="31"/>
      <c r="G553" s="31"/>
      <c r="H553" s="31"/>
      <c r="I553" s="31"/>
      <c r="J553" s="31"/>
      <c r="K553" s="31"/>
      <c r="L553" s="31"/>
      <c r="M553" s="31"/>
    </row>
    <row r="554" spans="1:13">
      <c r="A554" s="535">
        <v>44419</v>
      </c>
      <c r="B554" s="274" t="s">
        <v>2784</v>
      </c>
      <c r="C554" s="31" t="s">
        <v>8929</v>
      </c>
      <c r="D554" s="39" t="s">
        <v>10040</v>
      </c>
      <c r="E554" s="31"/>
      <c r="F554" s="31"/>
      <c r="G554" s="31"/>
      <c r="H554" s="31"/>
      <c r="I554" s="31"/>
      <c r="J554" s="31"/>
      <c r="K554" s="31"/>
      <c r="L554" s="31"/>
      <c r="M554" s="31"/>
    </row>
    <row r="555" spans="1:13">
      <c r="A555" s="535">
        <v>44419</v>
      </c>
      <c r="B555" s="274" t="s">
        <v>2803</v>
      </c>
      <c r="C555" s="31" t="s">
        <v>8929</v>
      </c>
      <c r="D555" s="39" t="s">
        <v>10040</v>
      </c>
      <c r="E555" s="31"/>
      <c r="F555" s="31"/>
      <c r="G555" s="31"/>
      <c r="H555" s="31"/>
      <c r="I555" s="31"/>
      <c r="J555" s="31"/>
      <c r="K555" s="31"/>
      <c r="L555" s="31"/>
      <c r="M555" s="31"/>
    </row>
    <row r="556" spans="1:13">
      <c r="A556" s="535">
        <v>44419</v>
      </c>
      <c r="B556" s="342" t="s">
        <v>2804</v>
      </c>
      <c r="C556" s="31" t="s">
        <v>8929</v>
      </c>
      <c r="D556" s="39" t="s">
        <v>10040</v>
      </c>
      <c r="E556" s="31"/>
      <c r="F556" s="31"/>
      <c r="G556" s="31"/>
      <c r="H556" s="31"/>
      <c r="I556" s="31"/>
      <c r="J556" s="31"/>
      <c r="K556" s="31"/>
      <c r="L556" s="31"/>
      <c r="M556" s="31"/>
    </row>
    <row r="557" spans="1:13">
      <c r="A557" s="535">
        <v>44420</v>
      </c>
      <c r="B557" s="274" t="s">
        <v>2805</v>
      </c>
      <c r="C557" s="31" t="s">
        <v>8929</v>
      </c>
      <c r="D557" s="39" t="s">
        <v>10040</v>
      </c>
      <c r="E557" s="31"/>
      <c r="F557" s="31"/>
      <c r="G557" s="31"/>
      <c r="H557" s="31"/>
      <c r="I557" s="31"/>
      <c r="J557" s="31"/>
      <c r="K557" s="31"/>
      <c r="L557" s="31"/>
      <c r="M557" s="31"/>
    </row>
    <row r="558" spans="1:13">
      <c r="A558" s="535">
        <v>44420</v>
      </c>
      <c r="B558" s="84" t="s">
        <v>3594</v>
      </c>
      <c r="C558" s="31" t="s">
        <v>8929</v>
      </c>
      <c r="D558" s="39" t="s">
        <v>10040</v>
      </c>
      <c r="E558" s="31"/>
      <c r="F558" s="31"/>
      <c r="G558" s="31"/>
      <c r="H558" s="31"/>
      <c r="I558" s="31"/>
      <c r="J558" s="31"/>
      <c r="K558" s="31"/>
      <c r="L558" s="31"/>
      <c r="M558" s="31"/>
    </row>
    <row r="559" spans="1:13">
      <c r="A559" s="535">
        <v>44420</v>
      </c>
      <c r="B559" s="240" t="s">
        <v>10049</v>
      </c>
      <c r="C559" s="31" t="s">
        <v>8929</v>
      </c>
      <c r="D559" s="39" t="s">
        <v>10040</v>
      </c>
      <c r="E559" s="31"/>
      <c r="F559" s="31"/>
      <c r="G559" s="31"/>
      <c r="H559" s="31"/>
      <c r="I559" s="31"/>
      <c r="J559" s="31"/>
      <c r="K559" s="31"/>
      <c r="L559" s="31"/>
      <c r="M559" s="31"/>
    </row>
    <row r="560" spans="1:13">
      <c r="A560" s="535">
        <v>44421</v>
      </c>
      <c r="B560" s="345" t="s">
        <v>3596</v>
      </c>
      <c r="C560" s="31" t="s">
        <v>8929</v>
      </c>
      <c r="D560" s="39" t="s">
        <v>10040</v>
      </c>
      <c r="E560" s="31"/>
      <c r="F560" s="31"/>
      <c r="G560" s="31"/>
      <c r="H560" s="31"/>
      <c r="I560" s="31"/>
      <c r="J560" s="31"/>
      <c r="K560" s="31"/>
      <c r="L560" s="31"/>
      <c r="M560" s="31"/>
    </row>
    <row r="561" spans="1:13">
      <c r="A561" s="535">
        <v>44421</v>
      </c>
      <c r="B561" s="274" t="s">
        <v>2806</v>
      </c>
      <c r="C561" s="31" t="s">
        <v>8929</v>
      </c>
      <c r="D561" s="39" t="s">
        <v>10040</v>
      </c>
      <c r="E561" s="31"/>
      <c r="F561" s="31"/>
      <c r="G561" s="31"/>
      <c r="H561" s="31"/>
      <c r="I561" s="31"/>
      <c r="J561" s="31"/>
      <c r="K561" s="31"/>
      <c r="L561" s="31"/>
      <c r="M561" s="31"/>
    </row>
    <row r="562" spans="1:13">
      <c r="A562" s="535">
        <v>44421</v>
      </c>
      <c r="B562" s="274" t="s">
        <v>2807</v>
      </c>
      <c r="C562" s="31" t="s">
        <v>8929</v>
      </c>
      <c r="D562" s="39" t="s">
        <v>10040</v>
      </c>
      <c r="E562" s="31"/>
      <c r="F562" s="31"/>
      <c r="G562" s="31"/>
      <c r="H562" s="31"/>
      <c r="I562" s="31"/>
      <c r="J562" s="31"/>
      <c r="K562" s="31"/>
      <c r="L562" s="31"/>
      <c r="M562" s="31"/>
    </row>
    <row r="563" spans="1:13">
      <c r="A563" s="535">
        <v>44422</v>
      </c>
      <c r="B563" s="84" t="s">
        <v>2928</v>
      </c>
      <c r="C563" s="31" t="s">
        <v>8929</v>
      </c>
      <c r="D563" s="39" t="s">
        <v>10040</v>
      </c>
      <c r="E563" s="31"/>
      <c r="F563" s="31"/>
      <c r="G563" s="31"/>
      <c r="H563" s="31"/>
      <c r="I563" s="31"/>
      <c r="J563" s="31"/>
      <c r="K563" s="31"/>
      <c r="L563" s="31"/>
      <c r="M563" s="31"/>
    </row>
    <row r="564" spans="1:13">
      <c r="A564" s="535">
        <v>44422</v>
      </c>
      <c r="B564" s="274" t="s">
        <v>2808</v>
      </c>
      <c r="C564" s="31" t="s">
        <v>8929</v>
      </c>
      <c r="D564" s="39" t="s">
        <v>10040</v>
      </c>
      <c r="E564" s="31"/>
      <c r="F564" s="31"/>
      <c r="G564" s="31"/>
      <c r="H564" s="31"/>
      <c r="I564" s="31"/>
      <c r="J564" s="31"/>
      <c r="K564" s="31"/>
      <c r="L564" s="31"/>
      <c r="M564" s="31"/>
    </row>
    <row r="565" spans="1:13">
      <c r="A565" s="540">
        <v>44424</v>
      </c>
      <c r="B565" s="274" t="s">
        <v>2789</v>
      </c>
      <c r="C565" s="31" t="s">
        <v>8929</v>
      </c>
      <c r="D565" s="39" t="s">
        <v>10040</v>
      </c>
      <c r="E565" s="31"/>
      <c r="F565" s="31"/>
      <c r="G565" s="31"/>
      <c r="H565" s="31"/>
      <c r="I565" s="31"/>
      <c r="J565" s="31"/>
      <c r="K565" s="31"/>
      <c r="L565" s="31"/>
      <c r="M565" s="31"/>
    </row>
    <row r="566" spans="1:13">
      <c r="A566" s="535">
        <v>44424</v>
      </c>
      <c r="B566" s="240" t="s">
        <v>10050</v>
      </c>
      <c r="C566" s="31" t="s">
        <v>8929</v>
      </c>
      <c r="D566" s="39" t="s">
        <v>10042</v>
      </c>
      <c r="E566" s="31"/>
      <c r="F566" s="31"/>
      <c r="G566" s="31"/>
      <c r="H566" s="31"/>
      <c r="I566" s="31"/>
      <c r="J566" s="31"/>
      <c r="K566" s="31"/>
      <c r="L566" s="31"/>
      <c r="M566" s="31"/>
    </row>
    <row r="567" spans="1:13">
      <c r="A567" s="535">
        <v>44424</v>
      </c>
      <c r="B567" s="274" t="s">
        <v>2809</v>
      </c>
      <c r="C567" s="31" t="s">
        <v>8929</v>
      </c>
      <c r="D567" s="39" t="s">
        <v>10040</v>
      </c>
      <c r="E567" s="31"/>
      <c r="F567" s="31"/>
      <c r="G567" s="31"/>
      <c r="H567" s="31"/>
      <c r="I567" s="31"/>
      <c r="J567" s="31"/>
      <c r="K567" s="31"/>
      <c r="L567" s="31"/>
      <c r="M567" s="31"/>
    </row>
    <row r="568" spans="1:13">
      <c r="A568" s="535">
        <v>44425</v>
      </c>
      <c r="B568" s="240" t="s">
        <v>10051</v>
      </c>
      <c r="C568" s="31" t="s">
        <v>8929</v>
      </c>
      <c r="D568" s="39" t="s">
        <v>10040</v>
      </c>
      <c r="E568" s="31"/>
      <c r="F568" s="31"/>
      <c r="G568" s="31"/>
      <c r="H568" s="31"/>
      <c r="I568" s="31"/>
      <c r="J568" s="31"/>
      <c r="K568" s="31"/>
      <c r="L568" s="31"/>
      <c r="M568" s="31"/>
    </row>
    <row r="569" spans="1:13">
      <c r="A569" s="535">
        <v>44425</v>
      </c>
      <c r="B569" s="240" t="s">
        <v>10052</v>
      </c>
      <c r="C569" s="31" t="s">
        <v>8929</v>
      </c>
      <c r="D569" s="39" t="s">
        <v>10040</v>
      </c>
      <c r="E569" s="31"/>
      <c r="F569" s="31"/>
      <c r="G569" s="31"/>
      <c r="H569" s="31"/>
      <c r="I569" s="31"/>
      <c r="J569" s="31"/>
      <c r="K569" s="31"/>
      <c r="L569" s="31"/>
      <c r="M569" s="31"/>
    </row>
    <row r="570" spans="1:13">
      <c r="A570" s="535">
        <v>44425</v>
      </c>
      <c r="B570" s="274" t="s">
        <v>2810</v>
      </c>
      <c r="C570" s="31" t="s">
        <v>8929</v>
      </c>
      <c r="D570" s="39" t="s">
        <v>10040</v>
      </c>
      <c r="E570" s="31"/>
      <c r="F570" s="31"/>
      <c r="G570" s="31"/>
      <c r="H570" s="31"/>
      <c r="I570" s="31"/>
      <c r="J570" s="31"/>
      <c r="K570" s="31"/>
      <c r="L570" s="31"/>
      <c r="M570" s="31"/>
    </row>
    <row r="571" spans="1:13">
      <c r="A571" s="535">
        <v>44426</v>
      </c>
      <c r="B571" s="84" t="s">
        <v>10053</v>
      </c>
      <c r="C571" s="31" t="s">
        <v>8929</v>
      </c>
      <c r="D571" s="39" t="s">
        <v>10040</v>
      </c>
      <c r="E571" s="31"/>
      <c r="F571" s="31"/>
      <c r="G571" s="31"/>
      <c r="H571" s="31"/>
      <c r="I571" s="31"/>
      <c r="J571" s="31"/>
      <c r="K571" s="31"/>
      <c r="L571" s="31"/>
      <c r="M571" s="31"/>
    </row>
    <row r="572" spans="1:13">
      <c r="A572" s="535">
        <v>44426</v>
      </c>
      <c r="B572" s="240" t="s">
        <v>10054</v>
      </c>
      <c r="C572" s="31" t="s">
        <v>8929</v>
      </c>
      <c r="D572" s="39" t="s">
        <v>10040</v>
      </c>
      <c r="E572" s="31"/>
      <c r="F572" s="31"/>
      <c r="G572" s="31"/>
      <c r="H572" s="31"/>
      <c r="I572" s="31"/>
      <c r="J572" s="31"/>
      <c r="K572" s="31"/>
      <c r="L572" s="31"/>
      <c r="M572" s="31"/>
    </row>
    <row r="573" spans="1:13">
      <c r="A573" s="540">
        <v>44426</v>
      </c>
      <c r="B573" s="274" t="s">
        <v>2811</v>
      </c>
      <c r="C573" s="31" t="s">
        <v>8929</v>
      </c>
      <c r="D573" s="39" t="s">
        <v>10040</v>
      </c>
      <c r="E573" s="31"/>
      <c r="F573" s="31"/>
      <c r="G573" s="31"/>
      <c r="H573" s="31"/>
      <c r="I573" s="31"/>
      <c r="J573" s="31"/>
      <c r="K573" s="31"/>
      <c r="L573" s="31"/>
      <c r="M573" s="31"/>
    </row>
    <row r="574" spans="1:13">
      <c r="A574" s="535">
        <v>44426</v>
      </c>
      <c r="B574" s="274" t="s">
        <v>2812</v>
      </c>
      <c r="C574" s="31" t="s">
        <v>8929</v>
      </c>
      <c r="D574" s="39" t="s">
        <v>10040</v>
      </c>
      <c r="E574" s="31"/>
      <c r="F574" s="31"/>
      <c r="G574" s="31"/>
      <c r="H574" s="31"/>
      <c r="I574" s="31"/>
      <c r="J574" s="31"/>
      <c r="K574" s="31"/>
      <c r="L574" s="31"/>
      <c r="M574" s="31"/>
    </row>
    <row r="575" spans="1:13">
      <c r="A575" s="535">
        <v>44426</v>
      </c>
      <c r="B575" s="274" t="s">
        <v>2813</v>
      </c>
      <c r="C575" s="31" t="s">
        <v>8929</v>
      </c>
      <c r="D575" s="39" t="s">
        <v>10040</v>
      </c>
      <c r="E575" s="31"/>
      <c r="F575" s="31"/>
      <c r="G575" s="31"/>
      <c r="H575" s="31"/>
      <c r="I575" s="31"/>
      <c r="J575" s="31"/>
      <c r="K575" s="31"/>
      <c r="L575" s="31"/>
      <c r="M575" s="31"/>
    </row>
    <row r="576" spans="1:13">
      <c r="A576" s="535">
        <v>44427</v>
      </c>
      <c r="B576" s="84" t="s">
        <v>3589</v>
      </c>
      <c r="C576" s="31" t="s">
        <v>8929</v>
      </c>
      <c r="D576" s="39" t="s">
        <v>10040</v>
      </c>
      <c r="E576" s="31"/>
      <c r="F576" s="31"/>
      <c r="G576" s="31"/>
      <c r="H576" s="31"/>
      <c r="I576" s="31"/>
      <c r="J576" s="31"/>
      <c r="K576" s="31"/>
      <c r="L576" s="31"/>
      <c r="M576" s="31"/>
    </row>
    <row r="577" spans="1:13">
      <c r="A577" s="535">
        <v>44427</v>
      </c>
      <c r="B577" s="274" t="s">
        <v>2814</v>
      </c>
      <c r="C577" s="31" t="s">
        <v>8929</v>
      </c>
      <c r="D577" s="39" t="s">
        <v>10040</v>
      </c>
      <c r="E577" s="31"/>
      <c r="F577" s="31"/>
      <c r="G577" s="31"/>
      <c r="H577" s="31"/>
      <c r="I577" s="31"/>
      <c r="J577" s="31"/>
      <c r="K577" s="31"/>
      <c r="L577" s="31"/>
      <c r="M577" s="31"/>
    </row>
    <row r="578" spans="1:13">
      <c r="A578" s="535">
        <v>44427</v>
      </c>
      <c r="B578" s="274" t="s">
        <v>2815</v>
      </c>
      <c r="C578" s="31" t="s">
        <v>8929</v>
      </c>
      <c r="D578" s="39" t="s">
        <v>10040</v>
      </c>
      <c r="E578" s="31"/>
      <c r="F578" s="31"/>
      <c r="G578" s="31"/>
      <c r="H578" s="31"/>
      <c r="I578" s="31"/>
      <c r="J578" s="31"/>
      <c r="K578" s="31"/>
      <c r="L578" s="31"/>
      <c r="M578" s="31"/>
    </row>
    <row r="579" spans="1:13">
      <c r="A579" s="535">
        <v>44427</v>
      </c>
      <c r="B579" s="215" t="s">
        <v>10055</v>
      </c>
      <c r="C579" s="31" t="s">
        <v>8929</v>
      </c>
      <c r="D579" s="39" t="s">
        <v>10040</v>
      </c>
      <c r="E579" s="31"/>
      <c r="F579" s="31"/>
      <c r="G579" s="31"/>
      <c r="H579" s="31"/>
      <c r="I579" s="31"/>
      <c r="J579" s="31"/>
      <c r="K579" s="31"/>
      <c r="L579" s="31"/>
      <c r="M579" s="31"/>
    </row>
    <row r="580" spans="1:13">
      <c r="A580" s="535">
        <v>44427</v>
      </c>
      <c r="B580" s="274" t="s">
        <v>2816</v>
      </c>
      <c r="C580" s="31" t="s">
        <v>8929</v>
      </c>
      <c r="D580" s="39" t="s">
        <v>10040</v>
      </c>
      <c r="E580" s="31"/>
      <c r="F580" s="31"/>
      <c r="G580" s="31"/>
      <c r="H580" s="31"/>
      <c r="I580" s="31"/>
      <c r="J580" s="31"/>
      <c r="K580" s="31"/>
      <c r="L580" s="31"/>
      <c r="M580" s="31"/>
    </row>
    <row r="581" spans="1:13">
      <c r="A581" s="535">
        <v>44427</v>
      </c>
      <c r="B581" s="274" t="s">
        <v>2817</v>
      </c>
      <c r="C581" s="31" t="s">
        <v>8929</v>
      </c>
      <c r="D581" s="39" t="s">
        <v>10040</v>
      </c>
      <c r="E581" s="31"/>
      <c r="F581" s="31"/>
      <c r="G581" s="31"/>
      <c r="H581" s="31"/>
      <c r="I581" s="31"/>
      <c r="J581" s="31"/>
      <c r="K581" s="31"/>
      <c r="L581" s="31"/>
      <c r="M581" s="31"/>
    </row>
    <row r="582" spans="1:13">
      <c r="A582" s="535">
        <v>44428</v>
      </c>
      <c r="B582" s="240" t="s">
        <v>10056</v>
      </c>
      <c r="C582" s="31" t="s">
        <v>8929</v>
      </c>
      <c r="D582" s="39" t="s">
        <v>10040</v>
      </c>
      <c r="E582" s="31"/>
      <c r="F582" s="31"/>
      <c r="G582" s="31"/>
      <c r="H582" s="31"/>
      <c r="I582" s="31"/>
      <c r="J582" s="31"/>
      <c r="K582" s="31"/>
      <c r="L582" s="31"/>
      <c r="M582" s="31"/>
    </row>
    <row r="583" spans="1:13">
      <c r="A583" s="535">
        <v>44428</v>
      </c>
      <c r="B583" s="240" t="s">
        <v>3592</v>
      </c>
      <c r="C583" s="31" t="s">
        <v>8929</v>
      </c>
      <c r="D583" s="39" t="s">
        <v>10040</v>
      </c>
      <c r="E583" s="31"/>
      <c r="F583" s="31"/>
      <c r="G583" s="31"/>
      <c r="H583" s="31"/>
      <c r="I583" s="31"/>
      <c r="J583" s="31"/>
      <c r="K583" s="31"/>
      <c r="L583" s="31"/>
      <c r="M583" s="31"/>
    </row>
    <row r="584" spans="1:13">
      <c r="A584" s="540">
        <v>44428</v>
      </c>
      <c r="B584" s="274" t="s">
        <v>2818</v>
      </c>
      <c r="C584" s="31" t="s">
        <v>8929</v>
      </c>
      <c r="D584" s="39" t="s">
        <v>10040</v>
      </c>
      <c r="E584" s="31"/>
      <c r="F584" s="31"/>
      <c r="G584" s="31"/>
      <c r="H584" s="31"/>
      <c r="I584" s="31"/>
      <c r="J584" s="31"/>
      <c r="K584" s="31"/>
      <c r="L584" s="31"/>
      <c r="M584" s="31"/>
    </row>
    <row r="585" spans="1:13">
      <c r="A585" s="535">
        <v>44428</v>
      </c>
      <c r="B585" s="84" t="s">
        <v>10057</v>
      </c>
      <c r="C585" s="31" t="s">
        <v>8929</v>
      </c>
      <c r="D585" s="39" t="s">
        <v>10040</v>
      </c>
      <c r="E585" s="31"/>
      <c r="F585" s="31"/>
      <c r="G585" s="31"/>
      <c r="H585" s="31"/>
      <c r="I585" s="31"/>
      <c r="J585" s="31"/>
      <c r="K585" s="31"/>
      <c r="L585" s="31"/>
      <c r="M585" s="31"/>
    </row>
    <row r="586" spans="1:13">
      <c r="A586" s="535">
        <v>44428</v>
      </c>
      <c r="B586" s="84" t="s">
        <v>10058</v>
      </c>
      <c r="C586" s="31" t="s">
        <v>8929</v>
      </c>
      <c r="D586" s="39" t="s">
        <v>10040</v>
      </c>
      <c r="E586" s="31"/>
      <c r="F586" s="31"/>
      <c r="G586" s="31"/>
      <c r="H586" s="31"/>
      <c r="I586" s="31"/>
      <c r="J586" s="31"/>
      <c r="K586" s="31"/>
      <c r="L586" s="31"/>
      <c r="M586" s="31"/>
    </row>
    <row r="587" spans="1:13">
      <c r="A587" s="540">
        <v>44428</v>
      </c>
      <c r="B587" s="274" t="s">
        <v>2819</v>
      </c>
      <c r="C587" s="31" t="s">
        <v>8929</v>
      </c>
      <c r="D587" s="39" t="s">
        <v>10040</v>
      </c>
      <c r="E587" s="31"/>
      <c r="F587" s="31"/>
      <c r="G587" s="31"/>
      <c r="H587" s="31"/>
      <c r="I587" s="31"/>
      <c r="J587" s="31"/>
      <c r="K587" s="31"/>
      <c r="L587" s="31"/>
      <c r="M587" s="31"/>
    </row>
    <row r="588" spans="1:13">
      <c r="A588" s="535">
        <v>44429</v>
      </c>
      <c r="B588" s="84" t="s">
        <v>10059</v>
      </c>
      <c r="C588" s="31" t="s">
        <v>8929</v>
      </c>
      <c r="D588" s="39" t="s">
        <v>10040</v>
      </c>
      <c r="E588" s="31"/>
      <c r="F588" s="31"/>
      <c r="G588" s="31"/>
      <c r="H588" s="31"/>
      <c r="I588" s="31"/>
      <c r="J588" s="31"/>
      <c r="K588" s="31"/>
      <c r="L588" s="31"/>
      <c r="M588" s="31"/>
    </row>
    <row r="589" spans="1:13">
      <c r="A589" s="535">
        <v>44431</v>
      </c>
      <c r="B589" s="274" t="s">
        <v>2820</v>
      </c>
      <c r="C589" s="31" t="s">
        <v>8929</v>
      </c>
      <c r="D589" s="39" t="s">
        <v>10040</v>
      </c>
      <c r="E589" s="31"/>
      <c r="F589" s="31"/>
      <c r="G589" s="31"/>
      <c r="H589" s="31"/>
      <c r="I589" s="31"/>
      <c r="J589" s="31"/>
      <c r="K589" s="31"/>
      <c r="L589" s="31"/>
      <c r="M589" s="31"/>
    </row>
    <row r="590" spans="1:13">
      <c r="A590" s="535">
        <v>44431</v>
      </c>
      <c r="B590" s="274" t="s">
        <v>2820</v>
      </c>
      <c r="C590" s="31" t="s">
        <v>8929</v>
      </c>
      <c r="D590" s="39" t="s">
        <v>10040</v>
      </c>
      <c r="E590" s="31"/>
      <c r="F590" s="31"/>
      <c r="G590" s="31"/>
      <c r="H590" s="31"/>
      <c r="I590" s="31"/>
      <c r="J590" s="31"/>
      <c r="K590" s="31"/>
      <c r="L590" s="31"/>
      <c r="M590" s="31"/>
    </row>
    <row r="591" spans="1:13">
      <c r="A591" s="535">
        <v>44431</v>
      </c>
      <c r="B591" s="84" t="s">
        <v>3583</v>
      </c>
      <c r="C591" s="31" t="s">
        <v>8929</v>
      </c>
      <c r="D591" s="39" t="s">
        <v>10040</v>
      </c>
      <c r="E591" s="31"/>
      <c r="F591" s="31"/>
      <c r="G591" s="31"/>
      <c r="H591" s="31"/>
      <c r="I591" s="31"/>
      <c r="J591" s="31"/>
      <c r="K591" s="31"/>
      <c r="L591" s="31"/>
      <c r="M591" s="31"/>
    </row>
    <row r="592" spans="1:13">
      <c r="A592" s="535">
        <v>44431</v>
      </c>
      <c r="B592" s="274" t="s">
        <v>2821</v>
      </c>
      <c r="C592" s="31" t="s">
        <v>8929</v>
      </c>
      <c r="D592" s="39" t="s">
        <v>10040</v>
      </c>
      <c r="E592" s="31"/>
      <c r="F592" s="31"/>
      <c r="G592" s="31"/>
      <c r="H592" s="31"/>
      <c r="I592" s="31"/>
      <c r="J592" s="31"/>
      <c r="K592" s="31"/>
      <c r="L592" s="31"/>
      <c r="M592" s="31"/>
    </row>
    <row r="593" spans="1:13">
      <c r="A593" s="535">
        <v>44431</v>
      </c>
      <c r="B593" s="343" t="s">
        <v>2822</v>
      </c>
      <c r="C593" s="31" t="s">
        <v>8929</v>
      </c>
      <c r="D593" s="39" t="s">
        <v>10040</v>
      </c>
      <c r="E593" s="31"/>
      <c r="F593" s="31"/>
      <c r="G593" s="31"/>
      <c r="H593" s="31"/>
      <c r="I593" s="31"/>
      <c r="J593" s="31"/>
      <c r="K593" s="31"/>
      <c r="L593" s="31"/>
      <c r="M593" s="31"/>
    </row>
    <row r="594" spans="1:13">
      <c r="A594" s="535">
        <v>44431</v>
      </c>
      <c r="B594" s="274" t="s">
        <v>2823</v>
      </c>
      <c r="C594" s="31" t="s">
        <v>8929</v>
      </c>
      <c r="D594" s="39" t="s">
        <v>10040</v>
      </c>
      <c r="E594" s="31"/>
      <c r="F594" s="31"/>
      <c r="G594" s="31"/>
      <c r="H594" s="31"/>
      <c r="I594" s="31"/>
      <c r="J594" s="31"/>
      <c r="K594" s="31"/>
      <c r="L594" s="31"/>
      <c r="M594" s="31"/>
    </row>
    <row r="595" spans="1:13">
      <c r="A595" s="535">
        <v>44431</v>
      </c>
      <c r="B595" s="274" t="s">
        <v>2824</v>
      </c>
      <c r="C595" s="31" t="s">
        <v>8929</v>
      </c>
      <c r="D595" s="39" t="s">
        <v>10040</v>
      </c>
      <c r="E595" s="31"/>
      <c r="F595" s="31"/>
      <c r="G595" s="31"/>
      <c r="H595" s="31"/>
      <c r="I595" s="31"/>
      <c r="J595" s="31"/>
      <c r="K595" s="31"/>
      <c r="L595" s="31"/>
      <c r="M595" s="31"/>
    </row>
    <row r="596" spans="1:13">
      <c r="A596" s="535">
        <v>44432</v>
      </c>
      <c r="B596" s="84" t="s">
        <v>3585</v>
      </c>
      <c r="C596" s="31" t="s">
        <v>8929</v>
      </c>
      <c r="D596" s="39" t="s">
        <v>10040</v>
      </c>
      <c r="E596" s="31"/>
      <c r="F596" s="31"/>
      <c r="G596" s="31"/>
      <c r="H596" s="31"/>
      <c r="I596" s="31"/>
      <c r="J596" s="31"/>
      <c r="K596" s="31"/>
      <c r="L596" s="31"/>
      <c r="M596" s="31"/>
    </row>
    <row r="597" spans="1:13">
      <c r="A597" s="535">
        <v>44432</v>
      </c>
      <c r="B597" s="274" t="s">
        <v>3586</v>
      </c>
      <c r="C597" s="31" t="s">
        <v>8929</v>
      </c>
      <c r="D597" s="39" t="s">
        <v>10040</v>
      </c>
      <c r="E597" s="31"/>
      <c r="F597" s="31"/>
      <c r="G597" s="31"/>
      <c r="H597" s="31"/>
      <c r="I597" s="31"/>
      <c r="J597" s="31"/>
      <c r="K597" s="31"/>
      <c r="L597" s="31"/>
      <c r="M597" s="31"/>
    </row>
    <row r="598" spans="1:13">
      <c r="A598" s="535">
        <v>44432</v>
      </c>
      <c r="B598" s="274" t="s">
        <v>2825</v>
      </c>
      <c r="C598" s="31" t="s">
        <v>8929</v>
      </c>
      <c r="D598" s="39" t="s">
        <v>10040</v>
      </c>
      <c r="E598" s="31"/>
      <c r="F598" s="31"/>
      <c r="G598" s="31"/>
      <c r="H598" s="31"/>
      <c r="I598" s="31"/>
      <c r="J598" s="31"/>
      <c r="K598" s="31"/>
      <c r="L598" s="31"/>
      <c r="M598" s="31"/>
    </row>
    <row r="599" spans="1:13">
      <c r="A599" s="535">
        <v>44433</v>
      </c>
      <c r="B599" s="84" t="s">
        <v>3584</v>
      </c>
      <c r="C599" s="31" t="s">
        <v>8929</v>
      </c>
      <c r="D599" s="39" t="s">
        <v>10040</v>
      </c>
      <c r="E599" s="31"/>
      <c r="F599" s="31"/>
      <c r="G599" s="31"/>
      <c r="H599" s="31"/>
      <c r="I599" s="31"/>
      <c r="J599" s="31"/>
      <c r="K599" s="31"/>
      <c r="L599" s="31"/>
      <c r="M599" s="31"/>
    </row>
    <row r="600" spans="1:13">
      <c r="A600" s="535">
        <v>44433</v>
      </c>
      <c r="B600" s="240" t="s">
        <v>3330</v>
      </c>
      <c r="C600" s="31" t="s">
        <v>8929</v>
      </c>
      <c r="D600" s="39" t="s">
        <v>10040</v>
      </c>
      <c r="E600" s="31"/>
      <c r="F600" s="31"/>
      <c r="G600" s="31"/>
      <c r="H600" s="31"/>
      <c r="I600" s="31"/>
      <c r="J600" s="31"/>
      <c r="K600" s="31"/>
      <c r="L600" s="31"/>
      <c r="M600" s="31"/>
    </row>
    <row r="601" spans="1:13">
      <c r="A601" s="535">
        <v>44433</v>
      </c>
      <c r="B601" t="s">
        <v>3582</v>
      </c>
      <c r="C601" s="31" t="s">
        <v>8929</v>
      </c>
      <c r="D601" s="39" t="s">
        <v>10040</v>
      </c>
      <c r="E601" s="31"/>
      <c r="F601" s="31"/>
      <c r="G601" s="31"/>
      <c r="H601" s="31"/>
      <c r="I601" s="31"/>
      <c r="J601" s="31"/>
      <c r="K601" s="31"/>
      <c r="L601" s="31"/>
      <c r="M601" s="31"/>
    </row>
    <row r="602" spans="1:13">
      <c r="A602" s="535">
        <v>44434</v>
      </c>
      <c r="B602" s="240" t="s">
        <v>3580</v>
      </c>
      <c r="C602" s="31" t="s">
        <v>8929</v>
      </c>
      <c r="D602" s="39" t="s">
        <v>10042</v>
      </c>
      <c r="E602" s="31"/>
      <c r="F602" s="31"/>
      <c r="G602" s="31"/>
      <c r="H602" s="31"/>
      <c r="I602" s="31"/>
      <c r="J602" s="31"/>
      <c r="K602" s="31"/>
      <c r="L602" s="31"/>
      <c r="M602" s="31"/>
    </row>
    <row r="603" spans="1:13">
      <c r="A603" s="535">
        <v>44434</v>
      </c>
      <c r="B603" s="274" t="s">
        <v>2826</v>
      </c>
      <c r="C603" s="31" t="s">
        <v>8929</v>
      </c>
      <c r="D603" s="39" t="s">
        <v>10040</v>
      </c>
      <c r="E603" s="31"/>
      <c r="F603" s="31"/>
      <c r="G603" s="31"/>
      <c r="H603" s="31"/>
      <c r="I603" s="31"/>
      <c r="J603" s="31"/>
      <c r="K603" s="31"/>
      <c r="L603" s="31"/>
      <c r="M603" s="31"/>
    </row>
    <row r="604" spans="1:13">
      <c r="A604" s="535">
        <v>44435</v>
      </c>
      <c r="B604" s="240" t="s">
        <v>10060</v>
      </c>
      <c r="C604" s="31" t="s">
        <v>8929</v>
      </c>
      <c r="D604" s="39" t="s">
        <v>10040</v>
      </c>
      <c r="E604" s="31"/>
      <c r="F604" s="31"/>
      <c r="G604" s="31"/>
      <c r="H604" s="31"/>
      <c r="I604" s="31"/>
      <c r="J604" s="31"/>
      <c r="K604" s="31"/>
      <c r="L604" s="31"/>
      <c r="M604" s="31"/>
    </row>
    <row r="605" spans="1:13">
      <c r="A605" s="535">
        <v>44435</v>
      </c>
      <c r="B605" s="274" t="s">
        <v>2827</v>
      </c>
      <c r="C605" s="31" t="s">
        <v>8929</v>
      </c>
      <c r="D605" s="39" t="s">
        <v>10040</v>
      </c>
      <c r="E605" s="31"/>
      <c r="F605" s="31"/>
      <c r="G605" s="31"/>
      <c r="H605" s="31"/>
      <c r="I605" s="31"/>
      <c r="J605" s="31"/>
      <c r="K605" s="31"/>
      <c r="L605" s="31"/>
      <c r="M605" s="31"/>
    </row>
    <row r="606" spans="1:13">
      <c r="A606" s="535">
        <v>44435</v>
      </c>
      <c r="B606" s="240" t="s">
        <v>10061</v>
      </c>
      <c r="C606" s="31" t="s">
        <v>8929</v>
      </c>
      <c r="D606" s="39" t="s">
        <v>10040</v>
      </c>
      <c r="E606" s="31"/>
      <c r="F606" s="31"/>
      <c r="G606" s="31"/>
      <c r="H606" s="31"/>
      <c r="I606" s="31"/>
      <c r="J606" s="31"/>
      <c r="K606" s="31"/>
      <c r="L606" s="31"/>
      <c r="M606" s="31"/>
    </row>
    <row r="607" spans="1:13">
      <c r="A607" s="535">
        <v>44436</v>
      </c>
      <c r="B607" s="292" t="s">
        <v>2828</v>
      </c>
      <c r="C607" s="31" t="s">
        <v>8929</v>
      </c>
      <c r="D607" s="39" t="s">
        <v>10040</v>
      </c>
      <c r="E607" s="31"/>
      <c r="F607" s="31"/>
      <c r="G607" s="31"/>
      <c r="H607" s="31"/>
      <c r="I607" s="31"/>
      <c r="J607" s="31"/>
      <c r="K607" s="31"/>
      <c r="L607" s="31"/>
      <c r="M607" s="31"/>
    </row>
    <row r="608" spans="1:13">
      <c r="A608" s="535">
        <v>44436</v>
      </c>
      <c r="B608" s="274" t="s">
        <v>2829</v>
      </c>
      <c r="C608" s="31" t="s">
        <v>8929</v>
      </c>
      <c r="D608" s="39" t="s">
        <v>10040</v>
      </c>
      <c r="E608" s="31"/>
      <c r="F608" s="31"/>
      <c r="G608" s="31"/>
      <c r="H608" s="31"/>
      <c r="I608" s="31"/>
      <c r="J608" s="31"/>
      <c r="K608" s="31"/>
      <c r="L608" s="31"/>
      <c r="M608" s="31"/>
    </row>
    <row r="609" spans="1:13">
      <c r="A609" s="535">
        <v>44438</v>
      </c>
      <c r="B609" s="240" t="s">
        <v>3243</v>
      </c>
      <c r="C609" s="31" t="s">
        <v>8929</v>
      </c>
      <c r="D609" s="39" t="s">
        <v>10040</v>
      </c>
      <c r="E609" s="31"/>
      <c r="F609" s="31"/>
      <c r="G609" s="31"/>
      <c r="H609" s="31"/>
      <c r="I609" s="31"/>
      <c r="J609" s="31"/>
      <c r="K609" s="31"/>
      <c r="L609" s="31"/>
      <c r="M609" s="31"/>
    </row>
    <row r="610" spans="1:13">
      <c r="A610" s="535">
        <v>44438</v>
      </c>
      <c r="B610" s="240" t="s">
        <v>5211</v>
      </c>
      <c r="C610" s="31" t="s">
        <v>8929</v>
      </c>
      <c r="D610" s="39" t="s">
        <v>10040</v>
      </c>
      <c r="E610" s="31"/>
      <c r="F610" s="31"/>
      <c r="G610" s="31"/>
      <c r="H610" s="31"/>
      <c r="I610" s="31"/>
      <c r="J610" s="31"/>
      <c r="K610" s="31"/>
      <c r="L610" s="31"/>
      <c r="M610" s="31"/>
    </row>
    <row r="611" spans="1:13">
      <c r="A611" s="540">
        <v>44439</v>
      </c>
      <c r="B611" s="84" t="s">
        <v>10062</v>
      </c>
      <c r="C611" s="31" t="s">
        <v>8929</v>
      </c>
      <c r="D611" s="39" t="s">
        <v>10040</v>
      </c>
      <c r="E611" s="31"/>
      <c r="F611" s="31"/>
      <c r="G611" s="31"/>
      <c r="H611" s="31"/>
      <c r="I611" s="31"/>
      <c r="J611" s="31"/>
      <c r="K611" s="31"/>
      <c r="L611" s="31"/>
      <c r="M611" s="31"/>
    </row>
    <row r="612" spans="1:13">
      <c r="A612" s="535">
        <v>44439</v>
      </c>
      <c r="B612" s="84" t="s">
        <v>10062</v>
      </c>
      <c r="C612" s="31" t="s">
        <v>8929</v>
      </c>
      <c r="D612" s="39" t="s">
        <v>10040</v>
      </c>
      <c r="E612" s="31"/>
      <c r="F612" s="31"/>
      <c r="G612" s="31"/>
      <c r="H612" s="31"/>
      <c r="I612" s="31"/>
      <c r="J612" s="31"/>
      <c r="K612" s="31"/>
      <c r="L612" s="31"/>
      <c r="M612" s="31"/>
    </row>
    <row r="613" spans="1:13">
      <c r="A613" s="535">
        <v>44439</v>
      </c>
      <c r="B613" s="240" t="s">
        <v>5220</v>
      </c>
      <c r="C613" s="31" t="s">
        <v>8929</v>
      </c>
      <c r="D613" s="39" t="s">
        <v>10040</v>
      </c>
      <c r="E613" s="31"/>
      <c r="F613" s="31"/>
      <c r="G613" s="31"/>
      <c r="H613" s="31"/>
      <c r="I613" s="31"/>
      <c r="J613" s="31"/>
      <c r="K613" s="31"/>
      <c r="L613" s="31"/>
      <c r="M613" s="31"/>
    </row>
    <row r="614" spans="1:13">
      <c r="A614" s="535">
        <v>44439</v>
      </c>
      <c r="B614" s="292" t="s">
        <v>2830</v>
      </c>
      <c r="C614" s="31" t="s">
        <v>8929</v>
      </c>
      <c r="D614" s="39" t="s">
        <v>10040</v>
      </c>
      <c r="E614" s="31"/>
      <c r="F614" s="31"/>
      <c r="G614" s="31"/>
      <c r="H614" s="31"/>
      <c r="I614" s="31"/>
      <c r="J614" s="31"/>
      <c r="K614" s="31"/>
      <c r="L614" s="31"/>
      <c r="M614" s="31"/>
    </row>
    <row r="615" spans="1:13">
      <c r="A615" s="535"/>
      <c r="B615" s="219" t="s">
        <v>7543</v>
      </c>
      <c r="C615" s="31"/>
      <c r="D615" s="39"/>
      <c r="E615" s="31"/>
      <c r="F615" s="31"/>
      <c r="G615" s="31"/>
      <c r="H615" s="31"/>
      <c r="I615" s="31"/>
      <c r="J615" s="31"/>
      <c r="K615" s="31"/>
      <c r="L615" s="31"/>
      <c r="M615" s="31"/>
    </row>
    <row r="616" spans="1:13">
      <c r="A616" s="535">
        <v>44440</v>
      </c>
      <c r="B616" s="240" t="s">
        <v>5218</v>
      </c>
      <c r="C616" s="31" t="s">
        <v>8929</v>
      </c>
      <c r="D616" s="39" t="s">
        <v>7543</v>
      </c>
      <c r="E616" s="31"/>
      <c r="F616" s="31"/>
      <c r="G616" s="31"/>
      <c r="H616" s="31"/>
      <c r="I616" s="31"/>
      <c r="J616" s="31"/>
      <c r="K616" s="31"/>
      <c r="L616" s="31"/>
      <c r="M616" s="31"/>
    </row>
    <row r="617" spans="1:13">
      <c r="A617" s="535">
        <v>44440</v>
      </c>
      <c r="B617" s="274" t="s">
        <v>5216</v>
      </c>
      <c r="C617" s="31" t="s">
        <v>8929</v>
      </c>
      <c r="D617" s="39" t="s">
        <v>7543</v>
      </c>
      <c r="E617" s="31"/>
      <c r="F617" s="31"/>
      <c r="G617" s="31"/>
      <c r="H617" s="31"/>
      <c r="I617" s="31"/>
      <c r="J617" s="31"/>
      <c r="K617" s="31"/>
      <c r="L617" s="31"/>
      <c r="M617" s="31"/>
    </row>
    <row r="618" spans="1:13">
      <c r="A618" s="535">
        <v>44441</v>
      </c>
      <c r="B618" s="240" t="s">
        <v>10063</v>
      </c>
      <c r="C618" s="31" t="s">
        <v>8929</v>
      </c>
      <c r="D618" s="39" t="s">
        <v>10064</v>
      </c>
      <c r="E618" s="31"/>
      <c r="F618" s="31"/>
      <c r="G618" s="31"/>
      <c r="H618" s="31"/>
      <c r="I618" s="31"/>
      <c r="J618" s="31"/>
      <c r="K618" s="31"/>
      <c r="L618" s="31"/>
      <c r="M618" s="31"/>
    </row>
    <row r="619" spans="1:13">
      <c r="A619" s="535">
        <v>44441</v>
      </c>
      <c r="B619" s="274" t="s">
        <v>5222</v>
      </c>
      <c r="C619" s="31" t="s">
        <v>8929</v>
      </c>
      <c r="D619" s="39" t="s">
        <v>10064</v>
      </c>
      <c r="E619" s="31"/>
      <c r="F619" s="31"/>
      <c r="G619" s="31"/>
      <c r="H619" s="31"/>
      <c r="I619" s="31"/>
      <c r="J619" s="31"/>
      <c r="K619" s="31"/>
      <c r="L619" s="31"/>
      <c r="M619" s="31"/>
    </row>
    <row r="620" spans="1:13">
      <c r="A620" s="535">
        <v>44441</v>
      </c>
      <c r="B620" s="240" t="s">
        <v>10065</v>
      </c>
      <c r="C620" s="31" t="s">
        <v>8929</v>
      </c>
      <c r="D620" s="39" t="s">
        <v>10064</v>
      </c>
      <c r="E620" s="31"/>
      <c r="F620" s="31"/>
      <c r="G620" s="31"/>
      <c r="H620" s="31"/>
      <c r="I620" s="31"/>
      <c r="J620" s="31"/>
      <c r="K620" s="31"/>
      <c r="L620" s="31"/>
      <c r="M620" s="31"/>
    </row>
    <row r="621" spans="1:13">
      <c r="A621" s="535">
        <v>44442</v>
      </c>
      <c r="B621" s="240" t="s">
        <v>5224</v>
      </c>
      <c r="C621" s="31" t="s">
        <v>8929</v>
      </c>
      <c r="D621" s="39" t="s">
        <v>10064</v>
      </c>
      <c r="E621" s="31"/>
      <c r="F621" s="31"/>
      <c r="G621" s="31"/>
      <c r="H621" s="31"/>
      <c r="I621" s="31"/>
      <c r="J621" s="31"/>
      <c r="K621" s="31"/>
      <c r="L621" s="31"/>
      <c r="M621" s="31"/>
    </row>
    <row r="622" spans="1:13">
      <c r="A622" s="535">
        <v>44442</v>
      </c>
      <c r="B622" s="84" t="s">
        <v>3211</v>
      </c>
      <c r="C622" s="31" t="s">
        <v>8929</v>
      </c>
      <c r="D622" s="39" t="s">
        <v>10064</v>
      </c>
      <c r="E622" s="31"/>
      <c r="F622" s="31"/>
      <c r="G622" s="31"/>
      <c r="H622" s="31"/>
      <c r="I622" s="31"/>
      <c r="J622" s="31"/>
      <c r="K622" s="31"/>
      <c r="L622" s="31"/>
      <c r="M622" s="31"/>
    </row>
    <row r="623" spans="1:13">
      <c r="A623" s="535">
        <v>44442</v>
      </c>
      <c r="B623" s="84" t="s">
        <v>10066</v>
      </c>
      <c r="C623" s="31" t="s">
        <v>8929</v>
      </c>
      <c r="D623" s="39" t="s">
        <v>10064</v>
      </c>
      <c r="E623" s="31"/>
      <c r="F623" s="31"/>
      <c r="G623" s="31"/>
      <c r="H623" s="31"/>
      <c r="I623" s="31"/>
      <c r="J623" s="31"/>
      <c r="K623" s="31"/>
      <c r="L623" s="31"/>
      <c r="M623" s="31"/>
    </row>
    <row r="624" spans="1:13">
      <c r="A624" s="535">
        <v>44442</v>
      </c>
      <c r="B624" s="274" t="s">
        <v>3579</v>
      </c>
      <c r="C624" s="31" t="s">
        <v>8929</v>
      </c>
      <c r="D624" s="39" t="s">
        <v>10064</v>
      </c>
      <c r="E624" s="31"/>
      <c r="F624" s="31"/>
      <c r="G624" s="31"/>
      <c r="H624" s="31"/>
      <c r="I624" s="31"/>
      <c r="J624" s="31"/>
      <c r="K624" s="31"/>
      <c r="L624" s="31"/>
      <c r="M624" s="31"/>
    </row>
    <row r="625" spans="1:13">
      <c r="A625" s="535">
        <v>44442</v>
      </c>
      <c r="B625" s="274" t="s">
        <v>3579</v>
      </c>
      <c r="C625" s="31" t="s">
        <v>8929</v>
      </c>
      <c r="D625" s="39" t="s">
        <v>10064</v>
      </c>
      <c r="E625" s="31"/>
      <c r="F625" s="31"/>
      <c r="G625" s="31"/>
      <c r="H625" s="31"/>
      <c r="I625" s="31"/>
      <c r="J625" s="31"/>
      <c r="K625" s="31"/>
      <c r="L625" s="31"/>
      <c r="M625" s="31"/>
    </row>
    <row r="626" spans="1:13">
      <c r="A626" s="535">
        <v>44443</v>
      </c>
      <c r="B626" s="292" t="s">
        <v>2999</v>
      </c>
      <c r="C626" s="31" t="s">
        <v>8929</v>
      </c>
      <c r="D626" s="39" t="s">
        <v>7543</v>
      </c>
      <c r="E626" s="31"/>
      <c r="F626" s="31"/>
      <c r="G626" s="31"/>
      <c r="H626" s="31"/>
      <c r="I626" s="31"/>
      <c r="J626" s="31"/>
      <c r="K626" s="31"/>
      <c r="L626" s="31"/>
      <c r="M626" s="31"/>
    </row>
    <row r="627" spans="1:13">
      <c r="A627" s="535">
        <v>44445</v>
      </c>
      <c r="B627" s="274" t="s">
        <v>5231</v>
      </c>
      <c r="C627" s="31" t="s">
        <v>8929</v>
      </c>
      <c r="D627" s="39" t="s">
        <v>10064</v>
      </c>
      <c r="E627" s="31"/>
      <c r="F627" s="31"/>
      <c r="G627" s="31"/>
      <c r="H627" s="31"/>
      <c r="I627" s="31"/>
      <c r="J627" s="31"/>
      <c r="K627" s="31"/>
      <c r="L627" s="31"/>
      <c r="M627" s="31"/>
    </row>
    <row r="628" spans="1:13">
      <c r="A628" s="535">
        <v>44445</v>
      </c>
      <c r="B628" s="84" t="s">
        <v>5229</v>
      </c>
      <c r="C628" s="31" t="s">
        <v>8929</v>
      </c>
      <c r="D628" s="39" t="s">
        <v>10064</v>
      </c>
      <c r="E628" s="31"/>
      <c r="F628" s="31"/>
      <c r="G628" s="31"/>
      <c r="H628" s="31"/>
      <c r="I628" s="31"/>
      <c r="J628" s="31"/>
      <c r="K628" s="31"/>
      <c r="L628" s="31"/>
      <c r="M628" s="31"/>
    </row>
    <row r="629" spans="1:13">
      <c r="A629" s="535">
        <v>44445</v>
      </c>
      <c r="B629" s="84" t="s">
        <v>5227</v>
      </c>
      <c r="C629" s="31" t="s">
        <v>8929</v>
      </c>
      <c r="D629" s="39" t="s">
        <v>7543</v>
      </c>
      <c r="E629" s="31"/>
      <c r="F629" s="31"/>
      <c r="G629" s="31"/>
      <c r="H629" s="31"/>
      <c r="I629" s="31"/>
      <c r="J629" s="31"/>
      <c r="K629" s="31"/>
      <c r="L629" s="31"/>
      <c r="M629" s="31"/>
    </row>
    <row r="630" spans="1:13">
      <c r="A630" s="540">
        <v>44447</v>
      </c>
      <c r="B630" s="240" t="s">
        <v>10067</v>
      </c>
      <c r="C630" s="31" t="s">
        <v>8929</v>
      </c>
      <c r="D630" s="39" t="s">
        <v>10064</v>
      </c>
      <c r="E630" s="31"/>
      <c r="F630" s="31"/>
      <c r="G630" s="31"/>
      <c r="H630" s="31"/>
      <c r="I630" s="31"/>
      <c r="J630" s="31"/>
      <c r="K630" s="31"/>
      <c r="L630" s="31"/>
      <c r="M630" s="31"/>
    </row>
    <row r="631" spans="1:13">
      <c r="A631" s="535">
        <v>44447</v>
      </c>
      <c r="B631" s="274" t="s">
        <v>5233</v>
      </c>
      <c r="C631" s="31" t="s">
        <v>8929</v>
      </c>
      <c r="D631" s="39" t="s">
        <v>7543</v>
      </c>
      <c r="E631" s="31"/>
      <c r="F631" s="31"/>
      <c r="G631" s="31"/>
      <c r="H631" s="31"/>
      <c r="I631" s="31"/>
      <c r="J631" s="31"/>
      <c r="K631" s="31"/>
      <c r="L631" s="31"/>
      <c r="M631" s="31"/>
    </row>
    <row r="632" spans="1:13">
      <c r="A632" s="535">
        <v>44448</v>
      </c>
      <c r="B632" t="s">
        <v>10068</v>
      </c>
      <c r="C632" s="31" t="s">
        <v>8929</v>
      </c>
      <c r="D632" s="39" t="s">
        <v>10064</v>
      </c>
      <c r="E632" s="31"/>
      <c r="F632" s="31"/>
      <c r="G632" s="31"/>
      <c r="H632" s="31"/>
      <c r="I632" s="31"/>
      <c r="J632" s="31"/>
      <c r="K632" s="31"/>
      <c r="L632" s="31"/>
      <c r="M632" s="31"/>
    </row>
    <row r="633" spans="1:13">
      <c r="A633" s="535">
        <v>44448</v>
      </c>
      <c r="B633" s="2" t="s">
        <v>10069</v>
      </c>
      <c r="C633" s="31" t="s">
        <v>8929</v>
      </c>
      <c r="D633" s="39" t="s">
        <v>10064</v>
      </c>
      <c r="E633" s="31"/>
      <c r="F633" s="31"/>
      <c r="G633" s="31"/>
      <c r="H633" s="31"/>
      <c r="I633" s="31"/>
      <c r="J633" s="31"/>
      <c r="K633" s="31"/>
      <c r="L633" s="31"/>
      <c r="M633" s="31"/>
    </row>
    <row r="634" spans="1:13">
      <c r="A634" s="535">
        <v>44449</v>
      </c>
      <c r="B634" s="240" t="s">
        <v>10070</v>
      </c>
      <c r="C634" s="31" t="s">
        <v>8929</v>
      </c>
      <c r="D634" s="39" t="s">
        <v>10064</v>
      </c>
      <c r="E634" s="31"/>
      <c r="F634" s="31"/>
      <c r="G634" s="31"/>
      <c r="H634" s="31"/>
      <c r="I634" s="31"/>
      <c r="J634" s="31"/>
      <c r="K634" s="31"/>
      <c r="L634" s="31"/>
      <c r="M634" s="31"/>
    </row>
    <row r="635" spans="1:13">
      <c r="A635" s="535">
        <v>44449</v>
      </c>
      <c r="B635" s="240" t="s">
        <v>10071</v>
      </c>
      <c r="C635" s="31" t="s">
        <v>8929</v>
      </c>
      <c r="D635" s="39" t="s">
        <v>10064</v>
      </c>
      <c r="E635" s="31"/>
      <c r="F635" s="31"/>
      <c r="G635" s="31"/>
      <c r="H635" s="31"/>
      <c r="I635" s="31"/>
      <c r="J635" s="31"/>
      <c r="K635" s="31"/>
      <c r="L635" s="31"/>
      <c r="M635" s="31"/>
    </row>
    <row r="636" spans="1:13">
      <c r="A636" s="535">
        <v>44449</v>
      </c>
      <c r="B636" s="274" t="s">
        <v>5243</v>
      </c>
      <c r="C636" s="31" t="s">
        <v>8929</v>
      </c>
      <c r="D636" s="39" t="s">
        <v>10064</v>
      </c>
      <c r="E636" s="31" t="s">
        <v>10072</v>
      </c>
      <c r="F636" s="31"/>
      <c r="G636" s="31"/>
      <c r="H636" s="31"/>
      <c r="I636" s="31"/>
      <c r="J636" s="31"/>
      <c r="K636" s="31"/>
      <c r="L636" s="31"/>
      <c r="M636" s="31"/>
    </row>
    <row r="637" spans="1:13">
      <c r="A637" s="535">
        <v>44452</v>
      </c>
      <c r="B637" s="240" t="s">
        <v>10073</v>
      </c>
      <c r="C637" s="31" t="s">
        <v>8929</v>
      </c>
      <c r="D637" s="39" t="s">
        <v>10064</v>
      </c>
      <c r="E637" s="31"/>
      <c r="F637" s="31"/>
      <c r="G637" s="31"/>
      <c r="H637" s="31"/>
      <c r="I637" s="31"/>
      <c r="J637" s="31"/>
      <c r="K637" s="31"/>
      <c r="L637" s="31"/>
      <c r="M637" s="31"/>
    </row>
    <row r="638" spans="1:13">
      <c r="A638" s="535">
        <v>44452</v>
      </c>
      <c r="B638" s="240" t="s">
        <v>4290</v>
      </c>
      <c r="C638" s="31" t="s">
        <v>8929</v>
      </c>
      <c r="D638" s="39" t="s">
        <v>10064</v>
      </c>
      <c r="E638" s="31"/>
      <c r="F638" s="31"/>
      <c r="G638" s="31"/>
      <c r="H638" s="31"/>
      <c r="I638" s="31"/>
      <c r="J638" s="31"/>
      <c r="K638" s="31"/>
      <c r="L638" s="31"/>
      <c r="M638" s="31"/>
    </row>
    <row r="639" spans="1:13">
      <c r="A639" s="535">
        <v>44452</v>
      </c>
      <c r="B639" s="240" t="s">
        <v>10074</v>
      </c>
      <c r="C639" s="31" t="s">
        <v>8929</v>
      </c>
      <c r="D639" s="39" t="s">
        <v>10064</v>
      </c>
      <c r="E639" s="31" t="s">
        <v>10026</v>
      </c>
      <c r="F639" s="31"/>
      <c r="G639" s="31"/>
      <c r="H639" s="31"/>
      <c r="I639" s="31"/>
      <c r="J639" s="31"/>
      <c r="K639" s="31"/>
      <c r="L639" s="31"/>
      <c r="M639" s="31"/>
    </row>
    <row r="640" spans="1:13">
      <c r="A640" s="535">
        <v>44452</v>
      </c>
      <c r="B640" s="274" t="s">
        <v>10075</v>
      </c>
      <c r="C640" s="31" t="s">
        <v>8929</v>
      </c>
      <c r="D640" s="39" t="s">
        <v>10064</v>
      </c>
      <c r="E640" s="31"/>
      <c r="F640" s="31"/>
      <c r="G640" s="31"/>
      <c r="H640" s="31"/>
      <c r="I640" s="31"/>
      <c r="J640" s="31"/>
      <c r="K640" s="31"/>
      <c r="L640" s="31"/>
      <c r="M640" s="31"/>
    </row>
    <row r="641" spans="1:13">
      <c r="A641" s="535">
        <v>44452</v>
      </c>
      <c r="B641" s="274" t="s">
        <v>10076</v>
      </c>
      <c r="C641" s="31" t="s">
        <v>8929</v>
      </c>
      <c r="D641" s="39" t="s">
        <v>10064</v>
      </c>
      <c r="E641" s="31"/>
      <c r="F641" s="31"/>
      <c r="G641" s="31"/>
      <c r="H641" s="31"/>
      <c r="I641" s="31"/>
      <c r="J641" s="31"/>
      <c r="K641" s="31"/>
      <c r="L641" s="31"/>
      <c r="M641" s="31"/>
    </row>
    <row r="642" spans="1:13">
      <c r="A642" s="535">
        <v>44453</v>
      </c>
      <c r="B642" s="274" t="s">
        <v>10077</v>
      </c>
      <c r="C642" s="31" t="s">
        <v>8929</v>
      </c>
      <c r="D642" s="39" t="s">
        <v>10064</v>
      </c>
      <c r="E642" s="31"/>
      <c r="F642" s="31"/>
      <c r="G642" s="31"/>
      <c r="H642" s="31"/>
      <c r="I642" s="31"/>
      <c r="J642" s="31"/>
      <c r="K642" s="31"/>
      <c r="L642" s="31"/>
      <c r="M642" s="31"/>
    </row>
    <row r="643" spans="1:13">
      <c r="A643" s="535">
        <v>44453</v>
      </c>
      <c r="B643" s="84" t="s">
        <v>10078</v>
      </c>
      <c r="C643" s="31" t="s">
        <v>8929</v>
      </c>
      <c r="D643" t="s">
        <v>10064</v>
      </c>
      <c r="E643" s="31"/>
      <c r="F643" s="31"/>
      <c r="G643" s="31"/>
      <c r="H643" s="31"/>
      <c r="I643" s="31"/>
      <c r="J643" s="31"/>
      <c r="K643" s="31"/>
      <c r="L643" s="31"/>
      <c r="M643" s="31"/>
    </row>
    <row r="644" spans="1:13">
      <c r="A644" s="535">
        <v>44453</v>
      </c>
      <c r="B644" s="240" t="s">
        <v>3315</v>
      </c>
      <c r="C644" s="31" t="s">
        <v>8929</v>
      </c>
      <c r="D644" s="39" t="s">
        <v>10064</v>
      </c>
      <c r="E644" s="31"/>
      <c r="F644" s="31"/>
      <c r="G644" s="31"/>
      <c r="H644" s="31"/>
      <c r="I644" s="31"/>
      <c r="J644" s="31"/>
      <c r="K644" s="31"/>
      <c r="L644" s="31"/>
      <c r="M644" s="31"/>
    </row>
    <row r="645" spans="1:13">
      <c r="A645" s="535">
        <v>44453</v>
      </c>
      <c r="B645" s="274" t="s">
        <v>5249</v>
      </c>
      <c r="C645" s="31" t="s">
        <v>8929</v>
      </c>
      <c r="D645" s="39" t="s">
        <v>10064</v>
      </c>
      <c r="E645" s="31"/>
      <c r="F645" s="31"/>
      <c r="G645" s="31"/>
      <c r="H645" s="31"/>
      <c r="I645" s="31"/>
      <c r="J645" s="31"/>
      <c r="K645" s="31"/>
      <c r="L645" s="31"/>
      <c r="M645" s="31"/>
    </row>
    <row r="646" spans="1:13">
      <c r="A646" s="535">
        <v>44453</v>
      </c>
      <c r="B646" s="274" t="s">
        <v>5249</v>
      </c>
      <c r="C646" s="31" t="s">
        <v>8929</v>
      </c>
      <c r="D646" s="39" t="s">
        <v>7543</v>
      </c>
      <c r="E646" s="31"/>
      <c r="F646" s="31"/>
      <c r="G646" s="31"/>
      <c r="H646" s="31"/>
      <c r="I646" s="31"/>
      <c r="J646" s="31"/>
      <c r="K646" s="31"/>
      <c r="L646" s="31"/>
      <c r="M646" s="31"/>
    </row>
    <row r="647" spans="1:13">
      <c r="A647" s="535">
        <v>44454</v>
      </c>
      <c r="B647" s="255" t="s">
        <v>3017</v>
      </c>
      <c r="C647" s="31" t="s">
        <v>8929</v>
      </c>
      <c r="D647" s="39" t="s">
        <v>10064</v>
      </c>
      <c r="E647" s="31"/>
      <c r="F647" s="31"/>
      <c r="G647" s="31"/>
      <c r="H647" s="31"/>
      <c r="I647" s="31"/>
      <c r="J647" s="31"/>
      <c r="K647" s="31"/>
      <c r="L647" s="31"/>
      <c r="M647" s="31"/>
    </row>
    <row r="648" spans="1:13">
      <c r="A648" s="535">
        <v>44454</v>
      </c>
      <c r="B648" s="240" t="s">
        <v>10079</v>
      </c>
      <c r="C648" s="31" t="s">
        <v>8929</v>
      </c>
      <c r="D648" s="39" t="s">
        <v>10064</v>
      </c>
      <c r="E648" s="31"/>
      <c r="F648" s="31"/>
      <c r="G648" s="31"/>
      <c r="H648" s="31"/>
      <c r="I648" s="31"/>
      <c r="J648" s="31"/>
      <c r="K648" s="31"/>
      <c r="L648" s="31"/>
      <c r="M648" s="31"/>
    </row>
    <row r="649" spans="1:13">
      <c r="A649" s="535">
        <v>44454</v>
      </c>
      <c r="B649" s="274" t="s">
        <v>10080</v>
      </c>
      <c r="C649" s="31" t="s">
        <v>8929</v>
      </c>
      <c r="D649" s="39" t="s">
        <v>10064</v>
      </c>
      <c r="E649" s="31"/>
      <c r="F649" s="31"/>
      <c r="G649" s="31"/>
      <c r="H649" s="31"/>
      <c r="I649" s="31"/>
      <c r="J649" s="31"/>
      <c r="K649" s="31"/>
      <c r="L649" s="31"/>
      <c r="M649" s="31"/>
    </row>
    <row r="650" spans="1:13">
      <c r="A650" s="535">
        <v>44455</v>
      </c>
      <c r="B650" s="292" t="s">
        <v>2916</v>
      </c>
      <c r="C650" s="31" t="s">
        <v>8929</v>
      </c>
      <c r="D650" s="39" t="s">
        <v>10064</v>
      </c>
      <c r="E650" s="31"/>
      <c r="F650" s="31"/>
      <c r="G650" s="31"/>
      <c r="H650" s="31"/>
      <c r="I650" s="31"/>
      <c r="J650" s="31"/>
      <c r="K650" s="31"/>
      <c r="L650" s="31"/>
      <c r="M650" s="31"/>
    </row>
    <row r="651" spans="1:13">
      <c r="A651" s="535">
        <v>44455</v>
      </c>
      <c r="B651" s="240" t="s">
        <v>2883</v>
      </c>
      <c r="C651" s="31" t="s">
        <v>8929</v>
      </c>
      <c r="D651" s="39" t="s">
        <v>10064</v>
      </c>
      <c r="E651" s="31" t="s">
        <v>9998</v>
      </c>
      <c r="F651" s="31"/>
      <c r="G651" s="31"/>
      <c r="H651" s="31"/>
      <c r="I651" s="31"/>
      <c r="J651" s="31"/>
      <c r="K651" s="31"/>
      <c r="L651" s="31"/>
      <c r="M651" s="31"/>
    </row>
    <row r="652" spans="1:13">
      <c r="A652" s="535">
        <v>44455</v>
      </c>
      <c r="B652" s="84" t="s">
        <v>10081</v>
      </c>
      <c r="C652" s="31" t="s">
        <v>8929</v>
      </c>
      <c r="D652" s="39" t="s">
        <v>10064</v>
      </c>
      <c r="E652" s="31" t="s">
        <v>9998</v>
      </c>
      <c r="F652" s="31"/>
      <c r="G652" s="31"/>
      <c r="H652" s="31"/>
      <c r="I652" s="31"/>
      <c r="J652" s="31"/>
      <c r="K652" s="31"/>
      <c r="L652" s="31"/>
      <c r="M652" s="31"/>
    </row>
    <row r="653" spans="1:13">
      <c r="A653" s="540">
        <v>44455</v>
      </c>
      <c r="B653" s="274" t="s">
        <v>3435</v>
      </c>
      <c r="C653" s="31" t="s">
        <v>8929</v>
      </c>
      <c r="D653" s="39" t="s">
        <v>10064</v>
      </c>
      <c r="E653" s="31" t="s">
        <v>9998</v>
      </c>
      <c r="F653" s="31"/>
      <c r="G653" s="31"/>
      <c r="H653" s="31"/>
      <c r="I653" s="31"/>
      <c r="J653" s="31"/>
      <c r="K653" s="31"/>
      <c r="L653" s="31"/>
      <c r="M653" s="31"/>
    </row>
    <row r="654" spans="1:13">
      <c r="A654" s="535">
        <v>44455</v>
      </c>
      <c r="B654" s="84" t="s">
        <v>10082</v>
      </c>
      <c r="C654" s="31" t="s">
        <v>8929</v>
      </c>
      <c r="D654" s="39" t="s">
        <v>10064</v>
      </c>
      <c r="E654" s="31" t="s">
        <v>10026</v>
      </c>
      <c r="F654" s="31"/>
      <c r="G654" s="31"/>
      <c r="H654" s="31"/>
      <c r="I654" s="31"/>
      <c r="J654" s="31"/>
      <c r="K654" s="31"/>
      <c r="L654" s="31"/>
      <c r="M654" s="31"/>
    </row>
    <row r="655" spans="1:13">
      <c r="A655" s="535">
        <v>44455</v>
      </c>
      <c r="B655" s="240" t="s">
        <v>2938</v>
      </c>
      <c r="C655" s="31" t="s">
        <v>8929</v>
      </c>
      <c r="D655" s="39" t="s">
        <v>10064</v>
      </c>
      <c r="E655" s="31"/>
      <c r="F655" s="31"/>
      <c r="G655" s="31"/>
      <c r="H655" s="31"/>
      <c r="I655" s="31"/>
      <c r="J655" s="31"/>
      <c r="K655" s="31"/>
      <c r="L655" s="31"/>
      <c r="M655" s="31"/>
    </row>
    <row r="656" spans="1:13">
      <c r="A656" s="535">
        <v>44456</v>
      </c>
      <c r="B656" s="240" t="s">
        <v>5256</v>
      </c>
      <c r="C656" s="31" t="s">
        <v>8929</v>
      </c>
      <c r="D656" s="39" t="s">
        <v>10064</v>
      </c>
      <c r="E656" s="31"/>
      <c r="F656" s="31"/>
      <c r="G656" s="31"/>
      <c r="H656" s="31"/>
      <c r="I656" s="31"/>
      <c r="J656" s="31"/>
      <c r="K656" s="31"/>
      <c r="L656" s="31"/>
      <c r="M656" s="31"/>
    </row>
    <row r="657" spans="1:13">
      <c r="A657" s="535">
        <v>44456</v>
      </c>
      <c r="B657" s="240" t="s">
        <v>5254</v>
      </c>
      <c r="C657" s="31" t="s">
        <v>8929</v>
      </c>
      <c r="D657" s="39" t="s">
        <v>10064</v>
      </c>
      <c r="E657" s="31"/>
      <c r="F657" s="31"/>
      <c r="G657" s="31"/>
      <c r="H657" s="31"/>
      <c r="I657" s="31"/>
      <c r="J657" s="31"/>
      <c r="K657" s="31"/>
      <c r="L657" s="31"/>
      <c r="M657" s="31"/>
    </row>
    <row r="658" spans="1:13">
      <c r="A658" s="535">
        <v>44456</v>
      </c>
      <c r="B658" s="274" t="s">
        <v>3127</v>
      </c>
      <c r="C658" s="31" t="s">
        <v>8929</v>
      </c>
      <c r="D658" s="39" t="s">
        <v>10064</v>
      </c>
      <c r="E658" s="31"/>
      <c r="F658" s="31"/>
      <c r="G658" s="31"/>
      <c r="H658" s="31"/>
      <c r="I658" s="31"/>
      <c r="J658" s="31"/>
      <c r="K658" s="31"/>
      <c r="L658" s="31"/>
      <c r="M658" s="31"/>
    </row>
    <row r="659" spans="1:13">
      <c r="A659" s="535">
        <v>44456</v>
      </c>
      <c r="B659" s="274" t="s">
        <v>5258</v>
      </c>
      <c r="C659" s="31" t="s">
        <v>8929</v>
      </c>
      <c r="D659" s="39" t="s">
        <v>10064</v>
      </c>
      <c r="E659" s="31" t="s">
        <v>10026</v>
      </c>
      <c r="F659" s="31"/>
      <c r="G659" s="31"/>
      <c r="H659" s="31"/>
      <c r="I659" s="31"/>
      <c r="J659" s="31"/>
      <c r="K659" s="31"/>
      <c r="L659" s="31"/>
      <c r="M659" s="31"/>
    </row>
    <row r="660" spans="1:13">
      <c r="A660" s="535">
        <v>44456</v>
      </c>
      <c r="B660" s="274" t="s">
        <v>2996</v>
      </c>
      <c r="C660" s="31" t="s">
        <v>8929</v>
      </c>
      <c r="D660" s="39" t="s">
        <v>10064</v>
      </c>
      <c r="E660" s="31" t="s">
        <v>10026</v>
      </c>
      <c r="F660" s="31"/>
      <c r="G660" s="31"/>
      <c r="H660" s="31"/>
      <c r="I660" s="31"/>
      <c r="J660" s="31"/>
      <c r="K660" s="31"/>
      <c r="L660" s="31"/>
      <c r="M660" s="31"/>
    </row>
    <row r="661" spans="1:13">
      <c r="A661" s="535">
        <v>44459</v>
      </c>
      <c r="B661" s="84" t="s">
        <v>10083</v>
      </c>
      <c r="C661" s="31" t="s">
        <v>8929</v>
      </c>
      <c r="D661" s="39" t="s">
        <v>10064</v>
      </c>
      <c r="E661" s="31" t="s">
        <v>9998</v>
      </c>
      <c r="F661" s="31"/>
      <c r="G661" s="31"/>
      <c r="H661" s="31"/>
      <c r="I661" s="31"/>
      <c r="J661" s="31"/>
      <c r="K661" s="31"/>
      <c r="L661" s="31"/>
      <c r="M661" s="31"/>
    </row>
    <row r="662" spans="1:13">
      <c r="A662" s="535">
        <v>44459</v>
      </c>
      <c r="B662" s="240" t="s">
        <v>10084</v>
      </c>
      <c r="C662" s="31" t="s">
        <v>8929</v>
      </c>
      <c r="D662" s="39" t="s">
        <v>10064</v>
      </c>
      <c r="E662" s="31" t="s">
        <v>10004</v>
      </c>
      <c r="F662" s="31"/>
      <c r="G662" s="31"/>
      <c r="H662" s="31"/>
      <c r="I662" s="31"/>
      <c r="J662" s="31"/>
      <c r="K662" s="31"/>
      <c r="L662" s="31"/>
      <c r="M662" s="31"/>
    </row>
    <row r="663" spans="1:13">
      <c r="A663" s="535">
        <v>44459</v>
      </c>
      <c r="B663" s="274" t="s">
        <v>10085</v>
      </c>
      <c r="C663" s="31" t="s">
        <v>8929</v>
      </c>
      <c r="D663" s="39" t="s">
        <v>10064</v>
      </c>
      <c r="E663" s="31" t="s">
        <v>10007</v>
      </c>
      <c r="F663" s="31"/>
      <c r="G663" s="31"/>
      <c r="H663" s="31"/>
      <c r="I663" s="31"/>
      <c r="J663" s="31"/>
      <c r="K663" s="31"/>
      <c r="L663" s="31"/>
      <c r="M663" s="31"/>
    </row>
    <row r="664" spans="1:13">
      <c r="A664" s="535">
        <v>44459</v>
      </c>
      <c r="B664" s="274" t="s">
        <v>10086</v>
      </c>
      <c r="C664" s="31" t="s">
        <v>8929</v>
      </c>
      <c r="D664" s="39" t="s">
        <v>10064</v>
      </c>
      <c r="E664" s="31" t="s">
        <v>10007</v>
      </c>
      <c r="F664" s="31"/>
      <c r="G664" s="31"/>
      <c r="H664" s="31"/>
      <c r="I664" s="31"/>
      <c r="J664" s="31"/>
      <c r="K664" s="31"/>
      <c r="L664" s="31"/>
      <c r="M664" s="31"/>
    </row>
    <row r="665" spans="1:13">
      <c r="A665" s="535">
        <v>44460</v>
      </c>
      <c r="B665" s="240" t="s">
        <v>5264</v>
      </c>
      <c r="C665" s="31" t="s">
        <v>8929</v>
      </c>
      <c r="D665" s="39" t="s">
        <v>10064</v>
      </c>
      <c r="E665" s="31"/>
      <c r="F665" s="31"/>
      <c r="G665" s="31"/>
      <c r="H665" s="31"/>
      <c r="I665" s="31"/>
      <c r="J665" s="31"/>
      <c r="K665" s="31"/>
      <c r="L665" s="31"/>
      <c r="M665" s="31"/>
    </row>
    <row r="666" spans="1:13">
      <c r="A666" s="535">
        <v>44460</v>
      </c>
      <c r="B666" s="240" t="s">
        <v>3761</v>
      </c>
      <c r="C666" s="31" t="s">
        <v>8929</v>
      </c>
      <c r="D666" s="39" t="s">
        <v>10064</v>
      </c>
      <c r="E666" s="31" t="s">
        <v>9998</v>
      </c>
      <c r="F666" s="31"/>
      <c r="G666" s="31"/>
      <c r="H666" s="31"/>
      <c r="I666" s="31"/>
      <c r="J666" s="31"/>
      <c r="K666" s="31"/>
      <c r="L666" s="31"/>
      <c r="M666" s="31"/>
    </row>
    <row r="667" spans="1:13">
      <c r="A667" s="535">
        <v>44460</v>
      </c>
      <c r="B667" s="274" t="s">
        <v>10087</v>
      </c>
      <c r="C667" s="31" t="s">
        <v>8929</v>
      </c>
      <c r="D667" s="39" t="s">
        <v>10064</v>
      </c>
      <c r="E667" s="31" t="s">
        <v>10007</v>
      </c>
      <c r="F667" s="31"/>
      <c r="G667" s="31"/>
      <c r="H667" s="31"/>
      <c r="I667" s="31"/>
      <c r="J667" s="31"/>
      <c r="K667" s="31"/>
      <c r="L667" s="31"/>
      <c r="M667" s="31"/>
    </row>
    <row r="668" spans="1:13">
      <c r="A668" s="535">
        <v>44460</v>
      </c>
      <c r="B668" s="84" t="s">
        <v>10088</v>
      </c>
      <c r="C668" s="31" t="s">
        <v>8929</v>
      </c>
      <c r="D668" s="39" t="s">
        <v>10064</v>
      </c>
      <c r="E668" s="31" t="s">
        <v>9999</v>
      </c>
      <c r="F668" s="31"/>
      <c r="G668" s="31"/>
      <c r="H668" s="31"/>
      <c r="I668" s="31"/>
      <c r="J668" s="31"/>
      <c r="K668" s="31"/>
      <c r="L668" s="31"/>
      <c r="M668" s="31"/>
    </row>
    <row r="669" spans="1:13">
      <c r="A669" s="535">
        <v>44460</v>
      </c>
      <c r="B669" s="84" t="s">
        <v>10089</v>
      </c>
      <c r="C669" s="31" t="s">
        <v>8929</v>
      </c>
      <c r="D669" s="39" t="s">
        <v>10064</v>
      </c>
      <c r="E669" s="31"/>
      <c r="F669" s="31"/>
      <c r="G669" s="31"/>
      <c r="H669" s="31"/>
      <c r="I669" s="31"/>
      <c r="J669" s="31"/>
      <c r="K669" s="31"/>
      <c r="L669" s="31"/>
      <c r="M669" s="31"/>
    </row>
    <row r="670" spans="1:13">
      <c r="A670" s="535">
        <v>44460</v>
      </c>
      <c r="B670" s="84" t="s">
        <v>10090</v>
      </c>
      <c r="C670" s="31" t="s">
        <v>8929</v>
      </c>
      <c r="D670" s="39" t="s">
        <v>10064</v>
      </c>
      <c r="E670" s="31"/>
      <c r="F670" s="31"/>
      <c r="G670" s="31"/>
      <c r="H670" s="31"/>
      <c r="I670" s="31"/>
      <c r="J670" s="31"/>
      <c r="K670" s="31"/>
      <c r="L670" s="31"/>
      <c r="M670" s="31"/>
    </row>
    <row r="671" spans="1:13">
      <c r="A671" s="535">
        <v>44460</v>
      </c>
      <c r="B671" s="84" t="s">
        <v>10091</v>
      </c>
      <c r="C671" s="31" t="s">
        <v>8929</v>
      </c>
      <c r="D671" s="39" t="s">
        <v>10064</v>
      </c>
      <c r="E671" s="31"/>
      <c r="F671" s="31"/>
      <c r="G671" s="31"/>
      <c r="H671" s="31"/>
      <c r="I671" s="31"/>
      <c r="J671" s="31"/>
      <c r="K671" s="31"/>
      <c r="L671" s="31"/>
      <c r="M671" s="31"/>
    </row>
    <row r="672" spans="1:13">
      <c r="A672" s="535">
        <v>44460</v>
      </c>
      <c r="B672" s="240" t="s">
        <v>10092</v>
      </c>
      <c r="C672" s="31" t="s">
        <v>8929</v>
      </c>
      <c r="D672" s="39" t="s">
        <v>10064</v>
      </c>
      <c r="E672" s="31" t="s">
        <v>10004</v>
      </c>
      <c r="F672" s="31"/>
      <c r="G672" s="31"/>
      <c r="H672" s="31"/>
      <c r="I672" s="31"/>
      <c r="J672" s="31"/>
      <c r="K672" s="31"/>
      <c r="L672" s="31"/>
      <c r="M672" s="31"/>
    </row>
    <row r="673" spans="1:13">
      <c r="A673" s="535">
        <v>44460</v>
      </c>
      <c r="B673" s="274" t="s">
        <v>10093</v>
      </c>
      <c r="C673" s="31" t="s">
        <v>8929</v>
      </c>
      <c r="D673" s="39" t="s">
        <v>10064</v>
      </c>
      <c r="E673" s="31" t="s">
        <v>10004</v>
      </c>
      <c r="F673" s="31"/>
      <c r="G673" s="31"/>
      <c r="H673" s="31"/>
      <c r="I673" s="31"/>
      <c r="J673" s="31"/>
      <c r="K673" s="31"/>
      <c r="L673" s="31"/>
      <c r="M673" s="31"/>
    </row>
    <row r="674" spans="1:13">
      <c r="A674" s="535">
        <v>44461</v>
      </c>
      <c r="B674" s="84" t="s">
        <v>10094</v>
      </c>
      <c r="C674" s="31" t="s">
        <v>8929</v>
      </c>
      <c r="D674" s="39" t="s">
        <v>10064</v>
      </c>
      <c r="E674" s="31"/>
      <c r="F674" s="31"/>
      <c r="G674" s="31"/>
      <c r="H674" s="31"/>
      <c r="I674" s="31"/>
      <c r="J674" s="31"/>
      <c r="K674" s="31"/>
      <c r="L674" s="31"/>
      <c r="M674" s="31"/>
    </row>
    <row r="675" spans="1:13">
      <c r="A675" s="535">
        <v>44461</v>
      </c>
      <c r="B675" s="240" t="s">
        <v>2899</v>
      </c>
      <c r="C675" s="31" t="s">
        <v>8929</v>
      </c>
      <c r="D675" s="39" t="s">
        <v>10064</v>
      </c>
      <c r="E675" s="31" t="s">
        <v>9999</v>
      </c>
      <c r="F675" s="31"/>
      <c r="G675" s="31"/>
      <c r="H675" s="31"/>
      <c r="I675" s="31"/>
      <c r="J675" s="31"/>
      <c r="K675" s="31"/>
      <c r="L675" s="31"/>
      <c r="M675" s="31"/>
    </row>
    <row r="676" spans="1:13">
      <c r="A676" s="535">
        <v>44462</v>
      </c>
      <c r="B676" s="274" t="s">
        <v>10095</v>
      </c>
      <c r="C676" s="31" t="s">
        <v>8929</v>
      </c>
      <c r="D676" s="39" t="s">
        <v>10064</v>
      </c>
      <c r="E676" s="31" t="s">
        <v>9999</v>
      </c>
      <c r="F676" s="31"/>
      <c r="G676" s="31"/>
      <c r="H676" s="31"/>
      <c r="I676" s="31"/>
      <c r="J676" s="31"/>
      <c r="K676" s="31"/>
      <c r="L676" s="31"/>
      <c r="M676" s="31"/>
    </row>
    <row r="677" spans="1:13">
      <c r="A677" s="535">
        <v>44462</v>
      </c>
      <c r="B677" s="274" t="s">
        <v>10096</v>
      </c>
      <c r="C677" s="31" t="s">
        <v>8929</v>
      </c>
      <c r="D677" s="39" t="s">
        <v>10064</v>
      </c>
      <c r="E677" s="31" t="s">
        <v>9999</v>
      </c>
      <c r="F677" s="31"/>
      <c r="G677" s="31"/>
      <c r="H677" s="31"/>
      <c r="I677" s="31"/>
      <c r="J677" s="31"/>
      <c r="K677" s="31"/>
      <c r="L677" s="31"/>
      <c r="M677" s="31"/>
    </row>
    <row r="678" spans="1:13">
      <c r="A678" s="535">
        <v>44462</v>
      </c>
      <c r="B678" s="240" t="s">
        <v>10097</v>
      </c>
      <c r="C678" s="31" t="s">
        <v>8929</v>
      </c>
      <c r="D678" s="39" t="s">
        <v>10064</v>
      </c>
      <c r="E678" s="31" t="s">
        <v>10098</v>
      </c>
      <c r="F678" s="31"/>
      <c r="G678" s="31"/>
      <c r="H678" s="31"/>
      <c r="I678" s="31"/>
      <c r="J678" s="31"/>
      <c r="K678" s="31"/>
      <c r="L678" s="31"/>
      <c r="M678" s="31"/>
    </row>
    <row r="679" spans="1:13">
      <c r="A679" s="535">
        <v>44462</v>
      </c>
      <c r="B679" s="292" t="s">
        <v>2913</v>
      </c>
      <c r="C679" s="31" t="s">
        <v>10099</v>
      </c>
      <c r="D679" s="39" t="s">
        <v>10064</v>
      </c>
      <c r="E679" s="31" t="s">
        <v>9998</v>
      </c>
      <c r="F679" s="31"/>
      <c r="G679" s="31"/>
      <c r="H679" s="31"/>
      <c r="I679" s="31"/>
      <c r="J679" s="31"/>
      <c r="K679" s="31"/>
      <c r="L679" s="31"/>
      <c r="M679" s="31"/>
    </row>
    <row r="680" spans="1:13">
      <c r="A680" s="535">
        <v>44462</v>
      </c>
      <c r="B680" s="345" t="s">
        <v>5279</v>
      </c>
      <c r="C680" s="31" t="s">
        <v>8929</v>
      </c>
      <c r="D680" s="39" t="s">
        <v>10064</v>
      </c>
      <c r="E680" s="31"/>
      <c r="F680" s="31"/>
      <c r="G680" s="31"/>
      <c r="H680" s="31"/>
      <c r="I680" s="31"/>
      <c r="J680" s="31"/>
      <c r="K680" s="31"/>
      <c r="L680" s="31"/>
      <c r="M680" s="31"/>
    </row>
    <row r="681" spans="1:13">
      <c r="A681" s="535">
        <v>44463</v>
      </c>
      <c r="B681" s="274" t="s">
        <v>10100</v>
      </c>
      <c r="C681" s="31" t="s">
        <v>8929</v>
      </c>
      <c r="D681" s="39" t="s">
        <v>10064</v>
      </c>
      <c r="E681" s="31"/>
      <c r="F681" s="31"/>
      <c r="G681" s="31"/>
      <c r="H681" s="31"/>
      <c r="I681" s="31"/>
      <c r="J681" s="31"/>
      <c r="K681" s="31"/>
      <c r="L681" s="31"/>
      <c r="M681" s="31"/>
    </row>
    <row r="682" spans="1:13">
      <c r="A682" s="535">
        <v>44463</v>
      </c>
      <c r="B682" s="274" t="s">
        <v>3577</v>
      </c>
      <c r="C682" s="31" t="s">
        <v>8929</v>
      </c>
      <c r="D682" s="39" t="s">
        <v>10064</v>
      </c>
      <c r="E682" s="31" t="s">
        <v>10007</v>
      </c>
      <c r="F682" s="31"/>
      <c r="G682" s="31"/>
      <c r="H682" s="31"/>
      <c r="I682" s="31"/>
      <c r="J682" s="31"/>
      <c r="K682" s="31"/>
      <c r="L682" s="31"/>
      <c r="M682" s="31"/>
    </row>
    <row r="683" spans="1:13">
      <c r="A683" s="535">
        <v>44466</v>
      </c>
      <c r="B683" s="274" t="s">
        <v>10101</v>
      </c>
      <c r="C683" s="84" t="s">
        <v>8929</v>
      </c>
      <c r="D683" s="208" t="s">
        <v>10064</v>
      </c>
      <c r="E683" s="84" t="s">
        <v>10072</v>
      </c>
      <c r="F683" s="84"/>
      <c r="G683" s="84"/>
      <c r="H683" s="31"/>
      <c r="I683" s="31"/>
      <c r="J683" s="31"/>
      <c r="K683" s="31"/>
      <c r="L683" s="31"/>
      <c r="M683" s="31"/>
    </row>
    <row r="684" spans="1:13">
      <c r="A684" s="535">
        <v>44466</v>
      </c>
      <c r="B684" s="274" t="s">
        <v>5277</v>
      </c>
      <c r="C684" s="31" t="s">
        <v>8929</v>
      </c>
      <c r="D684" s="39" t="s">
        <v>10064</v>
      </c>
      <c r="E684" s="31"/>
      <c r="F684" s="31"/>
      <c r="G684" s="31"/>
      <c r="H684" s="31"/>
      <c r="I684" s="31"/>
      <c r="J684" s="31"/>
      <c r="K684" s="31"/>
      <c r="L684" s="31"/>
      <c r="M684" s="31"/>
    </row>
    <row r="685" spans="1:13">
      <c r="A685" s="535">
        <v>44467</v>
      </c>
      <c r="B685" t="s">
        <v>10102</v>
      </c>
      <c r="C685" s="31" t="s">
        <v>8929</v>
      </c>
      <c r="D685" s="39" t="s">
        <v>10064</v>
      </c>
      <c r="E685" s="31" t="s">
        <v>9999</v>
      </c>
      <c r="F685" s="31"/>
      <c r="G685" s="31"/>
      <c r="H685" s="31"/>
      <c r="I685" s="31"/>
      <c r="J685" s="31"/>
      <c r="K685" s="31"/>
      <c r="L685" s="31"/>
      <c r="M685" s="31"/>
    </row>
    <row r="686" spans="1:13">
      <c r="A686" s="535">
        <v>44467</v>
      </c>
      <c r="B686" s="240" t="s">
        <v>5281</v>
      </c>
      <c r="C686" s="31" t="s">
        <v>8929</v>
      </c>
      <c r="D686" s="39" t="s">
        <v>10064</v>
      </c>
      <c r="E686" s="31"/>
      <c r="F686" s="31"/>
      <c r="G686" s="31"/>
      <c r="H686" s="31"/>
      <c r="I686" s="31"/>
      <c r="J686" s="31"/>
      <c r="K686" s="31"/>
      <c r="L686" s="31"/>
      <c r="M686" s="31"/>
    </row>
    <row r="687" spans="1:13">
      <c r="A687" s="535">
        <v>44468</v>
      </c>
      <c r="B687" s="240" t="s">
        <v>2909</v>
      </c>
      <c r="C687" s="31" t="s">
        <v>8929</v>
      </c>
      <c r="D687" s="39" t="s">
        <v>10064</v>
      </c>
      <c r="E687" s="31" t="s">
        <v>10004</v>
      </c>
      <c r="F687" s="31"/>
      <c r="G687" s="31"/>
      <c r="H687" s="31"/>
      <c r="I687" s="31"/>
      <c r="J687" s="31"/>
      <c r="K687" s="31"/>
      <c r="L687" s="31"/>
      <c r="M687" s="31"/>
    </row>
    <row r="688" spans="1:13">
      <c r="A688" s="535">
        <v>44468</v>
      </c>
      <c r="B688" s="274" t="s">
        <v>2890</v>
      </c>
      <c r="C688" s="31" t="s">
        <v>8929</v>
      </c>
      <c r="D688" s="39" t="s">
        <v>10064</v>
      </c>
      <c r="E688" s="31"/>
      <c r="F688" s="31"/>
      <c r="G688" s="31"/>
      <c r="H688" s="31"/>
      <c r="I688" s="31"/>
      <c r="J688" s="31"/>
      <c r="K688" s="31"/>
      <c r="L688" s="31"/>
      <c r="M688" s="31"/>
    </row>
    <row r="689" spans="1:13">
      <c r="A689" s="535">
        <v>44468</v>
      </c>
      <c r="B689" s="240" t="s">
        <v>10103</v>
      </c>
      <c r="C689" s="31" t="s">
        <v>8929</v>
      </c>
      <c r="D689" s="39" t="s">
        <v>10064</v>
      </c>
      <c r="E689" s="31"/>
      <c r="F689" s="31"/>
      <c r="G689" s="31"/>
      <c r="H689" s="31"/>
      <c r="I689" s="31"/>
      <c r="J689" s="31"/>
      <c r="K689" s="31"/>
      <c r="L689" s="31"/>
      <c r="M689" s="31"/>
    </row>
    <row r="690" spans="1:13">
      <c r="A690" s="535">
        <v>44468</v>
      </c>
      <c r="B690" s="240" t="s">
        <v>10104</v>
      </c>
      <c r="C690" s="31" t="s">
        <v>8929</v>
      </c>
      <c r="D690" s="39" t="s">
        <v>10064</v>
      </c>
      <c r="E690" s="31" t="s">
        <v>10105</v>
      </c>
      <c r="F690" s="31"/>
      <c r="G690" s="31"/>
      <c r="H690" s="31"/>
      <c r="I690" s="31"/>
      <c r="J690" s="31"/>
      <c r="K690" s="31"/>
      <c r="L690" s="31"/>
      <c r="M690" s="31"/>
    </row>
    <row r="691" spans="1:13">
      <c r="A691" s="535">
        <v>44468</v>
      </c>
      <c r="B691" s="240" t="s">
        <v>10106</v>
      </c>
      <c r="C691" s="31" t="s">
        <v>8929</v>
      </c>
      <c r="D691" s="39" t="s">
        <v>10064</v>
      </c>
      <c r="E691" s="31" t="s">
        <v>10105</v>
      </c>
      <c r="F691" s="31"/>
      <c r="G691" s="31"/>
      <c r="H691" s="31"/>
      <c r="I691" s="31"/>
      <c r="J691" s="31"/>
      <c r="K691" s="31"/>
      <c r="L691" s="31"/>
      <c r="M691" s="31"/>
    </row>
    <row r="692" spans="1:13">
      <c r="A692" s="535">
        <v>44468</v>
      </c>
      <c r="B692" s="240" t="s">
        <v>10107</v>
      </c>
      <c r="C692" s="31" t="s">
        <v>8929</v>
      </c>
      <c r="D692" s="39" t="s">
        <v>10064</v>
      </c>
      <c r="E692" s="31"/>
      <c r="F692" s="31"/>
      <c r="G692" s="31"/>
      <c r="H692" s="31"/>
      <c r="I692" s="31"/>
      <c r="J692" s="31"/>
      <c r="K692" s="31"/>
      <c r="L692" s="31"/>
      <c r="M692" s="31"/>
    </row>
    <row r="693" spans="1:13">
      <c r="A693" s="535">
        <v>44468</v>
      </c>
      <c r="B693" s="240" t="s">
        <v>10108</v>
      </c>
      <c r="C693" s="84" t="s">
        <v>8929</v>
      </c>
      <c r="D693" s="208" t="s">
        <v>10064</v>
      </c>
      <c r="E693" s="306">
        <v>44562</v>
      </c>
      <c r="F693" s="84"/>
      <c r="G693" s="84"/>
      <c r="H693" s="31"/>
      <c r="I693" s="31"/>
      <c r="J693" s="31"/>
      <c r="K693" s="31"/>
      <c r="L693" s="31"/>
      <c r="M693" s="31"/>
    </row>
    <row r="694" spans="1:13">
      <c r="A694" s="535">
        <v>44469</v>
      </c>
      <c r="B694" s="274" t="s">
        <v>10109</v>
      </c>
      <c r="C694" s="31" t="s">
        <v>8929</v>
      </c>
      <c r="D694" s="39" t="s">
        <v>10064</v>
      </c>
      <c r="E694" s="31"/>
      <c r="F694" s="31"/>
      <c r="G694" s="31"/>
      <c r="H694" s="31"/>
      <c r="I694" s="31"/>
      <c r="J694" s="31"/>
      <c r="K694" s="31"/>
      <c r="L694" s="31"/>
      <c r="M694" s="31"/>
    </row>
    <row r="695" spans="1:13">
      <c r="A695" s="535">
        <v>44469</v>
      </c>
      <c r="B695" s="84" t="s">
        <v>5293</v>
      </c>
      <c r="C695" s="31" t="s">
        <v>8929</v>
      </c>
      <c r="D695" s="39" t="s">
        <v>10064</v>
      </c>
      <c r="E695" s="31"/>
      <c r="F695" s="31"/>
      <c r="G695" s="31"/>
      <c r="H695" s="31"/>
      <c r="I695" s="31"/>
      <c r="J695" s="31"/>
      <c r="K695" s="31"/>
      <c r="L695" s="31"/>
      <c r="M695" s="31"/>
    </row>
    <row r="696" spans="1:13">
      <c r="A696" s="535">
        <v>44469</v>
      </c>
      <c r="B696" s="240" t="s">
        <v>5289</v>
      </c>
      <c r="C696" s="31" t="s">
        <v>8929</v>
      </c>
      <c r="D696" s="39" t="s">
        <v>10064</v>
      </c>
      <c r="E696" s="31"/>
      <c r="F696" s="31"/>
      <c r="G696" s="31"/>
      <c r="H696" s="31"/>
      <c r="I696" s="31"/>
      <c r="J696" s="31"/>
      <c r="K696" s="31"/>
      <c r="L696" s="31"/>
      <c r="M696" s="31"/>
    </row>
    <row r="697" spans="1:13">
      <c r="A697" s="535">
        <v>44469</v>
      </c>
      <c r="B697" s="240" t="s">
        <v>10110</v>
      </c>
      <c r="C697" s="31" t="s">
        <v>8929</v>
      </c>
      <c r="D697" s="39" t="s">
        <v>10064</v>
      </c>
      <c r="E697" s="133"/>
      <c r="F697" s="31"/>
      <c r="G697" s="31"/>
      <c r="H697" s="31"/>
      <c r="I697" s="31"/>
      <c r="J697" s="31"/>
      <c r="K697" s="31"/>
      <c r="L697" s="31"/>
      <c r="M697" s="31"/>
    </row>
    <row r="698" spans="1:13">
      <c r="A698" s="535"/>
      <c r="B698" s="297" t="s">
        <v>4357</v>
      </c>
      <c r="C698" s="31"/>
      <c r="D698" s="39"/>
      <c r="E698" s="31"/>
      <c r="F698" s="31"/>
      <c r="G698" s="31"/>
      <c r="H698" s="31"/>
      <c r="I698" s="31"/>
      <c r="J698" s="31"/>
      <c r="K698" s="31"/>
      <c r="L698" s="31"/>
      <c r="M698" s="31"/>
    </row>
    <row r="699" spans="1:13">
      <c r="A699" s="535">
        <v>44470</v>
      </c>
      <c r="B699" s="274" t="s">
        <v>3004</v>
      </c>
      <c r="C699" s="31" t="s">
        <v>8929</v>
      </c>
      <c r="D699" s="39" t="s">
        <v>4357</v>
      </c>
      <c r="E699" s="31" t="s">
        <v>9998</v>
      </c>
      <c r="F699" s="31"/>
      <c r="G699" s="31"/>
      <c r="H699" s="31"/>
      <c r="I699" s="31"/>
      <c r="J699" s="31"/>
      <c r="K699" s="31"/>
      <c r="L699" s="31"/>
      <c r="M699" s="31"/>
    </row>
    <row r="700" spans="1:13">
      <c r="A700" s="535">
        <v>44473</v>
      </c>
      <c r="B700" s="84" t="s">
        <v>5260</v>
      </c>
      <c r="C700" s="31" t="s">
        <v>8929</v>
      </c>
      <c r="D700" s="39" t="s">
        <v>4357</v>
      </c>
      <c r="E700" s="31" t="s">
        <v>9998</v>
      </c>
      <c r="F700" s="31"/>
      <c r="G700" s="31"/>
      <c r="H700" s="31"/>
      <c r="I700" s="31"/>
      <c r="J700" s="31"/>
      <c r="K700" s="31"/>
      <c r="L700" s="31"/>
      <c r="M700" s="31"/>
    </row>
    <row r="701" spans="1:13">
      <c r="A701" s="535">
        <v>44473</v>
      </c>
      <c r="B701" s="274" t="s">
        <v>5297</v>
      </c>
      <c r="C701" s="31" t="s">
        <v>8929</v>
      </c>
      <c r="D701" s="39" t="s">
        <v>10111</v>
      </c>
      <c r="E701" s="31" t="s">
        <v>10004</v>
      </c>
      <c r="F701" s="31"/>
      <c r="G701" s="31"/>
      <c r="H701" s="31"/>
      <c r="I701" s="31"/>
      <c r="J701" s="31"/>
      <c r="K701" s="31"/>
      <c r="L701" s="31"/>
      <c r="M701" s="31"/>
    </row>
    <row r="702" spans="1:13">
      <c r="A702" s="535">
        <v>44474</v>
      </c>
      <c r="B702" s="240" t="s">
        <v>4957</v>
      </c>
      <c r="C702" s="31" t="s">
        <v>8929</v>
      </c>
      <c r="D702" s="39" t="s">
        <v>10111</v>
      </c>
      <c r="E702" s="31" t="s">
        <v>10072</v>
      </c>
      <c r="F702" s="31"/>
      <c r="G702" s="31"/>
      <c r="H702" s="31"/>
      <c r="I702" s="31"/>
      <c r="J702" s="31"/>
      <c r="K702" s="31"/>
      <c r="L702" s="31"/>
      <c r="M702" s="31"/>
    </row>
    <row r="703" spans="1:13">
      <c r="A703" s="540">
        <v>44474</v>
      </c>
      <c r="B703" s="240" t="s">
        <v>5299</v>
      </c>
      <c r="C703" s="31" t="s">
        <v>8929</v>
      </c>
      <c r="D703" s="39" t="s">
        <v>10111</v>
      </c>
      <c r="E703" s="31" t="s">
        <v>9999</v>
      </c>
      <c r="F703" s="31"/>
      <c r="G703" s="31"/>
      <c r="H703" s="31"/>
      <c r="I703" s="31"/>
      <c r="J703" s="31"/>
      <c r="K703" s="31"/>
      <c r="L703" s="31"/>
      <c r="M703" s="31"/>
    </row>
    <row r="704" spans="1:13">
      <c r="A704" s="535">
        <v>44474</v>
      </c>
      <c r="B704" s="274" t="s">
        <v>5305</v>
      </c>
      <c r="C704" s="31" t="s">
        <v>8929</v>
      </c>
      <c r="D704" s="39" t="s">
        <v>10111</v>
      </c>
      <c r="E704" s="31" t="s">
        <v>9999</v>
      </c>
      <c r="F704" s="31"/>
      <c r="G704" s="31"/>
      <c r="H704" s="31"/>
      <c r="I704" s="31"/>
      <c r="J704" s="31"/>
      <c r="K704" s="31"/>
      <c r="L704" s="31"/>
      <c r="M704" s="31"/>
    </row>
    <row r="705" spans="1:13">
      <c r="A705" s="535">
        <v>44474</v>
      </c>
      <c r="B705" s="240" t="s">
        <v>5307</v>
      </c>
      <c r="C705" s="31" t="s">
        <v>8929</v>
      </c>
      <c r="D705" s="39" t="s">
        <v>10111</v>
      </c>
      <c r="E705" s="31" t="s">
        <v>9998</v>
      </c>
      <c r="F705" s="31"/>
      <c r="G705" s="31"/>
      <c r="H705" s="31"/>
      <c r="I705" s="31"/>
      <c r="J705" s="31"/>
      <c r="K705" s="31"/>
      <c r="L705" s="31"/>
      <c r="M705" s="31"/>
    </row>
    <row r="706" spans="1:13">
      <c r="A706" s="535">
        <v>44475</v>
      </c>
      <c r="B706" s="274" t="s">
        <v>10112</v>
      </c>
      <c r="C706" s="31" t="s">
        <v>8929</v>
      </c>
      <c r="D706" s="39" t="s">
        <v>10111</v>
      </c>
      <c r="E706" s="31" t="s">
        <v>10007</v>
      </c>
      <c r="F706" s="31"/>
      <c r="G706" s="31"/>
      <c r="H706" s="31"/>
      <c r="I706" s="31"/>
      <c r="J706" s="31"/>
      <c r="K706" s="31"/>
      <c r="L706" s="31"/>
      <c r="M706" s="31"/>
    </row>
    <row r="707" spans="1:13">
      <c r="A707" s="541">
        <v>44475</v>
      </c>
      <c r="B707" s="346" t="s">
        <v>5309</v>
      </c>
      <c r="C707" s="31" t="s">
        <v>8929</v>
      </c>
      <c r="D707" s="39" t="s">
        <v>10111</v>
      </c>
      <c r="E707" s="31"/>
      <c r="F707" s="31"/>
      <c r="G707" s="31"/>
      <c r="H707" s="31"/>
      <c r="I707" s="31"/>
      <c r="J707" s="31"/>
      <c r="K707" s="31"/>
      <c r="L707" s="31"/>
      <c r="M707" s="31"/>
    </row>
    <row r="708" spans="1:13">
      <c r="A708" s="535">
        <v>44476</v>
      </c>
      <c r="B708" s="240" t="s">
        <v>10113</v>
      </c>
      <c r="C708" s="31" t="s">
        <v>8929</v>
      </c>
      <c r="D708" s="39" t="s">
        <v>10111</v>
      </c>
      <c r="E708" s="31"/>
      <c r="F708" s="31"/>
      <c r="G708" s="31"/>
      <c r="H708" s="31"/>
      <c r="I708" s="31"/>
      <c r="J708" s="31"/>
      <c r="K708" s="31"/>
      <c r="L708" s="31"/>
      <c r="M708" s="31"/>
    </row>
    <row r="709" spans="1:13">
      <c r="A709" s="535">
        <v>44476</v>
      </c>
      <c r="B709" s="84" t="s">
        <v>10114</v>
      </c>
      <c r="C709" s="31" t="s">
        <v>8929</v>
      </c>
      <c r="D709" s="39" t="s">
        <v>10111</v>
      </c>
      <c r="E709" s="31"/>
      <c r="F709" s="31"/>
      <c r="G709" s="31"/>
      <c r="H709" s="31"/>
      <c r="I709" s="31"/>
      <c r="J709" s="31"/>
      <c r="K709" s="31"/>
      <c r="L709" s="31"/>
      <c r="M709" s="31"/>
    </row>
    <row r="710" spans="1:13">
      <c r="A710" s="535">
        <v>44476</v>
      </c>
      <c r="B710" s="274" t="s">
        <v>5313</v>
      </c>
      <c r="C710" s="31" t="s">
        <v>8929</v>
      </c>
      <c r="D710" s="39" t="s">
        <v>10111</v>
      </c>
      <c r="E710" s="31" t="s">
        <v>10026</v>
      </c>
      <c r="F710" s="31"/>
      <c r="G710" s="31"/>
      <c r="H710" s="31"/>
      <c r="I710" s="31"/>
      <c r="J710" s="31"/>
      <c r="K710" s="31"/>
      <c r="L710" s="31"/>
      <c r="M710" s="31"/>
    </row>
    <row r="711" spans="1:13">
      <c r="A711" s="535">
        <v>44480</v>
      </c>
      <c r="B711" s="84" t="s">
        <v>5321</v>
      </c>
      <c r="C711" s="31" t="s">
        <v>8929</v>
      </c>
      <c r="D711" s="39" t="s">
        <v>10111</v>
      </c>
      <c r="E711" s="31"/>
      <c r="F711" s="31"/>
      <c r="G711" s="31"/>
      <c r="H711" s="31"/>
      <c r="I711" s="31"/>
      <c r="J711" s="31"/>
      <c r="K711" s="31"/>
      <c r="L711" s="31"/>
      <c r="M711" s="31"/>
    </row>
    <row r="712" spans="1:13">
      <c r="A712" s="535">
        <v>44480</v>
      </c>
      <c r="B712" s="240" t="s">
        <v>10115</v>
      </c>
      <c r="C712" s="31" t="s">
        <v>8929</v>
      </c>
      <c r="D712" s="39" t="s">
        <v>10111</v>
      </c>
      <c r="E712" s="31" t="s">
        <v>9999</v>
      </c>
      <c r="F712" s="31"/>
      <c r="G712" s="31"/>
      <c r="H712" s="31"/>
      <c r="I712" s="31"/>
      <c r="J712" s="31"/>
      <c r="K712" s="31"/>
      <c r="L712" s="31"/>
      <c r="M712" s="31"/>
    </row>
    <row r="713" spans="1:13">
      <c r="A713" s="535">
        <v>44480</v>
      </c>
      <c r="B713" s="240" t="s">
        <v>3928</v>
      </c>
      <c r="C713" s="31" t="s">
        <v>8929</v>
      </c>
      <c r="D713" s="39" t="s">
        <v>10111</v>
      </c>
      <c r="E713" s="31"/>
      <c r="F713" s="31"/>
      <c r="G713" s="31"/>
      <c r="H713" s="31"/>
      <c r="I713" s="31"/>
      <c r="J713" s="31"/>
      <c r="K713" s="31"/>
      <c r="L713" s="31"/>
      <c r="M713" s="31"/>
    </row>
    <row r="714" spans="1:13">
      <c r="A714" s="535">
        <v>44480</v>
      </c>
      <c r="B714" s="240" t="s">
        <v>5311</v>
      </c>
      <c r="C714" s="31" t="s">
        <v>8929</v>
      </c>
      <c r="D714" s="39" t="s">
        <v>10111</v>
      </c>
      <c r="E714" s="31" t="s">
        <v>10098</v>
      </c>
      <c r="F714" s="31"/>
      <c r="G714" s="31"/>
      <c r="H714" s="31"/>
      <c r="I714" s="31"/>
      <c r="J714" s="31"/>
      <c r="K714" s="31"/>
      <c r="L714" s="31"/>
      <c r="M714" s="31"/>
    </row>
    <row r="715" spans="1:13">
      <c r="A715" s="535">
        <v>44482</v>
      </c>
      <c r="B715" s="240" t="s">
        <v>5323</v>
      </c>
      <c r="C715" s="31" t="s">
        <v>8929</v>
      </c>
      <c r="D715" s="39" t="s">
        <v>10111</v>
      </c>
      <c r="E715" s="31"/>
      <c r="F715" s="31"/>
      <c r="G715" s="31"/>
      <c r="H715" s="31"/>
      <c r="I715" s="31"/>
      <c r="J715" s="31"/>
      <c r="K715" s="31"/>
      <c r="L715" s="31"/>
      <c r="M715" s="31"/>
    </row>
    <row r="716" spans="1:13">
      <c r="A716" s="535">
        <v>44482</v>
      </c>
      <c r="B716" s="240" t="s">
        <v>3251</v>
      </c>
      <c r="C716" s="31" t="s">
        <v>8929</v>
      </c>
      <c r="D716" s="39" t="s">
        <v>10111</v>
      </c>
      <c r="E716" s="31" t="s">
        <v>9999</v>
      </c>
      <c r="F716" s="31"/>
      <c r="G716" s="31"/>
      <c r="H716" s="31"/>
      <c r="I716" s="31"/>
      <c r="J716" s="31"/>
      <c r="K716" s="31"/>
      <c r="L716" s="31"/>
      <c r="M716" s="31"/>
    </row>
    <row r="717" spans="1:13">
      <c r="A717" s="535">
        <v>44482</v>
      </c>
      <c r="B717" s="274" t="s">
        <v>10116</v>
      </c>
      <c r="C717" s="31" t="s">
        <v>8929</v>
      </c>
      <c r="D717" s="39" t="s">
        <v>10111</v>
      </c>
      <c r="E717" s="31"/>
      <c r="F717" s="31"/>
      <c r="G717" s="31"/>
      <c r="H717" s="31"/>
      <c r="I717" s="31"/>
      <c r="J717" s="31"/>
      <c r="K717" s="31"/>
      <c r="L717" s="31"/>
      <c r="M717" s="31"/>
    </row>
    <row r="718" spans="1:13">
      <c r="A718" s="535">
        <v>44482</v>
      </c>
      <c r="B718" s="274" t="s">
        <v>10117</v>
      </c>
      <c r="C718" s="31" t="s">
        <v>8929</v>
      </c>
      <c r="D718" s="39" t="s">
        <v>10111</v>
      </c>
      <c r="E718" s="31" t="s">
        <v>9999</v>
      </c>
      <c r="F718" s="31"/>
      <c r="G718" s="31"/>
      <c r="H718" s="31"/>
      <c r="I718" s="31"/>
      <c r="J718" s="31"/>
      <c r="K718" s="31"/>
      <c r="L718" s="31"/>
      <c r="M718" s="31"/>
    </row>
    <row r="719" spans="1:13">
      <c r="A719" s="535">
        <v>44483</v>
      </c>
      <c r="B719" s="84" t="s">
        <v>5327</v>
      </c>
      <c r="C719" s="31" t="s">
        <v>8929</v>
      </c>
      <c r="D719" s="39" t="s">
        <v>10111</v>
      </c>
      <c r="E719" s="31" t="s">
        <v>9998</v>
      </c>
      <c r="F719" s="31"/>
      <c r="G719" s="31"/>
      <c r="H719" s="31"/>
      <c r="I719" s="31"/>
      <c r="J719" s="31"/>
      <c r="K719" s="31"/>
      <c r="L719" s="31"/>
      <c r="M719" s="31"/>
    </row>
    <row r="720" spans="1:13">
      <c r="A720" s="535">
        <v>44483</v>
      </c>
      <c r="B720" s="274" t="s">
        <v>5325</v>
      </c>
      <c r="C720" s="31" t="s">
        <v>8929</v>
      </c>
      <c r="D720" s="39" t="s">
        <v>10111</v>
      </c>
      <c r="E720" s="31" t="s">
        <v>9999</v>
      </c>
      <c r="F720" s="31"/>
      <c r="G720" s="31"/>
      <c r="H720" s="31"/>
      <c r="I720" s="31"/>
      <c r="J720" s="31"/>
      <c r="K720" s="31"/>
      <c r="L720" s="31"/>
      <c r="M720" s="31"/>
    </row>
    <row r="721" spans="1:13">
      <c r="A721" s="535">
        <v>44483</v>
      </c>
      <c r="B721" s="240" t="s">
        <v>5329</v>
      </c>
      <c r="C721" s="31" t="s">
        <v>8929</v>
      </c>
      <c r="D721" s="39" t="s">
        <v>10111</v>
      </c>
      <c r="E721" s="31"/>
      <c r="F721" s="31"/>
      <c r="G721" s="31"/>
      <c r="H721" s="31"/>
      <c r="I721" s="31"/>
      <c r="J721" s="31"/>
      <c r="K721" s="31"/>
      <c r="L721" s="31"/>
      <c r="M721" s="31"/>
    </row>
    <row r="722" spans="1:13">
      <c r="A722" s="535">
        <v>44484</v>
      </c>
      <c r="B722" s="84" t="s">
        <v>10118</v>
      </c>
      <c r="C722" s="31" t="s">
        <v>8929</v>
      </c>
      <c r="D722" s="39" t="s">
        <v>10111</v>
      </c>
      <c r="E722" s="31" t="s">
        <v>9999</v>
      </c>
      <c r="F722" s="31"/>
      <c r="G722" s="31"/>
      <c r="H722" s="31"/>
      <c r="I722" s="31"/>
      <c r="J722" s="31"/>
      <c r="K722" s="31"/>
      <c r="L722" s="31"/>
      <c r="M722" s="31"/>
    </row>
    <row r="723" spans="1:13">
      <c r="A723" s="535">
        <v>44484</v>
      </c>
      <c r="B723" t="s">
        <v>3574</v>
      </c>
      <c r="C723" s="31" t="s">
        <v>8929</v>
      </c>
      <c r="D723" s="39" t="s">
        <v>10111</v>
      </c>
      <c r="E723" s="31" t="s">
        <v>9998</v>
      </c>
      <c r="F723" s="31"/>
      <c r="G723" s="31"/>
      <c r="H723" s="31"/>
      <c r="I723" s="31"/>
      <c r="J723" s="31"/>
      <c r="K723" s="31"/>
      <c r="L723" s="31"/>
      <c r="M723" s="31"/>
    </row>
    <row r="724" spans="1:13">
      <c r="A724" s="535">
        <v>44484</v>
      </c>
      <c r="B724" s="274" t="s">
        <v>5335</v>
      </c>
      <c r="C724" s="31" t="s">
        <v>8929</v>
      </c>
      <c r="D724" s="39" t="s">
        <v>10111</v>
      </c>
      <c r="E724" s="31" t="s">
        <v>10026</v>
      </c>
      <c r="F724" s="31"/>
      <c r="G724" s="31"/>
      <c r="H724" s="31"/>
      <c r="I724" s="31"/>
      <c r="J724" s="31"/>
      <c r="K724" s="31"/>
      <c r="L724" s="31"/>
      <c r="M724" s="31"/>
    </row>
    <row r="725" spans="1:13">
      <c r="A725" s="535">
        <v>44484</v>
      </c>
      <c r="B725" s="274" t="s">
        <v>10119</v>
      </c>
      <c r="C725" s="31" t="s">
        <v>8929</v>
      </c>
      <c r="D725" s="39" t="s">
        <v>10111</v>
      </c>
      <c r="E725" s="31" t="s">
        <v>9998</v>
      </c>
      <c r="F725" s="31"/>
      <c r="G725" s="31"/>
      <c r="H725" s="31"/>
      <c r="I725" s="31"/>
      <c r="J725" s="31"/>
      <c r="K725" s="31"/>
      <c r="L725" s="31"/>
      <c r="M725" s="31"/>
    </row>
    <row r="726" spans="1:13">
      <c r="A726" s="535">
        <v>44484</v>
      </c>
      <c r="B726" s="274" t="s">
        <v>10120</v>
      </c>
      <c r="C726" s="31" t="s">
        <v>8929</v>
      </c>
      <c r="D726" s="39" t="s">
        <v>10111</v>
      </c>
      <c r="E726" s="31" t="s">
        <v>9998</v>
      </c>
      <c r="F726" s="31"/>
      <c r="G726" s="31"/>
      <c r="H726" s="31"/>
      <c r="I726" s="31"/>
      <c r="J726" s="31"/>
      <c r="K726" s="31"/>
      <c r="L726" s="31"/>
      <c r="M726" s="31"/>
    </row>
    <row r="727" spans="1:13">
      <c r="A727" s="535">
        <v>44484</v>
      </c>
      <c r="B727" s="274" t="s">
        <v>3350</v>
      </c>
      <c r="C727" s="31" t="s">
        <v>8929</v>
      </c>
      <c r="D727" s="39" t="s">
        <v>10111</v>
      </c>
      <c r="E727" s="31" t="s">
        <v>9998</v>
      </c>
      <c r="F727" s="31"/>
      <c r="G727" s="31"/>
      <c r="H727" s="31"/>
      <c r="I727" s="31"/>
      <c r="J727" s="31"/>
      <c r="K727" s="31"/>
      <c r="L727" s="31"/>
      <c r="M727" s="31"/>
    </row>
    <row r="728" spans="1:13">
      <c r="A728" s="535">
        <v>44487</v>
      </c>
      <c r="B728" s="240" t="s">
        <v>10121</v>
      </c>
      <c r="C728" s="31" t="s">
        <v>8929</v>
      </c>
      <c r="D728" s="39" t="s">
        <v>10111</v>
      </c>
      <c r="E728" s="31" t="s">
        <v>10004</v>
      </c>
      <c r="F728" s="31"/>
      <c r="G728" s="31"/>
      <c r="H728" s="31"/>
      <c r="I728" s="31"/>
      <c r="J728" s="31"/>
      <c r="K728" s="31"/>
      <c r="L728" s="31"/>
      <c r="M728" s="31"/>
    </row>
    <row r="729" spans="1:13">
      <c r="A729" s="535">
        <v>44487</v>
      </c>
      <c r="B729" s="84" t="s">
        <v>10122</v>
      </c>
      <c r="C729" s="31" t="s">
        <v>8929</v>
      </c>
      <c r="D729" s="39" t="s">
        <v>10111</v>
      </c>
      <c r="E729" s="31" t="s">
        <v>10007</v>
      </c>
      <c r="F729" s="31"/>
      <c r="G729" s="31"/>
      <c r="H729" s="31"/>
      <c r="I729" s="31"/>
      <c r="J729" s="31"/>
      <c r="K729" s="31"/>
      <c r="L729" s="31"/>
      <c r="M729" s="31"/>
    </row>
    <row r="730" spans="1:13">
      <c r="A730" s="535">
        <v>44487</v>
      </c>
      <c r="B730" s="84" t="s">
        <v>10123</v>
      </c>
      <c r="C730" s="31" t="s">
        <v>8929</v>
      </c>
      <c r="D730" s="39" t="s">
        <v>10111</v>
      </c>
      <c r="E730" s="31" t="s">
        <v>10004</v>
      </c>
      <c r="F730" s="31"/>
      <c r="G730" s="31"/>
      <c r="H730" s="31"/>
      <c r="I730" s="31"/>
      <c r="J730" s="31"/>
      <c r="K730" s="31"/>
      <c r="L730" s="31"/>
      <c r="M730" s="31"/>
    </row>
    <row r="731" spans="1:13">
      <c r="A731" s="535">
        <v>44487</v>
      </c>
      <c r="B731" s="84" t="s">
        <v>10123</v>
      </c>
      <c r="C731" s="31" t="s">
        <v>8929</v>
      </c>
      <c r="D731" s="39" t="s">
        <v>10111</v>
      </c>
      <c r="E731" s="31" t="s">
        <v>9999</v>
      </c>
      <c r="F731" s="31"/>
      <c r="G731" s="31"/>
      <c r="H731" s="31"/>
      <c r="I731" s="31"/>
      <c r="J731" s="31"/>
      <c r="K731" s="31"/>
      <c r="L731" s="31"/>
      <c r="M731" s="31"/>
    </row>
    <row r="732" spans="1:13">
      <c r="A732" s="535">
        <v>44487</v>
      </c>
      <c r="B732" s="274" t="s">
        <v>5338</v>
      </c>
      <c r="C732" s="31" t="s">
        <v>8929</v>
      </c>
      <c r="D732" s="39" t="s">
        <v>10111</v>
      </c>
      <c r="E732" s="31" t="s">
        <v>10004</v>
      </c>
      <c r="F732" s="31"/>
      <c r="G732" s="31"/>
      <c r="H732" s="31"/>
      <c r="I732" s="31"/>
      <c r="J732" s="31"/>
      <c r="K732" s="31"/>
      <c r="L732" s="31"/>
      <c r="M732" s="31"/>
    </row>
    <row r="733" spans="1:13">
      <c r="A733" s="535">
        <v>44488</v>
      </c>
      <c r="B733" s="274" t="s">
        <v>5341</v>
      </c>
      <c r="C733" s="31" t="s">
        <v>8929</v>
      </c>
      <c r="D733" s="39"/>
      <c r="E733" s="31"/>
      <c r="F733" s="31"/>
      <c r="G733" s="31"/>
      <c r="H733" s="31"/>
      <c r="I733" s="31"/>
      <c r="J733" s="31"/>
      <c r="K733" s="31"/>
      <c r="L733" s="31"/>
      <c r="M733" s="31"/>
    </row>
    <row r="734" spans="1:13">
      <c r="A734" s="535">
        <v>44488</v>
      </c>
      <c r="B734" s="274" t="s">
        <v>3133</v>
      </c>
      <c r="C734" s="31" t="s">
        <v>8929</v>
      </c>
      <c r="D734" s="39" t="s">
        <v>10111</v>
      </c>
      <c r="E734" s="31" t="s">
        <v>10004</v>
      </c>
      <c r="F734" s="31"/>
      <c r="G734" s="31"/>
      <c r="H734" s="31"/>
      <c r="I734" s="31"/>
      <c r="J734" s="31"/>
      <c r="K734" s="31"/>
      <c r="L734" s="31"/>
      <c r="M734" s="31"/>
    </row>
    <row r="735" spans="1:13">
      <c r="A735" s="535">
        <v>44488</v>
      </c>
      <c r="B735" s="240" t="s">
        <v>4961</v>
      </c>
      <c r="C735" s="31" t="s">
        <v>8929</v>
      </c>
      <c r="D735" s="39" t="s">
        <v>10111</v>
      </c>
      <c r="E735" s="31" t="s">
        <v>10007</v>
      </c>
      <c r="F735" s="31"/>
      <c r="G735" s="31"/>
      <c r="H735" s="31"/>
      <c r="I735" s="31"/>
      <c r="J735" s="31"/>
      <c r="K735" s="31"/>
      <c r="L735" s="31"/>
      <c r="M735" s="31"/>
    </row>
    <row r="736" spans="1:13">
      <c r="A736" s="535">
        <v>44489</v>
      </c>
      <c r="B736" s="240" t="s">
        <v>5343</v>
      </c>
      <c r="C736" s="31" t="s">
        <v>8929</v>
      </c>
      <c r="D736" s="39" t="s">
        <v>10111</v>
      </c>
      <c r="E736" s="31" t="s">
        <v>9999</v>
      </c>
      <c r="F736" s="31"/>
      <c r="G736" s="31"/>
      <c r="H736" s="31"/>
      <c r="I736" s="31"/>
      <c r="J736" s="31"/>
      <c r="K736" s="31"/>
      <c r="L736" s="31"/>
      <c r="M736" s="31"/>
    </row>
    <row r="737" spans="1:13">
      <c r="A737" s="535">
        <v>44489</v>
      </c>
      <c r="B737" s="84" t="s">
        <v>10124</v>
      </c>
      <c r="C737" s="31" t="s">
        <v>8929</v>
      </c>
      <c r="D737" s="39" t="s">
        <v>10111</v>
      </c>
      <c r="E737" s="31" t="s">
        <v>10007</v>
      </c>
      <c r="F737" s="31"/>
      <c r="G737" s="31"/>
      <c r="H737" s="31"/>
      <c r="I737" s="31"/>
      <c r="J737" s="31"/>
      <c r="K737" s="31"/>
      <c r="L737" s="31"/>
      <c r="M737" s="31"/>
    </row>
    <row r="738" spans="1:13">
      <c r="A738" s="535">
        <v>44489</v>
      </c>
      <c r="B738" s="274" t="s">
        <v>10125</v>
      </c>
      <c r="C738" s="31" t="s">
        <v>8929</v>
      </c>
      <c r="D738" s="39" t="s">
        <v>10111</v>
      </c>
      <c r="E738" s="31" t="s">
        <v>10007</v>
      </c>
      <c r="F738" s="31"/>
      <c r="G738" s="31"/>
      <c r="H738" s="31"/>
      <c r="I738" s="31"/>
      <c r="J738" s="31"/>
      <c r="K738" s="31"/>
      <c r="L738" s="31"/>
      <c r="M738" s="31"/>
    </row>
    <row r="739" spans="1:13">
      <c r="A739" s="535">
        <v>44490</v>
      </c>
      <c r="B739" s="274" t="s">
        <v>3058</v>
      </c>
      <c r="C739" s="31" t="s">
        <v>8929</v>
      </c>
      <c r="D739" s="39" t="s">
        <v>10111</v>
      </c>
      <c r="E739" s="31" t="s">
        <v>9998</v>
      </c>
      <c r="F739" s="31"/>
      <c r="G739" s="31"/>
      <c r="H739" s="31"/>
      <c r="I739" s="31"/>
      <c r="J739" s="31"/>
      <c r="K739" s="31"/>
      <c r="L739" s="31"/>
      <c r="M739" s="31"/>
    </row>
    <row r="740" spans="1:13">
      <c r="A740" s="535">
        <v>44491</v>
      </c>
      <c r="B740" s="240" t="s">
        <v>5347</v>
      </c>
      <c r="C740" s="31" t="s">
        <v>8929</v>
      </c>
      <c r="D740" s="39" t="s">
        <v>10111</v>
      </c>
      <c r="E740" s="31" t="s">
        <v>9998</v>
      </c>
      <c r="F740" s="31"/>
      <c r="G740" s="31"/>
      <c r="H740" s="31"/>
      <c r="I740" s="31"/>
      <c r="J740" s="31"/>
      <c r="K740" s="31"/>
      <c r="L740" s="31"/>
      <c r="M740" s="31"/>
    </row>
    <row r="741" spans="1:13">
      <c r="A741" s="535">
        <v>44491</v>
      </c>
      <c r="B741" s="274" t="s">
        <v>10126</v>
      </c>
      <c r="C741" s="31" t="s">
        <v>8929</v>
      </c>
      <c r="D741" s="39" t="s">
        <v>10111</v>
      </c>
      <c r="E741" s="31" t="s">
        <v>10098</v>
      </c>
      <c r="F741" s="31"/>
      <c r="G741" s="31"/>
      <c r="H741" s="31"/>
      <c r="I741" s="31"/>
      <c r="J741" s="31"/>
      <c r="K741" s="31"/>
      <c r="L741" s="31"/>
      <c r="M741" s="31"/>
    </row>
    <row r="742" spans="1:13">
      <c r="A742" s="535">
        <v>44492</v>
      </c>
      <c r="B742" s="274" t="s">
        <v>10127</v>
      </c>
      <c r="C742" s="31" t="s">
        <v>8929</v>
      </c>
      <c r="D742" s="39" t="s">
        <v>10111</v>
      </c>
      <c r="E742" s="133" t="s">
        <v>10098</v>
      </c>
      <c r="F742" s="31"/>
      <c r="G742" s="31"/>
      <c r="H742" s="31"/>
      <c r="I742" s="31"/>
      <c r="J742" s="31"/>
      <c r="K742" s="31"/>
      <c r="L742" s="31"/>
      <c r="M742" s="31"/>
    </row>
    <row r="743" spans="1:13">
      <c r="A743" s="535">
        <v>44494</v>
      </c>
      <c r="B743" s="84" t="s">
        <v>10128</v>
      </c>
      <c r="C743" s="31" t="s">
        <v>8929</v>
      </c>
      <c r="D743" s="39" t="s">
        <v>10111</v>
      </c>
      <c r="E743" s="31" t="s">
        <v>10002</v>
      </c>
      <c r="F743" s="31"/>
      <c r="G743" s="31"/>
      <c r="H743" s="31"/>
      <c r="I743" s="31"/>
      <c r="J743" s="31"/>
      <c r="K743" s="31"/>
      <c r="L743" s="31"/>
      <c r="M743" s="31"/>
    </row>
    <row r="744" spans="1:13">
      <c r="A744" s="535">
        <v>44494</v>
      </c>
      <c r="B744" s="240" t="s">
        <v>3027</v>
      </c>
      <c r="C744" s="31" t="s">
        <v>8929</v>
      </c>
      <c r="D744" s="39" t="s">
        <v>10111</v>
      </c>
      <c r="E744" s="31"/>
      <c r="F744" s="31"/>
      <c r="G744" s="31"/>
      <c r="H744" s="31"/>
      <c r="I744" s="31"/>
      <c r="J744" s="31"/>
      <c r="K744" s="31"/>
      <c r="L744" s="31"/>
      <c r="M744" s="31"/>
    </row>
    <row r="745" spans="1:13">
      <c r="A745" s="535">
        <v>44494</v>
      </c>
      <c r="B745" s="274" t="s">
        <v>3060</v>
      </c>
      <c r="C745" s="31" t="s">
        <v>8929</v>
      </c>
      <c r="D745" s="39" t="s">
        <v>10111</v>
      </c>
      <c r="E745" s="31"/>
      <c r="F745" s="31"/>
      <c r="G745" s="31"/>
      <c r="H745" s="31"/>
      <c r="I745" s="31"/>
      <c r="J745" s="31"/>
      <c r="K745" s="31"/>
      <c r="L745" s="31"/>
      <c r="M745" s="31"/>
    </row>
    <row r="746" spans="1:13">
      <c r="A746" s="535">
        <v>44494</v>
      </c>
      <c r="B746" s="274" t="s">
        <v>5353</v>
      </c>
      <c r="C746" s="39" t="s">
        <v>8929</v>
      </c>
      <c r="D746" s="39" t="s">
        <v>4357</v>
      </c>
      <c r="E746" s="31"/>
      <c r="F746" s="31"/>
      <c r="G746" s="31"/>
      <c r="H746" s="31"/>
      <c r="I746" s="31"/>
      <c r="J746" s="31"/>
      <c r="K746" s="31"/>
      <c r="L746" s="31"/>
      <c r="M746" s="31"/>
    </row>
    <row r="747" spans="1:13">
      <c r="A747" s="535">
        <v>44494</v>
      </c>
      <c r="B747" s="274" t="s">
        <v>3972</v>
      </c>
      <c r="C747" s="39" t="s">
        <v>8929</v>
      </c>
      <c r="D747" s="39" t="s">
        <v>4357</v>
      </c>
      <c r="E747" s="31" t="s">
        <v>9998</v>
      </c>
      <c r="F747" s="31"/>
      <c r="G747" s="31"/>
      <c r="H747" s="31"/>
      <c r="I747" s="31"/>
      <c r="J747" s="31"/>
      <c r="K747" s="31"/>
      <c r="L747" s="31"/>
      <c r="M747" s="31"/>
    </row>
    <row r="748" spans="1:13">
      <c r="A748" s="535">
        <v>44496</v>
      </c>
      <c r="B748" s="240" t="s">
        <v>4662</v>
      </c>
      <c r="C748" s="31" t="s">
        <v>8929</v>
      </c>
      <c r="D748" s="39" t="s">
        <v>10111</v>
      </c>
      <c r="E748" s="31"/>
      <c r="F748" s="31"/>
      <c r="G748" s="31"/>
      <c r="H748" s="31"/>
      <c r="I748" s="31"/>
      <c r="J748" s="31"/>
      <c r="K748" s="31"/>
      <c r="L748" s="31"/>
      <c r="M748" s="31"/>
    </row>
    <row r="749" spans="1:13">
      <c r="A749" s="535">
        <v>44496</v>
      </c>
      <c r="B749" s="240" t="s">
        <v>10129</v>
      </c>
      <c r="C749" s="31" t="s">
        <v>8929</v>
      </c>
      <c r="D749" s="39" t="s">
        <v>10111</v>
      </c>
      <c r="E749" s="31"/>
      <c r="F749" s="31"/>
      <c r="G749" s="31"/>
      <c r="H749" s="31"/>
      <c r="I749" s="31"/>
      <c r="J749" s="31"/>
      <c r="K749" s="31"/>
      <c r="L749" s="31"/>
      <c r="M749" s="31"/>
    </row>
    <row r="750" spans="1:13">
      <c r="A750" s="535">
        <v>44496</v>
      </c>
      <c r="B750" s="274" t="s">
        <v>5355</v>
      </c>
      <c r="C750" s="31" t="s">
        <v>8929</v>
      </c>
      <c r="D750" s="39" t="s">
        <v>10111</v>
      </c>
      <c r="E750" s="31"/>
      <c r="F750" s="31"/>
      <c r="G750" s="31"/>
      <c r="H750" s="31"/>
      <c r="I750" s="31"/>
      <c r="J750" s="31"/>
      <c r="K750" s="31"/>
      <c r="L750" s="31"/>
      <c r="M750" s="31"/>
    </row>
    <row r="751" spans="1:13">
      <c r="A751" s="535">
        <v>44497</v>
      </c>
      <c r="B751" s="274" t="s">
        <v>10130</v>
      </c>
      <c r="C751" s="31" t="s">
        <v>8929</v>
      </c>
      <c r="D751" s="39" t="s">
        <v>10111</v>
      </c>
      <c r="E751" s="31" t="s">
        <v>10098</v>
      </c>
      <c r="F751" s="31"/>
      <c r="G751" s="31"/>
      <c r="H751" s="31"/>
      <c r="I751" s="31"/>
      <c r="J751" s="31"/>
      <c r="K751" s="31"/>
      <c r="L751" s="31"/>
      <c r="M751" s="31"/>
    </row>
    <row r="752" spans="1:13">
      <c r="A752" s="535">
        <v>44497</v>
      </c>
      <c r="B752" s="240" t="s">
        <v>2906</v>
      </c>
      <c r="C752" s="31" t="s">
        <v>8929</v>
      </c>
      <c r="D752" s="39" t="s">
        <v>10111</v>
      </c>
      <c r="E752" s="31"/>
      <c r="F752" s="31"/>
      <c r="G752" s="31"/>
      <c r="H752" s="31"/>
      <c r="I752" s="31"/>
      <c r="J752" s="31"/>
      <c r="K752" s="31"/>
      <c r="L752" s="31"/>
      <c r="M752" s="31"/>
    </row>
    <row r="753" spans="1:13">
      <c r="A753" s="535">
        <v>44497</v>
      </c>
      <c r="B753" s="240" t="s">
        <v>5359</v>
      </c>
      <c r="C753" s="31" t="s">
        <v>8929</v>
      </c>
      <c r="D753" s="39" t="s">
        <v>10111</v>
      </c>
      <c r="E753" s="31"/>
      <c r="F753" s="31"/>
      <c r="G753" s="31"/>
      <c r="H753" s="31"/>
      <c r="I753" s="31"/>
      <c r="J753" s="31"/>
      <c r="K753" s="31"/>
      <c r="L753" s="31"/>
      <c r="M753" s="31"/>
    </row>
    <row r="754" spans="1:13">
      <c r="A754" s="535">
        <v>44498</v>
      </c>
      <c r="B754" s="274" t="s">
        <v>3571</v>
      </c>
      <c r="C754" s="31" t="s">
        <v>8929</v>
      </c>
      <c r="D754" s="39" t="s">
        <v>10111</v>
      </c>
      <c r="E754" s="31" t="s">
        <v>10131</v>
      </c>
      <c r="F754" s="31"/>
      <c r="G754" s="31"/>
      <c r="H754" s="31"/>
      <c r="I754" s="31"/>
      <c r="J754" s="31"/>
      <c r="K754" s="31"/>
      <c r="L754" s="31"/>
      <c r="M754" s="31"/>
    </row>
    <row r="755" spans="1:13">
      <c r="A755" s="535">
        <v>44498</v>
      </c>
      <c r="B755" s="240" t="s">
        <v>5366</v>
      </c>
      <c r="C755" s="31" t="s">
        <v>8929</v>
      </c>
      <c r="D755" s="39" t="s">
        <v>10111</v>
      </c>
      <c r="E755" s="31" t="s">
        <v>10098</v>
      </c>
      <c r="F755" s="31"/>
      <c r="G755" s="31"/>
      <c r="H755" s="31"/>
      <c r="I755" s="31"/>
      <c r="J755" s="31"/>
      <c r="K755" s="31"/>
      <c r="L755" s="31"/>
      <c r="M755" s="31"/>
    </row>
    <row r="756" spans="1:13">
      <c r="A756" s="535">
        <v>44498</v>
      </c>
      <c r="B756" s="84" t="s">
        <v>10132</v>
      </c>
      <c r="C756" s="31" t="s">
        <v>8929</v>
      </c>
      <c r="D756" s="39" t="s">
        <v>10111</v>
      </c>
      <c r="E756" s="31"/>
      <c r="F756" s="31"/>
      <c r="G756" s="31"/>
      <c r="H756" s="31"/>
      <c r="I756" s="31"/>
      <c r="J756" s="31"/>
      <c r="K756" s="31"/>
      <c r="L756" s="31"/>
      <c r="M756" s="31"/>
    </row>
    <row r="757" spans="1:13">
      <c r="A757" s="535">
        <v>44498</v>
      </c>
      <c r="B757" s="84" t="s">
        <v>10133</v>
      </c>
      <c r="C757" s="31" t="s">
        <v>8929</v>
      </c>
      <c r="D757" s="39" t="s">
        <v>10111</v>
      </c>
      <c r="E757" s="31"/>
      <c r="F757" s="31"/>
      <c r="G757" s="31"/>
      <c r="H757" s="31"/>
      <c r="I757" s="31"/>
      <c r="J757" s="31"/>
      <c r="K757" s="31"/>
      <c r="L757" s="31"/>
      <c r="M757" s="31"/>
    </row>
    <row r="758" spans="1:13">
      <c r="A758" s="535">
        <v>44499</v>
      </c>
      <c r="B758" s="84" t="s">
        <v>5375</v>
      </c>
      <c r="C758" s="31" t="s">
        <v>8929</v>
      </c>
      <c r="D758" s="39" t="s">
        <v>4357</v>
      </c>
      <c r="E758" s="31" t="s">
        <v>10098</v>
      </c>
      <c r="F758" s="31"/>
      <c r="G758" s="31"/>
      <c r="H758" s="31"/>
      <c r="I758" s="31"/>
      <c r="J758" s="31"/>
      <c r="K758" s="31"/>
      <c r="L758" s="31"/>
      <c r="M758" s="31"/>
    </row>
    <row r="759" spans="1:13">
      <c r="A759" s="535"/>
      <c r="B759" s="297" t="s">
        <v>8910</v>
      </c>
      <c r="C759" s="31"/>
      <c r="D759" s="39"/>
      <c r="E759" s="31"/>
      <c r="F759" s="31"/>
      <c r="G759" s="31"/>
      <c r="H759" s="31"/>
      <c r="I759" s="31"/>
      <c r="J759" s="31"/>
      <c r="K759" s="31"/>
      <c r="L759" s="31"/>
      <c r="M759" s="31"/>
    </row>
    <row r="760" spans="1:13">
      <c r="A760" s="535">
        <v>44501</v>
      </c>
      <c r="B760" s="84" t="s">
        <v>10134</v>
      </c>
      <c r="C760" s="31" t="s">
        <v>8929</v>
      </c>
      <c r="D760" s="39" t="s">
        <v>8910</v>
      </c>
      <c r="E760" s="31"/>
      <c r="F760" s="31"/>
      <c r="G760" s="31"/>
      <c r="H760" s="31"/>
      <c r="I760" s="31"/>
      <c r="J760" s="31"/>
      <c r="K760" s="31"/>
      <c r="L760" s="31"/>
      <c r="M760" s="31"/>
    </row>
    <row r="761" spans="1:13">
      <c r="A761" s="535">
        <v>44501</v>
      </c>
      <c r="B761" s="84" t="s">
        <v>10135</v>
      </c>
      <c r="C761" s="240" t="s">
        <v>8929</v>
      </c>
      <c r="D761" s="258" t="s">
        <v>8910</v>
      </c>
      <c r="E761" s="334"/>
      <c r="F761" s="240"/>
      <c r="G761" s="240"/>
      <c r="H761" s="31"/>
      <c r="I761" s="31"/>
      <c r="J761" s="31"/>
      <c r="K761" s="31"/>
      <c r="L761" s="31"/>
      <c r="M761" s="31"/>
    </row>
    <row r="762" spans="1:13">
      <c r="A762" s="535">
        <v>44501</v>
      </c>
      <c r="B762" s="240" t="s">
        <v>2998</v>
      </c>
      <c r="C762" s="31" t="s">
        <v>8929</v>
      </c>
      <c r="D762" s="39" t="s">
        <v>8910</v>
      </c>
      <c r="E762" s="31" t="s">
        <v>10004</v>
      </c>
      <c r="F762" s="31"/>
      <c r="G762" s="31"/>
      <c r="H762" s="31"/>
      <c r="I762" s="31"/>
      <c r="J762" s="31"/>
      <c r="K762" s="31"/>
      <c r="L762" s="31"/>
      <c r="M762" s="31"/>
    </row>
    <row r="763" spans="1:13">
      <c r="A763" s="535">
        <v>44501</v>
      </c>
      <c r="B763" s="84" t="s">
        <v>5369</v>
      </c>
      <c r="C763" s="31" t="s">
        <v>8929</v>
      </c>
      <c r="D763" s="39" t="s">
        <v>8910</v>
      </c>
      <c r="E763" s="31"/>
      <c r="F763" s="31"/>
      <c r="G763" s="31"/>
      <c r="H763" s="31"/>
      <c r="I763" s="31"/>
      <c r="J763" s="31"/>
      <c r="K763" s="31"/>
      <c r="L763" s="31"/>
      <c r="M763" s="31"/>
    </row>
    <row r="764" spans="1:13">
      <c r="A764" s="535">
        <v>44503</v>
      </c>
      <c r="B764" s="274" t="s">
        <v>10136</v>
      </c>
      <c r="C764" s="31" t="s">
        <v>8929</v>
      </c>
      <c r="D764" s="39" t="s">
        <v>8910</v>
      </c>
      <c r="E764" s="31"/>
      <c r="F764" s="31"/>
      <c r="G764" s="31"/>
      <c r="H764" s="31"/>
      <c r="I764" s="31"/>
      <c r="J764" s="31"/>
      <c r="K764" s="31"/>
      <c r="L764" s="31"/>
      <c r="M764" s="31"/>
    </row>
    <row r="765" spans="1:13">
      <c r="A765" s="535">
        <v>44503</v>
      </c>
      <c r="B765" s="274" t="s">
        <v>10137</v>
      </c>
      <c r="C765" s="31" t="s">
        <v>8929</v>
      </c>
      <c r="D765" s="39" t="s">
        <v>8910</v>
      </c>
      <c r="E765" s="31" t="s">
        <v>10007</v>
      </c>
      <c r="F765" s="31"/>
      <c r="G765" s="31"/>
      <c r="H765" s="31"/>
      <c r="I765" s="31"/>
      <c r="J765" s="31"/>
      <c r="K765" s="31"/>
      <c r="L765" s="31"/>
      <c r="M765" s="31"/>
    </row>
    <row r="766" spans="1:13">
      <c r="A766" s="535">
        <v>44504</v>
      </c>
      <c r="B766" s="240" t="s">
        <v>10138</v>
      </c>
      <c r="C766" s="31" t="s">
        <v>8929</v>
      </c>
      <c r="D766" s="39" t="s">
        <v>8910</v>
      </c>
      <c r="E766" s="31" t="s">
        <v>10007</v>
      </c>
      <c r="F766" s="31"/>
      <c r="G766" s="31"/>
      <c r="H766" s="31"/>
      <c r="I766" s="31"/>
      <c r="J766" s="31"/>
      <c r="K766" s="31"/>
      <c r="L766" s="31"/>
      <c r="M766" s="31"/>
    </row>
    <row r="767" spans="1:13">
      <c r="A767" s="535">
        <v>44504</v>
      </c>
      <c r="B767" s="274" t="s">
        <v>10139</v>
      </c>
      <c r="C767" s="31" t="s">
        <v>8929</v>
      </c>
      <c r="D767" s="39" t="s">
        <v>8910</v>
      </c>
      <c r="E767" s="31"/>
      <c r="F767" s="31"/>
      <c r="G767" s="31"/>
      <c r="H767" s="31"/>
      <c r="I767" s="31"/>
      <c r="J767" s="31"/>
      <c r="K767" s="31"/>
      <c r="L767" s="31"/>
      <c r="M767" s="31"/>
    </row>
    <row r="768" spans="1:13">
      <c r="A768" s="535">
        <v>44505</v>
      </c>
      <c r="B768" s="240" t="s">
        <v>10140</v>
      </c>
      <c r="C768" s="31" t="s">
        <v>8929</v>
      </c>
      <c r="D768" s="39" t="s">
        <v>8910</v>
      </c>
      <c r="E768" s="31"/>
      <c r="F768" s="31"/>
      <c r="G768" s="31"/>
      <c r="H768" s="31"/>
      <c r="I768" s="31"/>
      <c r="J768" s="31"/>
      <c r="K768" s="31"/>
      <c r="L768" s="31"/>
      <c r="M768" s="31"/>
    </row>
    <row r="769" spans="1:13">
      <c r="A769" s="535">
        <v>44505</v>
      </c>
      <c r="B769" s="84" t="s">
        <v>10141</v>
      </c>
      <c r="C769" s="31" t="s">
        <v>8929</v>
      </c>
      <c r="D769" s="39" t="s">
        <v>8910</v>
      </c>
      <c r="E769" s="31" t="s">
        <v>9998</v>
      </c>
      <c r="F769" s="31"/>
      <c r="G769" s="31"/>
      <c r="H769" s="31"/>
      <c r="I769" s="31"/>
      <c r="J769" s="31"/>
      <c r="K769" s="31"/>
      <c r="L769" s="31"/>
      <c r="M769" s="31"/>
    </row>
    <row r="770" spans="1:13">
      <c r="A770" s="535">
        <v>44505</v>
      </c>
      <c r="B770" s="84" t="s">
        <v>10141</v>
      </c>
      <c r="C770" s="31" t="s">
        <v>8929</v>
      </c>
      <c r="D770" s="39" t="s">
        <v>8910</v>
      </c>
      <c r="E770" s="31" t="s">
        <v>9998</v>
      </c>
      <c r="F770" s="31"/>
      <c r="G770" s="31"/>
      <c r="H770" s="31"/>
      <c r="I770" s="31"/>
      <c r="J770" s="31"/>
      <c r="K770" s="31"/>
      <c r="L770" s="31"/>
      <c r="M770" s="31"/>
    </row>
    <row r="771" spans="1:13">
      <c r="A771" s="535">
        <v>44505</v>
      </c>
      <c r="B771" s="84" t="s">
        <v>10142</v>
      </c>
      <c r="C771" s="31" t="s">
        <v>8929</v>
      </c>
      <c r="D771" s="39" t="s">
        <v>8910</v>
      </c>
      <c r="E771" s="31" t="s">
        <v>10026</v>
      </c>
      <c r="F771" s="31"/>
      <c r="G771" s="31"/>
      <c r="H771" s="31"/>
      <c r="I771" s="31"/>
      <c r="J771" s="31"/>
      <c r="K771" s="31"/>
      <c r="L771" s="31"/>
      <c r="M771" s="31"/>
    </row>
    <row r="772" spans="1:13">
      <c r="A772" s="535">
        <v>44505</v>
      </c>
      <c r="B772" s="274" t="s">
        <v>5377</v>
      </c>
      <c r="C772" s="31" t="s">
        <v>8929</v>
      </c>
      <c r="D772" s="39" t="s">
        <v>8910</v>
      </c>
      <c r="E772" s="31" t="s">
        <v>9998</v>
      </c>
      <c r="F772" s="31"/>
      <c r="G772" s="31"/>
      <c r="H772" s="31"/>
      <c r="I772" s="31"/>
      <c r="J772" s="31"/>
      <c r="K772" s="31"/>
      <c r="L772" s="31"/>
      <c r="M772" s="31"/>
    </row>
    <row r="773" spans="1:13">
      <c r="A773" s="535">
        <v>44505</v>
      </c>
      <c r="B773" s="300" t="s">
        <v>10143</v>
      </c>
      <c r="C773" s="31" t="s">
        <v>8929</v>
      </c>
      <c r="D773" s="39" t="s">
        <v>8910</v>
      </c>
      <c r="E773" s="31"/>
      <c r="F773" s="31"/>
      <c r="G773" s="31"/>
      <c r="H773" s="31"/>
      <c r="I773" s="31"/>
      <c r="J773" s="31"/>
      <c r="K773" s="31"/>
      <c r="L773" s="31"/>
      <c r="M773" s="31"/>
    </row>
    <row r="774" spans="1:13">
      <c r="A774" s="523">
        <v>44508</v>
      </c>
      <c r="B774" s="262" t="s">
        <v>10144</v>
      </c>
      <c r="C774" s="143" t="s">
        <v>8929</v>
      </c>
      <c r="D774" s="31" t="s">
        <v>10145</v>
      </c>
      <c r="E774" s="31" t="s">
        <v>10026</v>
      </c>
      <c r="F774" s="31"/>
      <c r="G774" s="31"/>
      <c r="H774" s="31"/>
      <c r="I774" s="31"/>
      <c r="J774" s="31"/>
      <c r="K774" s="31"/>
      <c r="L774" s="31"/>
      <c r="M774" s="31"/>
    </row>
    <row r="775" spans="1:13">
      <c r="A775" s="542">
        <v>44508</v>
      </c>
      <c r="B775" s="299" t="s">
        <v>5364</v>
      </c>
      <c r="C775" s="143" t="s">
        <v>8929</v>
      </c>
      <c r="D775" s="31" t="s">
        <v>8910</v>
      </c>
      <c r="E775" s="31" t="s">
        <v>10026</v>
      </c>
      <c r="F775" s="31"/>
      <c r="G775" s="31"/>
      <c r="H775" s="31"/>
      <c r="I775" s="31"/>
      <c r="J775" s="31"/>
      <c r="K775" s="31"/>
      <c r="L775" s="31"/>
      <c r="M775" s="31"/>
    </row>
    <row r="776" spans="1:13">
      <c r="A776" s="523">
        <v>44508</v>
      </c>
      <c r="B776" s="299" t="s">
        <v>10146</v>
      </c>
      <c r="C776" s="143" t="s">
        <v>8929</v>
      </c>
      <c r="D776" s="31" t="s">
        <v>8910</v>
      </c>
      <c r="E776" s="31" t="s">
        <v>10004</v>
      </c>
      <c r="F776" s="31"/>
      <c r="G776" s="31"/>
      <c r="H776" s="31"/>
      <c r="I776" s="31"/>
      <c r="J776" s="31"/>
      <c r="K776" s="31"/>
      <c r="L776" s="31"/>
      <c r="M776" s="31"/>
    </row>
    <row r="777" spans="1:13">
      <c r="A777" s="523">
        <v>44508</v>
      </c>
      <c r="B777" s="299" t="s">
        <v>5381</v>
      </c>
      <c r="C777" s="143" t="s">
        <v>8929</v>
      </c>
      <c r="D777" s="31" t="s">
        <v>8910</v>
      </c>
      <c r="E777" s="31" t="s">
        <v>10002</v>
      </c>
      <c r="F777" s="31"/>
      <c r="G777" s="31"/>
      <c r="H777" s="31"/>
      <c r="I777" s="31"/>
      <c r="J777" s="31"/>
      <c r="K777" s="31"/>
      <c r="L777" s="31"/>
      <c r="M777" s="31"/>
    </row>
    <row r="778" spans="1:13">
      <c r="A778" s="535">
        <v>44509</v>
      </c>
      <c r="B778" s="301" t="s">
        <v>5383</v>
      </c>
      <c r="C778" s="31" t="s">
        <v>8929</v>
      </c>
      <c r="D778" s="31" t="s">
        <v>8910</v>
      </c>
      <c r="E778" s="31" t="s">
        <v>10007</v>
      </c>
      <c r="F778" s="31"/>
      <c r="G778" s="31"/>
      <c r="H778" s="31"/>
      <c r="I778" s="31"/>
      <c r="J778" s="31"/>
      <c r="K778" s="31"/>
      <c r="L778" s="31"/>
      <c r="M778" s="31"/>
    </row>
    <row r="779" spans="1:13">
      <c r="A779" s="535">
        <v>44509</v>
      </c>
      <c r="B779" s="240" t="s">
        <v>2096</v>
      </c>
      <c r="C779" s="31" t="s">
        <v>8929</v>
      </c>
      <c r="D779" s="31" t="s">
        <v>8910</v>
      </c>
      <c r="E779" s="31" t="s">
        <v>9999</v>
      </c>
      <c r="F779" s="31"/>
      <c r="G779" s="31"/>
      <c r="H779" s="31"/>
      <c r="I779" s="31"/>
      <c r="J779" s="31"/>
      <c r="K779" s="31"/>
      <c r="L779" s="31"/>
      <c r="M779" s="31"/>
    </row>
    <row r="780" spans="1:13">
      <c r="A780" s="535">
        <v>44510</v>
      </c>
      <c r="B780" s="240" t="s">
        <v>3048</v>
      </c>
      <c r="C780" s="31" t="s">
        <v>8929</v>
      </c>
      <c r="D780" s="31" t="s">
        <v>8910</v>
      </c>
      <c r="E780" s="31" t="s">
        <v>9999</v>
      </c>
      <c r="F780" s="31"/>
      <c r="G780" s="31"/>
      <c r="H780" s="31"/>
      <c r="I780" s="31"/>
      <c r="J780" s="31"/>
      <c r="K780" s="31"/>
      <c r="L780" s="31"/>
      <c r="M780" s="31"/>
    </row>
    <row r="781" spans="1:13">
      <c r="A781" s="535">
        <v>44510</v>
      </c>
      <c r="B781" s="274" t="s">
        <v>10147</v>
      </c>
      <c r="C781" s="31" t="s">
        <v>8929</v>
      </c>
      <c r="D781" s="31" t="s">
        <v>8910</v>
      </c>
      <c r="E781" s="31"/>
      <c r="F781" s="31"/>
      <c r="G781" s="31"/>
      <c r="H781" s="31"/>
      <c r="I781" s="31"/>
      <c r="J781" s="31"/>
      <c r="K781" s="31"/>
      <c r="L781" s="31"/>
      <c r="M781" s="31"/>
    </row>
    <row r="782" spans="1:13">
      <c r="A782" s="541">
        <v>44511</v>
      </c>
      <c r="B782" s="240" t="s">
        <v>5386</v>
      </c>
      <c r="C782" s="31" t="s">
        <v>8929</v>
      </c>
      <c r="D782" s="31" t="s">
        <v>8910</v>
      </c>
      <c r="E782" s="31"/>
      <c r="F782" s="31"/>
      <c r="G782" s="31"/>
      <c r="H782" s="31"/>
      <c r="I782" s="31"/>
      <c r="J782" s="31"/>
      <c r="K782" s="31"/>
      <c r="L782" s="31"/>
      <c r="M782" s="31"/>
    </row>
    <row r="783" spans="1:13">
      <c r="A783" s="535">
        <v>44511</v>
      </c>
      <c r="B783" s="240" t="s">
        <v>10148</v>
      </c>
      <c r="C783" s="31" t="s">
        <v>8929</v>
      </c>
      <c r="D783" s="31" t="s">
        <v>8910</v>
      </c>
      <c r="E783" s="31"/>
      <c r="F783" s="31"/>
      <c r="G783" s="31"/>
      <c r="H783" s="31"/>
      <c r="I783" s="31"/>
      <c r="J783" s="31"/>
      <c r="K783" s="31"/>
      <c r="L783" s="31"/>
      <c r="M783" s="31"/>
    </row>
    <row r="784" spans="1:13">
      <c r="A784" s="535">
        <v>44511</v>
      </c>
      <c r="B784" s="84" t="s">
        <v>3569</v>
      </c>
      <c r="C784" s="31" t="s">
        <v>8929</v>
      </c>
      <c r="D784" s="31" t="s">
        <v>8910</v>
      </c>
      <c r="E784" s="31" t="s">
        <v>10026</v>
      </c>
      <c r="F784" s="31"/>
      <c r="G784" s="31"/>
      <c r="H784" s="31"/>
      <c r="I784" s="31"/>
      <c r="J784" s="31"/>
      <c r="K784" s="31"/>
      <c r="L784" s="31"/>
      <c r="M784" s="31"/>
    </row>
    <row r="785" spans="1:13">
      <c r="A785" s="535">
        <v>44512</v>
      </c>
      <c r="B785" s="240" t="s">
        <v>2894</v>
      </c>
      <c r="C785" s="31" t="s">
        <v>8929</v>
      </c>
      <c r="D785" s="31" t="s">
        <v>8910</v>
      </c>
      <c r="E785" s="31"/>
      <c r="F785" s="31"/>
      <c r="G785" s="31"/>
      <c r="H785" s="31"/>
      <c r="I785" s="31"/>
      <c r="J785" s="31"/>
      <c r="K785" s="31"/>
      <c r="L785" s="31"/>
      <c r="M785" s="31"/>
    </row>
    <row r="786" spans="1:13">
      <c r="A786" s="535">
        <v>44512</v>
      </c>
      <c r="B786" s="292" t="s">
        <v>10149</v>
      </c>
      <c r="C786" s="31" t="s">
        <v>8929</v>
      </c>
      <c r="D786" s="31" t="s">
        <v>8910</v>
      </c>
      <c r="E786" s="31" t="s">
        <v>10004</v>
      </c>
      <c r="F786" s="31"/>
      <c r="G786" s="31"/>
      <c r="H786" s="31"/>
      <c r="I786" s="31"/>
      <c r="J786" s="31"/>
      <c r="K786" s="31"/>
      <c r="L786" s="31"/>
      <c r="M786" s="31"/>
    </row>
    <row r="787" spans="1:13">
      <c r="A787" s="535">
        <v>44512</v>
      </c>
      <c r="B787" s="274" t="s">
        <v>3341</v>
      </c>
      <c r="C787" s="240" t="s">
        <v>8929</v>
      </c>
      <c r="D787" s="240" t="s">
        <v>8910</v>
      </c>
      <c r="E787" s="240"/>
      <c r="F787" s="240"/>
      <c r="G787" s="240"/>
      <c r="H787" s="31"/>
      <c r="I787" s="31"/>
      <c r="J787" s="31"/>
      <c r="K787" s="31"/>
      <c r="L787" s="31"/>
      <c r="M787" s="31"/>
    </row>
    <row r="788" spans="1:13">
      <c r="A788" s="535">
        <v>44516</v>
      </c>
      <c r="B788" s="292" t="s">
        <v>10150</v>
      </c>
      <c r="C788" s="31" t="s">
        <v>8929</v>
      </c>
      <c r="D788" s="31" t="s">
        <v>8910</v>
      </c>
      <c r="E788" s="31" t="s">
        <v>10004</v>
      </c>
      <c r="F788" s="31"/>
      <c r="G788" s="31"/>
      <c r="H788" s="31"/>
      <c r="I788" s="31"/>
      <c r="J788" s="31"/>
      <c r="K788" s="31"/>
      <c r="L788" s="31"/>
      <c r="M788" s="31"/>
    </row>
    <row r="789" spans="1:13">
      <c r="A789" s="535">
        <v>44516</v>
      </c>
      <c r="B789" s="292" t="s">
        <v>4305</v>
      </c>
      <c r="C789" s="31" t="s">
        <v>8929</v>
      </c>
      <c r="D789" s="31" t="s">
        <v>8910</v>
      </c>
      <c r="E789" s="31" t="s">
        <v>10026</v>
      </c>
      <c r="F789" s="31"/>
      <c r="G789" s="31"/>
      <c r="H789" s="31"/>
      <c r="I789" s="31"/>
      <c r="J789" s="31"/>
      <c r="K789" s="31"/>
      <c r="L789" s="31"/>
      <c r="M789" s="31"/>
    </row>
    <row r="790" spans="1:13">
      <c r="A790" s="535">
        <v>44516</v>
      </c>
      <c r="B790" s="292" t="s">
        <v>10151</v>
      </c>
      <c r="C790" s="31" t="s">
        <v>8929</v>
      </c>
      <c r="D790" s="31" t="s">
        <v>8910</v>
      </c>
      <c r="E790" s="31" t="s">
        <v>10004</v>
      </c>
      <c r="F790" s="31"/>
      <c r="G790" s="31"/>
      <c r="H790" s="31"/>
      <c r="I790" s="31"/>
      <c r="J790" s="31"/>
      <c r="K790" s="31"/>
      <c r="L790" s="31"/>
      <c r="M790" s="31"/>
    </row>
    <row r="791" spans="1:13">
      <c r="A791" s="535">
        <v>44516</v>
      </c>
      <c r="B791" s="1" t="s">
        <v>10152</v>
      </c>
      <c r="C791" s="31" t="s">
        <v>8929</v>
      </c>
      <c r="D791" s="31" t="s">
        <v>8910</v>
      </c>
      <c r="E791" s="31" t="s">
        <v>10026</v>
      </c>
      <c r="F791" s="31"/>
      <c r="G791" s="31"/>
      <c r="H791" s="31"/>
      <c r="I791" s="31"/>
      <c r="J791" s="31"/>
      <c r="K791" s="31"/>
      <c r="L791" s="31"/>
      <c r="M791" s="31"/>
    </row>
    <row r="792" spans="1:13">
      <c r="A792" s="535">
        <v>44516</v>
      </c>
      <c r="B792" s="240" t="s">
        <v>10153</v>
      </c>
      <c r="C792" s="31" t="s">
        <v>8929</v>
      </c>
      <c r="D792" s="31" t="s">
        <v>8910</v>
      </c>
      <c r="E792" s="31"/>
      <c r="F792" s="31"/>
      <c r="G792" s="31"/>
      <c r="H792" s="31"/>
      <c r="I792" s="31"/>
      <c r="J792" s="31"/>
      <c r="K792" s="31"/>
      <c r="L792" s="31"/>
      <c r="M792" s="31"/>
    </row>
    <row r="793" spans="1:13">
      <c r="A793" s="535">
        <v>44516</v>
      </c>
      <c r="B793" s="240" t="s">
        <v>10154</v>
      </c>
      <c r="C793" s="31" t="s">
        <v>8929</v>
      </c>
      <c r="D793" s="31" t="s">
        <v>8910</v>
      </c>
      <c r="E793" s="31"/>
      <c r="F793" s="31"/>
      <c r="G793" s="31"/>
      <c r="H793" s="31"/>
      <c r="I793" s="31"/>
      <c r="J793" s="31"/>
      <c r="K793" s="31"/>
      <c r="L793" s="31"/>
      <c r="M793" s="31"/>
    </row>
    <row r="794" spans="1:13">
      <c r="A794" s="535">
        <v>44516</v>
      </c>
      <c r="B794" s="240" t="s">
        <v>10155</v>
      </c>
      <c r="C794" s="31" t="s">
        <v>8929</v>
      </c>
      <c r="D794" s="31" t="s">
        <v>8910</v>
      </c>
      <c r="E794" s="31"/>
      <c r="F794" s="31"/>
      <c r="G794" s="31"/>
      <c r="H794" s="31"/>
      <c r="I794" s="31"/>
      <c r="J794" s="31"/>
      <c r="K794" s="31"/>
      <c r="L794" s="31"/>
      <c r="M794" s="31"/>
    </row>
    <row r="795" spans="1:13">
      <c r="A795" s="535">
        <v>44516</v>
      </c>
      <c r="B795" s="240" t="s">
        <v>10156</v>
      </c>
      <c r="C795" s="31" t="s">
        <v>8929</v>
      </c>
      <c r="D795" s="31" t="s">
        <v>8910</v>
      </c>
      <c r="E795" s="31"/>
      <c r="F795" s="31"/>
      <c r="G795" s="31"/>
      <c r="H795" s="31"/>
      <c r="I795" s="31"/>
      <c r="J795" s="31"/>
      <c r="K795" s="31"/>
      <c r="L795" s="31"/>
      <c r="M795" s="31"/>
    </row>
    <row r="796" spans="1:13">
      <c r="A796" s="535">
        <v>44517</v>
      </c>
      <c r="B796" s="240" t="s">
        <v>5396</v>
      </c>
      <c r="C796" s="84" t="s">
        <v>8929</v>
      </c>
      <c r="D796" s="84" t="s">
        <v>8910</v>
      </c>
      <c r="E796" s="84" t="s">
        <v>10157</v>
      </c>
      <c r="F796" s="84"/>
      <c r="G796" s="84"/>
      <c r="H796" s="31"/>
      <c r="I796" s="31"/>
      <c r="J796" s="31"/>
      <c r="K796" s="31"/>
      <c r="L796" s="31"/>
      <c r="M796" s="31"/>
    </row>
    <row r="797" spans="1:13">
      <c r="A797" s="535">
        <v>44517</v>
      </c>
      <c r="B797" s="240" t="s">
        <v>4061</v>
      </c>
      <c r="C797" s="31" t="s">
        <v>8929</v>
      </c>
      <c r="D797" s="31" t="s">
        <v>8910</v>
      </c>
      <c r="E797" s="31" t="s">
        <v>10007</v>
      </c>
      <c r="F797" s="31"/>
      <c r="G797" s="31"/>
      <c r="H797" s="31"/>
      <c r="I797" s="31"/>
      <c r="J797" s="31"/>
      <c r="K797" s="31"/>
      <c r="L797" s="31"/>
      <c r="M797" s="31"/>
    </row>
    <row r="798" spans="1:13">
      <c r="A798" s="535">
        <v>44517</v>
      </c>
      <c r="B798" s="240" t="s">
        <v>10158</v>
      </c>
      <c r="C798" s="31" t="s">
        <v>8929</v>
      </c>
      <c r="D798" s="31" t="s">
        <v>8910</v>
      </c>
      <c r="E798" s="31"/>
      <c r="F798" s="31"/>
      <c r="G798" s="31"/>
      <c r="H798" s="31"/>
      <c r="I798" s="31"/>
      <c r="J798" s="31"/>
      <c r="K798" s="31"/>
      <c r="L798" s="31"/>
      <c r="M798" s="31"/>
    </row>
    <row r="799" spans="1:13">
      <c r="A799" s="535">
        <v>44517</v>
      </c>
      <c r="B799" s="240" t="s">
        <v>10159</v>
      </c>
      <c r="C799" s="31" t="s">
        <v>8929</v>
      </c>
      <c r="D799" s="31" t="s">
        <v>8910</v>
      </c>
      <c r="E799" s="31"/>
      <c r="F799" s="31"/>
      <c r="G799" s="31"/>
      <c r="H799" s="31"/>
      <c r="I799" s="31"/>
      <c r="J799" s="31"/>
      <c r="K799" s="31"/>
      <c r="L799" s="31"/>
      <c r="M799" s="31"/>
    </row>
    <row r="800" spans="1:13">
      <c r="A800" s="535">
        <v>44517</v>
      </c>
      <c r="B800" s="240" t="s">
        <v>10160</v>
      </c>
      <c r="C800" s="31" t="s">
        <v>8929</v>
      </c>
      <c r="D800" s="31" t="s">
        <v>8910</v>
      </c>
      <c r="E800" s="31"/>
      <c r="F800" s="31"/>
      <c r="G800" s="31"/>
      <c r="H800" s="31"/>
      <c r="I800" s="31"/>
      <c r="J800" s="31"/>
      <c r="K800" s="31"/>
      <c r="L800" s="31"/>
      <c r="M800" s="31"/>
    </row>
    <row r="801" spans="1:13">
      <c r="A801" s="535">
        <v>44517</v>
      </c>
      <c r="B801" s="240" t="s">
        <v>10161</v>
      </c>
      <c r="C801" s="31" t="s">
        <v>8929</v>
      </c>
      <c r="D801" s="31" t="s">
        <v>8910</v>
      </c>
      <c r="E801" s="31"/>
      <c r="F801" s="31"/>
      <c r="G801" s="31"/>
      <c r="H801" s="31"/>
      <c r="I801" s="31"/>
      <c r="J801" s="31"/>
      <c r="K801" s="31"/>
      <c r="L801" s="31"/>
      <c r="M801" s="31"/>
    </row>
    <row r="802" spans="1:13">
      <c r="A802" s="535">
        <v>44517</v>
      </c>
      <c r="B802" s="240" t="s">
        <v>5402</v>
      </c>
      <c r="C802" s="31" t="s">
        <v>8929</v>
      </c>
      <c r="D802" s="31" t="s">
        <v>8910</v>
      </c>
      <c r="E802" s="31" t="s">
        <v>9998</v>
      </c>
      <c r="F802" s="31"/>
      <c r="G802" s="31"/>
      <c r="H802" s="31"/>
      <c r="I802" s="31"/>
      <c r="J802" s="31"/>
      <c r="K802" s="31"/>
      <c r="L802" s="31"/>
      <c r="M802" s="31"/>
    </row>
    <row r="803" spans="1:13">
      <c r="A803" s="535">
        <v>44517</v>
      </c>
      <c r="B803" s="274" t="s">
        <v>5400</v>
      </c>
      <c r="C803" s="31" t="s">
        <v>8929</v>
      </c>
      <c r="D803" s="31" t="s">
        <v>8910</v>
      </c>
      <c r="E803" s="31" t="s">
        <v>9999</v>
      </c>
      <c r="F803" s="31"/>
      <c r="G803" s="31"/>
      <c r="H803" s="31"/>
      <c r="I803" s="31"/>
      <c r="J803" s="31"/>
      <c r="K803" s="31"/>
      <c r="L803" s="31"/>
      <c r="M803" s="31"/>
    </row>
    <row r="804" spans="1:13">
      <c r="A804" s="535">
        <v>44518</v>
      </c>
      <c r="B804" t="s">
        <v>10162</v>
      </c>
      <c r="C804" s="31" t="s">
        <v>8929</v>
      </c>
      <c r="D804" s="31" t="s">
        <v>8910</v>
      </c>
      <c r="E804" s="31"/>
      <c r="F804" s="31"/>
      <c r="G804" s="31"/>
      <c r="H804" s="31"/>
      <c r="I804" s="31"/>
      <c r="J804" s="31"/>
      <c r="K804" s="31"/>
      <c r="L804" s="31"/>
      <c r="M804" s="31"/>
    </row>
    <row r="805" spans="1:13">
      <c r="A805" s="535">
        <v>44518</v>
      </c>
      <c r="B805" s="240" t="s">
        <v>10163</v>
      </c>
      <c r="C805" s="31" t="s">
        <v>8929</v>
      </c>
      <c r="D805" s="31" t="s">
        <v>8910</v>
      </c>
      <c r="E805" s="31"/>
      <c r="F805" s="31"/>
      <c r="G805" s="31"/>
      <c r="H805" s="31"/>
      <c r="I805" s="31"/>
      <c r="J805" s="31"/>
      <c r="K805" s="31"/>
      <c r="L805" s="31"/>
      <c r="M805" s="31"/>
    </row>
    <row r="806" spans="1:13">
      <c r="A806" s="541">
        <v>44518</v>
      </c>
      <c r="B806" s="240" t="s">
        <v>10164</v>
      </c>
      <c r="C806" s="31" t="s">
        <v>8929</v>
      </c>
      <c r="D806" s="31" t="s">
        <v>8910</v>
      </c>
      <c r="E806" s="31"/>
      <c r="F806" s="31"/>
      <c r="G806" s="31"/>
      <c r="H806" s="31"/>
      <c r="I806" s="31"/>
      <c r="J806" s="31"/>
      <c r="K806" s="31"/>
      <c r="L806" s="31"/>
      <c r="M806" s="31"/>
    </row>
    <row r="807" spans="1:13">
      <c r="A807" s="535">
        <v>44518</v>
      </c>
      <c r="B807" s="240" t="s">
        <v>10165</v>
      </c>
      <c r="C807" s="31" t="s">
        <v>8929</v>
      </c>
      <c r="D807" s="31" t="s">
        <v>8910</v>
      </c>
      <c r="E807" s="31"/>
      <c r="F807" s="31"/>
      <c r="G807" s="31"/>
      <c r="H807" s="31"/>
      <c r="I807" s="31"/>
      <c r="J807" s="31"/>
      <c r="K807" s="31"/>
      <c r="L807" s="31"/>
      <c r="M807" s="31"/>
    </row>
    <row r="808" spans="1:13">
      <c r="A808" s="535">
        <v>44519</v>
      </c>
      <c r="B808" s="240" t="s">
        <v>10166</v>
      </c>
      <c r="C808" s="31" t="s">
        <v>8929</v>
      </c>
      <c r="D808" s="31" t="s">
        <v>8910</v>
      </c>
      <c r="E808" s="31"/>
      <c r="F808" s="31"/>
      <c r="G808" s="31"/>
      <c r="H808" s="31"/>
      <c r="I808" s="31"/>
      <c r="J808" s="31"/>
      <c r="K808" s="31"/>
      <c r="L808" s="31"/>
      <c r="M808" s="31"/>
    </row>
    <row r="809" spans="1:13">
      <c r="A809" s="535">
        <v>44519</v>
      </c>
      <c r="B809" s="240" t="s">
        <v>10167</v>
      </c>
      <c r="C809" s="31" t="s">
        <v>8929</v>
      </c>
      <c r="D809" s="31" t="s">
        <v>8910</v>
      </c>
      <c r="E809" s="31"/>
      <c r="F809" s="31"/>
      <c r="G809" s="31"/>
      <c r="H809" s="31"/>
      <c r="I809" s="31"/>
      <c r="J809" s="31"/>
      <c r="K809" s="31"/>
      <c r="L809" s="31"/>
      <c r="M809" s="31"/>
    </row>
    <row r="810" spans="1:13">
      <c r="A810" s="535">
        <v>44519</v>
      </c>
      <c r="B810" s="240" t="s">
        <v>5404</v>
      </c>
      <c r="C810" s="31" t="s">
        <v>8929</v>
      </c>
      <c r="D810" s="31" t="s">
        <v>8910</v>
      </c>
      <c r="E810" s="31" t="s">
        <v>9998</v>
      </c>
      <c r="F810" s="31"/>
      <c r="G810" s="31"/>
      <c r="H810" s="31"/>
      <c r="I810" s="31"/>
      <c r="J810" s="31"/>
      <c r="K810" s="31"/>
      <c r="L810" s="31"/>
      <c r="M810" s="31"/>
    </row>
    <row r="811" spans="1:13">
      <c r="A811" s="535">
        <v>44520</v>
      </c>
      <c r="B811" s="240" t="s">
        <v>10168</v>
      </c>
      <c r="C811" s="31" t="s">
        <v>8929</v>
      </c>
      <c r="D811" s="31" t="s">
        <v>8910</v>
      </c>
      <c r="E811" s="31"/>
      <c r="F811" s="31"/>
      <c r="G811" s="31"/>
      <c r="H811" s="31"/>
      <c r="I811" s="31"/>
      <c r="J811" s="31"/>
      <c r="K811" s="31"/>
      <c r="L811" s="31"/>
      <c r="M811" s="31"/>
    </row>
    <row r="812" spans="1:13">
      <c r="A812" s="535">
        <v>44520</v>
      </c>
      <c r="B812" s="240" t="s">
        <v>10169</v>
      </c>
      <c r="C812" s="31" t="s">
        <v>8929</v>
      </c>
      <c r="D812" s="31" t="s">
        <v>8910</v>
      </c>
      <c r="E812" s="31"/>
      <c r="F812" s="31"/>
      <c r="G812" s="31"/>
      <c r="H812" s="31"/>
      <c r="I812" s="31"/>
      <c r="J812" s="31"/>
      <c r="K812" s="31"/>
      <c r="L812" s="31"/>
      <c r="M812" s="31"/>
    </row>
    <row r="813" spans="1:13">
      <c r="A813" s="535">
        <v>44525</v>
      </c>
      <c r="B813" s="240" t="s">
        <v>3438</v>
      </c>
      <c r="C813" s="31" t="s">
        <v>8929</v>
      </c>
      <c r="D813" s="31" t="s">
        <v>8910</v>
      </c>
      <c r="E813" s="31"/>
      <c r="F813" s="31" t="s">
        <v>9999</v>
      </c>
      <c r="G813" s="31"/>
      <c r="H813" s="31"/>
      <c r="I813" s="31"/>
      <c r="J813" s="31"/>
      <c r="K813" s="31"/>
      <c r="L813" s="31"/>
      <c r="M813" s="31"/>
    </row>
    <row r="814" spans="1:13">
      <c r="A814" s="535">
        <v>44522</v>
      </c>
      <c r="B814" s="303" t="s">
        <v>5410</v>
      </c>
      <c r="C814" s="303" t="s">
        <v>8929</v>
      </c>
      <c r="D814" s="303" t="s">
        <v>8910</v>
      </c>
      <c r="E814" s="303" t="s">
        <v>10170</v>
      </c>
      <c r="F814" s="31"/>
      <c r="G814" s="31"/>
      <c r="H814" s="31"/>
      <c r="I814" s="31"/>
      <c r="J814" s="31"/>
      <c r="K814" s="31"/>
      <c r="L814" s="31"/>
      <c r="M814" s="31"/>
    </row>
    <row r="815" spans="1:13">
      <c r="A815" s="535">
        <v>44522</v>
      </c>
      <c r="B815" s="303" t="s">
        <v>10171</v>
      </c>
      <c r="C815" s="303" t="s">
        <v>8929</v>
      </c>
      <c r="D815" s="303" t="s">
        <v>8910</v>
      </c>
      <c r="E815" s="303" t="s">
        <v>10170</v>
      </c>
      <c r="F815" s="31" t="s">
        <v>10007</v>
      </c>
      <c r="G815" s="31"/>
      <c r="H815" s="31"/>
      <c r="I815" s="31"/>
      <c r="J815" s="31"/>
      <c r="K815" s="31"/>
      <c r="L815" s="31"/>
      <c r="M815" s="31"/>
    </row>
    <row r="816" spans="1:13">
      <c r="A816" s="535">
        <v>44522</v>
      </c>
      <c r="B816" s="303" t="s">
        <v>5408</v>
      </c>
      <c r="C816" s="303" t="s">
        <v>8929</v>
      </c>
      <c r="D816" s="303" t="s">
        <v>8910</v>
      </c>
      <c r="E816" s="303" t="s">
        <v>10170</v>
      </c>
      <c r="F816" s="31"/>
      <c r="G816" s="31"/>
      <c r="H816" s="31"/>
      <c r="I816" s="31"/>
      <c r="J816" s="31"/>
      <c r="K816" s="31"/>
      <c r="L816" s="31"/>
      <c r="M816" s="31"/>
    </row>
    <row r="817" spans="1:13">
      <c r="A817" s="535">
        <v>44521</v>
      </c>
      <c r="B817" s="84" t="s">
        <v>10172</v>
      </c>
      <c r="C817" s="84" t="s">
        <v>8929</v>
      </c>
      <c r="D817" s="84" t="s">
        <v>8910</v>
      </c>
      <c r="E817" s="84" t="s">
        <v>10170</v>
      </c>
      <c r="F817" s="31" t="s">
        <v>10004</v>
      </c>
      <c r="G817" s="31"/>
      <c r="H817" s="31"/>
      <c r="I817" s="31"/>
      <c r="J817" s="31"/>
      <c r="K817" s="31"/>
      <c r="L817" s="31"/>
      <c r="M817" s="31"/>
    </row>
    <row r="818" spans="1:13">
      <c r="A818" s="535">
        <v>44521</v>
      </c>
      <c r="B818" s="303" t="s">
        <v>10173</v>
      </c>
      <c r="C818" s="303" t="s">
        <v>8929</v>
      </c>
      <c r="D818" s="303" t="s">
        <v>8910</v>
      </c>
      <c r="E818" s="303" t="s">
        <v>10170</v>
      </c>
      <c r="F818" s="31"/>
      <c r="G818" s="31"/>
      <c r="H818" s="31"/>
      <c r="I818" s="31"/>
      <c r="J818" s="31"/>
      <c r="K818" s="31"/>
      <c r="L818" s="31"/>
      <c r="M818" s="31"/>
    </row>
    <row r="819" spans="1:13">
      <c r="A819" s="541">
        <v>44522</v>
      </c>
      <c r="B819" s="303" t="s">
        <v>10174</v>
      </c>
      <c r="C819" s="303" t="s">
        <v>8929</v>
      </c>
      <c r="D819" s="303" t="s">
        <v>8910</v>
      </c>
      <c r="E819" s="303" t="s">
        <v>10170</v>
      </c>
      <c r="F819" s="31"/>
      <c r="G819" s="31"/>
      <c r="H819" s="31"/>
      <c r="I819" s="31"/>
      <c r="J819" s="31"/>
      <c r="K819" s="31"/>
      <c r="L819" s="31"/>
      <c r="M819" s="31"/>
    </row>
    <row r="820" spans="1:13">
      <c r="A820" s="535">
        <v>44523</v>
      </c>
      <c r="B820" s="84" t="s">
        <v>5422</v>
      </c>
      <c r="C820" s="84" t="s">
        <v>8929</v>
      </c>
      <c r="D820" s="84" t="s">
        <v>8910</v>
      </c>
      <c r="E820" s="84" t="s">
        <v>10170</v>
      </c>
      <c r="F820" s="31" t="s">
        <v>10004</v>
      </c>
      <c r="G820" s="31"/>
      <c r="H820" s="31"/>
      <c r="I820" s="31"/>
      <c r="J820" s="31"/>
      <c r="K820" s="31"/>
      <c r="L820" s="31"/>
      <c r="M820" s="31"/>
    </row>
    <row r="821" spans="1:13">
      <c r="A821" s="535">
        <v>44523</v>
      </c>
      <c r="B821" s="303" t="s">
        <v>10175</v>
      </c>
      <c r="C821" s="303" t="s">
        <v>8929</v>
      </c>
      <c r="D821" s="303" t="s">
        <v>8910</v>
      </c>
      <c r="E821" s="303" t="s">
        <v>10170</v>
      </c>
      <c r="F821" s="31" t="s">
        <v>10004</v>
      </c>
      <c r="G821" s="31"/>
      <c r="H821" s="31"/>
      <c r="I821" s="31"/>
      <c r="J821" s="31"/>
      <c r="K821" s="31"/>
      <c r="L821" s="31"/>
      <c r="M821" s="31"/>
    </row>
    <row r="822" spans="1:13">
      <c r="A822" s="535">
        <v>44523</v>
      </c>
      <c r="B822" s="303" t="s">
        <v>3418</v>
      </c>
      <c r="C822" s="303" t="s">
        <v>8929</v>
      </c>
      <c r="D822" s="303" t="s">
        <v>8910</v>
      </c>
      <c r="E822" s="303" t="s">
        <v>10170</v>
      </c>
      <c r="F822" s="31" t="s">
        <v>10004</v>
      </c>
      <c r="G822" s="31"/>
      <c r="H822" s="31"/>
      <c r="I822" s="31"/>
      <c r="J822" s="31"/>
      <c r="K822" s="31"/>
      <c r="L822" s="31"/>
      <c r="M822" s="31"/>
    </row>
    <row r="823" spans="1:13">
      <c r="A823" s="535">
        <v>44523</v>
      </c>
      <c r="B823" s="84" t="s">
        <v>10176</v>
      </c>
      <c r="C823" s="84" t="s">
        <v>8929</v>
      </c>
      <c r="D823" s="84" t="s">
        <v>8910</v>
      </c>
      <c r="E823" s="84" t="s">
        <v>10170</v>
      </c>
      <c r="F823" s="31" t="s">
        <v>9999</v>
      </c>
      <c r="G823" s="31"/>
      <c r="H823" s="31"/>
      <c r="I823" s="31"/>
      <c r="J823" s="31"/>
      <c r="K823" s="31"/>
      <c r="L823" s="31"/>
      <c r="M823" s="31"/>
    </row>
    <row r="824" spans="1:13">
      <c r="A824" s="535">
        <v>44523</v>
      </c>
      <c r="B824" s="303" t="s">
        <v>3382</v>
      </c>
      <c r="C824" s="303" t="s">
        <v>8929</v>
      </c>
      <c r="D824" s="303" t="s">
        <v>8910</v>
      </c>
      <c r="E824" s="303" t="s">
        <v>10170</v>
      </c>
      <c r="F824" s="31" t="s">
        <v>10007</v>
      </c>
      <c r="G824" s="31"/>
      <c r="H824" s="31"/>
      <c r="I824" s="31"/>
      <c r="J824" s="31"/>
      <c r="K824" s="31"/>
      <c r="L824" s="31"/>
      <c r="M824" s="31"/>
    </row>
    <row r="825" spans="1:13">
      <c r="A825" s="535">
        <v>44523</v>
      </c>
      <c r="B825" s="303" t="s">
        <v>10177</v>
      </c>
      <c r="C825" s="303" t="s">
        <v>8929</v>
      </c>
      <c r="D825" s="303" t="s">
        <v>8910</v>
      </c>
      <c r="E825" s="303" t="s">
        <v>10170</v>
      </c>
      <c r="F825" s="31" t="s">
        <v>10007</v>
      </c>
      <c r="G825" s="31"/>
      <c r="H825" s="31"/>
      <c r="I825" s="31"/>
      <c r="J825" s="31"/>
      <c r="K825" s="31"/>
      <c r="L825" s="31"/>
      <c r="M825" s="31"/>
    </row>
    <row r="826" spans="1:13">
      <c r="A826" s="535">
        <v>44523</v>
      </c>
      <c r="B826" s="303" t="s">
        <v>3302</v>
      </c>
      <c r="C826" s="303" t="s">
        <v>8929</v>
      </c>
      <c r="D826" s="303" t="s">
        <v>8910</v>
      </c>
      <c r="E826" s="303" t="s">
        <v>10170</v>
      </c>
      <c r="F826" s="31" t="s">
        <v>9999</v>
      </c>
      <c r="G826" s="31"/>
      <c r="H826" s="31"/>
      <c r="I826" s="31"/>
      <c r="J826" s="31"/>
      <c r="K826" s="31"/>
      <c r="L826" s="31"/>
      <c r="M826" s="31"/>
    </row>
    <row r="827" spans="1:13">
      <c r="A827" s="535">
        <v>44523</v>
      </c>
      <c r="B827" s="303" t="s">
        <v>10178</v>
      </c>
      <c r="C827" s="303" t="s">
        <v>8929</v>
      </c>
      <c r="D827" s="303" t="s">
        <v>8910</v>
      </c>
      <c r="E827" s="303" t="s">
        <v>10170</v>
      </c>
      <c r="F827" s="31" t="s">
        <v>9999</v>
      </c>
      <c r="G827" s="31"/>
      <c r="H827" s="31"/>
      <c r="I827" s="31"/>
      <c r="J827" s="31"/>
      <c r="K827" s="31"/>
      <c r="L827" s="31"/>
      <c r="M827" s="31"/>
    </row>
    <row r="828" spans="1:13">
      <c r="A828" s="535">
        <v>44523</v>
      </c>
      <c r="B828" s="303" t="s">
        <v>10179</v>
      </c>
      <c r="C828" s="303" t="s">
        <v>8929</v>
      </c>
      <c r="D828" s="303" t="s">
        <v>8910</v>
      </c>
      <c r="E828" s="303" t="s">
        <v>10170</v>
      </c>
      <c r="F828" s="31" t="s">
        <v>9998</v>
      </c>
      <c r="G828" s="31"/>
      <c r="H828" s="31"/>
      <c r="I828" s="31"/>
      <c r="J828" s="31"/>
      <c r="K828" s="31"/>
      <c r="L828" s="31"/>
      <c r="M828" s="31"/>
    </row>
    <row r="829" spans="1:13">
      <c r="A829" s="535">
        <v>44523</v>
      </c>
      <c r="B829" s="303" t="s">
        <v>4022</v>
      </c>
      <c r="C829" s="303" t="s">
        <v>8929</v>
      </c>
      <c r="D829" s="303" t="s">
        <v>8910</v>
      </c>
      <c r="E829" s="303" t="s">
        <v>10180</v>
      </c>
      <c r="F829" s="31" t="s">
        <v>10007</v>
      </c>
      <c r="G829" s="31"/>
      <c r="H829" s="31"/>
      <c r="I829" s="31"/>
      <c r="J829" s="31"/>
      <c r="K829" s="31"/>
      <c r="L829" s="31"/>
      <c r="M829" s="31"/>
    </row>
    <row r="830" spans="1:13">
      <c r="A830" s="535">
        <v>44524</v>
      </c>
      <c r="B830" s="84" t="s">
        <v>5418</v>
      </c>
      <c r="C830" s="84" t="s">
        <v>8929</v>
      </c>
      <c r="D830" s="84" t="s">
        <v>8910</v>
      </c>
      <c r="E830" s="84" t="s">
        <v>10170</v>
      </c>
      <c r="F830" s="31" t="s">
        <v>10007</v>
      </c>
      <c r="G830" s="31"/>
      <c r="H830" s="31"/>
      <c r="I830" s="31"/>
      <c r="J830" s="31"/>
      <c r="K830" s="31"/>
      <c r="L830" s="31"/>
      <c r="M830" s="31"/>
    </row>
    <row r="831" spans="1:13">
      <c r="A831" s="535">
        <v>44524</v>
      </c>
      <c r="B831" s="84" t="s">
        <v>3248</v>
      </c>
      <c r="C831" s="84" t="s">
        <v>8929</v>
      </c>
      <c r="D831" s="84" t="s">
        <v>8910</v>
      </c>
      <c r="E831" s="84" t="s">
        <v>10170</v>
      </c>
      <c r="F831" s="31" t="s">
        <v>10007</v>
      </c>
      <c r="G831" s="31"/>
      <c r="H831" s="31"/>
      <c r="I831" s="31"/>
      <c r="J831" s="31"/>
      <c r="K831" s="31"/>
      <c r="L831" s="31"/>
      <c r="M831" s="31"/>
    </row>
    <row r="832" spans="1:13">
      <c r="A832" s="535">
        <v>44524</v>
      </c>
      <c r="B832" s="303" t="s">
        <v>10181</v>
      </c>
      <c r="C832" s="303" t="s">
        <v>8929</v>
      </c>
      <c r="D832" s="303" t="s">
        <v>8910</v>
      </c>
      <c r="E832" s="303" t="s">
        <v>10170</v>
      </c>
      <c r="F832" s="31"/>
      <c r="G832" s="31"/>
      <c r="H832" s="31"/>
      <c r="I832" s="31"/>
      <c r="J832" s="31"/>
      <c r="K832" s="31"/>
      <c r="L832" s="31"/>
      <c r="M832" s="31"/>
    </row>
    <row r="833" spans="1:13">
      <c r="A833" s="535">
        <v>44524</v>
      </c>
      <c r="B833" s="303" t="s">
        <v>10182</v>
      </c>
      <c r="C833" s="303" t="s">
        <v>8929</v>
      </c>
      <c r="D833" s="303" t="s">
        <v>8910</v>
      </c>
      <c r="E833" s="303" t="s">
        <v>10170</v>
      </c>
      <c r="F833" s="31" t="s">
        <v>10007</v>
      </c>
      <c r="G833" s="31"/>
      <c r="H833" s="31"/>
      <c r="I833" s="31"/>
      <c r="J833" s="31"/>
      <c r="K833" s="31"/>
      <c r="L833" s="31"/>
      <c r="M833" s="31"/>
    </row>
    <row r="834" spans="1:13">
      <c r="A834" s="535">
        <v>44524</v>
      </c>
      <c r="B834" s="303" t="s">
        <v>5427</v>
      </c>
      <c r="C834" s="303" t="s">
        <v>8929</v>
      </c>
      <c r="D834" s="303" t="s">
        <v>8910</v>
      </c>
      <c r="E834" s="303" t="s">
        <v>10170</v>
      </c>
      <c r="F834" s="31" t="s">
        <v>9999</v>
      </c>
      <c r="G834" s="31"/>
      <c r="H834" s="31"/>
      <c r="I834" s="31"/>
      <c r="J834" s="31"/>
      <c r="K834" s="31"/>
      <c r="L834" s="31"/>
      <c r="M834" s="31"/>
    </row>
    <row r="835" spans="1:13">
      <c r="A835" s="535">
        <v>44524</v>
      </c>
      <c r="B835" s="303" t="s">
        <v>3995</v>
      </c>
      <c r="C835" s="304" t="s">
        <v>8929</v>
      </c>
      <c r="D835" s="304" t="s">
        <v>8910</v>
      </c>
      <c r="E835" s="304" t="s">
        <v>10170</v>
      </c>
      <c r="F835" s="240" t="s">
        <v>10072</v>
      </c>
      <c r="G835" s="240"/>
      <c r="H835" s="31"/>
      <c r="I835" s="31"/>
      <c r="J835" s="31"/>
      <c r="K835" s="31"/>
      <c r="L835" s="31"/>
      <c r="M835" s="31"/>
    </row>
    <row r="836" spans="1:13">
      <c r="A836" s="535">
        <v>44525</v>
      </c>
      <c r="B836" s="303" t="s">
        <v>10183</v>
      </c>
      <c r="C836" s="303" t="s">
        <v>8929</v>
      </c>
      <c r="D836" s="303" t="s">
        <v>8910</v>
      </c>
      <c r="E836" s="303" t="s">
        <v>10170</v>
      </c>
      <c r="F836" s="31" t="s">
        <v>9998</v>
      </c>
      <c r="G836" s="31"/>
      <c r="H836" s="31"/>
      <c r="I836" s="31"/>
      <c r="J836" s="31"/>
      <c r="K836" s="31"/>
      <c r="L836" s="31"/>
      <c r="M836" s="31"/>
    </row>
    <row r="837" spans="1:13">
      <c r="A837" s="535">
        <v>44525</v>
      </c>
      <c r="B837" s="303" t="s">
        <v>10184</v>
      </c>
      <c r="C837" s="303" t="s">
        <v>8929</v>
      </c>
      <c r="D837" s="303" t="s">
        <v>8910</v>
      </c>
      <c r="E837" s="303" t="s">
        <v>10170</v>
      </c>
      <c r="F837" s="31" t="s">
        <v>9998</v>
      </c>
      <c r="G837" s="31"/>
      <c r="H837" s="31"/>
      <c r="I837" s="31"/>
      <c r="J837" s="31"/>
      <c r="K837" s="31"/>
      <c r="L837" s="31"/>
      <c r="M837" s="31"/>
    </row>
    <row r="838" spans="1:13">
      <c r="A838" s="535">
        <v>44525</v>
      </c>
      <c r="B838" s="303" t="s">
        <v>5429</v>
      </c>
      <c r="C838" s="303" t="s">
        <v>8929</v>
      </c>
      <c r="D838" s="303" t="s">
        <v>8910</v>
      </c>
      <c r="E838" s="303" t="s">
        <v>10170</v>
      </c>
      <c r="F838" s="31" t="s">
        <v>9999</v>
      </c>
      <c r="G838" s="31"/>
      <c r="H838" s="31"/>
      <c r="I838" s="31"/>
      <c r="J838" s="31"/>
      <c r="K838" s="31"/>
      <c r="L838" s="31"/>
      <c r="M838" s="31"/>
    </row>
    <row r="839" spans="1:13">
      <c r="A839" s="535">
        <v>44525</v>
      </c>
      <c r="B839" s="303" t="s">
        <v>10185</v>
      </c>
      <c r="C839" s="84" t="s">
        <v>8929</v>
      </c>
      <c r="D839" s="84" t="s">
        <v>8910</v>
      </c>
      <c r="E839" s="84" t="s">
        <v>10170</v>
      </c>
      <c r="F839" s="305">
        <v>44547</v>
      </c>
      <c r="G839" s="84"/>
      <c r="H839" s="31"/>
      <c r="I839" s="31"/>
      <c r="J839" s="31"/>
      <c r="K839" s="31"/>
      <c r="L839" s="31"/>
      <c r="M839" s="31"/>
    </row>
    <row r="840" spans="1:13">
      <c r="A840" s="535">
        <v>44525</v>
      </c>
      <c r="B840" s="303" t="s">
        <v>5435</v>
      </c>
      <c r="C840" s="303" t="s">
        <v>8929</v>
      </c>
      <c r="D840" s="303" t="s">
        <v>8910</v>
      </c>
      <c r="E840" s="303" t="s">
        <v>10170</v>
      </c>
      <c r="F840" s="31" t="s">
        <v>10004</v>
      </c>
      <c r="G840" s="31"/>
      <c r="H840" s="31"/>
      <c r="I840" s="31"/>
      <c r="J840" s="31"/>
      <c r="K840" s="31"/>
      <c r="L840" s="31"/>
      <c r="M840" s="31"/>
    </row>
    <row r="841" spans="1:13">
      <c r="A841" s="535">
        <v>44526</v>
      </c>
      <c r="B841" s="303" t="s">
        <v>10186</v>
      </c>
      <c r="C841" s="303" t="s">
        <v>8929</v>
      </c>
      <c r="D841" s="303" t="s">
        <v>8910</v>
      </c>
      <c r="E841" s="303" t="s">
        <v>10170</v>
      </c>
      <c r="F841" s="31" t="s">
        <v>10026</v>
      </c>
      <c r="G841" s="31"/>
      <c r="H841" s="31"/>
      <c r="I841" s="31"/>
      <c r="J841" s="31"/>
      <c r="K841" s="31"/>
      <c r="L841" s="31"/>
      <c r="M841" s="31"/>
    </row>
    <row r="842" spans="1:13">
      <c r="A842" s="541">
        <v>44526</v>
      </c>
      <c r="B842" s="303" t="s">
        <v>10187</v>
      </c>
      <c r="C842" s="303" t="s">
        <v>8929</v>
      </c>
      <c r="D842" s="303" t="s">
        <v>8910</v>
      </c>
      <c r="E842" s="303" t="s">
        <v>10170</v>
      </c>
      <c r="F842" s="31" t="s">
        <v>10026</v>
      </c>
      <c r="G842" s="31"/>
      <c r="H842" s="31"/>
      <c r="I842" s="31"/>
      <c r="J842" s="31"/>
      <c r="K842" s="31"/>
      <c r="L842" s="31"/>
      <c r="M842" s="31"/>
    </row>
    <row r="843" spans="1:13">
      <c r="A843" s="535">
        <v>44526</v>
      </c>
      <c r="B843" s="303" t="s">
        <v>5433</v>
      </c>
      <c r="C843" s="303" t="s">
        <v>8929</v>
      </c>
      <c r="D843" s="303" t="s">
        <v>8910</v>
      </c>
      <c r="E843" s="303" t="s">
        <v>10170</v>
      </c>
      <c r="F843" s="31" t="s">
        <v>9996</v>
      </c>
      <c r="G843" s="31"/>
      <c r="H843" s="31"/>
      <c r="I843" s="31"/>
      <c r="J843" s="31"/>
      <c r="K843" s="31"/>
      <c r="L843" s="31"/>
      <c r="M843" s="31"/>
    </row>
    <row r="844" spans="1:13">
      <c r="A844" s="535">
        <v>44526</v>
      </c>
      <c r="B844" s="304" t="s">
        <v>2893</v>
      </c>
      <c r="C844" s="304" t="s">
        <v>8929</v>
      </c>
      <c r="D844" s="304" t="s">
        <v>8910</v>
      </c>
      <c r="E844" s="304" t="s">
        <v>10170</v>
      </c>
      <c r="F844" s="31" t="s">
        <v>10004</v>
      </c>
      <c r="G844" s="31"/>
      <c r="H844" s="31"/>
      <c r="I844" s="31"/>
      <c r="J844" s="31"/>
      <c r="K844" s="31"/>
      <c r="L844" s="31"/>
      <c r="M844" s="31"/>
    </row>
    <row r="845" spans="1:13">
      <c r="A845" s="540">
        <v>44526</v>
      </c>
      <c r="B845" s="304" t="s">
        <v>3096</v>
      </c>
      <c r="C845" s="304" t="s">
        <v>8929</v>
      </c>
      <c r="D845" s="304" t="s">
        <v>8910</v>
      </c>
      <c r="E845" s="304" t="s">
        <v>10170</v>
      </c>
      <c r="F845" s="304" t="s">
        <v>9998</v>
      </c>
      <c r="G845" s="31"/>
      <c r="H845" s="31"/>
      <c r="I845" s="31"/>
      <c r="J845" s="31"/>
      <c r="K845" s="31"/>
      <c r="L845" s="31"/>
      <c r="M845" s="31"/>
    </row>
    <row r="846" spans="1:13">
      <c r="A846" s="541">
        <v>44527</v>
      </c>
      <c r="B846" s="303" t="s">
        <v>3588</v>
      </c>
      <c r="C846" s="303" t="s">
        <v>8929</v>
      </c>
      <c r="D846" s="303" t="s">
        <v>8910</v>
      </c>
      <c r="E846" s="303" t="s">
        <v>10170</v>
      </c>
      <c r="F846" s="303" t="s">
        <v>10004</v>
      </c>
      <c r="G846" s="31"/>
      <c r="H846" s="31"/>
      <c r="I846" s="31"/>
      <c r="J846" s="31"/>
      <c r="K846" s="31"/>
      <c r="L846" s="31"/>
      <c r="M846" s="31"/>
    </row>
    <row r="847" spans="1:13">
      <c r="A847" s="541">
        <v>44527</v>
      </c>
      <c r="B847" s="303" t="s">
        <v>5439</v>
      </c>
      <c r="C847" s="303" t="s">
        <v>8929</v>
      </c>
      <c r="D847" s="303" t="s">
        <v>8910</v>
      </c>
      <c r="E847" s="303" t="s">
        <v>10170</v>
      </c>
      <c r="F847" s="303" t="s">
        <v>10004</v>
      </c>
      <c r="G847" s="31"/>
      <c r="H847" s="31"/>
      <c r="I847" s="31"/>
      <c r="J847" s="31"/>
      <c r="K847" s="31"/>
      <c r="L847" s="31"/>
      <c r="M847" s="31"/>
    </row>
    <row r="848" spans="1:13">
      <c r="A848" s="540">
        <v>44527</v>
      </c>
      <c r="B848" s="304" t="s">
        <v>5437</v>
      </c>
      <c r="C848" s="304" t="s">
        <v>8929</v>
      </c>
      <c r="D848" s="304" t="s">
        <v>8910</v>
      </c>
      <c r="E848" s="304" t="s">
        <v>10170</v>
      </c>
      <c r="F848" s="304" t="s">
        <v>9998</v>
      </c>
      <c r="G848" s="31"/>
      <c r="H848" s="31"/>
      <c r="I848" s="31"/>
      <c r="J848" s="31"/>
      <c r="K848" s="31"/>
      <c r="L848" s="31"/>
      <c r="M848" s="31"/>
    </row>
    <row r="849" spans="1:13">
      <c r="A849" s="540">
        <v>44528</v>
      </c>
      <c r="B849" s="304" t="s">
        <v>5441</v>
      </c>
      <c r="C849" s="304" t="s">
        <v>8929</v>
      </c>
      <c r="D849" s="304" t="s">
        <v>8910</v>
      </c>
      <c r="E849" s="304" t="s">
        <v>10170</v>
      </c>
      <c r="F849" s="304" t="s">
        <v>10004</v>
      </c>
      <c r="G849" s="31"/>
      <c r="H849" s="31"/>
      <c r="I849" s="31"/>
      <c r="J849" s="31"/>
      <c r="K849" s="31"/>
      <c r="L849" s="31"/>
      <c r="M849" s="31"/>
    </row>
    <row r="850" spans="1:13">
      <c r="A850" s="540">
        <v>44528</v>
      </c>
      <c r="B850" s="304" t="s">
        <v>3154</v>
      </c>
      <c r="C850" s="304" t="s">
        <v>8929</v>
      </c>
      <c r="D850" s="304" t="s">
        <v>8910</v>
      </c>
      <c r="E850" s="304" t="s">
        <v>10170</v>
      </c>
      <c r="F850" s="304" t="s">
        <v>10026</v>
      </c>
      <c r="G850" s="31"/>
      <c r="H850" s="31"/>
      <c r="I850" s="31"/>
      <c r="J850" s="31"/>
      <c r="K850" s="31"/>
      <c r="L850" s="31"/>
      <c r="M850" s="31"/>
    </row>
    <row r="851" spans="1:13">
      <c r="A851" s="543">
        <v>44528</v>
      </c>
      <c r="B851" s="304" t="s">
        <v>10188</v>
      </c>
      <c r="C851" s="304" t="s">
        <v>8929</v>
      </c>
      <c r="D851" s="304" t="s">
        <v>8910</v>
      </c>
      <c r="E851" s="304" t="s">
        <v>10170</v>
      </c>
      <c r="F851" s="304" t="s">
        <v>10007</v>
      </c>
      <c r="G851" s="31"/>
      <c r="H851" s="31"/>
      <c r="I851" s="31"/>
      <c r="J851" s="31"/>
      <c r="K851" s="31"/>
      <c r="L851" s="31"/>
      <c r="M851" s="31"/>
    </row>
    <row r="852" spans="1:13">
      <c r="A852" s="541">
        <v>44529</v>
      </c>
      <c r="B852" s="304" t="s">
        <v>4795</v>
      </c>
      <c r="C852" s="304" t="s">
        <v>8929</v>
      </c>
      <c r="D852" s="304" t="s">
        <v>8910</v>
      </c>
      <c r="E852" s="304" t="s">
        <v>10170</v>
      </c>
      <c r="F852" s="304" t="s">
        <v>10004</v>
      </c>
      <c r="G852" s="31"/>
      <c r="H852" s="31"/>
      <c r="I852" s="31"/>
      <c r="J852" s="31"/>
      <c r="K852" s="31"/>
      <c r="L852" s="31"/>
      <c r="M852" s="31"/>
    </row>
    <row r="853" spans="1:13">
      <c r="A853" s="535">
        <v>44529</v>
      </c>
      <c r="B853" s="304" t="s">
        <v>5445</v>
      </c>
      <c r="C853" s="304" t="s">
        <v>8929</v>
      </c>
      <c r="D853" s="304" t="s">
        <v>8910</v>
      </c>
      <c r="E853" s="304" t="s">
        <v>10170</v>
      </c>
      <c r="F853" s="304" t="s">
        <v>10007</v>
      </c>
      <c r="G853" s="31"/>
      <c r="H853" s="31"/>
      <c r="I853" s="31"/>
      <c r="J853" s="31"/>
      <c r="K853" s="31"/>
      <c r="L853" s="31"/>
      <c r="M853" s="31"/>
    </row>
    <row r="854" spans="1:13">
      <c r="A854" s="535">
        <v>44529</v>
      </c>
      <c r="B854" s="304" t="s">
        <v>10189</v>
      </c>
      <c r="C854" s="84" t="s">
        <v>8929</v>
      </c>
      <c r="D854" s="84" t="s">
        <v>8910</v>
      </c>
      <c r="E854" s="84" t="s">
        <v>10170</v>
      </c>
      <c r="F854" s="305">
        <v>44540</v>
      </c>
      <c r="G854" s="84"/>
      <c r="H854" s="31"/>
      <c r="I854" s="31"/>
      <c r="J854" s="31"/>
      <c r="K854" s="31"/>
      <c r="L854" s="31"/>
      <c r="M854" s="31"/>
    </row>
    <row r="855" spans="1:13">
      <c r="A855" s="535">
        <v>44529</v>
      </c>
      <c r="B855" s="304" t="s">
        <v>10190</v>
      </c>
      <c r="C855" s="304" t="s">
        <v>8929</v>
      </c>
      <c r="D855" s="304" t="s">
        <v>8910</v>
      </c>
      <c r="E855" s="304" t="s">
        <v>10170</v>
      </c>
      <c r="F855" s="304"/>
      <c r="G855" s="31"/>
      <c r="H855" s="31"/>
      <c r="I855" s="31"/>
      <c r="J855" s="31"/>
      <c r="K855" s="31"/>
      <c r="L855" s="31"/>
      <c r="M855" s="31"/>
    </row>
    <row r="856" spans="1:13">
      <c r="A856" s="535">
        <v>44529</v>
      </c>
      <c r="B856" s="304" t="s">
        <v>10191</v>
      </c>
      <c r="C856" s="304" t="s">
        <v>8929</v>
      </c>
      <c r="D856" s="304" t="s">
        <v>8910</v>
      </c>
      <c r="E856" s="304" t="s">
        <v>10170</v>
      </c>
      <c r="F856" s="304" t="s">
        <v>10072</v>
      </c>
      <c r="G856" s="31"/>
      <c r="H856" s="31"/>
      <c r="I856" s="31"/>
      <c r="J856" s="31"/>
      <c r="K856" s="31"/>
      <c r="L856" s="31"/>
      <c r="M856" s="31"/>
    </row>
    <row r="857" spans="1:13">
      <c r="A857" s="535"/>
      <c r="B857" s="297" t="s">
        <v>7628</v>
      </c>
      <c r="C857" s="31"/>
      <c r="D857" s="39"/>
      <c r="E857" s="31"/>
      <c r="F857" s="31"/>
      <c r="G857" s="31"/>
      <c r="H857" s="31"/>
      <c r="I857" s="31"/>
      <c r="J857" s="31"/>
      <c r="K857" s="31"/>
      <c r="L857" s="31"/>
      <c r="M857" s="31"/>
    </row>
    <row r="858" spans="1:13">
      <c r="A858" s="535">
        <v>44531</v>
      </c>
      <c r="B858" s="84" t="s">
        <v>4314</v>
      </c>
      <c r="C858" s="31" t="s">
        <v>8929</v>
      </c>
      <c r="D858" s="31" t="s">
        <v>7628</v>
      </c>
      <c r="E858" s="31" t="s">
        <v>10007</v>
      </c>
      <c r="F858" s="31"/>
      <c r="G858" s="31"/>
      <c r="H858" s="31"/>
      <c r="I858" s="31"/>
      <c r="J858" s="31"/>
      <c r="K858" s="31"/>
      <c r="L858" s="31"/>
      <c r="M858" s="31"/>
    </row>
    <row r="859" spans="1:13">
      <c r="A859" s="535">
        <v>44531</v>
      </c>
      <c r="B859" s="31" t="s">
        <v>10192</v>
      </c>
      <c r="C859" s="31" t="s">
        <v>8929</v>
      </c>
      <c r="D859" s="31" t="s">
        <v>7628</v>
      </c>
      <c r="E859" s="31" t="s">
        <v>9998</v>
      </c>
      <c r="F859" s="31"/>
      <c r="G859" s="31"/>
      <c r="H859" s="31"/>
      <c r="I859" s="31"/>
      <c r="J859" s="31"/>
      <c r="K859" s="31"/>
      <c r="L859" s="31"/>
      <c r="M859" s="31"/>
    </row>
    <row r="860" spans="1:13">
      <c r="A860" s="535">
        <v>44532</v>
      </c>
      <c r="B860" s="31" t="s">
        <v>5449</v>
      </c>
      <c r="C860" s="31" t="s">
        <v>8929</v>
      </c>
      <c r="D860" s="31" t="s">
        <v>7628</v>
      </c>
      <c r="E860" s="31" t="s">
        <v>9999</v>
      </c>
      <c r="F860" s="31"/>
      <c r="G860" s="31"/>
      <c r="H860" s="31"/>
      <c r="I860" s="31"/>
      <c r="J860" s="31"/>
      <c r="K860" s="31"/>
      <c r="L860" s="31"/>
      <c r="M860" s="31"/>
    </row>
    <row r="861" spans="1:13">
      <c r="A861" s="535">
        <v>44533</v>
      </c>
      <c r="B861" s="31" t="s">
        <v>10193</v>
      </c>
      <c r="C861" s="31" t="s">
        <v>8929</v>
      </c>
      <c r="D861" s="31" t="s">
        <v>7628</v>
      </c>
      <c r="E861" s="31" t="s">
        <v>10002</v>
      </c>
      <c r="F861" s="31"/>
      <c r="G861" s="31"/>
      <c r="H861" s="31"/>
      <c r="I861" s="31"/>
      <c r="J861" s="31"/>
      <c r="K861" s="31"/>
      <c r="L861" s="31"/>
      <c r="M861" s="31"/>
    </row>
    <row r="862" spans="1:13">
      <c r="A862" s="535">
        <v>44536</v>
      </c>
      <c r="B862" s="31" t="s">
        <v>3568</v>
      </c>
      <c r="C862" s="84" t="s">
        <v>8929</v>
      </c>
      <c r="D862" s="84" t="s">
        <v>7628</v>
      </c>
      <c r="E862" s="84" t="s">
        <v>10194</v>
      </c>
      <c r="F862" s="84"/>
      <c r="G862" s="84"/>
      <c r="H862" s="31"/>
      <c r="I862" s="31"/>
      <c r="J862" s="31"/>
      <c r="K862" s="31"/>
      <c r="L862" s="31"/>
      <c r="M862" s="31"/>
    </row>
    <row r="863" spans="1:13">
      <c r="A863" s="535">
        <v>44537</v>
      </c>
      <c r="B863" s="31" t="s">
        <v>10195</v>
      </c>
      <c r="C863" s="31" t="s">
        <v>8929</v>
      </c>
      <c r="D863" s="31" t="s">
        <v>7628</v>
      </c>
      <c r="E863" s="31"/>
      <c r="F863" s="31"/>
      <c r="G863" s="31"/>
      <c r="H863" s="31"/>
      <c r="I863" s="31"/>
      <c r="J863" s="31"/>
      <c r="K863" s="31"/>
      <c r="L863" s="31"/>
      <c r="M863" s="31"/>
    </row>
    <row r="864" spans="1:13">
      <c r="A864" s="535">
        <v>44538</v>
      </c>
      <c r="B864" s="31" t="s">
        <v>5454</v>
      </c>
      <c r="C864" s="31" t="s">
        <v>8929</v>
      </c>
      <c r="D864" s="31" t="s">
        <v>7628</v>
      </c>
      <c r="E864" s="31"/>
      <c r="F864" s="31"/>
      <c r="G864" s="31"/>
      <c r="H864" s="31"/>
      <c r="I864" s="31"/>
      <c r="J864" s="31"/>
      <c r="K864" s="31"/>
      <c r="L864" s="31"/>
      <c r="M864" s="31"/>
    </row>
    <row r="865" spans="1:13">
      <c r="A865" s="535">
        <v>44538</v>
      </c>
      <c r="B865" s="84" t="s">
        <v>3567</v>
      </c>
      <c r="C865" s="31" t="s">
        <v>8929</v>
      </c>
      <c r="D865" s="31" t="s">
        <v>7628</v>
      </c>
      <c r="E865" s="31"/>
      <c r="F865" s="31"/>
      <c r="G865" s="31"/>
      <c r="H865" s="31"/>
      <c r="I865" s="31"/>
      <c r="J865" s="31"/>
      <c r="K865" s="31"/>
      <c r="L865" s="31"/>
      <c r="M865" s="31"/>
    </row>
    <row r="866" spans="1:13">
      <c r="A866" s="540">
        <v>44537</v>
      </c>
      <c r="B866" s="274" t="s">
        <v>3586</v>
      </c>
      <c r="C866" s="31" t="s">
        <v>8929</v>
      </c>
      <c r="D866" s="31" t="s">
        <v>7628</v>
      </c>
      <c r="E866" s="31"/>
      <c r="F866" s="31"/>
      <c r="G866" s="31"/>
      <c r="H866" s="31"/>
      <c r="I866" s="31"/>
      <c r="J866" s="31"/>
      <c r="K866" s="31"/>
      <c r="L866" s="31"/>
      <c r="M866" s="31"/>
    </row>
    <row r="867" spans="1:13">
      <c r="A867" s="540">
        <v>44539</v>
      </c>
      <c r="B867" s="274" t="s">
        <v>5456</v>
      </c>
      <c r="C867" s="31" t="s">
        <v>8929</v>
      </c>
      <c r="D867" s="31" t="s">
        <v>7628</v>
      </c>
      <c r="E867" s="31"/>
      <c r="F867" s="31"/>
      <c r="G867" s="31"/>
      <c r="H867" s="31"/>
      <c r="I867" s="31"/>
      <c r="J867" s="31"/>
      <c r="K867" s="31"/>
      <c r="L867" s="31"/>
      <c r="M867" s="31"/>
    </row>
    <row r="868" spans="1:13">
      <c r="A868" s="540">
        <v>44539</v>
      </c>
      <c r="B868" s="31" t="s">
        <v>10196</v>
      </c>
      <c r="C868" s="31" t="s">
        <v>8929</v>
      </c>
      <c r="D868" s="31" t="s">
        <v>7628</v>
      </c>
      <c r="E868" s="31" t="s">
        <v>9996</v>
      </c>
      <c r="F868" s="31"/>
      <c r="G868" s="31"/>
      <c r="H868" s="31"/>
      <c r="I868" s="31"/>
      <c r="J868" s="31"/>
      <c r="K868" s="31"/>
      <c r="L868" s="31"/>
      <c r="M868" s="31"/>
    </row>
    <row r="869" spans="1:13">
      <c r="A869" s="540">
        <v>44540</v>
      </c>
      <c r="B869" s="31" t="s">
        <v>5458</v>
      </c>
      <c r="C869" s="31" t="s">
        <v>8929</v>
      </c>
      <c r="D869" s="31" t="s">
        <v>7628</v>
      </c>
      <c r="E869" s="31"/>
      <c r="F869" s="31"/>
      <c r="G869" s="31"/>
      <c r="H869" s="31"/>
      <c r="I869" s="31"/>
      <c r="J869" s="31"/>
      <c r="K869" s="31"/>
      <c r="L869" s="31"/>
      <c r="M869" s="31"/>
    </row>
    <row r="870" spans="1:13">
      <c r="A870" s="540">
        <v>44540</v>
      </c>
      <c r="B870" s="31" t="s">
        <v>5392</v>
      </c>
      <c r="C870" s="31" t="s">
        <v>8929</v>
      </c>
      <c r="D870" s="31" t="s">
        <v>7628</v>
      </c>
      <c r="E870" s="31"/>
      <c r="F870" s="31"/>
      <c r="G870" s="31"/>
      <c r="H870" s="31"/>
      <c r="I870" s="31"/>
      <c r="J870" s="31"/>
      <c r="K870" s="31"/>
      <c r="L870" s="31"/>
      <c r="M870" s="31"/>
    </row>
    <row r="871" spans="1:13">
      <c r="A871" s="540">
        <v>44543</v>
      </c>
      <c r="B871" s="31" t="s">
        <v>3151</v>
      </c>
      <c r="C871" s="31" t="s">
        <v>8929</v>
      </c>
      <c r="D871" s="31" t="s">
        <v>7628</v>
      </c>
      <c r="E871" s="31"/>
      <c r="F871" s="31"/>
      <c r="G871" s="31"/>
      <c r="H871" s="31"/>
      <c r="I871" s="31"/>
      <c r="J871" s="31"/>
      <c r="K871" s="31"/>
      <c r="L871" s="31"/>
      <c r="M871" s="31"/>
    </row>
    <row r="872" spans="1:13">
      <c r="A872" s="540">
        <v>44543</v>
      </c>
      <c r="B872" s="84" t="s">
        <v>5464</v>
      </c>
      <c r="C872" s="31" t="s">
        <v>8929</v>
      </c>
      <c r="D872" s="31" t="s">
        <v>7628</v>
      </c>
      <c r="E872" s="31"/>
      <c r="F872" s="31"/>
      <c r="G872" s="31"/>
      <c r="H872" s="31"/>
      <c r="I872" s="31"/>
      <c r="J872" s="31"/>
      <c r="K872" s="31"/>
      <c r="L872" s="31"/>
      <c r="M872" s="31"/>
    </row>
    <row r="873" spans="1:13">
      <c r="A873" s="540">
        <v>44546</v>
      </c>
      <c r="B873" s="31" t="s">
        <v>3566</v>
      </c>
      <c r="C873" s="31" t="s">
        <v>8929</v>
      </c>
      <c r="D873" s="31" t="s">
        <v>7628</v>
      </c>
      <c r="E873" s="31"/>
      <c r="F873" s="31"/>
      <c r="G873" s="31"/>
      <c r="H873" s="31"/>
      <c r="I873" s="31"/>
      <c r="J873" s="31"/>
      <c r="K873" s="31"/>
      <c r="L873" s="31"/>
      <c r="M873" s="31"/>
    </row>
    <row r="874" spans="1:13">
      <c r="A874" s="540">
        <v>44546</v>
      </c>
      <c r="B874" s="31" t="s">
        <v>5468</v>
      </c>
      <c r="C874" s="31" t="s">
        <v>8929</v>
      </c>
      <c r="D874" s="31" t="s">
        <v>7628</v>
      </c>
      <c r="E874" s="31"/>
      <c r="F874" s="31"/>
      <c r="G874" s="31"/>
      <c r="H874" s="31"/>
      <c r="I874" s="31"/>
      <c r="J874" s="31"/>
      <c r="K874" s="31"/>
      <c r="L874" s="31"/>
      <c r="M874" s="31"/>
    </row>
    <row r="875" spans="1:13">
      <c r="A875" s="540">
        <v>44911</v>
      </c>
      <c r="B875" s="292" t="s">
        <v>3565</v>
      </c>
      <c r="C875" s="31" t="s">
        <v>8929</v>
      </c>
      <c r="D875" s="31" t="s">
        <v>7628</v>
      </c>
      <c r="E875" s="31" t="s">
        <v>9998</v>
      </c>
      <c r="F875" s="31"/>
      <c r="G875" s="31"/>
      <c r="H875" s="31"/>
      <c r="I875" s="31"/>
      <c r="J875" s="31"/>
      <c r="K875" s="31"/>
      <c r="L875" s="31"/>
      <c r="M875" s="31"/>
    </row>
    <row r="876" spans="1:13">
      <c r="A876" s="540">
        <v>44550</v>
      </c>
      <c r="B876" s="31" t="s">
        <v>3033</v>
      </c>
      <c r="C876" s="31" t="s">
        <v>8929</v>
      </c>
      <c r="D876" s="31" t="s">
        <v>10197</v>
      </c>
      <c r="E876" s="31" t="s">
        <v>10002</v>
      </c>
      <c r="F876" s="31"/>
      <c r="G876" s="31"/>
      <c r="H876" s="31"/>
      <c r="I876" s="31"/>
      <c r="J876" s="31"/>
      <c r="K876" s="31"/>
      <c r="L876" s="31"/>
      <c r="M876" s="31"/>
    </row>
    <row r="877" spans="1:13">
      <c r="A877" s="540">
        <v>44550</v>
      </c>
      <c r="B877" s="31" t="s">
        <v>3336</v>
      </c>
      <c r="C877" s="31" t="s">
        <v>8929</v>
      </c>
      <c r="D877" s="31" t="s">
        <v>7628</v>
      </c>
      <c r="E877" s="31" t="s">
        <v>10198</v>
      </c>
      <c r="F877" s="31"/>
      <c r="G877" s="31"/>
      <c r="H877" s="31"/>
      <c r="I877" s="31"/>
      <c r="J877" s="31"/>
      <c r="K877" s="31"/>
      <c r="L877" s="31"/>
      <c r="M877" s="31"/>
    </row>
    <row r="878" spans="1:13">
      <c r="A878" s="540">
        <v>44551</v>
      </c>
      <c r="B878" s="31" t="s">
        <v>5474</v>
      </c>
      <c r="C878" s="31" t="s">
        <v>8929</v>
      </c>
      <c r="D878" s="31" t="s">
        <v>10197</v>
      </c>
      <c r="E878" s="31" t="s">
        <v>10004</v>
      </c>
      <c r="F878" s="31"/>
      <c r="G878" s="31"/>
      <c r="H878" s="31"/>
      <c r="I878" s="31"/>
      <c r="J878" s="31"/>
      <c r="K878" s="31"/>
      <c r="L878" s="31"/>
      <c r="M878" s="31"/>
    </row>
    <row r="879" spans="1:13">
      <c r="A879" s="540">
        <v>43820</v>
      </c>
      <c r="B879" s="84" t="s">
        <v>5476</v>
      </c>
      <c r="C879" s="31" t="s">
        <v>8929</v>
      </c>
      <c r="D879" s="31" t="s">
        <v>7628</v>
      </c>
      <c r="E879" s="31" t="s">
        <v>10004</v>
      </c>
      <c r="F879" s="31" t="s">
        <v>10199</v>
      </c>
      <c r="G879" s="31"/>
      <c r="H879" s="31"/>
      <c r="I879" s="31"/>
      <c r="J879" s="31"/>
      <c r="K879" s="31"/>
      <c r="L879" s="31"/>
      <c r="M879" s="31"/>
    </row>
    <row r="880" spans="1:13">
      <c r="A880" s="540">
        <v>44551</v>
      </c>
      <c r="B880" s="31" t="s">
        <v>10200</v>
      </c>
      <c r="C880" s="31" t="s">
        <v>8929</v>
      </c>
      <c r="D880" s="31" t="s">
        <v>10197</v>
      </c>
      <c r="E880" s="31" t="s">
        <v>10007</v>
      </c>
      <c r="F880" s="31"/>
      <c r="G880" s="31"/>
      <c r="H880" s="31"/>
      <c r="I880" s="31"/>
      <c r="J880" s="31"/>
      <c r="K880" s="31"/>
      <c r="L880" s="31"/>
      <c r="M880" s="31"/>
    </row>
    <row r="881" spans="1:13">
      <c r="A881" s="540">
        <v>44552</v>
      </c>
      <c r="B881" s="31" t="s">
        <v>3561</v>
      </c>
      <c r="C881" s="31" t="s">
        <v>8929</v>
      </c>
      <c r="D881" s="31" t="s">
        <v>10197</v>
      </c>
      <c r="E881" s="31" t="s">
        <v>9998</v>
      </c>
      <c r="F881" s="31"/>
      <c r="G881" s="31"/>
      <c r="H881" s="31"/>
      <c r="I881" s="31"/>
      <c r="J881" s="31"/>
      <c r="K881" s="31"/>
      <c r="L881" s="31"/>
      <c r="M881" s="31"/>
    </row>
    <row r="882" spans="1:13">
      <c r="A882" s="540">
        <v>44552</v>
      </c>
      <c r="B882" s="31" t="s">
        <v>3562</v>
      </c>
      <c r="C882" s="31" t="s">
        <v>8929</v>
      </c>
      <c r="D882" s="31" t="s">
        <v>10197</v>
      </c>
      <c r="E882" s="31" t="s">
        <v>10007</v>
      </c>
      <c r="F882" s="31"/>
      <c r="G882" s="31"/>
      <c r="H882" s="31"/>
      <c r="I882" s="31"/>
      <c r="J882" s="31"/>
      <c r="K882" s="31"/>
      <c r="L882" s="31"/>
      <c r="M882" s="31"/>
    </row>
    <row r="883" spans="1:13">
      <c r="A883" s="540">
        <v>44553</v>
      </c>
      <c r="B883" s="274" t="s">
        <v>3560</v>
      </c>
      <c r="C883" s="31" t="s">
        <v>8929</v>
      </c>
      <c r="D883" s="31" t="s">
        <v>10197</v>
      </c>
      <c r="E883" s="31" t="s">
        <v>9998</v>
      </c>
      <c r="F883" s="31"/>
      <c r="G883" s="31"/>
      <c r="H883" s="31"/>
      <c r="I883" s="31"/>
      <c r="J883" s="31"/>
      <c r="K883" s="31"/>
      <c r="L883" s="31"/>
      <c r="M883" s="31"/>
    </row>
    <row r="884" spans="1:13">
      <c r="A884" s="540">
        <v>44553</v>
      </c>
      <c r="B884" s="274" t="s">
        <v>2989</v>
      </c>
      <c r="C884" s="31" t="s">
        <v>8929</v>
      </c>
      <c r="D884" s="31" t="s">
        <v>10197</v>
      </c>
      <c r="E884" s="31" t="s">
        <v>9998</v>
      </c>
      <c r="F884" s="31"/>
      <c r="G884" s="31"/>
      <c r="H884" s="31"/>
      <c r="I884" s="31"/>
      <c r="J884" s="31"/>
      <c r="K884" s="31"/>
      <c r="L884" s="31"/>
      <c r="M884" s="31"/>
    </row>
    <row r="885" spans="1:13">
      <c r="A885" s="540">
        <v>44553</v>
      </c>
      <c r="B885" s="274" t="s">
        <v>3559</v>
      </c>
      <c r="C885" s="31" t="s">
        <v>8929</v>
      </c>
      <c r="D885" s="31" t="s">
        <v>10197</v>
      </c>
      <c r="E885" s="31" t="s">
        <v>10026</v>
      </c>
      <c r="F885" s="31"/>
      <c r="G885" s="31"/>
      <c r="H885" s="31"/>
      <c r="I885" s="31"/>
      <c r="J885" s="31"/>
      <c r="K885" s="31"/>
      <c r="L885" s="31"/>
      <c r="M885" s="31"/>
    </row>
    <row r="886" spans="1:13">
      <c r="A886" s="540">
        <v>44557</v>
      </c>
      <c r="B886" s="31" t="s">
        <v>3572</v>
      </c>
      <c r="C886" s="31" t="s">
        <v>8929</v>
      </c>
      <c r="D886" s="31" t="s">
        <v>10197</v>
      </c>
      <c r="E886" s="31" t="s">
        <v>9998</v>
      </c>
      <c r="F886" s="31" t="s">
        <v>10131</v>
      </c>
      <c r="G886" s="31"/>
      <c r="H886" s="31"/>
      <c r="I886" s="31"/>
      <c r="J886" s="31"/>
      <c r="K886" s="31"/>
      <c r="L886" s="31"/>
      <c r="M886" s="31"/>
    </row>
    <row r="887" spans="1:13">
      <c r="A887" s="540">
        <v>44557</v>
      </c>
      <c r="B887" s="31" t="s">
        <v>10201</v>
      </c>
      <c r="C887" s="31" t="s">
        <v>8929</v>
      </c>
      <c r="D887" s="31" t="s">
        <v>10197</v>
      </c>
      <c r="E887" s="31" t="s">
        <v>9998</v>
      </c>
      <c r="F887" s="31" t="s">
        <v>10131</v>
      </c>
      <c r="G887" s="31"/>
      <c r="H887" s="31"/>
      <c r="I887" s="31"/>
      <c r="J887" s="31"/>
      <c r="K887" s="31"/>
      <c r="L887" s="31"/>
      <c r="M887" s="31"/>
    </row>
    <row r="888" spans="1:13">
      <c r="A888" s="540">
        <v>44557</v>
      </c>
      <c r="B888" s="31" t="s">
        <v>3573</v>
      </c>
      <c r="C888" s="31" t="s">
        <v>8929</v>
      </c>
      <c r="D888" s="31" t="s">
        <v>10197</v>
      </c>
      <c r="E888" s="31" t="s">
        <v>9998</v>
      </c>
      <c r="F888" s="31" t="s">
        <v>10131</v>
      </c>
      <c r="G888" s="31"/>
      <c r="H888" s="31"/>
      <c r="I888" s="31"/>
      <c r="J888" s="31"/>
      <c r="K888" s="31"/>
      <c r="L888" s="31"/>
      <c r="M888" s="31"/>
    </row>
    <row r="889" spans="1:13">
      <c r="A889" s="540">
        <v>44557</v>
      </c>
      <c r="B889" s="31" t="s">
        <v>6846</v>
      </c>
      <c r="C889" s="31" t="s">
        <v>8929</v>
      </c>
      <c r="D889" s="31" t="s">
        <v>10197</v>
      </c>
      <c r="E889" s="31" t="s">
        <v>9998</v>
      </c>
      <c r="F889" s="31" t="s">
        <v>10131</v>
      </c>
      <c r="G889" s="31"/>
      <c r="H889" s="31"/>
      <c r="I889" s="31"/>
      <c r="J889" s="31"/>
      <c r="K889" s="31"/>
      <c r="L889" s="31"/>
      <c r="M889" s="31"/>
    </row>
    <row r="890" spans="1:13">
      <c r="A890" s="540">
        <v>44558</v>
      </c>
      <c r="B890" s="31" t="s">
        <v>3558</v>
      </c>
      <c r="C890" s="31" t="s">
        <v>8929</v>
      </c>
      <c r="D890" s="31" t="s">
        <v>10197</v>
      </c>
      <c r="E890" s="31" t="s">
        <v>10004</v>
      </c>
      <c r="F890" s="31"/>
      <c r="G890" s="31"/>
      <c r="H890" s="31"/>
      <c r="I890" s="31"/>
      <c r="J890" s="31"/>
      <c r="K890" s="31"/>
      <c r="L890" s="31"/>
      <c r="M890" s="31"/>
    </row>
    <row r="891" spans="1:13">
      <c r="A891" s="540">
        <v>44558</v>
      </c>
      <c r="B891" s="31" t="s">
        <v>5483</v>
      </c>
      <c r="C891" s="31" t="s">
        <v>8929</v>
      </c>
      <c r="D891" s="31" t="s">
        <v>10197</v>
      </c>
      <c r="E891" s="31" t="s">
        <v>10004</v>
      </c>
      <c r="F891" s="31" t="s">
        <v>10131</v>
      </c>
      <c r="G891" s="31"/>
      <c r="H891" s="31"/>
      <c r="I891" s="31"/>
      <c r="J891" s="31"/>
      <c r="K891" s="31"/>
      <c r="L891" s="31"/>
      <c r="M891" s="31"/>
    </row>
    <row r="892" spans="1:13">
      <c r="A892" s="540">
        <v>44559</v>
      </c>
      <c r="B892" s="31" t="s">
        <v>5485</v>
      </c>
      <c r="C892" s="31" t="s">
        <v>8929</v>
      </c>
      <c r="D892" s="31" t="s">
        <v>7628</v>
      </c>
      <c r="E892" s="31" t="s">
        <v>10202</v>
      </c>
      <c r="F892" s="31"/>
      <c r="G892" s="31"/>
      <c r="H892" s="31"/>
      <c r="I892" s="31"/>
      <c r="J892" s="31"/>
      <c r="K892" s="31"/>
      <c r="L892" s="31"/>
      <c r="M892" s="31"/>
    </row>
    <row r="893" spans="1:13">
      <c r="A893" s="540">
        <v>44547</v>
      </c>
      <c r="B893" s="274" t="s">
        <v>3564</v>
      </c>
      <c r="C893" s="31" t="s">
        <v>8929</v>
      </c>
      <c r="D893" s="31" t="s">
        <v>10197</v>
      </c>
      <c r="E893" s="31" t="s">
        <v>10203</v>
      </c>
      <c r="F893" s="31"/>
      <c r="G893" s="31"/>
      <c r="H893" s="31"/>
      <c r="I893" s="31"/>
      <c r="J893" s="31"/>
      <c r="K893" s="31"/>
      <c r="L893" s="31"/>
      <c r="M893" s="31"/>
    </row>
    <row r="894" spans="1:13">
      <c r="A894" s="540">
        <v>44560</v>
      </c>
      <c r="B894" s="346" t="s">
        <v>5487</v>
      </c>
      <c r="C894" s="31" t="s">
        <v>9777</v>
      </c>
      <c r="D894" s="31" t="s">
        <v>10197</v>
      </c>
      <c r="E894" s="31" t="s">
        <v>9998</v>
      </c>
      <c r="F894" s="31"/>
      <c r="G894" s="31"/>
      <c r="H894" s="31"/>
      <c r="I894" s="31"/>
      <c r="J894" s="31"/>
      <c r="K894" s="31"/>
      <c r="L894" s="31"/>
      <c r="M894" s="31"/>
    </row>
    <row r="895" spans="1:13">
      <c r="A895" s="540">
        <v>44560</v>
      </c>
      <c r="B895" s="240" t="s">
        <v>10204</v>
      </c>
      <c r="C895" s="31" t="s">
        <v>8929</v>
      </c>
      <c r="D895" s="31" t="s">
        <v>10197</v>
      </c>
      <c r="E895" s="31"/>
      <c r="F895" s="31" t="s">
        <v>10205</v>
      </c>
      <c r="G895" s="31"/>
      <c r="H895" s="31"/>
      <c r="I895" s="31"/>
      <c r="J895" s="31"/>
      <c r="K895" s="31"/>
      <c r="L895" s="31"/>
      <c r="M895" s="31"/>
    </row>
    <row r="896" spans="1:13">
      <c r="A896" s="540"/>
      <c r="B896" s="347" t="s">
        <v>10206</v>
      </c>
      <c r="C896" s="31"/>
      <c r="D896" s="31"/>
      <c r="E896" s="31"/>
      <c r="F896" s="31"/>
      <c r="G896" s="31"/>
      <c r="H896" s="31"/>
      <c r="I896" s="31"/>
      <c r="J896" s="31"/>
      <c r="K896" s="31"/>
      <c r="L896" s="31"/>
      <c r="M896" s="31"/>
    </row>
    <row r="897" spans="1:13">
      <c r="A897" s="540">
        <v>44564</v>
      </c>
      <c r="B897" s="84" t="s">
        <v>10207</v>
      </c>
      <c r="C897" s="31" t="s">
        <v>8929</v>
      </c>
      <c r="D897" s="31" t="s">
        <v>7634</v>
      </c>
      <c r="E897" s="31" t="s">
        <v>10026</v>
      </c>
      <c r="F897" s="31" t="s">
        <v>278</v>
      </c>
      <c r="G897" s="31"/>
      <c r="H897" s="31"/>
      <c r="I897" s="31"/>
      <c r="J897" s="31"/>
      <c r="K897" s="31"/>
      <c r="L897" s="31"/>
      <c r="M897" s="31"/>
    </row>
    <row r="898" spans="1:13">
      <c r="A898" s="535">
        <v>44565</v>
      </c>
      <c r="B898" s="31" t="s">
        <v>3080</v>
      </c>
      <c r="C898" s="31" t="s">
        <v>8929</v>
      </c>
      <c r="D898" s="31" t="s">
        <v>10208</v>
      </c>
      <c r="E898" s="31" t="s">
        <v>10209</v>
      </c>
      <c r="F898" s="31"/>
      <c r="G898" s="31"/>
      <c r="H898" s="31"/>
      <c r="I898" s="31"/>
      <c r="J898" s="31"/>
      <c r="K898" s="31"/>
      <c r="L898" s="31"/>
      <c r="M898" s="31"/>
    </row>
    <row r="899" spans="1:13">
      <c r="A899" s="535">
        <v>44565</v>
      </c>
      <c r="B899" s="31" t="s">
        <v>5490</v>
      </c>
      <c r="C899" s="31" t="s">
        <v>8929</v>
      </c>
      <c r="D899" s="31" t="s">
        <v>10208</v>
      </c>
      <c r="E899" s="31" t="s">
        <v>10007</v>
      </c>
      <c r="F899" s="31"/>
      <c r="G899" s="31"/>
      <c r="H899" s="31"/>
      <c r="I899" s="31"/>
      <c r="J899" s="31"/>
      <c r="K899" s="31"/>
      <c r="L899" s="31"/>
      <c r="M899" s="31"/>
    </row>
    <row r="900" spans="1:13">
      <c r="A900" s="535">
        <v>44566</v>
      </c>
      <c r="B900" s="31" t="s">
        <v>3553</v>
      </c>
      <c r="C900" s="31" t="s">
        <v>8929</v>
      </c>
      <c r="D900" s="31" t="s">
        <v>10208</v>
      </c>
      <c r="E900" s="31" t="s">
        <v>10004</v>
      </c>
      <c r="F900" s="31" t="s">
        <v>10210</v>
      </c>
      <c r="G900" s="31"/>
      <c r="H900" s="31"/>
      <c r="I900" s="31"/>
      <c r="J900" s="31"/>
      <c r="K900" s="31"/>
      <c r="L900" s="31"/>
      <c r="M900" s="31"/>
    </row>
    <row r="901" spans="1:13">
      <c r="A901" s="535">
        <v>44567</v>
      </c>
      <c r="B901" s="31" t="s">
        <v>10211</v>
      </c>
      <c r="C901" s="31" t="s">
        <v>8929</v>
      </c>
      <c r="D901" s="31" t="s">
        <v>10208</v>
      </c>
      <c r="E901" s="31"/>
      <c r="F901" s="31"/>
      <c r="G901" s="31"/>
      <c r="H901" s="31"/>
      <c r="I901" s="31"/>
      <c r="J901" s="31"/>
      <c r="K901" s="31"/>
      <c r="L901" s="31"/>
      <c r="M901" s="31"/>
    </row>
    <row r="902" spans="1:13">
      <c r="A902" s="535">
        <v>44567</v>
      </c>
      <c r="B902" s="31" t="s">
        <v>10212</v>
      </c>
      <c r="C902" s="31" t="s">
        <v>8929</v>
      </c>
      <c r="D902" s="31" t="s">
        <v>10208</v>
      </c>
      <c r="E902" s="31" t="s">
        <v>9999</v>
      </c>
      <c r="F902" s="31"/>
      <c r="G902" s="31"/>
      <c r="H902" s="31"/>
      <c r="I902" s="31"/>
      <c r="J902" s="31"/>
      <c r="K902" s="31"/>
      <c r="L902" s="31"/>
      <c r="M902" s="31"/>
    </row>
    <row r="903" spans="1:13">
      <c r="A903" s="535">
        <v>44567</v>
      </c>
      <c r="B903" s="31" t="s">
        <v>3551</v>
      </c>
      <c r="C903" s="31" t="s">
        <v>8929</v>
      </c>
      <c r="D903" s="31" t="s">
        <v>10208</v>
      </c>
      <c r="E903" s="31" t="s">
        <v>9999</v>
      </c>
      <c r="F903" s="31"/>
      <c r="G903" s="31"/>
      <c r="H903" s="31"/>
      <c r="I903" s="31"/>
      <c r="J903" s="31"/>
      <c r="K903" s="31"/>
      <c r="L903" s="31"/>
      <c r="M903" s="31"/>
    </row>
    <row r="904" spans="1:13">
      <c r="A904" s="535">
        <v>44567</v>
      </c>
      <c r="B904" s="31" t="s">
        <v>3551</v>
      </c>
      <c r="C904" s="31" t="s">
        <v>8929</v>
      </c>
      <c r="D904" s="31" t="s">
        <v>10208</v>
      </c>
      <c r="E904" s="31"/>
      <c r="F904" s="31"/>
      <c r="G904" s="31"/>
      <c r="H904" s="31"/>
      <c r="I904" s="31"/>
      <c r="J904" s="31"/>
      <c r="K904" s="31"/>
      <c r="L904" s="31"/>
      <c r="M904" s="31"/>
    </row>
    <row r="905" spans="1:13">
      <c r="A905" s="535">
        <v>44203</v>
      </c>
      <c r="B905" s="31" t="s">
        <v>3550</v>
      </c>
      <c r="C905" s="31" t="s">
        <v>8929</v>
      </c>
      <c r="D905" s="31" t="s">
        <v>10208</v>
      </c>
      <c r="E905" s="31" t="s">
        <v>9996</v>
      </c>
      <c r="F905" s="31"/>
      <c r="G905" s="31"/>
      <c r="H905" s="31"/>
      <c r="I905" s="31"/>
      <c r="J905" s="31"/>
      <c r="K905" s="31"/>
      <c r="L905" s="31"/>
      <c r="M905" s="31"/>
    </row>
    <row r="906" spans="1:13">
      <c r="A906" s="535">
        <v>44572</v>
      </c>
      <c r="B906" s="31" t="s">
        <v>5500</v>
      </c>
      <c r="C906" s="31" t="s">
        <v>8929</v>
      </c>
      <c r="D906" s="31" t="s">
        <v>10208</v>
      </c>
      <c r="E906" s="31" t="s">
        <v>10002</v>
      </c>
      <c r="F906" s="31"/>
      <c r="G906" s="31"/>
      <c r="H906" s="31"/>
      <c r="I906" s="31"/>
      <c r="J906" s="31"/>
      <c r="K906" s="31"/>
      <c r="L906" s="31"/>
      <c r="M906" s="31"/>
    </row>
    <row r="907" spans="1:13">
      <c r="A907" s="535">
        <v>44572</v>
      </c>
      <c r="B907" s="31" t="s">
        <v>3549</v>
      </c>
      <c r="C907" s="31" t="s">
        <v>8929</v>
      </c>
      <c r="D907" s="31" t="s">
        <v>10208</v>
      </c>
      <c r="E907" s="31" t="s">
        <v>10004</v>
      </c>
      <c r="F907" s="31"/>
      <c r="G907" s="31"/>
      <c r="H907" s="31"/>
      <c r="I907" s="31"/>
      <c r="J907" s="31"/>
      <c r="K907" s="31"/>
      <c r="L907" s="31"/>
      <c r="M907" s="31"/>
    </row>
    <row r="908" spans="1:13">
      <c r="A908" s="535">
        <v>44572</v>
      </c>
      <c r="B908" s="31" t="s">
        <v>3548</v>
      </c>
      <c r="C908" s="31" t="s">
        <v>8929</v>
      </c>
      <c r="D908" s="31" t="s">
        <v>10208</v>
      </c>
      <c r="E908" s="31" t="s">
        <v>10004</v>
      </c>
      <c r="F908" s="31"/>
      <c r="G908" s="31"/>
      <c r="H908" s="31"/>
      <c r="I908" s="31"/>
      <c r="J908" s="31"/>
      <c r="K908" s="31"/>
      <c r="L908" s="31"/>
      <c r="M908" s="31"/>
    </row>
    <row r="909" spans="1:13">
      <c r="A909" s="535">
        <v>44573</v>
      </c>
      <c r="B909" s="31" t="s">
        <v>10213</v>
      </c>
      <c r="C909" s="31" t="s">
        <v>8929</v>
      </c>
      <c r="D909" s="31" t="s">
        <v>10208</v>
      </c>
      <c r="E909" s="31" t="s">
        <v>10007</v>
      </c>
      <c r="F909" s="31" t="s">
        <v>10131</v>
      </c>
      <c r="G909" s="31"/>
      <c r="H909" s="31"/>
      <c r="I909" s="31"/>
      <c r="J909" s="31"/>
      <c r="K909" s="31"/>
      <c r="L909" s="31"/>
      <c r="M909" s="31"/>
    </row>
    <row r="910" spans="1:13">
      <c r="A910" s="535">
        <v>44574</v>
      </c>
      <c r="B910" s="31" t="s">
        <v>3770</v>
      </c>
      <c r="C910" s="31" t="s">
        <v>8929</v>
      </c>
      <c r="D910" s="31" t="s">
        <v>10208</v>
      </c>
      <c r="E910" s="31" t="s">
        <v>9999</v>
      </c>
      <c r="F910" s="31"/>
      <c r="G910" s="31"/>
      <c r="H910" s="31"/>
      <c r="I910" s="31"/>
      <c r="J910" s="31"/>
      <c r="K910" s="31"/>
      <c r="L910" s="31"/>
      <c r="M910" s="31"/>
    </row>
    <row r="911" spans="1:13">
      <c r="A911" s="535">
        <v>44574</v>
      </c>
      <c r="B911" s="31" t="s">
        <v>3547</v>
      </c>
      <c r="C911" s="31" t="s">
        <v>8929</v>
      </c>
      <c r="D911" s="31" t="s">
        <v>10208</v>
      </c>
      <c r="E911" s="31" t="s">
        <v>9998</v>
      </c>
      <c r="F911" s="31"/>
      <c r="G911" s="31"/>
      <c r="H911" s="31"/>
      <c r="I911" s="31"/>
      <c r="J911" s="31"/>
      <c r="K911" s="31"/>
      <c r="L911" s="31"/>
      <c r="M911" s="31"/>
    </row>
    <row r="912" spans="1:13">
      <c r="A912" s="535">
        <v>44574</v>
      </c>
      <c r="B912" s="31" t="s">
        <v>10066</v>
      </c>
      <c r="C912" s="31" t="s">
        <v>8929</v>
      </c>
      <c r="D912" s="31" t="s">
        <v>10208</v>
      </c>
      <c r="E912" s="31" t="s">
        <v>9999</v>
      </c>
      <c r="F912" s="31"/>
      <c r="G912" s="31"/>
      <c r="H912" s="31"/>
      <c r="I912" s="31"/>
      <c r="J912" s="31"/>
      <c r="K912" s="31"/>
      <c r="L912" s="31"/>
      <c r="M912" s="31"/>
    </row>
    <row r="913" spans="1:13" hidden="1">
      <c r="A913" s="535">
        <v>44210</v>
      </c>
      <c r="B913" s="31" t="s">
        <v>491</v>
      </c>
      <c r="C913" s="31"/>
      <c r="D913" s="31"/>
      <c r="E913" s="31"/>
      <c r="F913" s="31"/>
      <c r="G913" s="31"/>
      <c r="H913" s="31"/>
      <c r="I913" s="31"/>
      <c r="J913" s="31"/>
      <c r="K913" s="31"/>
      <c r="L913" s="31"/>
      <c r="M913" s="31"/>
    </row>
    <row r="914" spans="1:13">
      <c r="A914" s="535">
        <v>44575</v>
      </c>
      <c r="B914" s="31" t="s">
        <v>491</v>
      </c>
      <c r="C914" s="31" t="s">
        <v>8929</v>
      </c>
      <c r="D914" s="31" t="s">
        <v>10208</v>
      </c>
      <c r="E914" s="31" t="s">
        <v>9996</v>
      </c>
      <c r="F914" s="31"/>
      <c r="G914" s="31"/>
      <c r="H914" s="31"/>
      <c r="I914" s="31"/>
      <c r="J914" s="31"/>
      <c r="K914" s="31"/>
      <c r="L914" s="31"/>
      <c r="M914" s="31"/>
    </row>
    <row r="915" spans="1:13">
      <c r="A915" s="535">
        <v>44576</v>
      </c>
      <c r="B915" s="31" t="s">
        <v>3044</v>
      </c>
      <c r="C915" s="31" t="s">
        <v>8929</v>
      </c>
      <c r="D915" s="31" t="s">
        <v>10208</v>
      </c>
      <c r="E915" s="31" t="s">
        <v>9999</v>
      </c>
      <c r="F915" s="31"/>
      <c r="G915" s="31"/>
      <c r="H915" s="31"/>
      <c r="I915" s="31"/>
      <c r="J915" s="31"/>
      <c r="K915" s="31"/>
      <c r="L915" s="31"/>
      <c r="M915" s="31"/>
    </row>
    <row r="916" spans="1:13">
      <c r="A916" s="535">
        <v>44578</v>
      </c>
      <c r="B916" s="31" t="s">
        <v>3645</v>
      </c>
      <c r="C916" s="31" t="s">
        <v>8929</v>
      </c>
      <c r="D916" s="31" t="s">
        <v>10208</v>
      </c>
      <c r="E916" s="31" t="s">
        <v>9998</v>
      </c>
      <c r="F916" s="31"/>
      <c r="G916" s="31"/>
      <c r="H916" s="31"/>
      <c r="I916" s="31"/>
      <c r="J916" s="31"/>
      <c r="K916" s="31"/>
      <c r="L916" s="31"/>
      <c r="M916" s="31"/>
    </row>
    <row r="917" spans="1:13">
      <c r="A917" s="535">
        <v>44578</v>
      </c>
      <c r="B917" s="31" t="s">
        <v>3546</v>
      </c>
      <c r="C917" s="31" t="s">
        <v>8929</v>
      </c>
      <c r="D917" s="31" t="s">
        <v>10208</v>
      </c>
      <c r="E917" s="31" t="s">
        <v>9998</v>
      </c>
      <c r="F917" s="31"/>
      <c r="G917" s="31"/>
      <c r="H917" s="31"/>
      <c r="I917" s="31"/>
      <c r="J917" s="31"/>
      <c r="K917" s="31"/>
      <c r="L917" s="31"/>
      <c r="M917" s="31"/>
    </row>
    <row r="918" spans="1:13">
      <c r="A918" s="535">
        <v>44578</v>
      </c>
      <c r="B918" s="31" t="s">
        <v>3545</v>
      </c>
      <c r="C918" s="31" t="s">
        <v>8929</v>
      </c>
      <c r="D918" s="31" t="s">
        <v>10208</v>
      </c>
      <c r="E918" s="31" t="s">
        <v>10209</v>
      </c>
      <c r="F918" s="31"/>
      <c r="G918" s="31"/>
      <c r="H918" s="31"/>
      <c r="I918" s="31"/>
      <c r="J918" s="31"/>
      <c r="K918" s="31"/>
      <c r="L918" s="31"/>
      <c r="M918" s="31"/>
    </row>
    <row r="919" spans="1:13">
      <c r="A919" s="535">
        <v>44578</v>
      </c>
      <c r="B919" s="31" t="s">
        <v>5509</v>
      </c>
      <c r="C919" s="31" t="s">
        <v>8929</v>
      </c>
      <c r="D919" s="31" t="s">
        <v>10208</v>
      </c>
      <c r="E919" s="31" t="s">
        <v>10214</v>
      </c>
      <c r="F919" s="31"/>
      <c r="G919" s="31"/>
      <c r="H919" s="31"/>
      <c r="I919" s="31"/>
      <c r="J919" s="31"/>
      <c r="K919" s="31"/>
      <c r="L919" s="31"/>
      <c r="M919" s="31"/>
    </row>
    <row r="920" spans="1:13">
      <c r="A920" s="535">
        <v>44213</v>
      </c>
      <c r="B920" s="31" t="s">
        <v>3051</v>
      </c>
      <c r="C920" s="31" t="s">
        <v>8929</v>
      </c>
      <c r="D920" s="31" t="s">
        <v>10208</v>
      </c>
      <c r="E920" s="133">
        <v>44592</v>
      </c>
      <c r="F920" s="31"/>
      <c r="G920" s="31"/>
      <c r="H920" s="31"/>
      <c r="I920" s="31"/>
      <c r="J920" s="31"/>
      <c r="K920" s="31"/>
      <c r="L920" s="31"/>
      <c r="M920" s="31"/>
    </row>
    <row r="921" spans="1:13">
      <c r="A921" s="535">
        <v>44214</v>
      </c>
      <c r="B921" s="31" t="s">
        <v>10215</v>
      </c>
      <c r="C921" s="31" t="s">
        <v>8929</v>
      </c>
      <c r="D921" s="31" t="s">
        <v>10208</v>
      </c>
      <c r="E921" s="31" t="s">
        <v>9999</v>
      </c>
      <c r="F921" s="31"/>
      <c r="G921" s="31"/>
      <c r="H921" s="31"/>
      <c r="I921" s="31"/>
      <c r="J921" s="31"/>
      <c r="K921" s="31"/>
      <c r="L921" s="31"/>
      <c r="M921" s="31"/>
    </row>
    <row r="922" spans="1:13">
      <c r="A922" s="535">
        <v>44215</v>
      </c>
      <c r="B922" s="31" t="s">
        <v>2991</v>
      </c>
      <c r="C922" s="31" t="s">
        <v>8929</v>
      </c>
      <c r="D922" s="31" t="s">
        <v>10208</v>
      </c>
      <c r="E922" s="31" t="s">
        <v>10007</v>
      </c>
      <c r="F922" s="31"/>
      <c r="G922" s="31"/>
      <c r="H922" s="31"/>
      <c r="I922" s="31"/>
      <c r="J922" s="31"/>
      <c r="K922" s="31"/>
      <c r="L922" s="31"/>
      <c r="M922" s="31"/>
    </row>
    <row r="923" spans="1:13">
      <c r="A923" s="535">
        <v>44215</v>
      </c>
      <c r="B923" s="31" t="s">
        <v>3542</v>
      </c>
      <c r="C923" s="31" t="s">
        <v>8929</v>
      </c>
      <c r="D923" s="31" t="s">
        <v>10208</v>
      </c>
      <c r="E923" s="31" t="s">
        <v>10004</v>
      </c>
      <c r="F923" s="31" t="s">
        <v>10216</v>
      </c>
      <c r="G923" s="31"/>
      <c r="H923" s="31"/>
      <c r="I923" s="31"/>
      <c r="J923" s="31"/>
      <c r="K923" s="31"/>
      <c r="L923" s="31"/>
      <c r="M923" s="31"/>
    </row>
    <row r="924" spans="1:13" hidden="1">
      <c r="A924" s="535">
        <v>44216</v>
      </c>
      <c r="B924" s="31" t="s">
        <v>3381</v>
      </c>
      <c r="C924" s="31"/>
      <c r="D924" s="31"/>
      <c r="E924" s="31"/>
      <c r="F924" s="31"/>
      <c r="G924" s="31"/>
      <c r="H924" s="31"/>
      <c r="I924" s="31"/>
      <c r="J924" s="31"/>
      <c r="K924" s="31"/>
      <c r="L924" s="31"/>
      <c r="M924" s="31"/>
    </row>
    <row r="925" spans="1:13">
      <c r="A925" s="535">
        <v>44216</v>
      </c>
      <c r="B925" s="84" t="s">
        <v>3381</v>
      </c>
      <c r="C925" s="31" t="s">
        <v>8929</v>
      </c>
      <c r="D925" s="31" t="s">
        <v>10208</v>
      </c>
      <c r="E925" s="31" t="s">
        <v>10007</v>
      </c>
      <c r="F925" s="31" t="s">
        <v>278</v>
      </c>
      <c r="G925" s="31"/>
      <c r="H925" s="31"/>
      <c r="I925" s="31"/>
      <c r="J925" s="31"/>
      <c r="K925" s="31"/>
      <c r="L925" s="31"/>
      <c r="M925" s="31"/>
    </row>
    <row r="926" spans="1:13">
      <c r="A926" s="535">
        <v>44217</v>
      </c>
      <c r="B926" s="31" t="s">
        <v>10217</v>
      </c>
      <c r="C926" s="31" t="s">
        <v>8929</v>
      </c>
      <c r="D926" s="31" t="s">
        <v>10208</v>
      </c>
      <c r="E926" s="31" t="s">
        <v>9998</v>
      </c>
      <c r="F926" s="31"/>
      <c r="G926" s="31"/>
      <c r="H926" s="31"/>
      <c r="I926" s="31"/>
      <c r="J926" s="31"/>
      <c r="K926" s="31"/>
      <c r="L926" s="31"/>
      <c r="M926" s="31"/>
    </row>
    <row r="927" spans="1:13">
      <c r="A927" s="535">
        <v>44217</v>
      </c>
      <c r="B927" s="31" t="s">
        <v>10218</v>
      </c>
      <c r="C927" s="31" t="s">
        <v>8929</v>
      </c>
      <c r="D927" s="31" t="s">
        <v>10208</v>
      </c>
      <c r="E927" s="31" t="s">
        <v>10209</v>
      </c>
      <c r="F927" s="31"/>
      <c r="G927" s="31"/>
      <c r="H927" s="31"/>
      <c r="I927" s="31"/>
      <c r="J927" s="31"/>
      <c r="K927" s="31"/>
      <c r="L927" s="31"/>
      <c r="M927" s="31"/>
    </row>
    <row r="928" spans="1:13">
      <c r="A928" s="535">
        <v>44217</v>
      </c>
      <c r="B928" s="31" t="s">
        <v>10219</v>
      </c>
      <c r="C928" s="31" t="s">
        <v>8929</v>
      </c>
      <c r="D928" s="31" t="s">
        <v>10208</v>
      </c>
      <c r="E928" s="31" t="s">
        <v>10004</v>
      </c>
      <c r="F928" s="31"/>
      <c r="G928" s="31"/>
      <c r="H928" s="31"/>
      <c r="I928" s="31"/>
      <c r="J928" s="31"/>
      <c r="K928" s="31"/>
      <c r="L928" s="31"/>
      <c r="M928" s="31"/>
    </row>
    <row r="929" spans="1:13">
      <c r="A929" s="535">
        <v>44218</v>
      </c>
      <c r="B929" s="31" t="s">
        <v>5514</v>
      </c>
      <c r="C929" s="31" t="s">
        <v>8929</v>
      </c>
      <c r="D929" s="31" t="s">
        <v>10208</v>
      </c>
      <c r="E929" s="31" t="s">
        <v>10004</v>
      </c>
      <c r="F929" s="31"/>
      <c r="G929" s="31"/>
      <c r="H929" s="31"/>
      <c r="I929" s="31"/>
      <c r="J929" s="31"/>
      <c r="K929" s="31"/>
      <c r="L929" s="31"/>
      <c r="M929" s="31"/>
    </row>
    <row r="930" spans="1:13">
      <c r="A930" s="535">
        <v>44585</v>
      </c>
      <c r="B930" s="31" t="s">
        <v>93</v>
      </c>
      <c r="C930" s="31" t="s">
        <v>8929</v>
      </c>
      <c r="D930" s="31" t="s">
        <v>10208</v>
      </c>
      <c r="E930" s="31" t="s">
        <v>10004</v>
      </c>
      <c r="F930" s="31"/>
      <c r="G930" s="31"/>
      <c r="H930" s="31"/>
      <c r="I930" s="31"/>
      <c r="J930" s="31"/>
      <c r="K930" s="31"/>
      <c r="L930" s="31"/>
      <c r="M930" s="31"/>
    </row>
    <row r="931" spans="1:13">
      <c r="A931" s="535">
        <v>44586</v>
      </c>
      <c r="B931" s="31" t="s">
        <v>3326</v>
      </c>
      <c r="C931" s="31" t="s">
        <v>8929</v>
      </c>
      <c r="D931" s="31" t="s">
        <v>10208</v>
      </c>
      <c r="E931" s="31" t="s">
        <v>10007</v>
      </c>
      <c r="F931" s="31"/>
      <c r="G931" s="31"/>
      <c r="H931" s="31"/>
      <c r="I931" s="31"/>
      <c r="J931" s="31"/>
      <c r="K931" s="31"/>
      <c r="L931" s="31"/>
      <c r="M931" s="31"/>
    </row>
    <row r="932" spans="1:13">
      <c r="A932" s="535">
        <v>44586</v>
      </c>
      <c r="B932" s="31" t="s">
        <v>3141</v>
      </c>
      <c r="C932" s="31" t="s">
        <v>8929</v>
      </c>
      <c r="D932" s="31" t="s">
        <v>10208</v>
      </c>
      <c r="E932" s="31" t="s">
        <v>10007</v>
      </c>
      <c r="F932" s="31"/>
      <c r="G932" s="31"/>
      <c r="H932" s="31"/>
      <c r="I932" s="31"/>
      <c r="J932" s="31"/>
      <c r="K932" s="31"/>
      <c r="L932" s="31"/>
      <c r="M932" s="31"/>
    </row>
    <row r="933" spans="1:13">
      <c r="A933" s="535">
        <v>44587</v>
      </c>
      <c r="B933" s="31" t="s">
        <v>3089</v>
      </c>
      <c r="C933" s="31" t="s">
        <v>8929</v>
      </c>
      <c r="D933" s="31" t="s">
        <v>10208</v>
      </c>
      <c r="E933" s="31" t="s">
        <v>9999</v>
      </c>
      <c r="F933" s="31"/>
      <c r="G933" s="31"/>
      <c r="H933" s="31"/>
      <c r="I933" s="31"/>
      <c r="J933" s="31"/>
      <c r="K933" s="31"/>
      <c r="L933" s="31"/>
      <c r="M933" s="31"/>
    </row>
    <row r="934" spans="1:13">
      <c r="A934" s="535">
        <v>44587</v>
      </c>
      <c r="B934" s="31" t="s">
        <v>2949</v>
      </c>
      <c r="C934" s="31" t="s">
        <v>8929</v>
      </c>
      <c r="D934" s="31" t="s">
        <v>10208</v>
      </c>
      <c r="E934" s="31" t="s">
        <v>10007</v>
      </c>
      <c r="F934" s="31"/>
      <c r="G934" s="31"/>
      <c r="H934" s="31"/>
      <c r="I934" s="31"/>
      <c r="J934" s="31"/>
      <c r="K934" s="31"/>
      <c r="L934" s="31"/>
      <c r="M934" s="31"/>
    </row>
    <row r="935" spans="1:13">
      <c r="A935" s="535">
        <v>44587</v>
      </c>
      <c r="B935" s="31" t="s">
        <v>5516</v>
      </c>
      <c r="C935" s="31" t="s">
        <v>8929</v>
      </c>
      <c r="D935" s="31" t="s">
        <v>10208</v>
      </c>
      <c r="E935" s="31" t="s">
        <v>9996</v>
      </c>
      <c r="F935" s="31"/>
      <c r="G935" s="31"/>
      <c r="H935" s="31"/>
      <c r="I935" s="31"/>
      <c r="J935" s="31"/>
      <c r="K935" s="31"/>
      <c r="L935" s="31"/>
      <c r="M935" s="31"/>
    </row>
    <row r="936" spans="1:13">
      <c r="A936" s="535">
        <v>44592</v>
      </c>
      <c r="B936" s="31" t="s">
        <v>5518</v>
      </c>
      <c r="C936" s="31" t="s">
        <v>8929</v>
      </c>
      <c r="D936" s="31" t="s">
        <v>10208</v>
      </c>
      <c r="E936" s="31" t="s">
        <v>10209</v>
      </c>
      <c r="F936" s="31"/>
      <c r="G936" s="31"/>
      <c r="H936" s="31"/>
      <c r="I936" s="31"/>
      <c r="J936" s="31"/>
      <c r="K936" s="31"/>
      <c r="L936" s="31"/>
      <c r="M936" s="31"/>
    </row>
    <row r="937" spans="1:13">
      <c r="A937" s="535">
        <v>44592</v>
      </c>
      <c r="B937" s="31" t="s">
        <v>3538</v>
      </c>
      <c r="C937" s="31" t="s">
        <v>8929</v>
      </c>
      <c r="D937" s="31" t="s">
        <v>7634</v>
      </c>
      <c r="E937" s="31" t="s">
        <v>10209</v>
      </c>
      <c r="F937" s="31"/>
      <c r="G937" s="31"/>
      <c r="H937" s="31"/>
      <c r="I937" s="31"/>
      <c r="J937" s="31"/>
      <c r="K937" s="31"/>
      <c r="L937" s="31"/>
      <c r="M937" s="31"/>
    </row>
    <row r="938" spans="1:13">
      <c r="A938" s="535"/>
      <c r="B938" s="409" t="s">
        <v>10220</v>
      </c>
      <c r="C938" s="31"/>
      <c r="D938" s="31"/>
      <c r="E938" s="31"/>
      <c r="F938" s="31"/>
      <c r="G938" s="31"/>
      <c r="H938" s="31"/>
      <c r="I938" s="31"/>
      <c r="J938" s="31"/>
      <c r="K938" s="31"/>
      <c r="L938" s="31"/>
      <c r="M938" s="31"/>
    </row>
    <row r="939" spans="1:13">
      <c r="A939" s="535">
        <v>44593</v>
      </c>
      <c r="B939" s="31" t="s">
        <v>5521</v>
      </c>
      <c r="C939" s="31" t="s">
        <v>8929</v>
      </c>
      <c r="D939" s="31" t="s">
        <v>7656</v>
      </c>
      <c r="E939" s="31" t="s">
        <v>10004</v>
      </c>
      <c r="F939" s="31"/>
      <c r="G939" s="31"/>
      <c r="H939" s="31"/>
      <c r="I939" s="31"/>
      <c r="J939" s="31"/>
      <c r="K939" s="31"/>
      <c r="L939" s="31"/>
      <c r="M939" s="31"/>
    </row>
    <row r="940" spans="1:13">
      <c r="A940" s="535">
        <v>44593</v>
      </c>
      <c r="B940" s="31" t="s">
        <v>5524</v>
      </c>
      <c r="C940" s="31" t="s">
        <v>8929</v>
      </c>
      <c r="D940" s="31" t="s">
        <v>7656</v>
      </c>
      <c r="E940" s="31" t="s">
        <v>10004</v>
      </c>
      <c r="F940" s="31"/>
      <c r="G940" s="31"/>
      <c r="H940" s="31"/>
      <c r="I940" s="31"/>
      <c r="J940" s="31"/>
      <c r="K940" s="31"/>
      <c r="L940" s="31"/>
      <c r="M940" s="31"/>
    </row>
    <row r="941" spans="1:13">
      <c r="A941" s="535">
        <v>44594</v>
      </c>
      <c r="B941" s="31" t="s">
        <v>10221</v>
      </c>
      <c r="C941" s="31" t="s">
        <v>8929</v>
      </c>
      <c r="D941" s="31" t="s">
        <v>7656</v>
      </c>
      <c r="E941" s="31" t="s">
        <v>10004</v>
      </c>
      <c r="F941" s="31"/>
      <c r="G941" s="31"/>
      <c r="H941" s="31"/>
      <c r="I941" s="31"/>
      <c r="J941" s="31"/>
      <c r="K941" s="31"/>
      <c r="L941" s="31"/>
      <c r="M941" s="31"/>
    </row>
    <row r="942" spans="1:13">
      <c r="A942" s="535">
        <v>44594</v>
      </c>
      <c r="B942" s="31" t="s">
        <v>3551</v>
      </c>
      <c r="C942" s="31" t="s">
        <v>8929</v>
      </c>
      <c r="D942" s="31" t="s">
        <v>7656</v>
      </c>
      <c r="E942" s="31" t="s">
        <v>10007</v>
      </c>
      <c r="F942" s="31"/>
      <c r="G942" s="31"/>
      <c r="H942" s="31"/>
      <c r="I942" s="31"/>
      <c r="J942" s="31"/>
      <c r="K942" s="31"/>
      <c r="L942" s="31"/>
      <c r="M942" s="31"/>
    </row>
    <row r="943" spans="1:13">
      <c r="A943" s="535">
        <v>44594</v>
      </c>
      <c r="B943" s="31" t="s">
        <v>5528</v>
      </c>
      <c r="C943" s="31" t="s">
        <v>8929</v>
      </c>
      <c r="D943" s="31" t="s">
        <v>7656</v>
      </c>
      <c r="E943" s="31" t="s">
        <v>10007</v>
      </c>
      <c r="F943" s="31"/>
      <c r="G943" s="31"/>
      <c r="H943" s="31"/>
      <c r="I943" s="31"/>
      <c r="J943" s="31"/>
      <c r="K943" s="31"/>
      <c r="L943" s="31"/>
      <c r="M943" s="31"/>
    </row>
    <row r="944" spans="1:13">
      <c r="A944" s="535">
        <v>44595</v>
      </c>
      <c r="B944" s="31" t="s">
        <v>3535</v>
      </c>
      <c r="C944" s="31" t="s">
        <v>8929</v>
      </c>
      <c r="D944" s="31" t="s">
        <v>7656</v>
      </c>
      <c r="E944" s="31" t="s">
        <v>9999</v>
      </c>
      <c r="F944" s="31"/>
      <c r="G944" s="31"/>
      <c r="H944" s="31"/>
      <c r="I944" s="31"/>
      <c r="J944" s="31"/>
      <c r="K944" s="31"/>
      <c r="L944" s="31"/>
      <c r="M944" s="31"/>
    </row>
    <row r="945" spans="1:13">
      <c r="A945" s="535">
        <v>44595</v>
      </c>
      <c r="B945" s="31" t="s">
        <v>3535</v>
      </c>
      <c r="C945" s="31" t="s">
        <v>8929</v>
      </c>
      <c r="D945" s="31" t="s">
        <v>9781</v>
      </c>
      <c r="E945" s="31" t="s">
        <v>9999</v>
      </c>
      <c r="F945" s="31"/>
      <c r="G945" s="31"/>
      <c r="H945" s="31"/>
      <c r="I945" s="31"/>
      <c r="J945" s="31"/>
      <c r="K945" s="31"/>
      <c r="L945" s="31"/>
      <c r="M945" s="31"/>
    </row>
    <row r="946" spans="1:13">
      <c r="A946" s="535">
        <v>44596</v>
      </c>
      <c r="B946" s="84" t="s">
        <v>3603</v>
      </c>
      <c r="C946" s="31" t="s">
        <v>8929</v>
      </c>
      <c r="D946" s="31" t="s">
        <v>7656</v>
      </c>
      <c r="E946" s="31"/>
      <c r="F946" s="31"/>
      <c r="G946" s="31"/>
      <c r="H946" s="31"/>
      <c r="I946" s="31"/>
      <c r="J946" s="31"/>
      <c r="K946" s="31"/>
      <c r="L946" s="31"/>
      <c r="M946" s="31"/>
    </row>
    <row r="947" spans="1:13">
      <c r="A947" s="535">
        <v>44597</v>
      </c>
      <c r="B947" s="31" t="s">
        <v>3534</v>
      </c>
      <c r="C947" s="31" t="s">
        <v>8929</v>
      </c>
      <c r="D947" s="31" t="s">
        <v>7656</v>
      </c>
      <c r="E947" s="31" t="s">
        <v>9998</v>
      </c>
      <c r="F947" s="31"/>
      <c r="G947" s="31"/>
      <c r="H947" s="31"/>
      <c r="I947" s="31"/>
      <c r="J947" s="31"/>
      <c r="K947" s="31"/>
      <c r="L947" s="31"/>
      <c r="M947" s="31"/>
    </row>
    <row r="948" spans="1:13">
      <c r="A948" s="535">
        <v>44599</v>
      </c>
      <c r="B948" s="31" t="s">
        <v>10222</v>
      </c>
      <c r="C948" s="31" t="s">
        <v>8929</v>
      </c>
      <c r="D948" s="31" t="s">
        <v>7656</v>
      </c>
      <c r="E948" s="31"/>
      <c r="F948" s="31"/>
      <c r="G948" s="31"/>
      <c r="H948" s="31"/>
      <c r="I948" s="31"/>
      <c r="J948" s="31"/>
      <c r="K948" s="31"/>
      <c r="L948" s="31"/>
      <c r="M948" s="31"/>
    </row>
    <row r="949" spans="1:13">
      <c r="A949" s="535">
        <v>44600</v>
      </c>
      <c r="B949" s="31" t="s">
        <v>3226</v>
      </c>
      <c r="C949" s="31" t="s">
        <v>8929</v>
      </c>
      <c r="D949" s="31" t="s">
        <v>7656</v>
      </c>
      <c r="E949" s="31"/>
      <c r="F949" s="31"/>
      <c r="G949" s="31"/>
      <c r="H949" s="31"/>
      <c r="I949" s="31"/>
      <c r="J949" s="31"/>
      <c r="K949" s="31"/>
      <c r="L949" s="31"/>
      <c r="M949" s="31"/>
    </row>
    <row r="950" spans="1:13">
      <c r="A950" s="535">
        <v>44601</v>
      </c>
      <c r="B950" s="84" t="s">
        <v>5534</v>
      </c>
      <c r="C950" s="31" t="s">
        <v>8929</v>
      </c>
      <c r="D950" s="31" t="s">
        <v>7656</v>
      </c>
      <c r="E950" s="31"/>
      <c r="F950" s="31"/>
      <c r="G950" s="31"/>
      <c r="H950" s="31"/>
      <c r="I950" s="31"/>
      <c r="J950" s="31"/>
      <c r="K950" s="31"/>
      <c r="L950" s="31"/>
      <c r="M950" s="31"/>
    </row>
    <row r="951" spans="1:13">
      <c r="A951" s="535">
        <v>44601</v>
      </c>
      <c r="B951" s="31" t="s">
        <v>5536</v>
      </c>
      <c r="C951" s="31" t="s">
        <v>8929</v>
      </c>
      <c r="D951" s="31" t="s">
        <v>7656</v>
      </c>
      <c r="E951" s="31" t="s">
        <v>9999</v>
      </c>
      <c r="F951" s="31"/>
      <c r="G951" s="31"/>
      <c r="H951" s="31"/>
      <c r="I951" s="31"/>
      <c r="J951" s="31"/>
      <c r="K951" s="31"/>
      <c r="L951" s="31"/>
      <c r="M951" s="31"/>
    </row>
    <row r="952" spans="1:13">
      <c r="A952" s="535">
        <v>44601</v>
      </c>
      <c r="B952" s="31" t="s">
        <v>5536</v>
      </c>
      <c r="C952" s="31" t="s">
        <v>8929</v>
      </c>
      <c r="D952" s="31" t="s">
        <v>9781</v>
      </c>
      <c r="E952" s="31" t="s">
        <v>9999</v>
      </c>
      <c r="F952" s="31"/>
      <c r="G952" s="31"/>
      <c r="H952" s="31"/>
      <c r="I952" s="31"/>
      <c r="J952" s="31"/>
      <c r="K952" s="31"/>
      <c r="L952" s="31"/>
      <c r="M952" s="31"/>
    </row>
    <row r="953" spans="1:13">
      <c r="A953" s="535">
        <v>44601</v>
      </c>
      <c r="B953" s="84" t="s">
        <v>10223</v>
      </c>
      <c r="C953" s="31" t="s">
        <v>8929</v>
      </c>
      <c r="D953" s="31" t="s">
        <v>7656</v>
      </c>
      <c r="E953" s="31" t="s">
        <v>9999</v>
      </c>
      <c r="F953" s="31"/>
      <c r="G953" s="31"/>
      <c r="H953" s="31"/>
      <c r="I953" s="31"/>
      <c r="J953" s="31"/>
      <c r="K953" s="31"/>
      <c r="L953" s="31"/>
      <c r="M953" s="31"/>
    </row>
    <row r="954" spans="1:13">
      <c r="A954" s="535">
        <v>44602</v>
      </c>
      <c r="B954" s="31" t="s">
        <v>5543</v>
      </c>
      <c r="C954" s="31" t="s">
        <v>8929</v>
      </c>
      <c r="D954" s="31" t="s">
        <v>7656</v>
      </c>
      <c r="E954" s="31" t="s">
        <v>9996</v>
      </c>
      <c r="F954" s="31"/>
      <c r="G954" s="31"/>
      <c r="H954" s="31"/>
      <c r="I954" s="31"/>
      <c r="J954" s="31"/>
      <c r="K954" s="31"/>
      <c r="L954" s="31"/>
      <c r="M954" s="31"/>
    </row>
    <row r="955" spans="1:13">
      <c r="A955" s="535">
        <v>44602</v>
      </c>
      <c r="B955" s="31" t="s">
        <v>10224</v>
      </c>
      <c r="C955" s="31" t="s">
        <v>8929</v>
      </c>
      <c r="D955" s="31" t="s">
        <v>7656</v>
      </c>
      <c r="E955" s="31" t="s">
        <v>10007</v>
      </c>
      <c r="F955" s="31"/>
      <c r="G955" s="31"/>
      <c r="H955" s="31"/>
      <c r="I955" s="31"/>
      <c r="J955" s="31"/>
      <c r="K955" s="31"/>
      <c r="L955" s="31"/>
      <c r="M955" s="31"/>
    </row>
    <row r="956" spans="1:13">
      <c r="A956" s="535">
        <v>44602</v>
      </c>
      <c r="B956" s="31" t="s">
        <v>3533</v>
      </c>
      <c r="C956" s="31" t="s">
        <v>8929</v>
      </c>
      <c r="D956" s="31" t="s">
        <v>7656</v>
      </c>
      <c r="E956" s="31" t="s">
        <v>9996</v>
      </c>
      <c r="F956" s="31"/>
      <c r="G956" s="31"/>
      <c r="H956" s="31"/>
      <c r="I956" s="31"/>
      <c r="J956" s="31"/>
      <c r="K956" s="31"/>
      <c r="L956" s="31"/>
      <c r="M956" s="31"/>
    </row>
    <row r="957" spans="1:13">
      <c r="A957" s="535">
        <v>44602</v>
      </c>
      <c r="B957" s="31" t="s">
        <v>5540</v>
      </c>
      <c r="C957" s="31" t="s">
        <v>8929</v>
      </c>
      <c r="D957" s="31" t="s">
        <v>7656</v>
      </c>
      <c r="E957" s="31" t="s">
        <v>9999</v>
      </c>
      <c r="F957" s="31"/>
      <c r="G957" s="31"/>
      <c r="H957" s="31"/>
      <c r="I957" s="31"/>
      <c r="J957" s="31"/>
      <c r="K957" s="31"/>
      <c r="L957" s="31"/>
      <c r="M957" s="31"/>
    </row>
    <row r="958" spans="1:13">
      <c r="A958" s="535">
        <v>44602</v>
      </c>
      <c r="B958" s="31" t="s">
        <v>5540</v>
      </c>
      <c r="C958" s="31" t="s">
        <v>8929</v>
      </c>
      <c r="D958" s="31" t="s">
        <v>7656</v>
      </c>
      <c r="E958" s="31" t="s">
        <v>10225</v>
      </c>
      <c r="F958" s="31"/>
      <c r="G958" s="31"/>
      <c r="H958" s="31"/>
      <c r="I958" s="31"/>
      <c r="J958" s="31"/>
      <c r="K958" s="31"/>
      <c r="L958" s="31"/>
      <c r="M958" s="31"/>
    </row>
    <row r="959" spans="1:13">
      <c r="A959" s="535">
        <v>44602</v>
      </c>
      <c r="B959" s="31" t="s">
        <v>3532</v>
      </c>
      <c r="C959" s="31" t="s">
        <v>8929</v>
      </c>
      <c r="D959" s="31" t="s">
        <v>7656</v>
      </c>
      <c r="E959" s="31"/>
      <c r="F959" s="31"/>
      <c r="G959" s="31"/>
      <c r="H959" s="31"/>
      <c r="I959" s="31"/>
      <c r="J959" s="31"/>
      <c r="K959" s="31"/>
      <c r="L959" s="31"/>
      <c r="M959" s="31"/>
    </row>
    <row r="960" spans="1:13">
      <c r="A960" s="535">
        <v>44604</v>
      </c>
      <c r="B960" s="1" t="s">
        <v>3531</v>
      </c>
      <c r="C960" s="31" t="s">
        <v>8929</v>
      </c>
      <c r="D960" s="31" t="s">
        <v>7656</v>
      </c>
      <c r="E960" s="31"/>
      <c r="F960" s="31"/>
      <c r="G960" s="31"/>
      <c r="H960" s="31"/>
      <c r="I960" s="31"/>
      <c r="J960" s="31"/>
      <c r="K960" s="31"/>
      <c r="L960" s="31"/>
      <c r="M960" s="31"/>
    </row>
    <row r="961" spans="1:13">
      <c r="A961" s="535">
        <v>44607</v>
      </c>
      <c r="B961" s="31" t="s">
        <v>5546</v>
      </c>
      <c r="C961" s="31" t="s">
        <v>8929</v>
      </c>
      <c r="D961" s="31" t="s">
        <v>7656</v>
      </c>
      <c r="E961" s="31"/>
      <c r="F961" s="31"/>
      <c r="G961" s="31"/>
      <c r="H961" s="31"/>
      <c r="I961" s="31"/>
      <c r="J961" s="31"/>
      <c r="K961" s="31"/>
      <c r="L961" s="31"/>
      <c r="M961" s="31"/>
    </row>
    <row r="962" spans="1:13">
      <c r="A962" s="535">
        <v>44607</v>
      </c>
      <c r="B962" s="31" t="s">
        <v>10226</v>
      </c>
      <c r="C962" s="31" t="s">
        <v>8929</v>
      </c>
      <c r="D962" s="31" t="s">
        <v>7656</v>
      </c>
      <c r="E962" s="31"/>
      <c r="F962" s="31"/>
      <c r="G962" s="31"/>
      <c r="H962" s="31"/>
      <c r="I962" s="31"/>
      <c r="J962" s="31"/>
      <c r="K962" s="31"/>
      <c r="L962" s="31"/>
      <c r="M962" s="31"/>
    </row>
    <row r="963" spans="1:13">
      <c r="A963" s="535">
        <v>44608</v>
      </c>
      <c r="B963" s="31" t="s">
        <v>2967</v>
      </c>
      <c r="C963" s="31" t="s">
        <v>8929</v>
      </c>
      <c r="D963" s="31" t="s">
        <v>7656</v>
      </c>
      <c r="E963" s="31"/>
      <c r="F963" s="31"/>
      <c r="G963" s="31"/>
      <c r="H963" s="31"/>
      <c r="I963" s="31"/>
      <c r="J963" s="31"/>
      <c r="K963" s="31"/>
      <c r="L963" s="31"/>
      <c r="M963" s="31"/>
    </row>
    <row r="964" spans="1:13">
      <c r="A964" s="535">
        <v>44608</v>
      </c>
      <c r="B964" s="31" t="s">
        <v>3078</v>
      </c>
      <c r="C964" s="31" t="s">
        <v>8929</v>
      </c>
      <c r="D964" s="31" t="s">
        <v>7656</v>
      </c>
      <c r="E964" s="31"/>
      <c r="F964" s="31"/>
      <c r="G964" s="31"/>
      <c r="H964" s="31"/>
      <c r="I964" s="31"/>
      <c r="J964" s="31"/>
      <c r="K964" s="31"/>
      <c r="L964" s="31"/>
      <c r="M964" s="31"/>
    </row>
    <row r="965" spans="1:13">
      <c r="A965" s="535">
        <v>44608</v>
      </c>
      <c r="B965" s="31" t="s">
        <v>10227</v>
      </c>
      <c r="C965" s="31" t="s">
        <v>8929</v>
      </c>
      <c r="D965" s="31" t="s">
        <v>7656</v>
      </c>
      <c r="E965" s="31"/>
      <c r="F965" s="31"/>
      <c r="G965" s="31"/>
      <c r="H965" s="31"/>
      <c r="I965" s="31"/>
      <c r="J965" s="31"/>
      <c r="K965" s="31"/>
      <c r="L965" s="31"/>
      <c r="M965" s="31"/>
    </row>
    <row r="966" spans="1:13">
      <c r="A966" s="535">
        <v>44610</v>
      </c>
      <c r="B966" s="31" t="s">
        <v>5373</v>
      </c>
      <c r="C966" s="31" t="s">
        <v>8929</v>
      </c>
      <c r="D966" s="31" t="s">
        <v>7656</v>
      </c>
      <c r="E966" s="31"/>
      <c r="F966" s="31"/>
      <c r="G966" s="31"/>
      <c r="H966" s="31"/>
      <c r="I966" s="31"/>
      <c r="J966" s="31"/>
      <c r="K966" s="31"/>
      <c r="L966" s="31"/>
      <c r="M966" s="31"/>
    </row>
    <row r="967" spans="1:13">
      <c r="A967" s="535">
        <v>44610</v>
      </c>
      <c r="B967" s="84" t="s">
        <v>10228</v>
      </c>
      <c r="C967" s="31" t="s">
        <v>8929</v>
      </c>
      <c r="D967" s="31" t="s">
        <v>7656</v>
      </c>
      <c r="E967" s="31"/>
      <c r="F967" s="31"/>
      <c r="G967" s="31"/>
      <c r="H967" s="31"/>
      <c r="I967" s="31"/>
      <c r="J967" s="31"/>
      <c r="K967" s="31"/>
      <c r="L967" s="31"/>
      <c r="M967" s="31"/>
    </row>
    <row r="968" spans="1:13">
      <c r="A968" s="535">
        <v>44610</v>
      </c>
      <c r="B968" s="31" t="s">
        <v>5552</v>
      </c>
      <c r="C968" s="31" t="s">
        <v>8929</v>
      </c>
      <c r="D968" s="31" t="s">
        <v>7656</v>
      </c>
      <c r="E968" s="31" t="s">
        <v>10209</v>
      </c>
      <c r="F968" s="31"/>
      <c r="G968" s="31"/>
      <c r="H968" s="31"/>
      <c r="I968" s="31"/>
      <c r="J968" s="31"/>
      <c r="K968" s="31"/>
      <c r="L968" s="31"/>
      <c r="M968" s="31"/>
    </row>
    <row r="969" spans="1:13">
      <c r="A969" s="535">
        <v>44611</v>
      </c>
      <c r="B969" s="31" t="s">
        <v>10229</v>
      </c>
      <c r="C969" s="31" t="s">
        <v>8929</v>
      </c>
      <c r="D969" s="31" t="s">
        <v>7656</v>
      </c>
      <c r="E969" s="31" t="s">
        <v>9996</v>
      </c>
      <c r="F969" s="31"/>
      <c r="G969" s="31"/>
      <c r="H969" s="31"/>
      <c r="I969" s="31"/>
      <c r="J969" s="31"/>
      <c r="K969" s="31"/>
      <c r="L969" s="31"/>
      <c r="M969" s="31"/>
    </row>
    <row r="970" spans="1:13">
      <c r="A970" s="535">
        <v>44613</v>
      </c>
      <c r="B970" s="31" t="s">
        <v>5554</v>
      </c>
      <c r="C970" s="31" t="s">
        <v>8929</v>
      </c>
      <c r="D970" s="31" t="s">
        <v>7656</v>
      </c>
      <c r="E970" s="31" t="s">
        <v>10225</v>
      </c>
      <c r="F970" s="31"/>
      <c r="G970" s="31"/>
      <c r="H970" s="31"/>
      <c r="I970" s="31"/>
      <c r="J970" s="31"/>
      <c r="K970" s="31"/>
      <c r="L970" s="31"/>
      <c r="M970" s="31"/>
    </row>
    <row r="971" spans="1:13">
      <c r="A971" s="535">
        <v>44613</v>
      </c>
      <c r="B971" s="84" t="s">
        <v>10230</v>
      </c>
      <c r="C971" s="31" t="s">
        <v>8929</v>
      </c>
      <c r="D971" s="31" t="s">
        <v>7656</v>
      </c>
      <c r="E971" s="31" t="s">
        <v>10209</v>
      </c>
      <c r="F971" s="31"/>
      <c r="G971" s="31"/>
      <c r="H971" s="31"/>
      <c r="I971" s="31"/>
      <c r="J971" s="31"/>
      <c r="K971" s="31"/>
      <c r="L971" s="31"/>
      <c r="M971" s="31"/>
    </row>
    <row r="972" spans="1:13">
      <c r="A972" s="535">
        <v>44614</v>
      </c>
      <c r="B972" s="140" t="s">
        <v>10231</v>
      </c>
      <c r="C972" s="140" t="s">
        <v>8929</v>
      </c>
      <c r="D972" s="140" t="s">
        <v>7656</v>
      </c>
      <c r="E972" s="140" t="s">
        <v>10004</v>
      </c>
      <c r="F972" s="31"/>
      <c r="G972" s="31"/>
      <c r="H972" s="31"/>
      <c r="I972" s="31"/>
      <c r="J972" s="31"/>
      <c r="K972" s="31"/>
      <c r="L972" s="31"/>
      <c r="M972" s="31"/>
    </row>
    <row r="973" spans="1:13">
      <c r="A973" s="523">
        <v>44616</v>
      </c>
      <c r="B973" s="149" t="s">
        <v>3085</v>
      </c>
      <c r="C973" s="149" t="s">
        <v>8929</v>
      </c>
      <c r="D973" s="149" t="s">
        <v>7656</v>
      </c>
      <c r="E973" s="149" t="s">
        <v>9999</v>
      </c>
      <c r="F973" s="143"/>
      <c r="G973" s="31"/>
      <c r="H973" s="31"/>
      <c r="I973" s="31"/>
      <c r="J973" s="31"/>
      <c r="K973" s="31"/>
      <c r="L973" s="31"/>
      <c r="M973" s="31"/>
    </row>
    <row r="974" spans="1:13">
      <c r="A974" s="523">
        <v>44616</v>
      </c>
      <c r="B974" s="149" t="s">
        <v>10232</v>
      </c>
      <c r="C974" s="149" t="s">
        <v>8929</v>
      </c>
      <c r="D974" s="149" t="s">
        <v>7656</v>
      </c>
      <c r="E974" s="149" t="s">
        <v>10233</v>
      </c>
      <c r="F974" s="143"/>
      <c r="G974" s="31"/>
      <c r="H974" s="31"/>
      <c r="I974" s="31"/>
      <c r="J974" s="31"/>
      <c r="K974" s="31"/>
      <c r="L974" s="31"/>
      <c r="M974" s="31"/>
    </row>
    <row r="975" spans="1:13">
      <c r="A975" s="523">
        <v>44613</v>
      </c>
      <c r="B975" s="341" t="s">
        <v>10234</v>
      </c>
      <c r="C975" s="149" t="s">
        <v>8929</v>
      </c>
      <c r="D975" s="149" t="s">
        <v>7656</v>
      </c>
      <c r="E975" s="149" t="s">
        <v>10007</v>
      </c>
      <c r="F975" s="143"/>
      <c r="G975" s="31"/>
      <c r="H975" s="31"/>
      <c r="I975" s="31"/>
      <c r="J975" s="31"/>
      <c r="K975" s="31"/>
      <c r="L975" s="31"/>
      <c r="M975" s="31"/>
    </row>
    <row r="976" spans="1:13">
      <c r="A976" s="523">
        <v>44615</v>
      </c>
      <c r="B976" s="344" t="s">
        <v>10235</v>
      </c>
      <c r="C976" s="149" t="s">
        <v>8929</v>
      </c>
      <c r="D976" s="149" t="s">
        <v>7656</v>
      </c>
      <c r="E976" s="149" t="s">
        <v>10007</v>
      </c>
      <c r="F976" s="143"/>
      <c r="G976" s="31"/>
      <c r="H976" s="31"/>
      <c r="I976" s="31"/>
      <c r="J976" s="31"/>
      <c r="K976" s="31"/>
      <c r="L976" s="31"/>
      <c r="M976" s="31"/>
    </row>
    <row r="977" spans="1:13">
      <c r="A977" s="523">
        <v>44618</v>
      </c>
      <c r="B977" s="149" t="s">
        <v>3306</v>
      </c>
      <c r="C977" s="149" t="s">
        <v>8929</v>
      </c>
      <c r="D977" s="149" t="s">
        <v>7656</v>
      </c>
      <c r="E977" s="149" t="s">
        <v>10236</v>
      </c>
      <c r="F977" s="143"/>
      <c r="G977" s="31"/>
      <c r="H977" s="31"/>
      <c r="I977" s="31"/>
      <c r="J977" s="31"/>
      <c r="K977" s="31"/>
      <c r="L977" s="31"/>
      <c r="M977" s="31"/>
    </row>
    <row r="978" spans="1:13">
      <c r="A978" s="535">
        <v>44618</v>
      </c>
      <c r="B978" t="s">
        <v>3529</v>
      </c>
      <c r="C978" s="152" t="s">
        <v>8929</v>
      </c>
      <c r="D978" s="152" t="s">
        <v>7656</v>
      </c>
      <c r="E978" s="152" t="s">
        <v>10237</v>
      </c>
      <c r="F978" s="31"/>
      <c r="G978" s="31"/>
      <c r="H978" s="31"/>
      <c r="I978" s="31"/>
      <c r="J978" s="31"/>
      <c r="K978" s="31"/>
      <c r="L978" s="31"/>
      <c r="M978" s="31"/>
    </row>
    <row r="979" spans="1:13">
      <c r="A979" s="535"/>
      <c r="B979" s="420" t="s">
        <v>10238</v>
      </c>
      <c r="C979" s="31"/>
      <c r="D979" s="31"/>
      <c r="E979" s="31"/>
      <c r="F979" s="31"/>
      <c r="G979" s="31"/>
      <c r="H979" s="31"/>
      <c r="I979" s="31"/>
      <c r="J979" s="31"/>
      <c r="K979" s="31"/>
      <c r="L979" s="31"/>
      <c r="M979" s="31"/>
    </row>
    <row r="980" spans="1:13">
      <c r="A980" s="523">
        <v>44593</v>
      </c>
      <c r="B980" s="149" t="s">
        <v>3537</v>
      </c>
      <c r="C980" s="143" t="s">
        <v>8929</v>
      </c>
      <c r="D980" s="31" t="s">
        <v>7672</v>
      </c>
      <c r="E980" s="31" t="s">
        <v>8929</v>
      </c>
      <c r="F980" s="31"/>
      <c r="G980" s="31"/>
      <c r="H980" s="31"/>
      <c r="I980" s="31"/>
      <c r="J980" s="31"/>
      <c r="K980" s="31"/>
      <c r="L980" s="31"/>
      <c r="M980" s="31"/>
    </row>
    <row r="981" spans="1:13">
      <c r="A981" s="523">
        <v>44622</v>
      </c>
      <c r="B981" s="149" t="s">
        <v>10239</v>
      </c>
      <c r="C981" s="143" t="s">
        <v>8929</v>
      </c>
      <c r="D981" s="31" t="s">
        <v>7672</v>
      </c>
      <c r="E981" s="31"/>
      <c r="F981" s="31"/>
      <c r="G981" s="31"/>
      <c r="H981" s="31"/>
      <c r="I981" s="31"/>
      <c r="J981" s="31"/>
      <c r="K981" s="31"/>
      <c r="L981" s="31"/>
      <c r="M981" s="31"/>
    </row>
    <row r="982" spans="1:13">
      <c r="A982" s="523">
        <v>44622</v>
      </c>
      <c r="B982" s="149" t="s">
        <v>3528</v>
      </c>
      <c r="C982" s="143" t="s">
        <v>8929</v>
      </c>
      <c r="D982" s="31" t="s">
        <v>7672</v>
      </c>
      <c r="E982" s="31" t="s">
        <v>10233</v>
      </c>
      <c r="F982" s="31"/>
      <c r="G982" s="31"/>
      <c r="H982" s="31"/>
      <c r="I982" s="31"/>
      <c r="J982" s="31"/>
      <c r="K982" s="31"/>
      <c r="L982" s="31"/>
      <c r="M982" s="31"/>
    </row>
    <row r="983" spans="1:13">
      <c r="A983" s="523">
        <v>44623</v>
      </c>
      <c r="B983" s="149" t="s">
        <v>10240</v>
      </c>
      <c r="C983" s="143" t="s">
        <v>8929</v>
      </c>
      <c r="D983" s="31" t="s">
        <v>7672</v>
      </c>
      <c r="E983" s="31"/>
      <c r="F983" s="31"/>
      <c r="G983" s="31"/>
      <c r="H983" s="31"/>
      <c r="I983" s="31"/>
      <c r="J983" s="31"/>
      <c r="K983" s="31"/>
      <c r="L983" s="31"/>
      <c r="M983" s="31"/>
    </row>
    <row r="984" spans="1:13">
      <c r="A984" s="523">
        <v>44627</v>
      </c>
      <c r="B984" s="108" t="s">
        <v>10241</v>
      </c>
      <c r="C984" s="143" t="s">
        <v>8929</v>
      </c>
      <c r="D984" s="31" t="s">
        <v>7672</v>
      </c>
      <c r="E984" s="31" t="s">
        <v>9998</v>
      </c>
      <c r="F984" s="31"/>
      <c r="G984" s="31"/>
      <c r="H984" s="31"/>
      <c r="I984" s="31"/>
      <c r="J984" s="31"/>
      <c r="K984" s="31"/>
      <c r="L984" s="31"/>
      <c r="M984" s="31"/>
    </row>
    <row r="985" spans="1:13">
      <c r="A985" s="523">
        <v>44628</v>
      </c>
      <c r="B985" s="149" t="s">
        <v>10242</v>
      </c>
      <c r="C985" s="143" t="s">
        <v>8929</v>
      </c>
      <c r="D985" s="31" t="s">
        <v>7672</v>
      </c>
      <c r="E985" s="31"/>
      <c r="F985" s="31"/>
      <c r="G985" s="31"/>
      <c r="H985" s="31"/>
      <c r="I985" s="31"/>
      <c r="J985" s="31"/>
      <c r="K985" s="31"/>
      <c r="L985" s="31"/>
      <c r="M985" s="31"/>
    </row>
    <row r="986" spans="1:13">
      <c r="A986" s="523">
        <v>44628</v>
      </c>
      <c r="B986" s="108" t="s">
        <v>10243</v>
      </c>
      <c r="C986" s="143" t="s">
        <v>8929</v>
      </c>
      <c r="D986" s="31" t="s">
        <v>7672</v>
      </c>
      <c r="E986" s="31"/>
      <c r="F986" s="31"/>
      <c r="G986" s="31"/>
      <c r="H986" s="31"/>
      <c r="I986" s="31"/>
      <c r="J986" s="31"/>
      <c r="K986" s="31"/>
      <c r="L986" s="31"/>
      <c r="M986" s="31"/>
    </row>
    <row r="987" spans="1:13">
      <c r="A987" s="523">
        <v>44628</v>
      </c>
      <c r="B987" s="149" t="s">
        <v>2975</v>
      </c>
      <c r="C987" s="143" t="s">
        <v>8929</v>
      </c>
      <c r="D987" s="31" t="s">
        <v>7672</v>
      </c>
      <c r="E987" s="31"/>
      <c r="F987" s="31"/>
      <c r="G987" s="31"/>
      <c r="H987" s="31"/>
      <c r="I987" s="31"/>
      <c r="J987" s="31"/>
      <c r="K987" s="31"/>
      <c r="L987" s="31"/>
      <c r="M987" s="31"/>
    </row>
    <row r="988" spans="1:13">
      <c r="A988" s="523">
        <v>44629</v>
      </c>
      <c r="B988" s="149" t="s">
        <v>3525</v>
      </c>
      <c r="C988" s="143" t="s">
        <v>8929</v>
      </c>
      <c r="D988" s="31" t="s">
        <v>7672</v>
      </c>
      <c r="E988" s="31"/>
      <c r="F988" s="31"/>
      <c r="G988" s="31"/>
      <c r="H988" s="31"/>
      <c r="I988" s="31"/>
      <c r="J988" s="31"/>
      <c r="K988" s="31"/>
      <c r="L988" s="31"/>
      <c r="M988" s="31"/>
    </row>
    <row r="989" spans="1:13">
      <c r="A989" s="523">
        <v>44629</v>
      </c>
      <c r="B989" s="149" t="s">
        <v>3526</v>
      </c>
      <c r="C989" s="143" t="s">
        <v>8929</v>
      </c>
      <c r="D989" s="31" t="s">
        <v>7672</v>
      </c>
      <c r="E989" s="31"/>
      <c r="F989" s="31"/>
      <c r="G989" s="31"/>
      <c r="H989" s="31"/>
      <c r="I989" s="31"/>
      <c r="J989" s="31"/>
      <c r="K989" s="31"/>
      <c r="L989" s="31"/>
      <c r="M989" s="31"/>
    </row>
    <row r="990" spans="1:13">
      <c r="A990" s="523">
        <v>44630</v>
      </c>
      <c r="B990" s="108" t="s">
        <v>3523</v>
      </c>
      <c r="C990" s="143" t="s">
        <v>8929</v>
      </c>
      <c r="D990" s="31" t="s">
        <v>7672</v>
      </c>
      <c r="E990" s="31"/>
      <c r="F990" s="31"/>
      <c r="G990" s="31"/>
      <c r="H990" s="31"/>
      <c r="I990" s="31"/>
      <c r="J990" s="31"/>
      <c r="K990" s="31"/>
      <c r="L990" s="31"/>
      <c r="M990" s="31"/>
    </row>
    <row r="991" spans="1:13">
      <c r="A991" s="523">
        <v>44630</v>
      </c>
      <c r="B991" s="149" t="s">
        <v>3524</v>
      </c>
      <c r="C991" s="143" t="s">
        <v>8929</v>
      </c>
      <c r="D991" s="31" t="s">
        <v>7672</v>
      </c>
      <c r="E991" s="31" t="s">
        <v>10244</v>
      </c>
      <c r="F991" s="31"/>
      <c r="G991" s="31"/>
      <c r="H991" s="31"/>
      <c r="I991" s="31"/>
      <c r="J991" s="31"/>
      <c r="K991" s="31"/>
      <c r="L991" s="31"/>
      <c r="M991" s="31"/>
    </row>
    <row r="992" spans="1:13">
      <c r="A992" s="523">
        <v>44630</v>
      </c>
      <c r="B992" s="341" t="s">
        <v>10245</v>
      </c>
      <c r="C992" s="143" t="s">
        <v>8929</v>
      </c>
      <c r="D992" s="31" t="s">
        <v>7672</v>
      </c>
      <c r="E992" s="31"/>
      <c r="F992" s="31"/>
      <c r="G992" s="31"/>
      <c r="H992" s="31"/>
      <c r="I992" s="31"/>
      <c r="J992" s="31"/>
      <c r="K992" s="31"/>
      <c r="L992" s="31"/>
      <c r="M992" s="31"/>
    </row>
    <row r="993" spans="1:13">
      <c r="A993" s="523">
        <v>44631</v>
      </c>
      <c r="B993" s="149" t="s">
        <v>3099</v>
      </c>
      <c r="C993" s="143" t="s">
        <v>8929</v>
      </c>
      <c r="D993" s="31" t="s">
        <v>7672</v>
      </c>
      <c r="E993" s="31" t="s">
        <v>9996</v>
      </c>
      <c r="F993" s="31"/>
      <c r="G993" s="31"/>
      <c r="H993" s="31"/>
      <c r="I993" s="31"/>
      <c r="J993" s="31"/>
      <c r="K993" s="31"/>
      <c r="L993" s="31"/>
      <c r="M993" s="31"/>
    </row>
    <row r="994" spans="1:13">
      <c r="A994" s="524">
        <v>44636</v>
      </c>
      <c r="B994" s="149" t="s">
        <v>3076</v>
      </c>
      <c r="C994" s="221" t="s">
        <v>8929</v>
      </c>
      <c r="D994" s="140" t="s">
        <v>7672</v>
      </c>
      <c r="E994" s="140"/>
      <c r="F994" s="140"/>
      <c r="G994" s="140"/>
      <c r="H994" s="140"/>
      <c r="I994" s="140"/>
      <c r="J994" s="140"/>
      <c r="K994" s="140"/>
      <c r="L994" s="140"/>
      <c r="M994" s="140"/>
    </row>
    <row r="995" spans="1:13">
      <c r="A995" s="478">
        <v>44637</v>
      </c>
      <c r="B995" s="149" t="s">
        <v>3522</v>
      </c>
      <c r="C995" s="185" t="s">
        <v>8929</v>
      </c>
      <c r="D995" s="149" t="s">
        <v>7672</v>
      </c>
      <c r="E995" s="149"/>
      <c r="F995" s="149"/>
      <c r="G995" s="149"/>
      <c r="H995" s="149"/>
      <c r="I995" s="149"/>
      <c r="J995" s="149"/>
      <c r="K995" s="149"/>
      <c r="L995" s="149"/>
      <c r="M995" s="149"/>
    </row>
    <row r="996" spans="1:13">
      <c r="A996" s="478">
        <v>44637</v>
      </c>
      <c r="B996" s="149" t="s">
        <v>10246</v>
      </c>
      <c r="C996" s="185" t="s">
        <v>8929</v>
      </c>
      <c r="D996" s="149" t="s">
        <v>7672</v>
      </c>
      <c r="E996" s="149"/>
      <c r="F996" s="149"/>
      <c r="G996" s="149"/>
      <c r="H996" s="149"/>
      <c r="I996" s="149"/>
      <c r="J996" s="149"/>
      <c r="K996" s="149"/>
      <c r="L996" s="149"/>
      <c r="M996" s="149"/>
    </row>
    <row r="997" spans="1:13">
      <c r="A997" s="525">
        <v>44638</v>
      </c>
      <c r="B997" s="149" t="s">
        <v>3087</v>
      </c>
      <c r="C997" s="419" t="s">
        <v>8929</v>
      </c>
      <c r="D997" s="152" t="s">
        <v>7672</v>
      </c>
      <c r="E997" s="152" t="s">
        <v>9998</v>
      </c>
      <c r="F997" s="152"/>
      <c r="G997" s="152"/>
      <c r="H997" s="152"/>
      <c r="I997" s="152"/>
      <c r="J997" s="152"/>
      <c r="K997" s="152"/>
      <c r="L997" s="152"/>
      <c r="M997" s="152"/>
    </row>
    <row r="998" spans="1:13">
      <c r="A998" s="523">
        <v>44641</v>
      </c>
      <c r="B998" s="149" t="s">
        <v>3521</v>
      </c>
      <c r="C998" s="143" t="s">
        <v>8929</v>
      </c>
      <c r="D998" s="31" t="s">
        <v>7672</v>
      </c>
      <c r="E998" s="31"/>
      <c r="F998" s="31"/>
      <c r="G998" s="31"/>
      <c r="H998" s="31"/>
      <c r="I998" s="31"/>
      <c r="J998" s="31"/>
      <c r="K998" s="31"/>
      <c r="L998" s="31"/>
      <c r="M998" s="31"/>
    </row>
    <row r="999" spans="1:13">
      <c r="A999" s="523">
        <v>44642</v>
      </c>
      <c r="B999" s="149" t="s">
        <v>3520</v>
      </c>
      <c r="C999" s="143" t="s">
        <v>8929</v>
      </c>
      <c r="D999" s="31" t="s">
        <v>7672</v>
      </c>
      <c r="E999" s="31"/>
      <c r="F999" s="31"/>
      <c r="G999" s="31"/>
      <c r="H999" s="31"/>
      <c r="I999" s="31"/>
      <c r="J999" s="31"/>
      <c r="K999" s="31"/>
      <c r="L999" s="31"/>
      <c r="M999" s="31"/>
    </row>
    <row r="1000" spans="1:13">
      <c r="A1000" s="526">
        <v>44643</v>
      </c>
      <c r="B1000" s="149" t="s">
        <v>3598</v>
      </c>
      <c r="C1000" s="143" t="s">
        <v>8929</v>
      </c>
      <c r="D1000" s="31" t="s">
        <v>7672</v>
      </c>
      <c r="E1000" s="31"/>
      <c r="F1000" s="31"/>
      <c r="G1000" s="31"/>
      <c r="H1000" s="31"/>
      <c r="I1000" s="31"/>
      <c r="J1000" s="31"/>
      <c r="K1000" s="31"/>
      <c r="L1000" s="31"/>
      <c r="M1000" s="31"/>
    </row>
    <row r="1001" spans="1:13">
      <c r="A1001" s="526">
        <v>44649</v>
      </c>
      <c r="B1001" s="149" t="s">
        <v>3519</v>
      </c>
      <c r="C1001" s="143" t="s">
        <v>8929</v>
      </c>
      <c r="D1001" s="31" t="s">
        <v>7672</v>
      </c>
      <c r="E1001" s="31" t="s">
        <v>10002</v>
      </c>
      <c r="F1001" s="31"/>
      <c r="G1001" s="31"/>
      <c r="H1001" s="31"/>
      <c r="I1001" s="31"/>
      <c r="J1001" s="31"/>
      <c r="K1001" s="31"/>
      <c r="L1001" s="31"/>
      <c r="M1001" s="31"/>
    </row>
    <row r="1002" spans="1:13">
      <c r="A1002" s="526">
        <v>44649</v>
      </c>
      <c r="B1002" s="149" t="s">
        <v>10247</v>
      </c>
      <c r="C1002" s="143" t="s">
        <v>8929</v>
      </c>
      <c r="D1002" s="31" t="s">
        <v>7672</v>
      </c>
      <c r="E1002" s="31" t="s">
        <v>10004</v>
      </c>
      <c r="F1002" s="31"/>
      <c r="G1002" s="31"/>
      <c r="H1002" s="31"/>
      <c r="I1002" s="31"/>
      <c r="J1002" s="31"/>
      <c r="K1002" s="31"/>
      <c r="L1002" s="31"/>
      <c r="M1002" s="31"/>
    </row>
    <row r="1003" spans="1:13">
      <c r="A1003" s="526">
        <v>44650</v>
      </c>
      <c r="B1003" s="149" t="s">
        <v>3166</v>
      </c>
      <c r="C1003" s="143" t="s">
        <v>8929</v>
      </c>
      <c r="D1003" s="31" t="s">
        <v>7672</v>
      </c>
      <c r="E1003" s="31" t="s">
        <v>10007</v>
      </c>
      <c r="F1003" s="31"/>
      <c r="G1003" s="31"/>
      <c r="H1003" s="31"/>
      <c r="I1003" s="31"/>
      <c r="J1003" s="31"/>
      <c r="K1003" s="31"/>
      <c r="L1003" s="31"/>
      <c r="M1003" s="31"/>
    </row>
    <row r="1004" spans="1:13">
      <c r="A1004" s="526">
        <v>44650</v>
      </c>
      <c r="B1004" s="149" t="s">
        <v>10248</v>
      </c>
      <c r="C1004" s="143" t="s">
        <v>8929</v>
      </c>
      <c r="D1004" s="31" t="s">
        <v>7672</v>
      </c>
      <c r="E1004" s="31" t="s">
        <v>7993</v>
      </c>
      <c r="F1004" s="31"/>
      <c r="G1004" s="31"/>
      <c r="H1004" s="31"/>
      <c r="I1004" s="31"/>
      <c r="J1004" s="31"/>
      <c r="K1004" s="31"/>
      <c r="L1004" s="31"/>
      <c r="M1004" s="31"/>
    </row>
    <row r="1005" spans="1:13">
      <c r="A1005" s="526">
        <v>44650</v>
      </c>
      <c r="B1005" s="149" t="s">
        <v>3516</v>
      </c>
      <c r="C1005" s="143" t="s">
        <v>8929</v>
      </c>
      <c r="D1005" s="31" t="s">
        <v>7672</v>
      </c>
      <c r="E1005" s="31" t="s">
        <v>7993</v>
      </c>
      <c r="F1005" s="31"/>
      <c r="G1005" s="31"/>
      <c r="H1005" s="31"/>
      <c r="I1005" s="31"/>
      <c r="J1005" s="31"/>
      <c r="K1005" s="31"/>
      <c r="L1005" s="31"/>
      <c r="M1005" s="31"/>
    </row>
    <row r="1006" spans="1:13">
      <c r="A1006" s="526">
        <v>44650</v>
      </c>
      <c r="B1006" s="149" t="s">
        <v>3412</v>
      </c>
      <c r="C1006" s="143" t="s">
        <v>8929</v>
      </c>
      <c r="D1006" s="31" t="s">
        <v>7672</v>
      </c>
      <c r="E1006" s="31" t="s">
        <v>7993</v>
      </c>
      <c r="F1006" s="31"/>
      <c r="G1006" s="31"/>
      <c r="H1006" s="31"/>
      <c r="I1006" s="31"/>
      <c r="J1006" s="31"/>
      <c r="K1006" s="31"/>
      <c r="L1006" s="31"/>
      <c r="M1006" s="31"/>
    </row>
    <row r="1007" spans="1:13">
      <c r="A1007" s="526">
        <v>44650</v>
      </c>
      <c r="B1007" s="149" t="s">
        <v>3191</v>
      </c>
      <c r="C1007" s="143" t="s">
        <v>8929</v>
      </c>
      <c r="D1007" s="31" t="s">
        <v>7672</v>
      </c>
      <c r="E1007" s="31" t="s">
        <v>7993</v>
      </c>
      <c r="F1007" s="31"/>
      <c r="G1007" s="31"/>
      <c r="H1007" s="31"/>
      <c r="I1007" s="31"/>
      <c r="J1007" s="31"/>
      <c r="K1007" s="31"/>
      <c r="L1007" s="31"/>
      <c r="M1007" s="31"/>
    </row>
    <row r="1008" spans="1:13">
      <c r="A1008" s="526">
        <v>44650</v>
      </c>
      <c r="B1008" s="149" t="s">
        <v>840</v>
      </c>
      <c r="C1008" s="143" t="s">
        <v>8929</v>
      </c>
      <c r="D1008" s="31" t="s">
        <v>7672</v>
      </c>
      <c r="E1008" s="31" t="s">
        <v>7993</v>
      </c>
      <c r="F1008" s="31"/>
      <c r="G1008" s="31"/>
      <c r="H1008" s="31"/>
      <c r="I1008" s="31"/>
      <c r="J1008" s="31"/>
      <c r="K1008" s="31"/>
      <c r="L1008" s="31"/>
      <c r="M1008" s="31"/>
    </row>
    <row r="1009" spans="1:13">
      <c r="A1009" s="526">
        <v>44650</v>
      </c>
      <c r="B1009" s="149" t="s">
        <v>5319</v>
      </c>
      <c r="C1009" s="143" t="s">
        <v>8929</v>
      </c>
      <c r="D1009" s="31" t="s">
        <v>7672</v>
      </c>
      <c r="E1009" s="31" t="s">
        <v>7993</v>
      </c>
      <c r="F1009" s="31"/>
      <c r="G1009" s="31"/>
      <c r="H1009" s="31"/>
      <c r="I1009" s="31"/>
      <c r="J1009" s="31"/>
      <c r="K1009" s="31"/>
      <c r="L1009" s="31"/>
      <c r="M1009" s="31"/>
    </row>
    <row r="1010" spans="1:13">
      <c r="A1010" s="526">
        <v>44651</v>
      </c>
      <c r="B1010" s="149" t="s">
        <v>3518</v>
      </c>
      <c r="C1010" s="143" t="s">
        <v>8929</v>
      </c>
      <c r="D1010" s="31" t="s">
        <v>7672</v>
      </c>
      <c r="E1010" s="31" t="s">
        <v>9999</v>
      </c>
      <c r="F1010" s="31"/>
      <c r="G1010" s="31"/>
      <c r="H1010" s="31"/>
      <c r="I1010" s="31"/>
      <c r="J1010" s="31"/>
      <c r="K1010" s="31"/>
      <c r="L1010" s="31"/>
      <c r="M1010" s="31"/>
    </row>
    <row r="1011" spans="1:13">
      <c r="A1011" s="526">
        <v>44651</v>
      </c>
      <c r="B1011" s="149" t="s">
        <v>3020</v>
      </c>
      <c r="C1011" s="143" t="s">
        <v>8929</v>
      </c>
      <c r="D1011" s="31" t="s">
        <v>7672</v>
      </c>
      <c r="E1011" s="31" t="s">
        <v>10233</v>
      </c>
      <c r="F1011" s="31"/>
      <c r="G1011" s="31"/>
      <c r="H1011" s="31"/>
      <c r="I1011" s="31"/>
      <c r="J1011" s="31"/>
      <c r="K1011" s="31"/>
      <c r="L1011" s="31"/>
      <c r="M1011" s="31"/>
    </row>
    <row r="1012" spans="1:13" ht="15.75" customHeight="1">
      <c r="A1012" s="544">
        <v>44651</v>
      </c>
      <c r="B1012" s="186" t="s">
        <v>10249</v>
      </c>
      <c r="C1012" s="221" t="s">
        <v>8929</v>
      </c>
      <c r="D1012" s="140" t="s">
        <v>7672</v>
      </c>
      <c r="E1012" s="140" t="s">
        <v>10233</v>
      </c>
      <c r="F1012" s="140"/>
      <c r="G1012" s="140"/>
      <c r="H1012" s="31"/>
      <c r="I1012" s="31"/>
      <c r="J1012" s="31"/>
      <c r="K1012" s="31"/>
      <c r="L1012" s="31"/>
      <c r="M1012" s="31"/>
    </row>
    <row r="1013" spans="1:13">
      <c r="A1013" s="545"/>
      <c r="B1013" s="421" t="s">
        <v>10250</v>
      </c>
      <c r="C1013" s="149"/>
      <c r="D1013" s="149"/>
      <c r="E1013" s="149"/>
      <c r="F1013" s="149"/>
      <c r="G1013" s="149"/>
      <c r="H1013" s="143"/>
      <c r="I1013" s="31"/>
      <c r="J1013" s="31"/>
      <c r="K1013" s="31"/>
      <c r="L1013" s="31"/>
      <c r="M1013" s="31"/>
    </row>
    <row r="1014" spans="1:13">
      <c r="A1014" s="545">
        <v>44653</v>
      </c>
      <c r="B1014" s="149" t="s">
        <v>3517</v>
      </c>
      <c r="C1014" s="149" t="s">
        <v>8929</v>
      </c>
      <c r="D1014" s="149" t="s">
        <v>7684</v>
      </c>
      <c r="E1014" s="149" t="s">
        <v>9996</v>
      </c>
      <c r="F1014" s="149"/>
      <c r="G1014" s="149"/>
      <c r="H1014" s="143"/>
      <c r="I1014" s="31"/>
      <c r="J1014" s="31"/>
      <c r="K1014" s="31"/>
      <c r="L1014" s="31"/>
      <c r="M1014" s="31"/>
    </row>
    <row r="1015" spans="1:13">
      <c r="A1015" s="545">
        <v>44655</v>
      </c>
      <c r="B1015" s="149" t="s">
        <v>3861</v>
      </c>
      <c r="C1015" s="149" t="s">
        <v>8929</v>
      </c>
      <c r="D1015" s="149" t="s">
        <v>7684</v>
      </c>
      <c r="E1015" s="149" t="s">
        <v>10026</v>
      </c>
      <c r="F1015" s="149"/>
      <c r="G1015" s="149"/>
      <c r="H1015" s="143"/>
      <c r="I1015" s="31"/>
      <c r="J1015" s="31"/>
      <c r="K1015" s="31"/>
      <c r="L1015" s="31"/>
      <c r="M1015" s="31"/>
    </row>
    <row r="1016" spans="1:13">
      <c r="A1016" s="545">
        <v>44656</v>
      </c>
      <c r="B1016" s="149" t="s">
        <v>10251</v>
      </c>
      <c r="C1016" s="149" t="s">
        <v>8929</v>
      </c>
      <c r="D1016" s="149" t="s">
        <v>7684</v>
      </c>
      <c r="E1016" s="149" t="s">
        <v>10007</v>
      </c>
      <c r="F1016" s="149"/>
      <c r="G1016" s="149"/>
      <c r="H1016" s="143"/>
      <c r="I1016" s="31"/>
      <c r="J1016" s="31"/>
      <c r="K1016" s="31"/>
      <c r="L1016" s="31"/>
      <c r="M1016" s="31"/>
    </row>
    <row r="1017" spans="1:13">
      <c r="A1017" s="545">
        <v>44656</v>
      </c>
      <c r="B1017" s="149" t="s">
        <v>3515</v>
      </c>
      <c r="C1017" s="149" t="s">
        <v>8929</v>
      </c>
      <c r="D1017" s="149" t="s">
        <v>7684</v>
      </c>
      <c r="E1017" s="149" t="s">
        <v>10026</v>
      </c>
      <c r="F1017" s="149"/>
      <c r="G1017" s="149"/>
      <c r="H1017" s="143"/>
      <c r="I1017" s="31"/>
      <c r="J1017" s="31"/>
      <c r="K1017" s="31"/>
      <c r="L1017" s="31"/>
      <c r="M1017" s="31"/>
    </row>
    <row r="1018" spans="1:13">
      <c r="A1018" s="545">
        <v>44659</v>
      </c>
      <c r="B1018" s="149" t="s">
        <v>3514</v>
      </c>
      <c r="C1018" s="149" t="s">
        <v>8929</v>
      </c>
      <c r="D1018" s="149" t="s">
        <v>7684</v>
      </c>
      <c r="E1018" s="149" t="s">
        <v>9996</v>
      </c>
      <c r="F1018" s="149"/>
      <c r="G1018" s="149"/>
      <c r="H1018" s="143"/>
      <c r="I1018" s="31"/>
      <c r="J1018" s="31"/>
      <c r="K1018" s="31"/>
      <c r="L1018" s="31"/>
      <c r="M1018" s="31"/>
    </row>
    <row r="1019" spans="1:13">
      <c r="A1019" s="545">
        <v>44663</v>
      </c>
      <c r="B1019" s="149" t="s">
        <v>10252</v>
      </c>
      <c r="C1019" s="149" t="s">
        <v>8929</v>
      </c>
      <c r="D1019" s="149" t="s">
        <v>7684</v>
      </c>
      <c r="E1019" s="149"/>
      <c r="F1019" s="149"/>
      <c r="G1019" s="149"/>
      <c r="H1019" s="143"/>
      <c r="I1019" s="31"/>
      <c r="J1019" s="31"/>
      <c r="K1019" s="31"/>
      <c r="L1019" s="31"/>
      <c r="M1019" s="31"/>
    </row>
    <row r="1020" spans="1:13">
      <c r="A1020" s="503">
        <v>44663</v>
      </c>
      <c r="B1020" s="149" t="s">
        <v>10253</v>
      </c>
      <c r="C1020" s="149" t="s">
        <v>8929</v>
      </c>
      <c r="D1020" s="149" t="s">
        <v>7684</v>
      </c>
      <c r="E1020" s="149"/>
      <c r="F1020" s="149"/>
      <c r="G1020" s="149"/>
      <c r="H1020" s="143"/>
      <c r="I1020" s="31"/>
      <c r="J1020" s="31"/>
      <c r="K1020" s="31"/>
      <c r="L1020" s="31"/>
      <c r="M1020" s="31"/>
    </row>
    <row r="1021" spans="1:13">
      <c r="A1021" s="503">
        <v>44663</v>
      </c>
      <c r="B1021" s="149" t="s">
        <v>10254</v>
      </c>
      <c r="C1021" s="149" t="s">
        <v>8929</v>
      </c>
      <c r="D1021" s="149" t="s">
        <v>7684</v>
      </c>
      <c r="E1021" s="149"/>
      <c r="F1021" s="149"/>
      <c r="G1021" s="149"/>
      <c r="H1021" s="143"/>
      <c r="I1021" s="31"/>
      <c r="J1021" s="31"/>
      <c r="K1021" s="31"/>
      <c r="L1021" s="31"/>
      <c r="M1021" s="31"/>
    </row>
    <row r="1022" spans="1:13">
      <c r="A1022" s="503">
        <v>44663</v>
      </c>
      <c r="B1022" s="149" t="s">
        <v>10254</v>
      </c>
      <c r="C1022" s="149" t="s">
        <v>8929</v>
      </c>
      <c r="D1022" s="149" t="s">
        <v>7684</v>
      </c>
      <c r="E1022" s="149" t="s">
        <v>10011</v>
      </c>
      <c r="F1022" s="149"/>
      <c r="G1022" s="149"/>
      <c r="H1022" s="143"/>
      <c r="I1022" s="31"/>
      <c r="J1022" s="31"/>
      <c r="K1022" s="31"/>
      <c r="L1022" s="31"/>
      <c r="M1022" s="31"/>
    </row>
    <row r="1023" spans="1:13">
      <c r="A1023" s="503">
        <v>44663</v>
      </c>
      <c r="B1023" s="149" t="s">
        <v>10255</v>
      </c>
      <c r="C1023" s="149" t="s">
        <v>8929</v>
      </c>
      <c r="D1023" s="149" t="s">
        <v>7684</v>
      </c>
      <c r="E1023" s="149" t="s">
        <v>10004</v>
      </c>
      <c r="F1023" s="149"/>
      <c r="G1023" s="149"/>
      <c r="H1023" s="143"/>
      <c r="I1023" s="31"/>
      <c r="J1023" s="31"/>
      <c r="K1023" s="31"/>
      <c r="L1023" s="31"/>
      <c r="M1023" s="31"/>
    </row>
    <row r="1024" spans="1:13">
      <c r="A1024" s="503">
        <v>44663</v>
      </c>
      <c r="B1024" s="149" t="s">
        <v>10256</v>
      </c>
      <c r="C1024" s="149" t="s">
        <v>8929</v>
      </c>
      <c r="D1024" s="149" t="s">
        <v>7684</v>
      </c>
      <c r="E1024" s="149" t="s">
        <v>10026</v>
      </c>
      <c r="F1024" s="149"/>
      <c r="G1024" s="149"/>
      <c r="H1024" s="143"/>
      <c r="I1024" s="31"/>
      <c r="J1024" s="31"/>
      <c r="K1024" s="31"/>
      <c r="L1024" s="31"/>
      <c r="M1024" s="31"/>
    </row>
    <row r="1025" spans="1:13">
      <c r="A1025" s="503">
        <v>44664</v>
      </c>
      <c r="B1025" s="149" t="s">
        <v>5581</v>
      </c>
      <c r="C1025" s="149" t="s">
        <v>8929</v>
      </c>
      <c r="D1025" s="149" t="s">
        <v>7684</v>
      </c>
      <c r="E1025" s="149"/>
      <c r="F1025" s="149"/>
      <c r="G1025" s="149"/>
      <c r="H1025" s="143"/>
      <c r="I1025" s="31"/>
      <c r="J1025" s="31"/>
      <c r="K1025" s="31"/>
      <c r="L1025" s="31"/>
      <c r="M1025" s="31"/>
    </row>
    <row r="1026" spans="1:13">
      <c r="A1026" s="503">
        <v>44671</v>
      </c>
      <c r="B1026" s="149" t="s">
        <v>10257</v>
      </c>
      <c r="C1026" s="149" t="s">
        <v>8929</v>
      </c>
      <c r="D1026" s="149" t="s">
        <v>7684</v>
      </c>
      <c r="E1026" s="149"/>
      <c r="F1026" s="149"/>
      <c r="G1026" s="149"/>
      <c r="H1026" s="143"/>
      <c r="I1026" s="31"/>
      <c r="J1026" s="31"/>
      <c r="K1026" s="31"/>
      <c r="L1026" s="31"/>
      <c r="M1026" s="31"/>
    </row>
    <row r="1027" spans="1:13">
      <c r="A1027" s="503">
        <v>44671</v>
      </c>
      <c r="B1027" s="149" t="s">
        <v>10258</v>
      </c>
      <c r="C1027" s="149" t="s">
        <v>8929</v>
      </c>
      <c r="D1027" s="149" t="s">
        <v>7684</v>
      </c>
      <c r="E1027" s="149"/>
      <c r="F1027" s="149"/>
      <c r="G1027" s="149"/>
      <c r="H1027" s="143"/>
      <c r="I1027" s="31"/>
      <c r="J1027" s="31"/>
      <c r="K1027" s="31"/>
      <c r="L1027" s="31"/>
      <c r="M1027" s="31"/>
    </row>
    <row r="1028" spans="1:13">
      <c r="A1028" s="503">
        <v>44673</v>
      </c>
      <c r="B1028" s="149" t="s">
        <v>2982</v>
      </c>
      <c r="C1028" s="149" t="s">
        <v>8929</v>
      </c>
      <c r="D1028" s="149" t="s">
        <v>7684</v>
      </c>
      <c r="E1028" s="149"/>
      <c r="F1028" s="149"/>
      <c r="G1028" s="149"/>
      <c r="H1028" s="143"/>
      <c r="I1028" s="31"/>
      <c r="J1028" s="31"/>
      <c r="K1028" s="31"/>
      <c r="L1028" s="31"/>
      <c r="M1028" s="31"/>
    </row>
    <row r="1029" spans="1:13">
      <c r="A1029" s="503">
        <v>44673</v>
      </c>
      <c r="B1029" s="149" t="s">
        <v>10259</v>
      </c>
      <c r="C1029" s="149" t="s">
        <v>8929</v>
      </c>
      <c r="D1029" s="149" t="s">
        <v>7684</v>
      </c>
      <c r="E1029" s="149" t="s">
        <v>9996</v>
      </c>
      <c r="F1029" s="149"/>
      <c r="G1029" s="149"/>
      <c r="H1029" s="143"/>
      <c r="I1029" s="31"/>
      <c r="J1029" s="31"/>
      <c r="K1029" s="31"/>
      <c r="L1029" s="31"/>
      <c r="M1029" s="31"/>
    </row>
    <row r="1030" spans="1:13">
      <c r="A1030" s="503">
        <v>44674</v>
      </c>
      <c r="B1030" s="149" t="s">
        <v>3511</v>
      </c>
      <c r="C1030" s="149" t="s">
        <v>8929</v>
      </c>
      <c r="D1030" s="149" t="s">
        <v>7684</v>
      </c>
      <c r="E1030" s="149" t="s">
        <v>10244</v>
      </c>
      <c r="F1030" s="149"/>
      <c r="G1030" s="149"/>
      <c r="H1030" s="143"/>
      <c r="I1030" s="31"/>
      <c r="J1030" s="31"/>
      <c r="K1030" s="31"/>
      <c r="L1030" s="31"/>
      <c r="M1030" s="31"/>
    </row>
    <row r="1031" spans="1:13">
      <c r="A1031" s="545">
        <v>44676</v>
      </c>
      <c r="B1031" s="149" t="s">
        <v>10260</v>
      </c>
      <c r="C1031" s="149" t="s">
        <v>8929</v>
      </c>
      <c r="D1031" s="149" t="s">
        <v>7684</v>
      </c>
      <c r="E1031" s="149" t="s">
        <v>10026</v>
      </c>
      <c r="F1031" s="149"/>
      <c r="G1031" s="149"/>
      <c r="H1031" s="143"/>
      <c r="I1031" s="31"/>
      <c r="J1031" s="31"/>
      <c r="K1031" s="31"/>
      <c r="L1031" s="31"/>
      <c r="M1031" s="31"/>
    </row>
    <row r="1032" spans="1:13">
      <c r="A1032" s="545">
        <v>44676</v>
      </c>
      <c r="B1032" s="149" t="s">
        <v>5588</v>
      </c>
      <c r="C1032" s="149" t="s">
        <v>8929</v>
      </c>
      <c r="D1032" s="149" t="s">
        <v>7684</v>
      </c>
      <c r="E1032" s="149" t="s">
        <v>10026</v>
      </c>
      <c r="F1032" s="149"/>
      <c r="G1032" s="149"/>
      <c r="H1032" s="143"/>
      <c r="I1032" s="31"/>
      <c r="J1032" s="31"/>
      <c r="K1032" s="31"/>
      <c r="L1032" s="31"/>
      <c r="M1032" s="31"/>
    </row>
    <row r="1033" spans="1:13">
      <c r="A1033" s="546">
        <v>44676</v>
      </c>
      <c r="B1033" s="152" t="s">
        <v>10261</v>
      </c>
      <c r="C1033" s="152" t="s">
        <v>8929</v>
      </c>
      <c r="D1033" s="152" t="s">
        <v>7684</v>
      </c>
      <c r="E1033" s="426">
        <v>44688</v>
      </c>
      <c r="F1033" s="152"/>
      <c r="G1033" s="152"/>
      <c r="H1033" s="31"/>
      <c r="I1033" s="31"/>
      <c r="J1033" s="31"/>
      <c r="K1033" s="31"/>
      <c r="L1033" s="31"/>
      <c r="M1033" s="31"/>
    </row>
    <row r="1034" spans="1:13">
      <c r="A1034" s="540">
        <v>44676</v>
      </c>
      <c r="B1034" s="31" t="s">
        <v>5590</v>
      </c>
      <c r="C1034" s="31" t="s">
        <v>8929</v>
      </c>
      <c r="D1034" s="31" t="s">
        <v>7684</v>
      </c>
      <c r="E1034" s="31" t="s">
        <v>10002</v>
      </c>
      <c r="F1034" s="31"/>
      <c r="G1034" s="31"/>
      <c r="H1034" s="31"/>
      <c r="I1034" s="31"/>
      <c r="J1034" s="31"/>
      <c r="K1034" s="31"/>
      <c r="L1034" s="31"/>
      <c r="M1034" s="31"/>
    </row>
    <row r="1035" spans="1:13">
      <c r="A1035" s="540">
        <v>44676</v>
      </c>
      <c r="B1035" s="31" t="s">
        <v>10262</v>
      </c>
      <c r="C1035" s="31" t="s">
        <v>8929</v>
      </c>
      <c r="D1035" s="31" t="s">
        <v>7684</v>
      </c>
      <c r="E1035" s="31" t="s">
        <v>10026</v>
      </c>
      <c r="F1035" s="31"/>
      <c r="G1035" s="31"/>
      <c r="H1035" s="31"/>
      <c r="I1035" s="31"/>
      <c r="J1035" s="31"/>
      <c r="K1035" s="31"/>
      <c r="L1035" s="31"/>
      <c r="M1035" s="31"/>
    </row>
    <row r="1036" spans="1:13">
      <c r="A1036" s="540">
        <v>44678</v>
      </c>
      <c r="B1036" s="31" t="s">
        <v>3787</v>
      </c>
      <c r="C1036" s="31" t="s">
        <v>8929</v>
      </c>
      <c r="D1036" s="31" t="s">
        <v>7684</v>
      </c>
      <c r="E1036" s="31" t="s">
        <v>10007</v>
      </c>
      <c r="F1036" s="31"/>
      <c r="G1036" s="31"/>
      <c r="H1036" s="31"/>
      <c r="I1036" s="31"/>
      <c r="J1036" s="31"/>
      <c r="K1036" s="31"/>
      <c r="L1036" s="31"/>
      <c r="M1036" s="31"/>
    </row>
    <row r="1037" spans="1:13">
      <c r="A1037" s="540">
        <v>44678</v>
      </c>
      <c r="B1037" s="31" t="s">
        <v>10263</v>
      </c>
      <c r="C1037" s="31" t="s">
        <v>8929</v>
      </c>
      <c r="D1037" s="31" t="s">
        <v>7684</v>
      </c>
      <c r="E1037" s="31"/>
      <c r="F1037" s="31"/>
      <c r="G1037" s="31"/>
      <c r="H1037" s="31"/>
      <c r="I1037" s="31"/>
      <c r="J1037" s="31"/>
      <c r="K1037" s="31"/>
      <c r="L1037" s="31"/>
      <c r="M1037" s="31"/>
    </row>
    <row r="1038" spans="1:13">
      <c r="A1038" s="540">
        <v>44679</v>
      </c>
      <c r="B1038" s="547" t="s">
        <v>10264</v>
      </c>
      <c r="C1038" s="31" t="s">
        <v>8929</v>
      </c>
      <c r="D1038" s="31" t="s">
        <v>7684</v>
      </c>
      <c r="E1038" s="31"/>
      <c r="F1038" s="31"/>
      <c r="G1038" s="31"/>
      <c r="H1038" s="31"/>
      <c r="I1038" s="31"/>
      <c r="J1038" s="31"/>
      <c r="K1038" s="31"/>
      <c r="L1038" s="31"/>
      <c r="M1038" s="31"/>
    </row>
    <row r="1039" spans="1:13">
      <c r="A1039" s="540">
        <v>44679</v>
      </c>
      <c r="B1039" s="31" t="s">
        <v>3019</v>
      </c>
      <c r="C1039" s="31" t="s">
        <v>8929</v>
      </c>
      <c r="D1039" s="31" t="s">
        <v>7684</v>
      </c>
      <c r="E1039" s="31"/>
      <c r="F1039" s="31"/>
      <c r="G1039" s="31"/>
      <c r="H1039" s="31"/>
      <c r="I1039" s="31"/>
      <c r="J1039" s="31"/>
      <c r="K1039" s="31"/>
      <c r="L1039" s="31"/>
      <c r="M1039" s="31"/>
    </row>
    <row r="1040" spans="1:13">
      <c r="A1040" s="540">
        <v>44681</v>
      </c>
      <c r="B1040" s="31" t="s">
        <v>3044</v>
      </c>
      <c r="C1040" s="31" t="s">
        <v>8929</v>
      </c>
      <c r="D1040" s="31" t="s">
        <v>7684</v>
      </c>
      <c r="E1040" s="31" t="s">
        <v>10098</v>
      </c>
      <c r="F1040" s="31"/>
      <c r="G1040" s="31"/>
      <c r="H1040" s="31"/>
      <c r="I1040" s="31"/>
      <c r="J1040" s="31"/>
      <c r="K1040" s="31"/>
      <c r="L1040" s="31"/>
      <c r="M1040" s="31"/>
    </row>
    <row r="1041" spans="1:13">
      <c r="A1041" s="540">
        <v>44681</v>
      </c>
      <c r="B1041" s="31" t="s">
        <v>10265</v>
      </c>
      <c r="C1041" s="31" t="s">
        <v>8929</v>
      </c>
      <c r="D1041" s="31" t="s">
        <v>7684</v>
      </c>
      <c r="E1041" s="31" t="s">
        <v>10026</v>
      </c>
      <c r="F1041" s="31"/>
      <c r="G1041" s="31"/>
      <c r="H1041" s="31"/>
      <c r="I1041" s="31"/>
      <c r="J1041" s="31"/>
      <c r="K1041" s="31"/>
      <c r="L1041" s="31"/>
      <c r="M1041" s="31"/>
    </row>
    <row r="1042" spans="1:13">
      <c r="A1042" s="540">
        <v>44681</v>
      </c>
      <c r="B1042" s="31" t="s">
        <v>3510</v>
      </c>
      <c r="C1042" s="31" t="s">
        <v>8929</v>
      </c>
      <c r="D1042" s="31" t="s">
        <v>7684</v>
      </c>
      <c r="E1042" s="31" t="s">
        <v>10026</v>
      </c>
      <c r="F1042" s="31"/>
      <c r="G1042" s="31"/>
      <c r="H1042" s="31"/>
      <c r="I1042" s="31"/>
      <c r="J1042" s="31"/>
      <c r="K1042" s="31"/>
      <c r="L1042" s="31"/>
      <c r="M1042" s="31"/>
    </row>
    <row r="1043" spans="1:13">
      <c r="A1043" s="503"/>
      <c r="B1043" s="421" t="s">
        <v>2715</v>
      </c>
      <c r="C1043" s="149"/>
      <c r="D1043" s="149"/>
      <c r="E1043" s="149"/>
      <c r="F1043" s="149"/>
      <c r="G1043" s="149"/>
      <c r="H1043" s="143"/>
      <c r="I1043" s="31"/>
      <c r="J1043" s="31"/>
      <c r="K1043" s="31"/>
      <c r="L1043" s="31"/>
      <c r="M1043" s="31"/>
    </row>
    <row r="1044" spans="1:13">
      <c r="A1044" s="540">
        <v>44654</v>
      </c>
      <c r="B1044" s="31" t="s">
        <v>3433</v>
      </c>
      <c r="C1044" s="31" t="s">
        <v>8929</v>
      </c>
      <c r="D1044" s="31" t="s">
        <v>2715</v>
      </c>
      <c r="E1044" s="31"/>
      <c r="F1044" s="31" t="s">
        <v>10266</v>
      </c>
      <c r="G1044" s="31"/>
      <c r="H1044" s="31"/>
      <c r="I1044" s="31"/>
      <c r="J1044" s="31"/>
      <c r="K1044" s="31"/>
      <c r="L1044" s="31"/>
      <c r="M1044" s="31"/>
    </row>
    <row r="1045" spans="1:13">
      <c r="A1045" s="540">
        <v>44654</v>
      </c>
      <c r="B1045" s="31" t="s">
        <v>3509</v>
      </c>
      <c r="C1045" s="31" t="s">
        <v>8929</v>
      </c>
      <c r="D1045" s="31" t="s">
        <v>2715</v>
      </c>
      <c r="E1045" s="31"/>
      <c r="G1045" s="31"/>
      <c r="H1045" s="31"/>
      <c r="I1045" s="31"/>
      <c r="J1045" s="31"/>
      <c r="K1045" s="31"/>
      <c r="L1045" s="31"/>
      <c r="M1045" s="31"/>
    </row>
    <row r="1046" spans="1:13">
      <c r="A1046" s="540">
        <v>44685</v>
      </c>
      <c r="B1046" s="31" t="s">
        <v>10267</v>
      </c>
      <c r="C1046" s="31" t="s">
        <v>8929</v>
      </c>
      <c r="D1046" s="31" t="s">
        <v>2715</v>
      </c>
      <c r="E1046" s="31" t="s">
        <v>10007</v>
      </c>
      <c r="F1046" s="31" t="s">
        <v>10268</v>
      </c>
      <c r="G1046" s="31"/>
      <c r="H1046" s="31"/>
      <c r="I1046" s="31"/>
      <c r="J1046" s="31"/>
      <c r="K1046" s="31"/>
      <c r="L1046" s="31"/>
      <c r="M1046" s="31"/>
    </row>
    <row r="1047" spans="1:13">
      <c r="A1047" s="540">
        <v>44686</v>
      </c>
      <c r="B1047" s="31" t="s">
        <v>10269</v>
      </c>
      <c r="C1047" s="31" t="s">
        <v>8929</v>
      </c>
      <c r="D1047" s="31" t="s">
        <v>2715</v>
      </c>
      <c r="E1047" s="31" t="s">
        <v>9999</v>
      </c>
      <c r="F1047" s="31" t="s">
        <v>10268</v>
      </c>
      <c r="G1047" s="31"/>
      <c r="H1047" s="31"/>
      <c r="I1047" s="31"/>
      <c r="J1047" s="31"/>
      <c r="K1047" s="31"/>
      <c r="L1047" s="31"/>
      <c r="M1047" s="31"/>
    </row>
    <row r="1048" spans="1:13">
      <c r="A1048" s="540">
        <v>44686</v>
      </c>
      <c r="B1048" s="31" t="s">
        <v>5594</v>
      </c>
      <c r="C1048" s="31" t="s">
        <v>8929</v>
      </c>
      <c r="D1048" s="31" t="s">
        <v>2715</v>
      </c>
      <c r="E1048" s="31" t="s">
        <v>9999</v>
      </c>
      <c r="F1048" s="31" t="s">
        <v>10270</v>
      </c>
      <c r="G1048" s="31"/>
      <c r="H1048" s="31"/>
      <c r="I1048" s="31"/>
      <c r="J1048" s="31"/>
      <c r="K1048" s="31"/>
      <c r="L1048" s="31"/>
      <c r="M1048" s="31"/>
    </row>
    <row r="1049" spans="1:13">
      <c r="A1049" s="540">
        <v>44688</v>
      </c>
      <c r="B1049" s="31" t="s">
        <v>3183</v>
      </c>
      <c r="C1049" s="31" t="s">
        <v>8929</v>
      </c>
      <c r="D1049" s="31" t="s">
        <v>2715</v>
      </c>
      <c r="E1049" s="31" t="s">
        <v>9998</v>
      </c>
      <c r="F1049" s="31" t="s">
        <v>10266</v>
      </c>
      <c r="G1049" s="31"/>
      <c r="H1049" s="31"/>
      <c r="I1049" s="31"/>
      <c r="J1049" s="31"/>
      <c r="K1049" s="31"/>
      <c r="L1049" s="31"/>
      <c r="M1049" s="31"/>
    </row>
    <row r="1050" spans="1:13">
      <c r="A1050" s="540">
        <v>44691</v>
      </c>
      <c r="B1050" s="31" t="s">
        <v>10271</v>
      </c>
      <c r="C1050" s="31" t="s">
        <v>8929</v>
      </c>
      <c r="D1050" s="31" t="s">
        <v>2715</v>
      </c>
      <c r="E1050" s="31" t="s">
        <v>10098</v>
      </c>
      <c r="F1050" s="31" t="s">
        <v>10268</v>
      </c>
      <c r="G1050" s="31"/>
      <c r="H1050" s="31"/>
      <c r="I1050" s="31"/>
      <c r="J1050" s="31"/>
      <c r="K1050" s="31"/>
      <c r="L1050" s="31"/>
      <c r="M1050" s="31"/>
    </row>
    <row r="1051" spans="1:13">
      <c r="A1051" s="540">
        <v>44691</v>
      </c>
      <c r="B1051" s="31" t="s">
        <v>3507</v>
      </c>
      <c r="C1051" s="31" t="s">
        <v>8929</v>
      </c>
      <c r="D1051" s="31" t="s">
        <v>2715</v>
      </c>
      <c r="E1051" s="31" t="s">
        <v>10011</v>
      </c>
      <c r="F1051" s="31" t="s">
        <v>10268</v>
      </c>
      <c r="G1051" s="31" t="s">
        <v>10272</v>
      </c>
      <c r="H1051" s="31"/>
      <c r="I1051" s="31"/>
      <c r="J1051" s="31"/>
      <c r="K1051" s="31"/>
      <c r="L1051" s="31"/>
      <c r="M1051" s="31"/>
    </row>
    <row r="1052" spans="1:13">
      <c r="A1052" s="540">
        <v>44691</v>
      </c>
      <c r="B1052" s="31" t="s">
        <v>3200</v>
      </c>
      <c r="C1052" s="31" t="s">
        <v>8929</v>
      </c>
      <c r="D1052" s="31" t="s">
        <v>2715</v>
      </c>
      <c r="E1052" s="31" t="s">
        <v>10011</v>
      </c>
      <c r="F1052" s="31" t="s">
        <v>10273</v>
      </c>
      <c r="G1052" s="31"/>
      <c r="H1052" s="31"/>
      <c r="I1052" s="31"/>
      <c r="J1052" s="31"/>
      <c r="K1052" s="31"/>
      <c r="L1052" s="31"/>
      <c r="M1052" s="31"/>
    </row>
    <row r="1053" spans="1:13">
      <c r="A1053" s="540">
        <v>44692</v>
      </c>
      <c r="B1053" s="31" t="s">
        <v>3506</v>
      </c>
      <c r="C1053" s="31" t="s">
        <v>8929</v>
      </c>
      <c r="D1053" s="31" t="s">
        <v>2715</v>
      </c>
      <c r="E1053" s="31" t="s">
        <v>10007</v>
      </c>
      <c r="F1053" s="31" t="s">
        <v>7421</v>
      </c>
      <c r="G1053" s="31"/>
      <c r="H1053" s="31"/>
      <c r="I1053" s="31"/>
      <c r="J1053" s="31"/>
      <c r="K1053" s="31"/>
      <c r="L1053" s="31"/>
      <c r="M1053" s="31"/>
    </row>
    <row r="1054" spans="1:13">
      <c r="A1054" s="540">
        <v>44692</v>
      </c>
      <c r="B1054" s="31" t="s">
        <v>3504</v>
      </c>
      <c r="C1054" s="31" t="s">
        <v>8929</v>
      </c>
      <c r="D1054" s="31" t="s">
        <v>2715</v>
      </c>
      <c r="E1054" s="31"/>
      <c r="F1054" s="31" t="s">
        <v>10273</v>
      </c>
      <c r="G1054" s="31"/>
      <c r="H1054" s="31"/>
      <c r="I1054" s="31"/>
      <c r="J1054" s="31"/>
      <c r="K1054" s="31"/>
      <c r="L1054" s="31"/>
      <c r="M1054" s="31"/>
    </row>
    <row r="1055" spans="1:13">
      <c r="A1055" s="540">
        <v>44693</v>
      </c>
      <c r="B1055" s="31" t="s">
        <v>5599</v>
      </c>
      <c r="C1055" s="31" t="s">
        <v>8929</v>
      </c>
      <c r="D1055" s="31" t="s">
        <v>2715</v>
      </c>
      <c r="E1055" s="31"/>
      <c r="F1055" s="31" t="s">
        <v>10268</v>
      </c>
      <c r="G1055" s="31"/>
      <c r="H1055" s="31"/>
      <c r="I1055" s="31"/>
      <c r="J1055" s="31"/>
      <c r="K1055" s="31"/>
      <c r="L1055" s="31"/>
      <c r="M1055" s="31"/>
    </row>
    <row r="1056" spans="1:13">
      <c r="A1056" s="540">
        <v>44698</v>
      </c>
      <c r="B1056" s="31" t="s">
        <v>10274</v>
      </c>
      <c r="C1056" s="31" t="s">
        <v>8929</v>
      </c>
      <c r="D1056" s="31" t="s">
        <v>2715</v>
      </c>
      <c r="E1056" s="31" t="s">
        <v>10004</v>
      </c>
      <c r="F1056" s="31" t="s">
        <v>10275</v>
      </c>
      <c r="G1056" s="31"/>
      <c r="H1056" s="31"/>
      <c r="I1056" s="31"/>
      <c r="J1056" s="31"/>
      <c r="K1056" s="31"/>
      <c r="L1056" s="31"/>
      <c r="M1056" s="31"/>
    </row>
    <row r="1057" spans="1:13">
      <c r="A1057" s="540">
        <v>44698</v>
      </c>
      <c r="B1057" s="31" t="s">
        <v>2995</v>
      </c>
      <c r="C1057" s="31" t="s">
        <v>8929</v>
      </c>
      <c r="D1057" s="31" t="s">
        <v>2715</v>
      </c>
      <c r="E1057" s="31" t="s">
        <v>9999</v>
      </c>
      <c r="F1057" s="31" t="s">
        <v>10268</v>
      </c>
      <c r="G1057" s="31"/>
      <c r="H1057" s="31"/>
      <c r="I1057" s="31"/>
      <c r="J1057" s="31"/>
      <c r="K1057" s="31"/>
      <c r="L1057" s="31"/>
      <c r="M1057" s="31"/>
    </row>
    <row r="1058" spans="1:13">
      <c r="A1058" s="540">
        <v>44698</v>
      </c>
      <c r="B1058" s="31" t="s">
        <v>10276</v>
      </c>
      <c r="C1058" s="31" t="s">
        <v>8929</v>
      </c>
      <c r="D1058" s="31" t="s">
        <v>2715</v>
      </c>
      <c r="E1058" s="31" t="s">
        <v>10011</v>
      </c>
      <c r="F1058" s="31" t="s">
        <v>10268</v>
      </c>
      <c r="G1058" s="31"/>
      <c r="H1058" s="31"/>
      <c r="I1058" s="31"/>
      <c r="J1058" s="31"/>
      <c r="K1058" s="31"/>
      <c r="L1058" s="31"/>
      <c r="M1058" s="31"/>
    </row>
    <row r="1059" spans="1:13">
      <c r="A1059" s="540">
        <v>44698</v>
      </c>
      <c r="B1059" s="31" t="s">
        <v>3503</v>
      </c>
      <c r="C1059" s="31" t="s">
        <v>8929</v>
      </c>
      <c r="D1059" s="31" t="s">
        <v>2715</v>
      </c>
      <c r="E1059" s="31" t="s">
        <v>10098</v>
      </c>
      <c r="F1059" s="31" t="s">
        <v>10270</v>
      </c>
      <c r="G1059" s="31"/>
      <c r="H1059" s="31"/>
      <c r="I1059" s="31"/>
      <c r="J1059" s="31"/>
      <c r="K1059" s="31"/>
      <c r="L1059" s="31"/>
      <c r="M1059" s="31"/>
    </row>
    <row r="1060" spans="1:13">
      <c r="A1060" s="540">
        <v>44699</v>
      </c>
      <c r="B1060" s="31" t="s">
        <v>10277</v>
      </c>
      <c r="C1060" s="31" t="s">
        <v>8929</v>
      </c>
      <c r="D1060" s="31" t="s">
        <v>2715</v>
      </c>
      <c r="E1060" s="31" t="s">
        <v>10011</v>
      </c>
      <c r="F1060" s="31" t="s">
        <v>10268</v>
      </c>
      <c r="G1060" s="31"/>
      <c r="H1060" s="31"/>
      <c r="I1060" s="31"/>
      <c r="J1060" s="31"/>
      <c r="K1060" s="31"/>
      <c r="L1060" s="31"/>
      <c r="M1060" s="31"/>
    </row>
    <row r="1061" spans="1:13">
      <c r="A1061" s="540">
        <v>44699</v>
      </c>
      <c r="B1061" s="31" t="s">
        <v>5608</v>
      </c>
      <c r="C1061" s="31" t="s">
        <v>8929</v>
      </c>
      <c r="D1061" s="31" t="s">
        <v>2715</v>
      </c>
      <c r="E1061" s="31"/>
      <c r="F1061" s="31" t="s">
        <v>10270</v>
      </c>
      <c r="G1061" s="31"/>
      <c r="H1061" s="31"/>
      <c r="I1061" s="31"/>
      <c r="J1061" s="31"/>
      <c r="K1061" s="31"/>
      <c r="L1061" s="31"/>
      <c r="M1061" s="31"/>
    </row>
    <row r="1062" spans="1:13">
      <c r="A1062" s="540">
        <v>44699</v>
      </c>
      <c r="B1062" s="31" t="s">
        <v>10278</v>
      </c>
      <c r="C1062" s="31" t="s">
        <v>8929</v>
      </c>
      <c r="D1062" t="s">
        <v>2715</v>
      </c>
      <c r="E1062" s="31"/>
      <c r="F1062" s="31" t="s">
        <v>10268</v>
      </c>
      <c r="G1062" s="31"/>
      <c r="H1062" s="31"/>
      <c r="I1062" s="31"/>
      <c r="J1062" s="31"/>
      <c r="K1062" s="31"/>
      <c r="L1062" s="31"/>
      <c r="M1062" s="31"/>
    </row>
    <row r="1063" spans="1:13">
      <c r="A1063" s="540">
        <v>44700</v>
      </c>
      <c r="B1063" s="31" t="s">
        <v>5610</v>
      </c>
      <c r="C1063" s="31" t="s">
        <v>8929</v>
      </c>
      <c r="D1063" s="31" t="s">
        <v>2715</v>
      </c>
      <c r="E1063" s="31" t="s">
        <v>9999</v>
      </c>
      <c r="F1063" s="31" t="s">
        <v>10268</v>
      </c>
      <c r="G1063" s="31"/>
      <c r="H1063" s="31"/>
      <c r="I1063" s="31"/>
      <c r="J1063" s="31"/>
      <c r="K1063" s="31"/>
      <c r="L1063" s="31"/>
      <c r="M1063" s="31"/>
    </row>
    <row r="1064" spans="1:13">
      <c r="A1064" s="540">
        <v>44704</v>
      </c>
      <c r="B1064" s="31" t="s">
        <v>10279</v>
      </c>
      <c r="C1064" s="31" t="s">
        <v>8929</v>
      </c>
      <c r="D1064" s="31" t="s">
        <v>2715</v>
      </c>
      <c r="E1064" s="31" t="s">
        <v>10026</v>
      </c>
      <c r="F1064" s="31"/>
      <c r="G1064" s="31"/>
      <c r="H1064" s="31"/>
      <c r="I1064" s="31"/>
      <c r="J1064" s="31"/>
      <c r="K1064" s="31"/>
      <c r="L1064" s="31"/>
      <c r="M1064" s="31"/>
    </row>
    <row r="1065" spans="1:13">
      <c r="A1065" s="540">
        <v>44704</v>
      </c>
      <c r="B1065" s="31" t="s">
        <v>10280</v>
      </c>
      <c r="C1065" s="31" t="s">
        <v>8929</v>
      </c>
      <c r="D1065" s="31" t="s">
        <v>2715</v>
      </c>
      <c r="E1065" s="31" t="s">
        <v>10011</v>
      </c>
      <c r="F1065" s="31" t="s">
        <v>10281</v>
      </c>
      <c r="G1065" s="31"/>
      <c r="H1065" s="31"/>
      <c r="I1065" s="31"/>
      <c r="J1065" s="31"/>
      <c r="K1065" s="31"/>
      <c r="L1065" s="31"/>
      <c r="M1065" s="31"/>
    </row>
    <row r="1066" spans="1:13">
      <c r="A1066" s="540">
        <v>44704</v>
      </c>
      <c r="B1066" s="31" t="s">
        <v>10282</v>
      </c>
      <c r="C1066" s="31" t="s">
        <v>8929</v>
      </c>
      <c r="D1066" s="31" t="s">
        <v>2715</v>
      </c>
      <c r="E1066" s="31" t="s">
        <v>9998</v>
      </c>
      <c r="F1066" s="31" t="s">
        <v>10270</v>
      </c>
      <c r="G1066" s="31"/>
      <c r="H1066" s="31"/>
      <c r="I1066" s="31"/>
      <c r="J1066" s="31"/>
      <c r="K1066" s="31"/>
      <c r="L1066" s="31"/>
      <c r="M1066" s="31"/>
    </row>
    <row r="1067" spans="1:13">
      <c r="A1067" s="540">
        <v>44705</v>
      </c>
      <c r="B1067" s="31" t="s">
        <v>10283</v>
      </c>
      <c r="C1067" s="31" t="s">
        <v>8929</v>
      </c>
      <c r="D1067" s="31" t="s">
        <v>2715</v>
      </c>
      <c r="E1067" s="31" t="s">
        <v>10098</v>
      </c>
      <c r="F1067" s="31" t="s">
        <v>10270</v>
      </c>
      <c r="G1067" s="31"/>
      <c r="H1067" s="31"/>
      <c r="I1067" s="31"/>
      <c r="J1067" s="31"/>
      <c r="K1067" s="31"/>
      <c r="L1067" s="31"/>
      <c r="M1067" s="31"/>
    </row>
    <row r="1068" spans="1:13">
      <c r="A1068" s="540">
        <v>44705</v>
      </c>
      <c r="B1068" s="31" t="s">
        <v>3651</v>
      </c>
      <c r="C1068" s="31" t="s">
        <v>8929</v>
      </c>
      <c r="D1068" s="31" t="s">
        <v>2715</v>
      </c>
      <c r="E1068" s="31" t="s">
        <v>9999</v>
      </c>
      <c r="F1068" s="31" t="s">
        <v>10268</v>
      </c>
      <c r="G1068" s="31"/>
      <c r="H1068" s="31"/>
      <c r="I1068" s="31"/>
      <c r="J1068" s="31"/>
      <c r="K1068" s="31"/>
      <c r="L1068" s="31"/>
      <c r="M1068" s="31"/>
    </row>
    <row r="1069" spans="1:13">
      <c r="A1069" s="540">
        <v>44706</v>
      </c>
      <c r="B1069" s="31" t="s">
        <v>3083</v>
      </c>
      <c r="C1069" s="31" t="s">
        <v>8929</v>
      </c>
      <c r="D1069" s="31" t="s">
        <v>2715</v>
      </c>
      <c r="E1069" s="31" t="s">
        <v>10011</v>
      </c>
      <c r="F1069" s="31" t="s">
        <v>10270</v>
      </c>
      <c r="G1069" s="31"/>
      <c r="H1069" s="31"/>
      <c r="I1069" s="31"/>
      <c r="J1069" s="31"/>
      <c r="K1069" s="31"/>
      <c r="L1069" s="31"/>
      <c r="M1069" s="31"/>
    </row>
    <row r="1070" spans="1:13">
      <c r="A1070" s="540">
        <v>44706</v>
      </c>
      <c r="B1070" s="31" t="s">
        <v>5615</v>
      </c>
      <c r="C1070" s="31" t="s">
        <v>8929</v>
      </c>
      <c r="D1070" s="31" t="s">
        <v>2715</v>
      </c>
      <c r="E1070" s="31" t="s">
        <v>10007</v>
      </c>
      <c r="F1070" s="31" t="s">
        <v>10273</v>
      </c>
      <c r="G1070" s="31"/>
      <c r="H1070" s="31"/>
      <c r="I1070" s="31"/>
      <c r="J1070" s="31"/>
      <c r="K1070" s="31"/>
      <c r="L1070" s="31"/>
      <c r="M1070" s="31"/>
    </row>
    <row r="1071" spans="1:13">
      <c r="A1071" s="540">
        <v>44708</v>
      </c>
      <c r="B1071" s="31" t="s">
        <v>3070</v>
      </c>
      <c r="C1071" s="31" t="s">
        <v>8929</v>
      </c>
      <c r="D1071" s="31" t="s">
        <v>2715</v>
      </c>
      <c r="E1071" s="31" t="s">
        <v>10026</v>
      </c>
      <c r="F1071" s="31" t="s">
        <v>10268</v>
      </c>
      <c r="G1071" s="31" t="s">
        <v>10284</v>
      </c>
      <c r="H1071" s="31"/>
      <c r="I1071" s="31"/>
      <c r="J1071" s="31"/>
      <c r="K1071" s="31"/>
      <c r="L1071" s="31"/>
      <c r="M1071" s="31"/>
    </row>
    <row r="1072" spans="1:13">
      <c r="A1072" s="540">
        <v>44708</v>
      </c>
      <c r="B1072" s="31" t="s">
        <v>3498</v>
      </c>
      <c r="C1072" s="31" t="s">
        <v>8929</v>
      </c>
      <c r="D1072" s="31" t="s">
        <v>2715</v>
      </c>
      <c r="E1072" s="31" t="s">
        <v>9999</v>
      </c>
      <c r="F1072" s="31" t="s">
        <v>10270</v>
      </c>
      <c r="G1072" s="31"/>
      <c r="H1072" s="31"/>
      <c r="I1072" s="31"/>
      <c r="J1072" s="31"/>
      <c r="K1072" s="31"/>
      <c r="L1072" s="31"/>
      <c r="M1072" s="31"/>
    </row>
    <row r="1073" spans="1:13">
      <c r="A1073" s="540">
        <v>44708</v>
      </c>
      <c r="B1073" s="31" t="s">
        <v>10285</v>
      </c>
      <c r="C1073" s="31" t="s">
        <v>8929</v>
      </c>
      <c r="D1073" s="31" t="s">
        <v>2715</v>
      </c>
      <c r="E1073" s="31" t="s">
        <v>10072</v>
      </c>
      <c r="F1073" s="31" t="s">
        <v>10268</v>
      </c>
      <c r="G1073" s="31"/>
      <c r="H1073" s="31"/>
      <c r="I1073" s="31"/>
      <c r="J1073" s="31"/>
      <c r="K1073" s="31"/>
      <c r="L1073" s="31"/>
      <c r="M1073" s="31"/>
    </row>
    <row r="1074" spans="1:13">
      <c r="A1074" s="540">
        <v>44708</v>
      </c>
      <c r="B1074" s="31" t="s">
        <v>2791</v>
      </c>
      <c r="C1074" s="31" t="s">
        <v>8929</v>
      </c>
      <c r="D1074" s="31" t="s">
        <v>2715</v>
      </c>
      <c r="E1074" s="31" t="s">
        <v>10072</v>
      </c>
      <c r="F1074" s="31" t="s">
        <v>10286</v>
      </c>
      <c r="G1074" s="31"/>
      <c r="H1074" s="31"/>
      <c r="I1074" s="31"/>
      <c r="J1074" s="31"/>
      <c r="K1074" s="31"/>
      <c r="L1074" s="31"/>
      <c r="M1074" s="31"/>
    </row>
    <row r="1075" spans="1:13">
      <c r="A1075" s="540">
        <v>44708</v>
      </c>
      <c r="B1075" s="31" t="s">
        <v>3885</v>
      </c>
      <c r="C1075" s="31" t="s">
        <v>8929</v>
      </c>
      <c r="D1075" s="31" t="s">
        <v>2715</v>
      </c>
      <c r="E1075" s="31"/>
      <c r="F1075" s="31" t="s">
        <v>10286</v>
      </c>
      <c r="G1075" s="31"/>
      <c r="H1075" s="31"/>
      <c r="I1075" s="31"/>
      <c r="J1075" s="31"/>
      <c r="K1075" s="31"/>
      <c r="L1075" s="31"/>
      <c r="M1075" s="31"/>
    </row>
    <row r="1076" spans="1:13">
      <c r="A1076" s="540">
        <v>44711</v>
      </c>
      <c r="B1076" s="31" t="s">
        <v>3496</v>
      </c>
      <c r="C1076" s="31" t="s">
        <v>8929</v>
      </c>
      <c r="D1076" s="31" t="s">
        <v>2715</v>
      </c>
      <c r="E1076" s="31" t="s">
        <v>10026</v>
      </c>
      <c r="F1076" s="31" t="s">
        <v>10268</v>
      </c>
      <c r="G1076" s="31"/>
      <c r="H1076" s="31"/>
      <c r="I1076" s="31"/>
      <c r="J1076" s="31"/>
      <c r="K1076" s="31"/>
      <c r="L1076" s="31"/>
      <c r="M1076" s="31"/>
    </row>
    <row r="1077" spans="1:13">
      <c r="A1077" s="540">
        <v>44712</v>
      </c>
      <c r="B1077" t="s">
        <v>3495</v>
      </c>
      <c r="C1077" s="31" t="s">
        <v>8929</v>
      </c>
      <c r="D1077" s="31" t="s">
        <v>2715</v>
      </c>
      <c r="E1077" s="31" t="s">
        <v>10026</v>
      </c>
      <c r="F1077" s="31" t="s">
        <v>10268</v>
      </c>
      <c r="G1077" s="31"/>
      <c r="H1077" s="31"/>
      <c r="I1077" s="31"/>
      <c r="J1077" s="31"/>
      <c r="K1077" s="31"/>
      <c r="L1077" s="31"/>
      <c r="M1077" s="31"/>
    </row>
    <row r="1078" spans="1:13">
      <c r="A1078" s="545"/>
      <c r="B1078" s="421" t="s">
        <v>2738</v>
      </c>
      <c r="C1078" s="149"/>
      <c r="D1078" s="149"/>
      <c r="E1078" s="149"/>
      <c r="F1078" s="149"/>
      <c r="G1078" s="149"/>
      <c r="H1078" s="143"/>
      <c r="I1078" s="31"/>
      <c r="J1078" s="31"/>
      <c r="K1078" s="31"/>
      <c r="L1078" s="31"/>
      <c r="M1078" s="31"/>
    </row>
    <row r="1079" spans="1:13">
      <c r="A1079" s="540">
        <v>44713</v>
      </c>
      <c r="B1079" s="31" t="s">
        <v>4389</v>
      </c>
      <c r="C1079" s="31" t="s">
        <v>8929</v>
      </c>
      <c r="D1079" s="31" t="s">
        <v>2738</v>
      </c>
      <c r="E1079" s="31"/>
      <c r="F1079" s="31" t="s">
        <v>10286</v>
      </c>
      <c r="G1079" s="31"/>
      <c r="H1079" s="31"/>
      <c r="I1079" s="31"/>
      <c r="J1079" s="31"/>
      <c r="K1079" s="31"/>
      <c r="L1079" s="31"/>
      <c r="M1079" s="31"/>
    </row>
    <row r="1080" spans="1:13">
      <c r="A1080" s="540">
        <v>44713</v>
      </c>
      <c r="B1080" s="31" t="s">
        <v>10287</v>
      </c>
      <c r="C1080" s="31" t="s">
        <v>8929</v>
      </c>
      <c r="D1080" s="31" t="s">
        <v>2738</v>
      </c>
      <c r="E1080" s="31"/>
      <c r="F1080" s="31" t="s">
        <v>10268</v>
      </c>
      <c r="G1080" s="31"/>
      <c r="H1080" s="31"/>
      <c r="I1080" s="31"/>
      <c r="J1080" s="31"/>
      <c r="K1080" s="31"/>
      <c r="L1080" s="31"/>
      <c r="M1080" s="31"/>
    </row>
    <row r="1081" spans="1:13">
      <c r="A1081" s="540">
        <v>44714</v>
      </c>
      <c r="B1081" s="31" t="s">
        <v>10288</v>
      </c>
      <c r="C1081" s="31" t="s">
        <v>8929</v>
      </c>
      <c r="D1081" s="31" t="s">
        <v>2738</v>
      </c>
      <c r="E1081" s="31" t="s">
        <v>10289</v>
      </c>
      <c r="F1081" s="31" t="s">
        <v>10270</v>
      </c>
      <c r="G1081" s="31"/>
      <c r="H1081" s="31"/>
      <c r="I1081" s="31"/>
      <c r="J1081" s="31"/>
      <c r="K1081" s="31"/>
      <c r="L1081" s="31"/>
      <c r="M1081" s="31"/>
    </row>
    <row r="1082" spans="1:13">
      <c r="A1082" s="540">
        <v>44714</v>
      </c>
      <c r="B1082" s="31" t="s">
        <v>10290</v>
      </c>
      <c r="C1082" s="31" t="s">
        <v>8929</v>
      </c>
      <c r="D1082" s="31" t="s">
        <v>2738</v>
      </c>
      <c r="E1082" s="31" t="s">
        <v>10098</v>
      </c>
      <c r="F1082" s="31" t="s">
        <v>10270</v>
      </c>
      <c r="G1082" s="31"/>
      <c r="H1082" s="31"/>
      <c r="I1082" s="31"/>
      <c r="J1082" s="31"/>
      <c r="K1082" s="31"/>
      <c r="L1082" s="31"/>
      <c r="M1082" s="31"/>
    </row>
    <row r="1083" spans="1:13">
      <c r="A1083" s="540">
        <v>44715</v>
      </c>
      <c r="B1083" s="31" t="s">
        <v>2952</v>
      </c>
      <c r="C1083" s="31" t="s">
        <v>8929</v>
      </c>
      <c r="D1083" s="31" t="s">
        <v>2738</v>
      </c>
      <c r="E1083" s="31" t="s">
        <v>10289</v>
      </c>
      <c r="F1083" s="31" t="s">
        <v>10291</v>
      </c>
      <c r="G1083" s="31"/>
      <c r="H1083" s="31"/>
      <c r="I1083" s="31"/>
      <c r="J1083" s="31"/>
      <c r="K1083" s="31"/>
      <c r="L1083" s="31"/>
      <c r="M1083" s="31"/>
    </row>
    <row r="1084" spans="1:13">
      <c r="A1084" s="540">
        <v>44718</v>
      </c>
      <c r="B1084" s="31" t="s">
        <v>10292</v>
      </c>
      <c r="C1084" s="31" t="s">
        <v>8929</v>
      </c>
      <c r="D1084" s="31" t="s">
        <v>2738</v>
      </c>
      <c r="E1084" s="31" t="s">
        <v>10289</v>
      </c>
      <c r="F1084" s="31" t="s">
        <v>10268</v>
      </c>
      <c r="G1084" s="31"/>
      <c r="H1084" s="31"/>
      <c r="I1084" s="31"/>
      <c r="J1084" s="31"/>
      <c r="K1084" s="31"/>
      <c r="L1084" s="31"/>
      <c r="M1084" s="31"/>
    </row>
    <row r="1085" spans="1:13">
      <c r="A1085" s="540">
        <v>44719</v>
      </c>
      <c r="B1085" s="31" t="s">
        <v>5626</v>
      </c>
      <c r="C1085" s="31" t="s">
        <v>8929</v>
      </c>
      <c r="D1085" s="31" t="s">
        <v>2738</v>
      </c>
      <c r="E1085" s="31"/>
      <c r="F1085" s="31" t="s">
        <v>10270</v>
      </c>
      <c r="G1085" s="31"/>
      <c r="H1085" s="31"/>
      <c r="I1085" s="31"/>
      <c r="J1085" s="31"/>
      <c r="K1085" s="31"/>
      <c r="L1085" s="31"/>
      <c r="M1085" s="31"/>
    </row>
    <row r="1086" spans="1:13">
      <c r="A1086" s="540">
        <v>44719</v>
      </c>
      <c r="B1086" s="31" t="s">
        <v>5628</v>
      </c>
      <c r="C1086" s="31" t="s">
        <v>8929</v>
      </c>
      <c r="D1086" s="31" t="s">
        <v>2738</v>
      </c>
      <c r="E1086" s="31"/>
      <c r="F1086" s="31" t="s">
        <v>10268</v>
      </c>
      <c r="G1086" s="31"/>
      <c r="H1086" s="31"/>
      <c r="I1086" s="31"/>
      <c r="J1086" s="31"/>
      <c r="K1086" s="31"/>
      <c r="L1086" s="31"/>
      <c r="M1086" s="31"/>
    </row>
    <row r="1087" spans="1:13">
      <c r="A1087" s="540">
        <v>44721</v>
      </c>
      <c r="B1087" s="31" t="s">
        <v>491</v>
      </c>
      <c r="C1087" s="31" t="s">
        <v>8929</v>
      </c>
      <c r="D1087" s="31" t="s">
        <v>2738</v>
      </c>
      <c r="E1087" s="31" t="s">
        <v>9999</v>
      </c>
      <c r="F1087" s="31" t="s">
        <v>10293</v>
      </c>
      <c r="G1087" s="31"/>
      <c r="H1087" s="31"/>
      <c r="I1087" s="31"/>
      <c r="J1087" s="31"/>
      <c r="K1087" s="31"/>
      <c r="L1087" s="31"/>
      <c r="M1087" s="31"/>
    </row>
    <row r="1088" spans="1:13">
      <c r="A1088" s="540">
        <v>44721</v>
      </c>
      <c r="B1088" s="31" t="s">
        <v>3043</v>
      </c>
      <c r="C1088" s="31" t="s">
        <v>8929</v>
      </c>
      <c r="D1088" s="31" t="s">
        <v>2738</v>
      </c>
      <c r="E1088" s="31" t="s">
        <v>9999</v>
      </c>
      <c r="F1088" s="31" t="s">
        <v>10205</v>
      </c>
      <c r="G1088" s="31"/>
      <c r="H1088" s="31"/>
      <c r="I1088" s="31"/>
      <c r="J1088" s="31"/>
      <c r="K1088" s="31"/>
      <c r="L1088" s="31"/>
      <c r="M1088" s="31"/>
    </row>
    <row r="1089" spans="1:13">
      <c r="A1089" s="540">
        <v>44725</v>
      </c>
      <c r="B1089" s="31" t="s">
        <v>2762</v>
      </c>
      <c r="C1089" s="31" t="s">
        <v>8929</v>
      </c>
      <c r="D1089" s="31" t="s">
        <v>2738</v>
      </c>
      <c r="E1089" s="31" t="s">
        <v>10289</v>
      </c>
      <c r="F1089" s="31" t="s">
        <v>10268</v>
      </c>
      <c r="G1089" s="31"/>
      <c r="H1089" s="31"/>
      <c r="I1089" s="31"/>
      <c r="J1089" s="31"/>
      <c r="K1089" s="31"/>
      <c r="L1089" s="31"/>
      <c r="M1089" s="31"/>
    </row>
    <row r="1090" spans="1:13">
      <c r="A1090" s="540">
        <v>44725</v>
      </c>
      <c r="B1090" s="31" t="s">
        <v>3104</v>
      </c>
      <c r="C1090" s="31" t="s">
        <v>8929</v>
      </c>
      <c r="D1090" s="31" t="s">
        <v>2738</v>
      </c>
      <c r="E1090" s="31" t="s">
        <v>10289</v>
      </c>
      <c r="F1090" s="31" t="s">
        <v>10294</v>
      </c>
      <c r="G1090" s="31"/>
      <c r="H1090" s="31"/>
      <c r="I1090" s="31"/>
      <c r="J1090" s="31"/>
      <c r="K1090" s="31"/>
      <c r="L1090" s="31"/>
      <c r="M1090" s="31"/>
    </row>
    <row r="1091" spans="1:13">
      <c r="A1091" s="540">
        <v>44725</v>
      </c>
      <c r="B1091" s="31" t="s">
        <v>3054</v>
      </c>
      <c r="C1091" s="31" t="s">
        <v>8929</v>
      </c>
      <c r="D1091" s="31" t="s">
        <v>2738</v>
      </c>
      <c r="E1091" s="31" t="s">
        <v>10026</v>
      </c>
      <c r="F1091" s="31" t="s">
        <v>10268</v>
      </c>
      <c r="G1091" s="31"/>
      <c r="H1091" s="31"/>
      <c r="I1091" s="31"/>
      <c r="J1091" s="31"/>
      <c r="K1091" s="31"/>
      <c r="L1091" s="31"/>
      <c r="M1091" s="31"/>
    </row>
    <row r="1092" spans="1:13">
      <c r="A1092" s="540">
        <v>44726</v>
      </c>
      <c r="B1092" s="31" t="s">
        <v>3493</v>
      </c>
      <c r="C1092" s="31" t="s">
        <v>8929</v>
      </c>
      <c r="D1092" s="31" t="s">
        <v>2738</v>
      </c>
      <c r="E1092" s="31" t="s">
        <v>10026</v>
      </c>
      <c r="F1092" s="31" t="s">
        <v>7421</v>
      </c>
      <c r="G1092" s="31"/>
      <c r="H1092" s="31"/>
      <c r="I1092" s="31"/>
      <c r="J1092" s="31"/>
      <c r="K1092" s="31"/>
      <c r="L1092" s="31"/>
      <c r="M1092" s="31"/>
    </row>
    <row r="1093" spans="1:13">
      <c r="A1093" s="540">
        <v>44726</v>
      </c>
      <c r="B1093" s="31" t="s">
        <v>6756</v>
      </c>
      <c r="C1093" s="31" t="s">
        <v>8929</v>
      </c>
      <c r="D1093" s="31" t="s">
        <v>2738</v>
      </c>
      <c r="E1093" s="31"/>
      <c r="F1093" s="31" t="s">
        <v>10270</v>
      </c>
      <c r="G1093" s="31"/>
      <c r="H1093" s="31"/>
      <c r="I1093" s="31"/>
      <c r="J1093" s="31"/>
      <c r="K1093" s="31"/>
      <c r="L1093" s="31"/>
      <c r="M1093" s="31"/>
    </row>
    <row r="1094" spans="1:13">
      <c r="A1094" s="540">
        <v>44727</v>
      </c>
      <c r="B1094" s="31" t="s">
        <v>5631</v>
      </c>
      <c r="C1094" s="31" t="s">
        <v>8929</v>
      </c>
      <c r="D1094" s="31" t="s">
        <v>2738</v>
      </c>
      <c r="E1094" s="31"/>
      <c r="F1094" s="31" t="s">
        <v>10268</v>
      </c>
      <c r="G1094" s="31"/>
      <c r="H1094" s="31"/>
      <c r="I1094" s="31"/>
      <c r="J1094" s="31"/>
      <c r="K1094" s="31"/>
      <c r="L1094" s="31"/>
      <c r="M1094" s="31"/>
    </row>
    <row r="1095" spans="1:13">
      <c r="A1095" s="540">
        <v>44729</v>
      </c>
      <c r="B1095" s="31" t="s">
        <v>3492</v>
      </c>
      <c r="C1095" s="31" t="s">
        <v>8929</v>
      </c>
      <c r="D1095" s="31" t="s">
        <v>2738</v>
      </c>
      <c r="E1095" s="31"/>
      <c r="F1095" s="31" t="s">
        <v>10268</v>
      </c>
      <c r="G1095" s="31"/>
      <c r="H1095" s="31"/>
      <c r="I1095" s="31"/>
      <c r="J1095" s="31"/>
      <c r="K1095" s="31"/>
      <c r="L1095" s="31"/>
      <c r="M1095" s="31"/>
    </row>
    <row r="1096" spans="1:13">
      <c r="A1096" s="540">
        <v>44730</v>
      </c>
      <c r="B1096" s="31" t="s">
        <v>3491</v>
      </c>
      <c r="C1096" s="31" t="s">
        <v>8929</v>
      </c>
      <c r="D1096" s="31" t="s">
        <v>2738</v>
      </c>
      <c r="E1096" s="31" t="s">
        <v>10289</v>
      </c>
      <c r="F1096" s="31" t="s">
        <v>10281</v>
      </c>
      <c r="G1096" s="31"/>
      <c r="H1096" s="31"/>
      <c r="I1096" s="31"/>
      <c r="J1096" s="31"/>
      <c r="K1096" s="31"/>
      <c r="L1096" s="31"/>
      <c r="M1096" s="31"/>
    </row>
    <row r="1097" spans="1:13">
      <c r="A1097" s="540">
        <v>44734</v>
      </c>
      <c r="B1097" s="31" t="s">
        <v>10295</v>
      </c>
      <c r="C1097" s="31" t="s">
        <v>8929</v>
      </c>
      <c r="D1097" s="31" t="s">
        <v>2738</v>
      </c>
      <c r="E1097" s="31" t="s">
        <v>10007</v>
      </c>
      <c r="F1097" s="31" t="s">
        <v>10268</v>
      </c>
      <c r="G1097" s="31"/>
      <c r="H1097" s="31"/>
      <c r="I1097" s="31"/>
      <c r="J1097" s="31"/>
      <c r="K1097" s="31"/>
      <c r="L1097" s="31"/>
      <c r="M1097" s="31"/>
    </row>
    <row r="1098" spans="1:13">
      <c r="A1098" s="540">
        <v>44735</v>
      </c>
      <c r="B1098" s="31" t="s">
        <v>3193</v>
      </c>
      <c r="C1098" s="31" t="s">
        <v>8929</v>
      </c>
      <c r="D1098" s="31" t="s">
        <v>2738</v>
      </c>
      <c r="E1098" s="31" t="s">
        <v>9998</v>
      </c>
      <c r="F1098" s="31" t="s">
        <v>10268</v>
      </c>
      <c r="G1098" s="31"/>
      <c r="H1098" s="31"/>
      <c r="I1098" s="31"/>
      <c r="J1098" s="31"/>
      <c r="K1098" s="31"/>
      <c r="L1098" s="31"/>
      <c r="M1098" s="31"/>
    </row>
    <row r="1099" spans="1:13">
      <c r="A1099" s="540">
        <v>44736</v>
      </c>
      <c r="B1099" s="31" t="s">
        <v>3489</v>
      </c>
      <c r="C1099" s="31" t="s">
        <v>8929</v>
      </c>
      <c r="D1099" s="31" t="s">
        <v>2738</v>
      </c>
      <c r="E1099" s="31"/>
      <c r="F1099" s="31" t="s">
        <v>10268</v>
      </c>
      <c r="G1099" s="31"/>
      <c r="H1099" s="31"/>
      <c r="I1099" s="31"/>
      <c r="J1099" s="31"/>
      <c r="K1099" s="31"/>
      <c r="L1099" s="31"/>
      <c r="M1099" s="31"/>
    </row>
    <row r="1100" spans="1:13">
      <c r="A1100" s="540">
        <v>44736</v>
      </c>
      <c r="B1100" s="31" t="s">
        <v>3488</v>
      </c>
      <c r="C1100" s="31" t="s">
        <v>8929</v>
      </c>
      <c r="D1100" s="31" t="s">
        <v>2738</v>
      </c>
      <c r="E1100" s="31" t="s">
        <v>9996</v>
      </c>
      <c r="F1100" s="31" t="s">
        <v>7421</v>
      </c>
      <c r="G1100" s="31"/>
      <c r="H1100" s="31"/>
      <c r="I1100" s="31"/>
      <c r="J1100" s="31"/>
      <c r="K1100" s="31"/>
      <c r="L1100" s="31"/>
      <c r="M1100" s="31"/>
    </row>
    <row r="1101" spans="1:13">
      <c r="A1101" s="540">
        <v>44739</v>
      </c>
      <c r="B1101" s="31" t="s">
        <v>3773</v>
      </c>
      <c r="C1101" s="31" t="s">
        <v>8929</v>
      </c>
      <c r="D1101" s="31" t="s">
        <v>2738</v>
      </c>
      <c r="E1101" s="31" t="s">
        <v>10002</v>
      </c>
      <c r="F1101" s="31" t="s">
        <v>10296</v>
      </c>
      <c r="G1101" s="31"/>
      <c r="H1101" s="31"/>
      <c r="I1101" s="31"/>
      <c r="J1101" s="31"/>
      <c r="K1101" s="31"/>
      <c r="L1101" s="31"/>
      <c r="M1101" s="31"/>
    </row>
    <row r="1102" spans="1:13">
      <c r="A1102" s="540">
        <v>44739</v>
      </c>
      <c r="B1102" s="31" t="s">
        <v>10297</v>
      </c>
      <c r="C1102" s="31" t="s">
        <v>8929</v>
      </c>
      <c r="D1102" s="31" t="s">
        <v>2738</v>
      </c>
      <c r="E1102" s="31" t="s">
        <v>10026</v>
      </c>
      <c r="F1102" s="31" t="s">
        <v>10268</v>
      </c>
      <c r="G1102" s="31"/>
      <c r="H1102" s="31"/>
      <c r="I1102" s="31"/>
      <c r="J1102" s="31"/>
      <c r="K1102" s="31"/>
      <c r="L1102" s="31"/>
      <c r="M1102" s="31"/>
    </row>
    <row r="1103" spans="1:13">
      <c r="A1103" s="540">
        <v>44739</v>
      </c>
      <c r="B1103" s="31" t="s">
        <v>3487</v>
      </c>
      <c r="C1103" s="31" t="s">
        <v>8929</v>
      </c>
      <c r="D1103" s="31" t="s">
        <v>2738</v>
      </c>
      <c r="E1103" s="31" t="s">
        <v>10007</v>
      </c>
      <c r="F1103" s="31" t="s">
        <v>10268</v>
      </c>
      <c r="G1103" s="31"/>
      <c r="H1103" s="31"/>
      <c r="I1103" s="31"/>
      <c r="J1103" s="31"/>
      <c r="K1103" s="31"/>
      <c r="L1103" s="31"/>
      <c r="M1103" s="31"/>
    </row>
    <row r="1104" spans="1:13">
      <c r="A1104" s="540">
        <v>44740</v>
      </c>
      <c r="B1104" s="31" t="s">
        <v>3486</v>
      </c>
      <c r="C1104" s="31" t="s">
        <v>8929</v>
      </c>
      <c r="D1104" s="31" t="s">
        <v>2738</v>
      </c>
      <c r="E1104" s="31" t="s">
        <v>10007</v>
      </c>
      <c r="F1104" s="31" t="s">
        <v>7421</v>
      </c>
      <c r="G1104" s="31"/>
      <c r="H1104" s="31"/>
      <c r="I1104" s="31"/>
      <c r="J1104" s="31"/>
      <c r="K1104" s="31"/>
      <c r="L1104" s="31"/>
      <c r="M1104" s="31"/>
    </row>
    <row r="1105" spans="1:13">
      <c r="A1105" s="540">
        <v>44742</v>
      </c>
      <c r="B1105" s="31" t="s">
        <v>10298</v>
      </c>
      <c r="C1105" s="31" t="s">
        <v>8929</v>
      </c>
      <c r="D1105" s="31" t="s">
        <v>10003</v>
      </c>
      <c r="E1105" s="31" t="s">
        <v>9999</v>
      </c>
      <c r="F1105" s="31" t="s">
        <v>10268</v>
      </c>
      <c r="G1105" s="31"/>
      <c r="H1105" s="31"/>
      <c r="I1105" s="31"/>
      <c r="J1105" s="31"/>
      <c r="K1105" s="31"/>
      <c r="L1105" s="31"/>
      <c r="M1105" s="31"/>
    </row>
    <row r="1106" spans="1:13">
      <c r="A1106" s="545"/>
      <c r="B1106" s="421" t="s">
        <v>2755</v>
      </c>
      <c r="C1106" s="149"/>
      <c r="D1106" s="149"/>
      <c r="E1106" s="149"/>
      <c r="F1106" s="149"/>
      <c r="G1106" s="149"/>
      <c r="H1106" s="143"/>
      <c r="I1106" s="31"/>
      <c r="J1106" s="31"/>
      <c r="K1106" s="31"/>
      <c r="L1106" s="31"/>
      <c r="M1106" s="31"/>
    </row>
    <row r="1107" spans="1:13">
      <c r="A1107" s="540">
        <v>44746</v>
      </c>
      <c r="B1107" s="31" t="s">
        <v>3250</v>
      </c>
      <c r="C1107" s="31" t="s">
        <v>8929</v>
      </c>
      <c r="D1107" s="31" t="s">
        <v>2755</v>
      </c>
      <c r="E1107" s="31" t="s">
        <v>10289</v>
      </c>
      <c r="F1107" s="31" t="s">
        <v>10268</v>
      </c>
      <c r="G1107" s="31"/>
      <c r="H1107" s="31"/>
      <c r="I1107" s="31"/>
      <c r="J1107" s="31"/>
      <c r="K1107" s="31"/>
      <c r="L1107" s="31"/>
      <c r="M1107" s="31"/>
    </row>
    <row r="1108" spans="1:13">
      <c r="A1108" s="540">
        <v>44746</v>
      </c>
      <c r="B1108" s="31" t="s">
        <v>10299</v>
      </c>
      <c r="C1108" s="31" t="s">
        <v>8929</v>
      </c>
      <c r="D1108" s="31" t="s">
        <v>10019</v>
      </c>
      <c r="E1108" s="31" t="s">
        <v>10007</v>
      </c>
      <c r="F1108" s="31" t="s">
        <v>10268</v>
      </c>
      <c r="G1108" s="31"/>
      <c r="H1108" s="31"/>
      <c r="I1108" s="31"/>
      <c r="J1108" s="31"/>
      <c r="K1108" s="31"/>
      <c r="L1108" s="31"/>
      <c r="M1108" s="31"/>
    </row>
    <row r="1109" spans="1:13">
      <c r="A1109" s="540">
        <v>44747</v>
      </c>
      <c r="B1109" s="31" t="s">
        <v>10300</v>
      </c>
      <c r="C1109" s="31" t="s">
        <v>8929</v>
      </c>
      <c r="D1109" s="31" t="s">
        <v>2755</v>
      </c>
      <c r="E1109" s="31" t="s">
        <v>10007</v>
      </c>
      <c r="F1109" s="31" t="s">
        <v>10268</v>
      </c>
      <c r="G1109" s="31"/>
      <c r="H1109" s="31"/>
      <c r="I1109" s="31"/>
      <c r="J1109" s="31"/>
      <c r="K1109" s="31"/>
      <c r="L1109" s="31"/>
      <c r="M1109" s="31"/>
    </row>
    <row r="1110" spans="1:13">
      <c r="A1110" s="540">
        <v>44747</v>
      </c>
      <c r="B1110" s="31" t="s">
        <v>3483</v>
      </c>
      <c r="C1110" s="31" t="s">
        <v>8929</v>
      </c>
      <c r="D1110" s="31" t="s">
        <v>2755</v>
      </c>
      <c r="E1110" s="31" t="s">
        <v>9996</v>
      </c>
      <c r="F1110" s="31" t="s">
        <v>10270</v>
      </c>
      <c r="G1110" s="31"/>
      <c r="H1110" s="31"/>
      <c r="I1110" s="31"/>
      <c r="J1110" s="31"/>
      <c r="K1110" s="31"/>
      <c r="L1110" s="31"/>
      <c r="M1110" s="31"/>
    </row>
    <row r="1111" spans="1:13">
      <c r="A1111" s="540">
        <v>44747</v>
      </c>
      <c r="B1111" s="31" t="s">
        <v>3482</v>
      </c>
      <c r="C1111" s="31" t="s">
        <v>8929</v>
      </c>
      <c r="D1111" s="31" t="s">
        <v>2755</v>
      </c>
      <c r="E1111" s="31" t="s">
        <v>10004</v>
      </c>
      <c r="F1111" s="31" t="s">
        <v>10268</v>
      </c>
      <c r="G1111" s="31"/>
      <c r="H1111" s="31"/>
      <c r="I1111" s="31"/>
      <c r="J1111" s="31"/>
      <c r="K1111" s="31"/>
      <c r="L1111" s="31"/>
      <c r="M1111" s="31"/>
    </row>
    <row r="1112" spans="1:13">
      <c r="A1112" s="540">
        <v>44873</v>
      </c>
      <c r="B1112" s="31" t="s">
        <v>10301</v>
      </c>
      <c r="C1112" s="31" t="s">
        <v>8929</v>
      </c>
      <c r="D1112" s="31" t="s">
        <v>2755</v>
      </c>
      <c r="E1112" s="31" t="s">
        <v>10011</v>
      </c>
      <c r="F1112" s="31" t="s">
        <v>10268</v>
      </c>
      <c r="G1112" s="31"/>
      <c r="H1112" s="31"/>
      <c r="I1112" s="31"/>
      <c r="J1112" s="31"/>
      <c r="K1112" s="31"/>
      <c r="L1112" s="31"/>
      <c r="M1112" s="31"/>
    </row>
    <row r="1113" spans="1:13">
      <c r="A1113" s="540">
        <v>44753</v>
      </c>
      <c r="B1113" s="31" t="s">
        <v>10302</v>
      </c>
      <c r="C1113" s="31" t="s">
        <v>8929</v>
      </c>
      <c r="D1113" s="31" t="s">
        <v>10019</v>
      </c>
      <c r="E1113" s="31" t="s">
        <v>10002</v>
      </c>
      <c r="F1113" s="31" t="s">
        <v>10268</v>
      </c>
      <c r="G1113" s="31"/>
      <c r="H1113" s="31"/>
      <c r="I1113" s="31"/>
      <c r="J1113" s="31"/>
      <c r="K1113" s="31"/>
      <c r="L1113" s="31"/>
      <c r="M1113" s="31"/>
    </row>
    <row r="1114" spans="1:13">
      <c r="A1114" s="540">
        <v>44754</v>
      </c>
      <c r="B1114" s="31" t="s">
        <v>10303</v>
      </c>
      <c r="C1114" s="31" t="s">
        <v>8929</v>
      </c>
      <c r="D1114" s="31" t="s">
        <v>2755</v>
      </c>
      <c r="E1114" s="31" t="s">
        <v>10004</v>
      </c>
      <c r="F1114" s="31" t="s">
        <v>10268</v>
      </c>
      <c r="G1114" s="31"/>
      <c r="H1114" s="31"/>
      <c r="I1114" s="31"/>
      <c r="J1114" s="31"/>
      <c r="K1114" s="31"/>
      <c r="L1114" s="31"/>
      <c r="M1114" s="31"/>
    </row>
    <row r="1115" spans="1:13">
      <c r="A1115" s="540">
        <v>44754</v>
      </c>
      <c r="B1115" s="31" t="s">
        <v>3067</v>
      </c>
      <c r="C1115" s="31" t="s">
        <v>8929</v>
      </c>
      <c r="D1115" s="31" t="s">
        <v>2755</v>
      </c>
      <c r="E1115" s="31" t="s">
        <v>10011</v>
      </c>
      <c r="F1115" s="31" t="s">
        <v>10268</v>
      </c>
      <c r="G1115" s="31"/>
      <c r="H1115" s="31"/>
      <c r="I1115" s="31"/>
      <c r="J1115" s="31"/>
      <c r="K1115" s="31"/>
      <c r="L1115" s="31"/>
      <c r="M1115" s="31"/>
    </row>
    <row r="1116" spans="1:13">
      <c r="A1116" s="540">
        <v>44754</v>
      </c>
      <c r="B1116" s="31" t="s">
        <v>3479</v>
      </c>
      <c r="C1116" s="31" t="s">
        <v>8929</v>
      </c>
      <c r="D1116" s="31" t="s">
        <v>2755</v>
      </c>
      <c r="E1116" s="31" t="s">
        <v>10004</v>
      </c>
      <c r="F1116" s="31" t="s">
        <v>10304</v>
      </c>
      <c r="G1116" s="31"/>
      <c r="H1116" s="31"/>
      <c r="I1116" s="31"/>
      <c r="J1116" s="31"/>
      <c r="K1116" s="31"/>
      <c r="L1116" s="31"/>
      <c r="M1116" s="31"/>
    </row>
    <row r="1117" spans="1:13">
      <c r="A1117" s="540">
        <v>44755</v>
      </c>
      <c r="B1117" s="31" t="s">
        <v>3478</v>
      </c>
      <c r="C1117" s="31" t="s">
        <v>8929</v>
      </c>
      <c r="D1117" s="31" t="s">
        <v>2755</v>
      </c>
      <c r="E1117" s="31" t="s">
        <v>10004</v>
      </c>
      <c r="F1117" s="31" t="s">
        <v>10268</v>
      </c>
      <c r="G1117" s="31"/>
      <c r="H1117" s="31"/>
      <c r="I1117" s="31"/>
      <c r="J1117" s="31"/>
      <c r="K1117" s="31"/>
      <c r="L1117" s="31"/>
      <c r="M1117" s="31"/>
    </row>
    <row r="1118" spans="1:13">
      <c r="A1118" s="540">
        <v>44755</v>
      </c>
      <c r="B1118" s="31" t="s">
        <v>3477</v>
      </c>
      <c r="C1118" s="31" t="s">
        <v>8929</v>
      </c>
      <c r="D1118" s="31" t="s">
        <v>10019</v>
      </c>
      <c r="E1118" s="31" t="s">
        <v>9999</v>
      </c>
      <c r="F1118" s="31" t="s">
        <v>10270</v>
      </c>
      <c r="G1118" s="31"/>
      <c r="H1118" s="31"/>
      <c r="I1118" s="31"/>
      <c r="J1118" s="31"/>
      <c r="K1118" s="31"/>
      <c r="L1118" s="31"/>
      <c r="M1118" s="31"/>
    </row>
    <row r="1119" spans="1:13">
      <c r="A1119" s="540">
        <v>44756</v>
      </c>
      <c r="B1119" s="31" t="s">
        <v>10305</v>
      </c>
      <c r="C1119" s="31" t="s">
        <v>8929</v>
      </c>
      <c r="D1119" s="31" t="s">
        <v>2755</v>
      </c>
      <c r="E1119" s="31" t="s">
        <v>9999</v>
      </c>
      <c r="F1119" s="31" t="s">
        <v>10270</v>
      </c>
      <c r="G1119" s="31"/>
      <c r="H1119" s="31"/>
      <c r="I1119" s="31"/>
      <c r="J1119" s="31"/>
      <c r="K1119" s="31"/>
      <c r="L1119" s="31"/>
      <c r="M1119" s="31"/>
    </row>
    <row r="1120" spans="1:13">
      <c r="A1120" s="540">
        <v>44756</v>
      </c>
      <c r="B1120" s="31" t="s">
        <v>10306</v>
      </c>
      <c r="C1120" s="31" t="s">
        <v>8929</v>
      </c>
      <c r="D1120" s="31" t="s">
        <v>2755</v>
      </c>
      <c r="E1120" s="31" t="s">
        <v>9999</v>
      </c>
      <c r="F1120" s="31" t="s">
        <v>10268</v>
      </c>
      <c r="G1120" s="31"/>
      <c r="H1120" s="31"/>
      <c r="I1120" s="31"/>
      <c r="J1120" s="31"/>
      <c r="K1120" s="31"/>
      <c r="L1120" s="31"/>
      <c r="M1120" s="31"/>
    </row>
    <row r="1121" spans="1:13">
      <c r="A1121" s="540">
        <v>44756</v>
      </c>
      <c r="B1121" s="31" t="s">
        <v>10307</v>
      </c>
      <c r="C1121" s="31" t="s">
        <v>8929</v>
      </c>
      <c r="D1121" s="31" t="s">
        <v>2755</v>
      </c>
      <c r="E1121" s="31" t="s">
        <v>9996</v>
      </c>
      <c r="F1121" s="31" t="s">
        <v>10308</v>
      </c>
      <c r="G1121" s="31"/>
      <c r="H1121" s="31"/>
      <c r="I1121" s="31"/>
      <c r="J1121" s="31"/>
      <c r="K1121" s="31"/>
      <c r="L1121" s="31"/>
      <c r="M1121" s="31"/>
    </row>
    <row r="1122" spans="1:13">
      <c r="A1122" s="540">
        <v>44756</v>
      </c>
      <c r="B1122" s="31" t="s">
        <v>3472</v>
      </c>
      <c r="C1122" s="31" t="s">
        <v>8929</v>
      </c>
      <c r="D1122" s="31" t="s">
        <v>2755</v>
      </c>
      <c r="E1122" s="31" t="s">
        <v>10289</v>
      </c>
      <c r="F1122" s="31" t="s">
        <v>10268</v>
      </c>
      <c r="G1122" s="31"/>
      <c r="H1122" s="31"/>
      <c r="I1122" s="31"/>
      <c r="J1122" s="31"/>
      <c r="K1122" s="31"/>
      <c r="L1122" s="31"/>
      <c r="M1122" s="31"/>
    </row>
    <row r="1123" spans="1:13">
      <c r="A1123" s="540">
        <v>44760</v>
      </c>
      <c r="B1123" s="31" t="s">
        <v>350</v>
      </c>
      <c r="C1123" s="31" t="s">
        <v>8929</v>
      </c>
      <c r="D1123" s="31" t="s">
        <v>2755</v>
      </c>
      <c r="E1123" s="31" t="s">
        <v>9998</v>
      </c>
      <c r="F1123" s="31" t="s">
        <v>10291</v>
      </c>
      <c r="G1123" s="31"/>
      <c r="H1123" s="31"/>
      <c r="I1123" s="31"/>
      <c r="J1123" s="31"/>
      <c r="K1123" s="31"/>
      <c r="L1123" s="31"/>
      <c r="M1123" s="31"/>
    </row>
    <row r="1124" spans="1:13">
      <c r="A1124" s="540">
        <v>44761</v>
      </c>
      <c r="B1124" s="31" t="s">
        <v>3470</v>
      </c>
      <c r="C1124" s="31" t="s">
        <v>8929</v>
      </c>
      <c r="D1124" s="31" t="s">
        <v>2755</v>
      </c>
      <c r="E1124" s="31" t="s">
        <v>10002</v>
      </c>
      <c r="F1124" s="31" t="s">
        <v>10268</v>
      </c>
      <c r="G1124" s="31"/>
      <c r="H1124" s="31"/>
      <c r="I1124" s="31"/>
      <c r="J1124" s="31"/>
      <c r="K1124" s="31"/>
      <c r="L1124" s="31"/>
      <c r="M1124" s="31"/>
    </row>
    <row r="1125" spans="1:13">
      <c r="A1125" s="540">
        <v>44761</v>
      </c>
      <c r="B1125" s="31" t="s">
        <v>3469</v>
      </c>
      <c r="C1125" s="31" t="s">
        <v>8929</v>
      </c>
      <c r="D1125" s="31" t="s">
        <v>2755</v>
      </c>
      <c r="E1125" s="31" t="s">
        <v>10011</v>
      </c>
      <c r="F1125" s="31" t="s">
        <v>10268</v>
      </c>
      <c r="G1125" s="31"/>
      <c r="H1125" s="31"/>
      <c r="I1125" s="31"/>
      <c r="J1125" s="31"/>
      <c r="K1125" s="31"/>
      <c r="L1125" s="31"/>
      <c r="M1125" s="31"/>
    </row>
    <row r="1126" spans="1:13">
      <c r="A1126" s="540">
        <v>44762</v>
      </c>
      <c r="B1126" s="31" t="s">
        <v>10309</v>
      </c>
      <c r="C1126" s="31" t="s">
        <v>8929</v>
      </c>
      <c r="D1126" s="31" t="s">
        <v>2755</v>
      </c>
      <c r="E1126" s="31" t="s">
        <v>10007</v>
      </c>
      <c r="F1126" s="31" t="s">
        <v>10268</v>
      </c>
      <c r="G1126" s="31"/>
      <c r="H1126" s="31"/>
      <c r="I1126" s="31"/>
      <c r="J1126" s="31"/>
      <c r="K1126" s="31"/>
      <c r="L1126" s="31"/>
      <c r="M1126" s="31"/>
    </row>
    <row r="1127" spans="1:13">
      <c r="A1127" s="540">
        <v>44762</v>
      </c>
      <c r="B1127" s="31" t="s">
        <v>3118</v>
      </c>
      <c r="C1127" s="31" t="s">
        <v>8929</v>
      </c>
      <c r="D1127" s="31" t="s">
        <v>2755</v>
      </c>
      <c r="E1127" s="31" t="s">
        <v>10011</v>
      </c>
      <c r="F1127" s="31" t="s">
        <v>10310</v>
      </c>
      <c r="G1127" s="31"/>
      <c r="H1127" s="31"/>
      <c r="I1127" s="31"/>
      <c r="J1127" s="31"/>
      <c r="K1127" s="31"/>
      <c r="L1127" s="31"/>
      <c r="M1127" s="31"/>
    </row>
    <row r="1128" spans="1:13">
      <c r="A1128" s="540">
        <v>44763</v>
      </c>
      <c r="B1128" s="31" t="s">
        <v>3467</v>
      </c>
      <c r="C1128" s="31" t="s">
        <v>8929</v>
      </c>
      <c r="D1128" s="31" t="s">
        <v>10019</v>
      </c>
      <c r="E1128" s="31" t="s">
        <v>9996</v>
      </c>
      <c r="F1128" s="31" t="s">
        <v>10311</v>
      </c>
      <c r="G1128" s="31"/>
      <c r="H1128" s="31"/>
      <c r="I1128" s="31"/>
      <c r="J1128" s="31"/>
      <c r="K1128" s="31"/>
      <c r="L1128" s="31"/>
      <c r="M1128" s="31"/>
    </row>
    <row r="1129" spans="1:13">
      <c r="A1129" s="540">
        <v>44764</v>
      </c>
      <c r="B1129" s="31" t="s">
        <v>10312</v>
      </c>
      <c r="C1129" s="31" t="s">
        <v>8929</v>
      </c>
      <c r="D1129" s="31" t="s">
        <v>10019</v>
      </c>
      <c r="E1129" s="31" t="s">
        <v>9999</v>
      </c>
      <c r="F1129" s="31" t="s">
        <v>10268</v>
      </c>
      <c r="G1129" s="31"/>
      <c r="H1129" s="31"/>
      <c r="I1129" s="31"/>
      <c r="J1129" s="31"/>
      <c r="K1129" s="31"/>
      <c r="L1129" s="31"/>
      <c r="M1129" s="31"/>
    </row>
    <row r="1130" spans="1:13">
      <c r="A1130" s="540">
        <v>44764</v>
      </c>
      <c r="B1130" s="31" t="s">
        <v>3465</v>
      </c>
      <c r="C1130" s="31" t="s">
        <v>8929</v>
      </c>
      <c r="D1130" s="31" t="s">
        <v>10019</v>
      </c>
      <c r="E1130" s="31" t="s">
        <v>10289</v>
      </c>
      <c r="F1130" s="31" t="s">
        <v>10268</v>
      </c>
      <c r="G1130" s="31"/>
      <c r="H1130" s="31"/>
      <c r="I1130" s="31"/>
      <c r="J1130" s="31"/>
      <c r="K1130" s="31"/>
      <c r="L1130" s="31"/>
      <c r="M1130" s="31"/>
    </row>
    <row r="1131" spans="1:13">
      <c r="A1131" s="540" t="s">
        <v>10313</v>
      </c>
      <c r="B1131" s="31" t="s">
        <v>3042</v>
      </c>
      <c r="C1131" s="31" t="s">
        <v>8929</v>
      </c>
      <c r="D1131" s="31" t="s">
        <v>2755</v>
      </c>
      <c r="E1131" s="31" t="s">
        <v>10289</v>
      </c>
      <c r="F1131" s="31" t="s">
        <v>10291</v>
      </c>
      <c r="G1131" s="31"/>
      <c r="H1131" s="31"/>
      <c r="I1131" s="31"/>
      <c r="J1131" s="31"/>
      <c r="K1131" s="31"/>
      <c r="L1131" s="31"/>
      <c r="M1131" s="31"/>
    </row>
    <row r="1132" spans="1:13">
      <c r="A1132" s="540" t="s">
        <v>10313</v>
      </c>
      <c r="B1132" s="31" t="s">
        <v>3042</v>
      </c>
      <c r="C1132" s="31" t="s">
        <v>8929</v>
      </c>
      <c r="D1132" s="31" t="s">
        <v>2755</v>
      </c>
      <c r="E1132" s="31" t="s">
        <v>9998</v>
      </c>
      <c r="F1132" s="31" t="s">
        <v>10291</v>
      </c>
      <c r="G1132" s="31"/>
      <c r="H1132" s="31"/>
      <c r="I1132" s="31"/>
      <c r="J1132" s="31"/>
      <c r="K1132" s="31"/>
      <c r="L1132" s="31"/>
      <c r="M1132" s="31"/>
    </row>
    <row r="1133" spans="1:13">
      <c r="A1133" s="540" t="s">
        <v>10313</v>
      </c>
      <c r="B1133" s="84" t="s">
        <v>3464</v>
      </c>
      <c r="C1133" s="31" t="s">
        <v>8929</v>
      </c>
      <c r="D1133" s="31" t="s">
        <v>2755</v>
      </c>
      <c r="E1133" s="31" t="s">
        <v>10002</v>
      </c>
      <c r="F1133" s="31" t="s">
        <v>278</v>
      </c>
      <c r="G1133" s="31"/>
      <c r="H1133" s="31"/>
      <c r="I1133" s="31"/>
      <c r="J1133" s="31"/>
      <c r="K1133" s="31"/>
      <c r="L1133" s="31"/>
      <c r="M1133" s="31"/>
    </row>
    <row r="1134" spans="1:13">
      <c r="A1134" s="540" t="s">
        <v>10313</v>
      </c>
      <c r="B1134" s="31" t="s">
        <v>3463</v>
      </c>
      <c r="C1134" s="31" t="s">
        <v>8929</v>
      </c>
      <c r="D1134" s="31" t="s">
        <v>2755</v>
      </c>
      <c r="E1134" s="31" t="s">
        <v>10314</v>
      </c>
      <c r="F1134" s="31" t="s">
        <v>10315</v>
      </c>
      <c r="G1134" s="31"/>
      <c r="H1134" s="31"/>
      <c r="I1134" s="31"/>
      <c r="J1134" s="31"/>
      <c r="K1134" s="31"/>
      <c r="L1134" s="31"/>
      <c r="M1134" s="31"/>
    </row>
    <row r="1135" spans="1:13">
      <c r="A1135" s="540" t="s">
        <v>10313</v>
      </c>
      <c r="B1135" s="31" t="s">
        <v>3461</v>
      </c>
      <c r="C1135" s="31" t="s">
        <v>8929</v>
      </c>
      <c r="D1135" s="31" t="s">
        <v>2755</v>
      </c>
      <c r="E1135" s="31" t="s">
        <v>10316</v>
      </c>
      <c r="F1135" s="31" t="s">
        <v>10268</v>
      </c>
      <c r="G1135" s="31"/>
      <c r="H1135" s="31"/>
      <c r="I1135" s="31"/>
      <c r="J1135" s="31"/>
      <c r="K1135" s="31"/>
      <c r="L1135" s="31"/>
      <c r="M1135" s="31"/>
    </row>
    <row r="1136" spans="1:13">
      <c r="A1136" s="540" t="s">
        <v>10317</v>
      </c>
      <c r="B1136" s="31" t="s">
        <v>3138</v>
      </c>
      <c r="C1136" s="31" t="s">
        <v>8929</v>
      </c>
      <c r="D1136" s="31" t="s">
        <v>2755</v>
      </c>
      <c r="E1136" s="31" t="s">
        <v>10007</v>
      </c>
      <c r="F1136" s="31" t="s">
        <v>10268</v>
      </c>
      <c r="G1136" s="31"/>
      <c r="H1136" s="31"/>
      <c r="I1136" s="31"/>
      <c r="J1136" s="31"/>
      <c r="K1136" s="31"/>
      <c r="L1136" s="31"/>
      <c r="M1136" s="31"/>
    </row>
    <row r="1137" spans="1:13">
      <c r="A1137" s="540" t="s">
        <v>10317</v>
      </c>
      <c r="B1137" s="31" t="s">
        <v>3462</v>
      </c>
      <c r="C1137" s="31" t="s">
        <v>8929</v>
      </c>
      <c r="D1137" s="31" t="s">
        <v>2755</v>
      </c>
      <c r="E1137" s="31" t="s">
        <v>10011</v>
      </c>
      <c r="F1137" s="31" t="s">
        <v>10268</v>
      </c>
      <c r="G1137" s="31"/>
      <c r="H1137" s="31"/>
      <c r="I1137" s="31"/>
      <c r="J1137" s="31"/>
      <c r="K1137" s="31"/>
      <c r="L1137" s="31"/>
      <c r="M1137" s="31"/>
    </row>
    <row r="1138" spans="1:13">
      <c r="A1138" s="540" t="s">
        <v>10317</v>
      </c>
      <c r="B1138" s="31" t="s">
        <v>4052</v>
      </c>
      <c r="C1138" s="31" t="s">
        <v>8929</v>
      </c>
      <c r="D1138" s="31" t="s">
        <v>2755</v>
      </c>
      <c r="E1138" s="31" t="s">
        <v>10011</v>
      </c>
      <c r="F1138" s="31" t="s">
        <v>10296</v>
      </c>
      <c r="G1138" s="31"/>
      <c r="H1138" s="31"/>
      <c r="I1138" s="31"/>
      <c r="J1138" s="31"/>
      <c r="K1138" s="31"/>
      <c r="L1138" s="31"/>
      <c r="M1138" s="31"/>
    </row>
    <row r="1139" spans="1:13">
      <c r="A1139" s="540" t="s">
        <v>10318</v>
      </c>
      <c r="B1139" s="31" t="s">
        <v>10319</v>
      </c>
      <c r="C1139" s="31" t="s">
        <v>8929</v>
      </c>
      <c r="D1139" s="31" t="s">
        <v>2755</v>
      </c>
      <c r="E1139" s="31" t="s">
        <v>10007</v>
      </c>
      <c r="F1139" s="31" t="s">
        <v>10268</v>
      </c>
      <c r="G1139" s="31"/>
      <c r="H1139" s="31"/>
      <c r="I1139" s="31"/>
      <c r="J1139" s="31"/>
      <c r="K1139" s="31"/>
      <c r="L1139" s="31"/>
      <c r="M1139" s="31"/>
    </row>
    <row r="1140" spans="1:13">
      <c r="A1140" s="545"/>
      <c r="B1140" s="421" t="s">
        <v>7720</v>
      </c>
      <c r="C1140" s="149"/>
      <c r="D1140" s="149"/>
      <c r="E1140" s="149"/>
      <c r="F1140" s="149"/>
      <c r="G1140" s="149"/>
      <c r="H1140" s="143"/>
      <c r="I1140" s="31"/>
      <c r="J1140" s="31"/>
      <c r="K1140" s="31"/>
      <c r="L1140" s="31"/>
      <c r="M1140" s="31"/>
    </row>
    <row r="1141" spans="1:13">
      <c r="A1141" s="540">
        <v>44569</v>
      </c>
      <c r="B1141" s="31" t="s">
        <v>2212</v>
      </c>
      <c r="C1141" s="31" t="s">
        <v>8929</v>
      </c>
      <c r="D1141" s="31" t="s">
        <v>7720</v>
      </c>
      <c r="E1141" s="31" t="s">
        <v>9996</v>
      </c>
      <c r="F1141" s="31" t="s">
        <v>10291</v>
      </c>
      <c r="G1141" s="31"/>
      <c r="H1141" s="31"/>
      <c r="I1141" s="31"/>
      <c r="J1141" s="31"/>
      <c r="K1141" s="31"/>
      <c r="L1141" s="31"/>
      <c r="M1141" s="31"/>
    </row>
    <row r="1142" spans="1:13">
      <c r="A1142" s="540">
        <v>44689</v>
      </c>
      <c r="B1142" s="31" t="s">
        <v>10320</v>
      </c>
      <c r="C1142" s="31" t="s">
        <v>8929</v>
      </c>
      <c r="D1142" s="31" t="s">
        <v>7720</v>
      </c>
      <c r="E1142" s="31" t="s">
        <v>10314</v>
      </c>
      <c r="F1142" s="31" t="s">
        <v>10321</v>
      </c>
      <c r="G1142" s="31"/>
      <c r="H1142" s="31"/>
      <c r="I1142" s="31"/>
      <c r="J1142" s="31"/>
      <c r="K1142" s="31"/>
      <c r="L1142" s="31"/>
      <c r="M1142" s="31"/>
    </row>
    <row r="1143" spans="1:13">
      <c r="A1143" s="540">
        <v>44720</v>
      </c>
      <c r="B1143" s="31" t="s">
        <v>3586</v>
      </c>
      <c r="C1143" s="31" t="s">
        <v>8929</v>
      </c>
      <c r="D1143" s="31" t="s">
        <v>7720</v>
      </c>
      <c r="E1143" s="31" t="s">
        <v>10289</v>
      </c>
      <c r="F1143" s="31" t="s">
        <v>10322</v>
      </c>
      <c r="G1143" s="31" t="s">
        <v>9998</v>
      </c>
      <c r="H1143" s="31"/>
      <c r="I1143" s="31"/>
      <c r="J1143" s="31"/>
      <c r="K1143" s="31"/>
      <c r="L1143" s="31"/>
      <c r="M1143" s="31"/>
    </row>
    <row r="1144" spans="1:13">
      <c r="A1144" s="540">
        <v>44781</v>
      </c>
      <c r="B1144" s="31" t="s">
        <v>3457</v>
      </c>
      <c r="C1144" s="31" t="s">
        <v>8929</v>
      </c>
      <c r="D1144" s="31" t="s">
        <v>7720</v>
      </c>
      <c r="E1144" s="31" t="s">
        <v>10225</v>
      </c>
      <c r="F1144" s="31" t="s">
        <v>10268</v>
      </c>
      <c r="G1144" s="31"/>
      <c r="H1144" s="31"/>
      <c r="I1144" s="31"/>
      <c r="J1144" s="31"/>
      <c r="K1144" s="31"/>
      <c r="L1144" s="31"/>
      <c r="M1144" s="31"/>
    </row>
    <row r="1145" spans="1:13">
      <c r="A1145" s="540">
        <v>44781</v>
      </c>
      <c r="B1145" s="31" t="s">
        <v>10323</v>
      </c>
      <c r="C1145" s="31" t="s">
        <v>8929</v>
      </c>
      <c r="D1145" s="31" t="s">
        <v>7720</v>
      </c>
      <c r="E1145" s="31" t="s">
        <v>10225</v>
      </c>
      <c r="F1145" s="31" t="s">
        <v>10268</v>
      </c>
      <c r="G1145" s="31"/>
      <c r="H1145" s="31"/>
      <c r="I1145" s="31"/>
      <c r="J1145" s="31"/>
      <c r="K1145" s="31"/>
      <c r="L1145" s="31"/>
      <c r="M1145" s="31"/>
    </row>
    <row r="1146" spans="1:13">
      <c r="A1146" s="540">
        <v>44812</v>
      </c>
      <c r="B1146" s="31" t="s">
        <v>3454</v>
      </c>
      <c r="C1146" s="31" t="s">
        <v>8929</v>
      </c>
      <c r="D1146" s="31" t="s">
        <v>7720</v>
      </c>
      <c r="E1146" s="31" t="s">
        <v>10026</v>
      </c>
      <c r="F1146" s="31" t="s">
        <v>10268</v>
      </c>
      <c r="G1146" s="31"/>
      <c r="H1146" s="31"/>
      <c r="I1146" s="31"/>
      <c r="J1146" s="31"/>
      <c r="K1146" s="31"/>
      <c r="L1146" s="31"/>
      <c r="M1146" s="31"/>
    </row>
    <row r="1147" spans="1:13">
      <c r="A1147" s="540">
        <v>44812</v>
      </c>
      <c r="B1147" s="31" t="s">
        <v>3453</v>
      </c>
      <c r="C1147" s="31" t="s">
        <v>8929</v>
      </c>
      <c r="D1147" s="31" t="s">
        <v>7720</v>
      </c>
      <c r="E1147" s="31" t="s">
        <v>10011</v>
      </c>
      <c r="F1147" s="31" t="s">
        <v>10268</v>
      </c>
      <c r="G1147" s="31"/>
      <c r="H1147" s="31"/>
      <c r="I1147" s="31"/>
      <c r="J1147" s="31"/>
      <c r="K1147" s="31"/>
      <c r="L1147" s="31"/>
      <c r="M1147" s="31"/>
    </row>
    <row r="1148" spans="1:13">
      <c r="A1148" s="540">
        <v>44842</v>
      </c>
      <c r="B1148" s="31" t="s">
        <v>10324</v>
      </c>
      <c r="C1148" s="31" t="s">
        <v>8929</v>
      </c>
      <c r="D1148" s="31" t="s">
        <v>7720</v>
      </c>
      <c r="E1148" s="31" t="s">
        <v>10007</v>
      </c>
      <c r="F1148" s="31" t="s">
        <v>10268</v>
      </c>
      <c r="G1148" s="31"/>
      <c r="H1148" s="31"/>
      <c r="I1148" s="31"/>
      <c r="J1148" s="31"/>
      <c r="K1148" s="31"/>
      <c r="L1148" s="31"/>
      <c r="M1148" s="31"/>
    </row>
    <row r="1149" spans="1:13">
      <c r="A1149" s="540">
        <v>44873</v>
      </c>
      <c r="B1149" s="31" t="s">
        <v>10325</v>
      </c>
      <c r="C1149" s="31" t="s">
        <v>8929</v>
      </c>
      <c r="D1149" s="31" t="s">
        <v>7720</v>
      </c>
      <c r="E1149" s="31" t="s">
        <v>10314</v>
      </c>
      <c r="F1149" s="31" t="s">
        <v>10268</v>
      </c>
      <c r="G1149" s="31"/>
      <c r="H1149" s="31"/>
      <c r="I1149" s="31"/>
      <c r="J1149" s="31"/>
      <c r="K1149" s="31"/>
      <c r="L1149" s="31"/>
      <c r="M1149" s="31"/>
    </row>
    <row r="1150" spans="1:13">
      <c r="A1150" s="540">
        <v>44873</v>
      </c>
      <c r="B1150" s="31" t="s">
        <v>10326</v>
      </c>
      <c r="C1150" s="31" t="s">
        <v>8929</v>
      </c>
      <c r="D1150" s="31" t="s">
        <v>7720</v>
      </c>
      <c r="E1150" s="31" t="s">
        <v>10314</v>
      </c>
      <c r="F1150" s="31" t="s">
        <v>10268</v>
      </c>
      <c r="G1150" s="31"/>
      <c r="H1150" s="31"/>
      <c r="I1150" s="31"/>
      <c r="J1150" s="31"/>
      <c r="K1150" s="31"/>
      <c r="L1150" s="31"/>
      <c r="M1150" s="31"/>
    </row>
    <row r="1151" spans="1:13">
      <c r="A1151" s="540">
        <v>44903</v>
      </c>
      <c r="B1151" s="31" t="s">
        <v>2798</v>
      </c>
      <c r="C1151" s="31" t="s">
        <v>8929</v>
      </c>
      <c r="D1151" s="31" t="s">
        <v>7720</v>
      </c>
      <c r="E1151" s="31" t="s">
        <v>10314</v>
      </c>
      <c r="F1151" s="31" t="s">
        <v>10321</v>
      </c>
      <c r="G1151" s="31"/>
      <c r="H1151" s="31"/>
      <c r="I1151" s="31"/>
      <c r="J1151" s="31"/>
      <c r="K1151" s="31"/>
      <c r="L1151" s="31"/>
      <c r="M1151" s="31"/>
    </row>
    <row r="1152" spans="1:13">
      <c r="A1152" s="540">
        <v>44903</v>
      </c>
      <c r="B1152" s="31" t="s">
        <v>10327</v>
      </c>
      <c r="C1152" s="31" t="s">
        <v>8929</v>
      </c>
      <c r="D1152" s="31" t="s">
        <v>7720</v>
      </c>
      <c r="E1152" s="31" t="s">
        <v>10289</v>
      </c>
      <c r="F1152" s="31" t="s">
        <v>10268</v>
      </c>
      <c r="G1152" s="31"/>
      <c r="H1152" s="31"/>
      <c r="I1152" s="31"/>
      <c r="J1152" s="31"/>
      <c r="K1152" s="31"/>
      <c r="L1152" s="31"/>
      <c r="M1152" s="31"/>
    </row>
    <row r="1153" spans="1:13">
      <c r="A1153" s="540" t="s">
        <v>10328</v>
      </c>
      <c r="B1153" s="31" t="s">
        <v>5386</v>
      </c>
      <c r="C1153" s="31" t="s">
        <v>8929</v>
      </c>
      <c r="D1153" s="31" t="s">
        <v>7720</v>
      </c>
      <c r="E1153" s="31" t="s">
        <v>10225</v>
      </c>
      <c r="F1153" s="31" t="s">
        <v>10321</v>
      </c>
      <c r="G1153" s="31"/>
      <c r="H1153" s="31"/>
      <c r="I1153" s="31"/>
      <c r="J1153" s="31"/>
      <c r="K1153" s="31"/>
      <c r="L1153" s="31"/>
      <c r="M1153" s="31"/>
    </row>
    <row r="1154" spans="1:13">
      <c r="A1154" s="540" t="s">
        <v>10328</v>
      </c>
      <c r="B1154" s="31" t="s">
        <v>5660</v>
      </c>
      <c r="C1154" s="31" t="s">
        <v>8929</v>
      </c>
      <c r="D1154" s="31" t="s">
        <v>7720</v>
      </c>
      <c r="E1154" s="31" t="s">
        <v>10026</v>
      </c>
      <c r="F1154" s="31" t="s">
        <v>10329</v>
      </c>
      <c r="G1154" s="31"/>
      <c r="H1154" s="31"/>
      <c r="I1154" s="31"/>
      <c r="J1154" s="31"/>
      <c r="K1154" s="31"/>
      <c r="L1154" s="31"/>
      <c r="M1154" s="31"/>
    </row>
    <row r="1155" spans="1:13">
      <c r="A1155" s="540" t="s">
        <v>10330</v>
      </c>
      <c r="B1155" s="82" t="s">
        <v>3189</v>
      </c>
      <c r="C1155" s="31" t="s">
        <v>8929</v>
      </c>
      <c r="D1155" s="31" t="s">
        <v>7720</v>
      </c>
      <c r="E1155" s="31" t="s">
        <v>10011</v>
      </c>
      <c r="F1155" s="31" t="s">
        <v>10268</v>
      </c>
      <c r="G1155" s="31"/>
      <c r="H1155" s="31"/>
      <c r="I1155" s="31"/>
      <c r="J1155" s="31"/>
      <c r="K1155" s="31"/>
      <c r="L1155" s="31"/>
      <c r="M1155" s="31"/>
    </row>
    <row r="1156" spans="1:13">
      <c r="A1156" s="540" t="s">
        <v>10330</v>
      </c>
      <c r="B1156" s="31" t="s">
        <v>5664</v>
      </c>
      <c r="C1156" s="31" t="s">
        <v>8929</v>
      </c>
      <c r="D1156" s="31" t="s">
        <v>7720</v>
      </c>
      <c r="E1156" s="31" t="s">
        <v>10289</v>
      </c>
      <c r="F1156" s="31" t="s">
        <v>10296</v>
      </c>
      <c r="G1156" s="31"/>
      <c r="H1156" s="31"/>
      <c r="I1156" s="31"/>
      <c r="J1156" s="31"/>
      <c r="K1156" s="31"/>
      <c r="L1156" s="31"/>
      <c r="M1156" s="31"/>
    </row>
    <row r="1157" spans="1:13">
      <c r="A1157" s="540" t="s">
        <v>10330</v>
      </c>
      <c r="B1157" s="31" t="s">
        <v>5662</v>
      </c>
      <c r="C1157" s="31" t="s">
        <v>8929</v>
      </c>
      <c r="D1157" s="31" t="s">
        <v>7720</v>
      </c>
      <c r="E1157" s="31" t="s">
        <v>10011</v>
      </c>
      <c r="F1157" s="31" t="s">
        <v>10268</v>
      </c>
      <c r="G1157" s="31"/>
      <c r="H1157" s="31"/>
      <c r="I1157" s="31"/>
      <c r="J1157" s="31"/>
      <c r="K1157" s="31"/>
      <c r="L1157" s="31"/>
      <c r="M1157" s="31"/>
    </row>
    <row r="1158" spans="1:13">
      <c r="A1158" s="540" t="s">
        <v>10331</v>
      </c>
      <c r="B1158" s="31" t="s">
        <v>5666</v>
      </c>
      <c r="C1158" s="31" t="s">
        <v>8929</v>
      </c>
      <c r="D1158" s="31" t="s">
        <v>7720</v>
      </c>
      <c r="E1158" s="31" t="s">
        <v>10314</v>
      </c>
      <c r="F1158" s="31" t="s">
        <v>10268</v>
      </c>
      <c r="G1158" s="31"/>
      <c r="H1158" s="31"/>
      <c r="I1158" s="31"/>
      <c r="J1158" s="31"/>
      <c r="K1158" s="31"/>
      <c r="L1158" s="31"/>
      <c r="M1158" s="31"/>
    </row>
    <row r="1159" spans="1:13">
      <c r="A1159" s="540" t="s">
        <v>10331</v>
      </c>
      <c r="B1159" s="31" t="s">
        <v>5386</v>
      </c>
      <c r="C1159" s="31" t="s">
        <v>8929</v>
      </c>
      <c r="D1159" s="31" t="s">
        <v>7720</v>
      </c>
      <c r="E1159" s="31" t="s">
        <v>10007</v>
      </c>
      <c r="F1159" s="31" t="s">
        <v>10322</v>
      </c>
      <c r="G1159" s="31"/>
      <c r="H1159" s="31"/>
      <c r="I1159" s="31"/>
      <c r="J1159" s="31"/>
      <c r="K1159" s="31"/>
      <c r="L1159" s="31"/>
      <c r="M1159" s="31"/>
    </row>
    <row r="1160" spans="1:13">
      <c r="A1160" s="540" t="s">
        <v>10332</v>
      </c>
      <c r="B1160" s="31" t="s">
        <v>5668</v>
      </c>
      <c r="C1160" t="s">
        <v>8929</v>
      </c>
      <c r="D1160" s="31" t="s">
        <v>7720</v>
      </c>
      <c r="E1160" s="31" t="s">
        <v>10289</v>
      </c>
      <c r="F1160" s="31" t="s">
        <v>10291</v>
      </c>
      <c r="G1160" s="31"/>
      <c r="H1160" s="31"/>
      <c r="I1160" s="31"/>
      <c r="J1160" s="31"/>
      <c r="K1160" s="31"/>
      <c r="L1160" s="31"/>
      <c r="M1160" s="31"/>
    </row>
    <row r="1161" spans="1:13">
      <c r="A1161" s="540" t="s">
        <v>10333</v>
      </c>
      <c r="B1161" s="82" t="s">
        <v>5323</v>
      </c>
      <c r="C1161" s="31" t="s">
        <v>8929</v>
      </c>
      <c r="D1161" s="31" t="s">
        <v>7720</v>
      </c>
      <c r="E1161" s="31" t="s">
        <v>10026</v>
      </c>
      <c r="F1161" s="31" t="s">
        <v>10296</v>
      </c>
      <c r="G1161" s="31"/>
      <c r="H1161" s="31"/>
      <c r="I1161" s="31"/>
      <c r="J1161" s="31"/>
      <c r="K1161" s="31"/>
      <c r="L1161" s="31"/>
      <c r="M1161" s="31"/>
    </row>
    <row r="1162" spans="1:13">
      <c r="A1162" s="540" t="s">
        <v>10333</v>
      </c>
      <c r="B1162" s="31" t="s">
        <v>10334</v>
      </c>
      <c r="C1162" s="31" t="s">
        <v>8929</v>
      </c>
      <c r="D1162" s="31" t="s">
        <v>7720</v>
      </c>
      <c r="E1162" s="31" t="s">
        <v>10225</v>
      </c>
      <c r="F1162" s="31" t="s">
        <v>10268</v>
      </c>
      <c r="G1162" s="31"/>
      <c r="H1162" s="31"/>
      <c r="I1162" s="31"/>
      <c r="J1162" s="31"/>
      <c r="K1162" s="31"/>
      <c r="L1162" s="31"/>
      <c r="M1162" s="31"/>
    </row>
    <row r="1163" spans="1:13">
      <c r="A1163" s="540" t="s">
        <v>10333</v>
      </c>
      <c r="B1163" s="31" t="s">
        <v>10335</v>
      </c>
      <c r="C1163" s="31" t="s">
        <v>8929</v>
      </c>
      <c r="D1163" s="31" t="s">
        <v>7720</v>
      </c>
      <c r="E1163" s="31" t="s">
        <v>10026</v>
      </c>
      <c r="F1163" s="31" t="s">
        <v>10336</v>
      </c>
      <c r="G1163" s="31"/>
      <c r="H1163" s="31"/>
      <c r="I1163" s="31"/>
      <c r="J1163" s="31"/>
      <c r="K1163" s="31"/>
      <c r="L1163" s="31"/>
      <c r="M1163" s="31"/>
    </row>
    <row r="1164" spans="1:13">
      <c r="A1164" s="540" t="s">
        <v>10337</v>
      </c>
      <c r="B1164" s="31" t="s">
        <v>10338</v>
      </c>
      <c r="C1164" s="31" t="s">
        <v>8929</v>
      </c>
      <c r="D1164" s="31" t="s">
        <v>7720</v>
      </c>
      <c r="E1164" s="31" t="s">
        <v>10007</v>
      </c>
      <c r="F1164" s="31" t="s">
        <v>10268</v>
      </c>
      <c r="G1164" s="31"/>
      <c r="H1164" s="31"/>
      <c r="I1164" s="31"/>
      <c r="J1164" s="31"/>
      <c r="K1164" s="31"/>
      <c r="L1164" s="31"/>
      <c r="M1164" s="31"/>
    </row>
    <row r="1165" spans="1:13">
      <c r="A1165" s="540" t="s">
        <v>10337</v>
      </c>
      <c r="B1165" s="31" t="s">
        <v>4920</v>
      </c>
      <c r="C1165" s="31" t="s">
        <v>8929</v>
      </c>
      <c r="D1165" s="31" t="s">
        <v>7720</v>
      </c>
      <c r="E1165" s="31" t="s">
        <v>10011</v>
      </c>
      <c r="F1165" s="31" t="s">
        <v>10296</v>
      </c>
      <c r="G1165" s="31"/>
      <c r="H1165" s="31"/>
      <c r="I1165" s="31"/>
      <c r="J1165" s="31"/>
      <c r="K1165" s="31"/>
      <c r="L1165" s="31"/>
      <c r="M1165" s="31"/>
    </row>
    <row r="1166" spans="1:13">
      <c r="A1166" s="540" t="s">
        <v>10339</v>
      </c>
      <c r="B1166" s="31" t="s">
        <v>3717</v>
      </c>
      <c r="C1166" s="31" t="s">
        <v>8929</v>
      </c>
      <c r="D1166" s="31" t="s">
        <v>7720</v>
      </c>
      <c r="E1166" s="31" t="s">
        <v>10007</v>
      </c>
      <c r="F1166" s="31" t="s">
        <v>10340</v>
      </c>
      <c r="G1166" s="31"/>
      <c r="H1166" s="31"/>
      <c r="I1166" s="31"/>
      <c r="J1166" s="31"/>
      <c r="K1166" s="31"/>
      <c r="L1166" s="31"/>
      <c r="M1166" s="31"/>
    </row>
    <row r="1167" spans="1:13">
      <c r="A1167" s="540" t="s">
        <v>10339</v>
      </c>
      <c r="B1167" s="82" t="s">
        <v>10341</v>
      </c>
      <c r="C1167" s="31" t="s">
        <v>8929</v>
      </c>
      <c r="D1167" s="31" t="s">
        <v>7720</v>
      </c>
      <c r="E1167" s="31" t="s">
        <v>10314</v>
      </c>
      <c r="F1167" s="31" t="s">
        <v>10268</v>
      </c>
      <c r="G1167" s="31"/>
      <c r="H1167" s="31"/>
      <c r="I1167" s="31"/>
      <c r="J1167" s="31"/>
      <c r="K1167" s="31"/>
      <c r="L1167" s="31"/>
      <c r="M1167" s="31"/>
    </row>
    <row r="1168" spans="1:13">
      <c r="A1168" s="540" t="s">
        <v>10342</v>
      </c>
      <c r="B1168" s="82" t="s">
        <v>10343</v>
      </c>
      <c r="C1168" s="31" t="s">
        <v>8929</v>
      </c>
      <c r="D1168" s="31" t="s">
        <v>7720</v>
      </c>
      <c r="E1168" s="31" t="s">
        <v>10098</v>
      </c>
      <c r="F1168" s="31" t="s">
        <v>7993</v>
      </c>
      <c r="G1168" s="31"/>
      <c r="H1168" s="31"/>
      <c r="I1168" s="31"/>
      <c r="J1168" s="31"/>
      <c r="K1168" s="31"/>
      <c r="L1168" s="31"/>
      <c r="M1168" s="31"/>
    </row>
    <row r="1169" spans="1:13">
      <c r="A1169" s="540" t="s">
        <v>10344</v>
      </c>
      <c r="B1169" s="31" t="s">
        <v>5673</v>
      </c>
      <c r="C1169" s="31" t="s">
        <v>8929</v>
      </c>
      <c r="D1169" s="31" t="s">
        <v>10040</v>
      </c>
      <c r="E1169" s="31" t="s">
        <v>10225</v>
      </c>
      <c r="F1169" s="31" t="s">
        <v>10345</v>
      </c>
      <c r="G1169" s="31"/>
      <c r="H1169" s="31"/>
      <c r="I1169" s="31"/>
      <c r="J1169" s="31"/>
      <c r="K1169" s="31"/>
      <c r="L1169" s="31"/>
      <c r="M1169" s="31"/>
    </row>
    <row r="1170" spans="1:13">
      <c r="A1170" s="540" t="s">
        <v>10346</v>
      </c>
      <c r="B1170" s="82" t="s">
        <v>3271</v>
      </c>
      <c r="C1170" s="31" t="s">
        <v>8929</v>
      </c>
      <c r="D1170" s="31" t="s">
        <v>7720</v>
      </c>
      <c r="E1170" s="31" t="s">
        <v>10026</v>
      </c>
      <c r="F1170" s="31" t="s">
        <v>10268</v>
      </c>
      <c r="G1170" s="31"/>
      <c r="H1170" s="31"/>
      <c r="I1170" s="31"/>
      <c r="J1170" s="31"/>
      <c r="K1170" s="31"/>
      <c r="L1170" s="31"/>
      <c r="M1170" s="31"/>
    </row>
    <row r="1171" spans="1:13">
      <c r="A1171" s="540" t="s">
        <v>10347</v>
      </c>
      <c r="B1171" s="31" t="s">
        <v>10348</v>
      </c>
      <c r="C1171" s="31" t="s">
        <v>8929</v>
      </c>
      <c r="D1171" s="31" t="s">
        <v>7720</v>
      </c>
      <c r="E1171" s="31" t="s">
        <v>10011</v>
      </c>
      <c r="F1171" s="31" t="s">
        <v>10349</v>
      </c>
      <c r="G1171" s="31"/>
      <c r="H1171" s="31"/>
      <c r="I1171" s="31"/>
      <c r="J1171" s="31"/>
      <c r="K1171" s="31"/>
      <c r="L1171" s="31"/>
      <c r="M1171" s="31"/>
    </row>
    <row r="1172" spans="1:13">
      <c r="A1172" s="540" t="s">
        <v>10347</v>
      </c>
      <c r="B1172" s="31" t="s">
        <v>5677</v>
      </c>
      <c r="C1172" s="31" t="s">
        <v>8929</v>
      </c>
      <c r="D1172" s="31" t="s">
        <v>7720</v>
      </c>
      <c r="E1172" s="31" t="s">
        <v>10011</v>
      </c>
      <c r="F1172" s="31" t="s">
        <v>10268</v>
      </c>
      <c r="G1172" s="31"/>
      <c r="H1172" s="31"/>
      <c r="I1172" s="31"/>
      <c r="J1172" s="31"/>
      <c r="K1172" s="31"/>
      <c r="L1172" s="31"/>
      <c r="M1172" s="31"/>
    </row>
    <row r="1173" spans="1:13">
      <c r="A1173" s="545"/>
      <c r="B1173" s="421" t="s">
        <v>7543</v>
      </c>
      <c r="C1173" s="149"/>
      <c r="D1173" s="149"/>
      <c r="E1173" s="149"/>
      <c r="F1173" s="149"/>
      <c r="G1173" s="149"/>
      <c r="H1173" s="143"/>
      <c r="I1173" s="31"/>
      <c r="J1173" s="31"/>
      <c r="K1173" s="31"/>
      <c r="L1173" s="31"/>
      <c r="M1173" s="31"/>
    </row>
    <row r="1174" spans="1:13">
      <c r="A1174" s="540">
        <v>44690</v>
      </c>
      <c r="B1174" s="31" t="s">
        <v>3176</v>
      </c>
      <c r="C1174" s="31" t="s">
        <v>8929</v>
      </c>
      <c r="D1174" s="31" t="s">
        <v>7543</v>
      </c>
      <c r="E1174" s="31" t="s">
        <v>10225</v>
      </c>
      <c r="F1174" s="31" t="s">
        <v>10268</v>
      </c>
      <c r="G1174" s="31"/>
      <c r="H1174" s="31"/>
      <c r="I1174" s="31"/>
      <c r="J1174" s="31"/>
      <c r="K1174" s="31"/>
      <c r="L1174" s="31"/>
      <c r="M1174" s="31"/>
    </row>
    <row r="1175" spans="1:13">
      <c r="A1175" s="540">
        <v>44690</v>
      </c>
      <c r="B1175" s="31" t="s">
        <v>10350</v>
      </c>
      <c r="C1175" s="31" t="s">
        <v>8929</v>
      </c>
      <c r="D1175" s="31" t="s">
        <v>7543</v>
      </c>
      <c r="E1175" s="31" t="s">
        <v>10225</v>
      </c>
      <c r="F1175" s="31" t="s">
        <v>10296</v>
      </c>
      <c r="G1175" s="31"/>
      <c r="H1175" s="31"/>
      <c r="I1175" s="31"/>
      <c r="J1175" s="31"/>
      <c r="K1175" s="31"/>
      <c r="L1175" s="31"/>
      <c r="M1175" s="31"/>
    </row>
    <row r="1176" spans="1:13">
      <c r="A1176" s="540">
        <v>44721</v>
      </c>
      <c r="B1176" s="31" t="s">
        <v>10351</v>
      </c>
      <c r="C1176" s="31" t="s">
        <v>8929</v>
      </c>
      <c r="D1176" s="31" t="s">
        <v>7543</v>
      </c>
      <c r="E1176" s="31" t="s">
        <v>10007</v>
      </c>
      <c r="F1176" s="31" t="s">
        <v>10268</v>
      </c>
      <c r="G1176" s="31"/>
      <c r="H1176" s="31"/>
      <c r="I1176" s="31"/>
      <c r="J1176" s="31"/>
      <c r="K1176" s="31"/>
      <c r="L1176" s="31"/>
      <c r="M1176" s="31"/>
    </row>
    <row r="1177" spans="1:13">
      <c r="A1177" s="540">
        <v>44782</v>
      </c>
      <c r="B1177" s="31" t="s">
        <v>5681</v>
      </c>
      <c r="C1177" s="31" t="s">
        <v>8929</v>
      </c>
      <c r="D1177" s="31" t="s">
        <v>7543</v>
      </c>
      <c r="E1177" s="31" t="s">
        <v>10314</v>
      </c>
      <c r="F1177" s="31" t="s">
        <v>10352</v>
      </c>
      <c r="G1177" s="31"/>
      <c r="H1177" s="31"/>
      <c r="I1177" s="31"/>
      <c r="J1177" s="31"/>
      <c r="K1177" s="31"/>
      <c r="L1177" s="31"/>
      <c r="M1177" s="31"/>
    </row>
    <row r="1178" spans="1:13">
      <c r="A1178" s="540">
        <v>44782</v>
      </c>
      <c r="B1178" s="31" t="s">
        <v>10353</v>
      </c>
      <c r="C1178" s="31" t="s">
        <v>8929</v>
      </c>
      <c r="D1178" s="31" t="s">
        <v>7543</v>
      </c>
      <c r="E1178" s="31" t="s">
        <v>10289</v>
      </c>
      <c r="F1178" s="31" t="s">
        <v>10268</v>
      </c>
      <c r="G1178" s="31"/>
      <c r="H1178" s="31"/>
      <c r="I1178" s="31"/>
      <c r="J1178" s="31"/>
      <c r="K1178" s="31"/>
      <c r="L1178" s="31"/>
      <c r="M1178" s="31"/>
    </row>
    <row r="1179" spans="1:13">
      <c r="A1179" s="540">
        <v>44813</v>
      </c>
      <c r="B1179" s="31" t="s">
        <v>3379</v>
      </c>
      <c r="C1179" s="31" t="s">
        <v>8929</v>
      </c>
      <c r="D1179" s="31" t="s">
        <v>7543</v>
      </c>
      <c r="E1179" s="31" t="s">
        <v>10314</v>
      </c>
      <c r="F1179" s="31" t="s">
        <v>10268</v>
      </c>
      <c r="G1179" s="31"/>
      <c r="H1179" s="31"/>
      <c r="I1179" s="31"/>
      <c r="J1179" s="31"/>
      <c r="K1179" s="31"/>
      <c r="L1179" s="31"/>
      <c r="M1179" s="31"/>
    </row>
    <row r="1180" spans="1:13">
      <c r="A1180" s="540">
        <v>44813</v>
      </c>
      <c r="B1180" s="31" t="s">
        <v>5683</v>
      </c>
      <c r="C1180" s="31" t="s">
        <v>8929</v>
      </c>
      <c r="D1180" s="31" t="s">
        <v>7543</v>
      </c>
      <c r="E1180" s="31" t="s">
        <v>10225</v>
      </c>
      <c r="F1180" s="31" t="s">
        <v>10268</v>
      </c>
      <c r="G1180" s="82"/>
      <c r="H1180" s="31"/>
      <c r="I1180" s="31"/>
      <c r="J1180" s="31"/>
      <c r="K1180" s="31"/>
      <c r="L1180" s="31"/>
      <c r="M1180" s="31"/>
    </row>
    <row r="1181" spans="1:13">
      <c r="A1181" s="540">
        <v>44904</v>
      </c>
      <c r="B1181" s="31" t="s">
        <v>10354</v>
      </c>
      <c r="C1181" s="31" t="s">
        <v>8929</v>
      </c>
      <c r="D1181" s="31" t="s">
        <v>7543</v>
      </c>
      <c r="E1181" s="31" t="s">
        <v>10026</v>
      </c>
      <c r="F1181" s="31" t="s">
        <v>10268</v>
      </c>
      <c r="G1181" s="31"/>
      <c r="H1181" s="31"/>
      <c r="I1181" s="31"/>
      <c r="J1181" s="31"/>
      <c r="K1181" s="31"/>
      <c r="L1181" s="31"/>
      <c r="M1181" s="31"/>
    </row>
    <row r="1182" spans="1:13">
      <c r="A1182" s="540">
        <v>44904</v>
      </c>
      <c r="B1182" s="31" t="s">
        <v>5685</v>
      </c>
      <c r="C1182" s="31" t="s">
        <v>8929</v>
      </c>
      <c r="D1182" s="31" t="s">
        <v>7543</v>
      </c>
      <c r="E1182" s="31" t="s">
        <v>10011</v>
      </c>
      <c r="F1182" s="31" t="s">
        <v>10355</v>
      </c>
      <c r="G1182" s="31"/>
      <c r="H1182" s="31"/>
      <c r="I1182" s="31"/>
      <c r="J1182" s="31"/>
      <c r="K1182" s="31"/>
      <c r="L1182" s="31"/>
      <c r="M1182" s="31"/>
    </row>
    <row r="1183" spans="1:13">
      <c r="A1183" s="540">
        <v>44904</v>
      </c>
      <c r="B1183" s="31" t="s">
        <v>5685</v>
      </c>
      <c r="C1183" s="31" t="s">
        <v>8929</v>
      </c>
      <c r="D1183" s="31" t="s">
        <v>7543</v>
      </c>
      <c r="E1183" s="31" t="s">
        <v>10026</v>
      </c>
      <c r="F1183" s="31" t="s">
        <v>10355</v>
      </c>
      <c r="G1183" s="31"/>
      <c r="H1183" s="31"/>
      <c r="I1183" s="31"/>
      <c r="J1183" s="31"/>
      <c r="K1183" s="31"/>
      <c r="L1183" s="31"/>
      <c r="M1183" s="31"/>
    </row>
    <row r="1184" spans="1:13">
      <c r="A1184" s="540">
        <v>44904</v>
      </c>
      <c r="B1184" s="31" t="s">
        <v>3945</v>
      </c>
      <c r="C1184" s="31" t="s">
        <v>8929</v>
      </c>
      <c r="D1184" s="31" t="s">
        <v>7543</v>
      </c>
      <c r="E1184" s="31" t="s">
        <v>10026</v>
      </c>
      <c r="F1184" s="31" t="s">
        <v>10268</v>
      </c>
      <c r="G1184" s="31"/>
      <c r="H1184" s="31"/>
      <c r="I1184" s="31"/>
      <c r="J1184" s="31"/>
      <c r="K1184" s="31"/>
      <c r="L1184" s="31"/>
      <c r="M1184" s="31"/>
    </row>
    <row r="1185" spans="1:13">
      <c r="A1185" s="540">
        <v>44904</v>
      </c>
      <c r="B1185" s="31" t="s">
        <v>10356</v>
      </c>
      <c r="C1185" s="31" t="s">
        <v>8929</v>
      </c>
      <c r="D1185" s="31" t="s">
        <v>7543</v>
      </c>
      <c r="E1185" s="31" t="s">
        <v>10011</v>
      </c>
      <c r="F1185" s="31" t="s">
        <v>10268</v>
      </c>
      <c r="G1185" s="31"/>
      <c r="H1185" s="31"/>
      <c r="I1185" s="31"/>
      <c r="J1185" s="31"/>
      <c r="K1185" s="31"/>
      <c r="L1185" s="31"/>
      <c r="M1185" s="31"/>
    </row>
    <row r="1186" spans="1:13">
      <c r="A1186" s="540">
        <v>44904</v>
      </c>
      <c r="B1186" s="31" t="s">
        <v>10356</v>
      </c>
      <c r="C1186" s="31" t="s">
        <v>8929</v>
      </c>
      <c r="D1186" s="31" t="s">
        <v>7543</v>
      </c>
      <c r="E1186" s="31" t="s">
        <v>10011</v>
      </c>
      <c r="F1186" s="31" t="s">
        <v>10268</v>
      </c>
      <c r="G1186" s="31"/>
      <c r="H1186" s="31"/>
      <c r="I1186" s="31"/>
      <c r="J1186" s="31"/>
      <c r="K1186" s="31"/>
      <c r="L1186" s="31"/>
      <c r="M1186" s="31"/>
    </row>
    <row r="1187" spans="1:13">
      <c r="A1187" s="540">
        <v>44904</v>
      </c>
      <c r="B1187" s="31" t="s">
        <v>5691</v>
      </c>
      <c r="C1187" s="31" t="s">
        <v>8929</v>
      </c>
      <c r="D1187" s="31" t="s">
        <v>7543</v>
      </c>
      <c r="E1187" s="31" t="s">
        <v>10011</v>
      </c>
      <c r="F1187" s="31" t="s">
        <v>10268</v>
      </c>
      <c r="G1187" s="31"/>
      <c r="H1187" s="31"/>
      <c r="I1187" s="31"/>
      <c r="J1187" s="31"/>
      <c r="K1187" s="31"/>
      <c r="L1187" s="31"/>
      <c r="M1187" s="31"/>
    </row>
    <row r="1188" spans="1:13">
      <c r="A1188" s="548" t="s">
        <v>10357</v>
      </c>
      <c r="B1188" s="31" t="s">
        <v>3205</v>
      </c>
      <c r="C1188" s="31" t="s">
        <v>8929</v>
      </c>
      <c r="D1188" s="31" t="s">
        <v>7543</v>
      </c>
      <c r="E1188" s="31" t="s">
        <v>10314</v>
      </c>
      <c r="F1188" s="31" t="s">
        <v>10268</v>
      </c>
      <c r="G1188" s="31"/>
      <c r="H1188" s="31"/>
      <c r="I1188" s="31"/>
      <c r="J1188" s="31"/>
      <c r="K1188" s="31"/>
      <c r="L1188" s="31"/>
      <c r="M1188" s="31"/>
    </row>
    <row r="1189" spans="1:13">
      <c r="A1189" s="548" t="s">
        <v>10357</v>
      </c>
      <c r="B1189" s="31" t="s">
        <v>5487</v>
      </c>
      <c r="C1189" s="31" t="s">
        <v>8929</v>
      </c>
      <c r="D1189" s="31" t="s">
        <v>7543</v>
      </c>
      <c r="E1189" s="31" t="s">
        <v>10289</v>
      </c>
      <c r="F1189" s="31" t="s">
        <v>10268</v>
      </c>
      <c r="G1189" s="31"/>
      <c r="H1189" s="31"/>
      <c r="I1189" s="31"/>
      <c r="J1189" s="31"/>
      <c r="K1189" s="31"/>
      <c r="L1189" s="31"/>
      <c r="M1189" s="31"/>
    </row>
    <row r="1190" spans="1:13">
      <c r="A1190" s="548" t="s">
        <v>10357</v>
      </c>
      <c r="B1190" s="31" t="s">
        <v>5693</v>
      </c>
      <c r="C1190" s="31" t="s">
        <v>8929</v>
      </c>
      <c r="D1190" s="31" t="s">
        <v>7543</v>
      </c>
      <c r="E1190" s="31" t="s">
        <v>10289</v>
      </c>
      <c r="F1190" s="31" t="s">
        <v>10268</v>
      </c>
      <c r="G1190" s="31"/>
      <c r="H1190" s="31"/>
      <c r="I1190" s="31"/>
      <c r="J1190" s="31"/>
      <c r="K1190" s="31"/>
      <c r="L1190" s="31"/>
      <c r="M1190" s="31"/>
    </row>
    <row r="1191" spans="1:13">
      <c r="A1191" s="548" t="s">
        <v>10357</v>
      </c>
      <c r="B1191" s="31" t="s">
        <v>10358</v>
      </c>
      <c r="C1191" s="31" t="s">
        <v>8929</v>
      </c>
      <c r="D1191" s="31" t="s">
        <v>7543</v>
      </c>
      <c r="E1191" s="31" t="s">
        <v>10026</v>
      </c>
      <c r="F1191" s="31" t="s">
        <v>10359</v>
      </c>
      <c r="G1191" s="31"/>
      <c r="H1191" s="31"/>
      <c r="I1191" s="31"/>
      <c r="J1191" s="31"/>
      <c r="K1191" s="31"/>
      <c r="L1191" s="31"/>
      <c r="M1191" s="31"/>
    </row>
    <row r="1192" spans="1:13">
      <c r="A1192" s="540" t="s">
        <v>10360</v>
      </c>
      <c r="B1192" s="31" t="s">
        <v>10361</v>
      </c>
      <c r="C1192" s="31" t="s">
        <v>8929</v>
      </c>
      <c r="D1192" s="31" t="s">
        <v>7543</v>
      </c>
      <c r="E1192" s="31" t="s">
        <v>10026</v>
      </c>
      <c r="F1192" s="31" t="s">
        <v>10268</v>
      </c>
      <c r="G1192" s="31"/>
      <c r="H1192" s="31"/>
      <c r="I1192" s="31"/>
      <c r="J1192" s="31"/>
      <c r="K1192" s="31"/>
      <c r="L1192" s="31"/>
      <c r="M1192" s="31"/>
    </row>
    <row r="1193" spans="1:13">
      <c r="A1193" s="540" t="s">
        <v>10360</v>
      </c>
      <c r="B1193" s="31" t="s">
        <v>10362</v>
      </c>
      <c r="C1193" s="31" t="s">
        <v>8929</v>
      </c>
      <c r="D1193" s="31" t="s">
        <v>7543</v>
      </c>
      <c r="E1193" s="31" t="s">
        <v>10314</v>
      </c>
      <c r="F1193" s="31" t="s">
        <v>10268</v>
      </c>
      <c r="G1193" s="31"/>
      <c r="H1193" s="31"/>
      <c r="I1193" s="31"/>
      <c r="J1193" s="31"/>
      <c r="K1193" s="31"/>
      <c r="L1193" s="31"/>
      <c r="M1193" s="31"/>
    </row>
    <row r="1194" spans="1:13">
      <c r="A1194" s="540" t="s">
        <v>10360</v>
      </c>
      <c r="B1194" s="31" t="s">
        <v>3061</v>
      </c>
      <c r="C1194" s="31" t="s">
        <v>8929</v>
      </c>
      <c r="D1194" s="31" t="s">
        <v>7543</v>
      </c>
      <c r="E1194" s="31" t="s">
        <v>10098</v>
      </c>
      <c r="F1194" s="31" t="s">
        <v>10268</v>
      </c>
      <c r="G1194" s="31"/>
      <c r="H1194" s="31"/>
      <c r="I1194" s="31"/>
      <c r="J1194" s="31"/>
      <c r="K1194" s="31"/>
      <c r="L1194" s="31"/>
      <c r="M1194" s="31"/>
    </row>
    <row r="1195" spans="1:13">
      <c r="A1195" s="540" t="s">
        <v>10363</v>
      </c>
      <c r="B1195" s="31" t="s">
        <v>10364</v>
      </c>
      <c r="C1195" s="31" t="s">
        <v>8929</v>
      </c>
      <c r="D1195" s="31" t="s">
        <v>7543</v>
      </c>
      <c r="E1195" s="31" t="s">
        <v>10225</v>
      </c>
      <c r="F1195" s="31" t="s">
        <v>10268</v>
      </c>
      <c r="G1195" s="31"/>
      <c r="H1195" s="31"/>
      <c r="I1195" s="31"/>
      <c r="J1195" s="31"/>
      <c r="K1195" s="31"/>
      <c r="L1195" s="31"/>
      <c r="M1195" s="31"/>
    </row>
    <row r="1196" spans="1:13">
      <c r="A1196" s="540" t="s">
        <v>10365</v>
      </c>
      <c r="B1196" s="84" t="s">
        <v>10366</v>
      </c>
      <c r="C1196" s="31" t="s">
        <v>8929</v>
      </c>
      <c r="D1196" s="31" t="s">
        <v>7543</v>
      </c>
      <c r="E1196" s="31" t="s">
        <v>10011</v>
      </c>
      <c r="F1196" s="31" t="s">
        <v>278</v>
      </c>
      <c r="G1196" s="31"/>
      <c r="H1196" s="31"/>
      <c r="I1196" s="31"/>
      <c r="J1196" s="31"/>
      <c r="K1196" s="31"/>
      <c r="L1196" s="31"/>
      <c r="M1196" s="31"/>
    </row>
    <row r="1197" spans="1:13">
      <c r="A1197" s="535" t="s">
        <v>10365</v>
      </c>
      <c r="B1197" s="31" t="s">
        <v>10367</v>
      </c>
      <c r="C1197" s="31" t="s">
        <v>8929</v>
      </c>
      <c r="D1197" s="31" t="s">
        <v>7543</v>
      </c>
      <c r="E1197" s="31" t="s">
        <v>10011</v>
      </c>
      <c r="F1197" s="31" t="s">
        <v>10268</v>
      </c>
      <c r="G1197" s="31"/>
      <c r="H1197" s="31"/>
      <c r="I1197" s="31"/>
      <c r="J1197" s="31"/>
      <c r="K1197" s="31"/>
      <c r="L1197" s="31"/>
      <c r="M1197" s="31"/>
    </row>
    <row r="1198" spans="1:13">
      <c r="A1198" s="535" t="s">
        <v>10368</v>
      </c>
      <c r="B1198" s="31" t="s">
        <v>3389</v>
      </c>
      <c r="C1198" s="31" t="s">
        <v>8929</v>
      </c>
      <c r="D1198" s="31" t="s">
        <v>7543</v>
      </c>
      <c r="E1198" s="31" t="s">
        <v>10314</v>
      </c>
      <c r="F1198" s="31" t="s">
        <v>10268</v>
      </c>
      <c r="G1198" s="31"/>
      <c r="H1198" s="31"/>
      <c r="I1198" s="31"/>
      <c r="J1198" s="31"/>
      <c r="K1198" s="31"/>
      <c r="L1198" s="31"/>
      <c r="M1198" s="31"/>
    </row>
    <row r="1199" spans="1:13">
      <c r="A1199" s="535" t="s">
        <v>10369</v>
      </c>
      <c r="B1199" s="31" t="s">
        <v>10370</v>
      </c>
      <c r="C1199" s="31" t="s">
        <v>8929</v>
      </c>
      <c r="D1199" s="31" t="s">
        <v>7543</v>
      </c>
      <c r="E1199" s="31" t="s">
        <v>10314</v>
      </c>
      <c r="F1199" s="31" t="s">
        <v>10296</v>
      </c>
      <c r="G1199" s="31"/>
      <c r="H1199" s="31"/>
      <c r="I1199" s="31"/>
      <c r="J1199" s="31"/>
      <c r="K1199" s="31"/>
      <c r="L1199" s="31"/>
      <c r="M1199" s="31"/>
    </row>
    <row r="1200" spans="1:13">
      <c r="A1200" s="535" t="s">
        <v>10368</v>
      </c>
      <c r="B1200" s="31" t="s">
        <v>10371</v>
      </c>
      <c r="C1200" s="31" t="s">
        <v>8929</v>
      </c>
      <c r="D1200" s="31" t="s">
        <v>7543</v>
      </c>
      <c r="E1200" s="31" t="s">
        <v>10314</v>
      </c>
      <c r="F1200" s="31" t="s">
        <v>10268</v>
      </c>
      <c r="G1200" s="31"/>
      <c r="H1200" s="31"/>
      <c r="I1200" s="31"/>
      <c r="J1200" s="31"/>
      <c r="K1200" s="31"/>
      <c r="L1200" s="31"/>
      <c r="M1200" s="31"/>
    </row>
    <row r="1201" spans="1:13">
      <c r="A1201" s="535" t="s">
        <v>10372</v>
      </c>
      <c r="B1201" s="31" t="s">
        <v>5702</v>
      </c>
      <c r="C1201" s="31" t="s">
        <v>8929</v>
      </c>
      <c r="D1201" s="31" t="s">
        <v>7543</v>
      </c>
      <c r="E1201" s="31" t="s">
        <v>10289</v>
      </c>
      <c r="F1201" s="31" t="s">
        <v>10373</v>
      </c>
      <c r="G1201" s="31"/>
      <c r="H1201" s="31"/>
      <c r="I1201" s="31"/>
      <c r="J1201" s="31"/>
      <c r="K1201" s="31"/>
      <c r="L1201" s="31"/>
      <c r="M1201" s="31"/>
    </row>
    <row r="1202" spans="1:13">
      <c r="A1202" s="535" t="s">
        <v>10372</v>
      </c>
      <c r="B1202" s="31" t="s">
        <v>5704</v>
      </c>
      <c r="C1202" s="31" t="s">
        <v>8929</v>
      </c>
      <c r="D1202" s="31" t="s">
        <v>7543</v>
      </c>
      <c r="E1202" s="31" t="s">
        <v>10289</v>
      </c>
      <c r="F1202" s="31" t="s">
        <v>10329</v>
      </c>
      <c r="G1202" s="31"/>
      <c r="H1202" s="31"/>
      <c r="I1202" s="31"/>
      <c r="J1202" s="31"/>
      <c r="K1202" s="31"/>
      <c r="L1202" s="31"/>
      <c r="M1202" s="31"/>
    </row>
    <row r="1203" spans="1:13">
      <c r="A1203" s="535" t="s">
        <v>10372</v>
      </c>
      <c r="B1203" s="31" t="s">
        <v>2888</v>
      </c>
      <c r="C1203" s="31" t="s">
        <v>8929</v>
      </c>
      <c r="D1203" s="31" t="s">
        <v>7543</v>
      </c>
      <c r="E1203" s="31" t="s">
        <v>10289</v>
      </c>
      <c r="F1203" s="31" t="s">
        <v>10291</v>
      </c>
      <c r="G1203" s="31"/>
      <c r="H1203" s="31"/>
      <c r="I1203" s="31"/>
      <c r="J1203" s="31"/>
      <c r="K1203" s="31"/>
      <c r="L1203" s="31"/>
      <c r="M1203" s="31"/>
    </row>
    <row r="1204" spans="1:13">
      <c r="A1204" s="535" t="s">
        <v>10374</v>
      </c>
      <c r="B1204" s="31" t="s">
        <v>10375</v>
      </c>
      <c r="C1204" s="31" t="s">
        <v>8929</v>
      </c>
      <c r="D1204" s="31" t="s">
        <v>7543</v>
      </c>
      <c r="E1204" s="31" t="s">
        <v>10026</v>
      </c>
      <c r="F1204" s="31" t="s">
        <v>10268</v>
      </c>
      <c r="G1204" s="31"/>
      <c r="H1204" s="31"/>
      <c r="I1204" s="31"/>
      <c r="J1204" s="31"/>
      <c r="K1204" s="31"/>
      <c r="L1204" s="31"/>
      <c r="M1204" s="31"/>
    </row>
    <row r="1205" spans="1:13">
      <c r="A1205" s="535" t="s">
        <v>10376</v>
      </c>
      <c r="B1205" s="31" t="s">
        <v>3362</v>
      </c>
      <c r="C1205" s="31" t="s">
        <v>8929</v>
      </c>
      <c r="D1205" s="31" t="s">
        <v>7543</v>
      </c>
      <c r="E1205" s="31" t="s">
        <v>10011</v>
      </c>
      <c r="F1205" s="31" t="s">
        <v>10268</v>
      </c>
      <c r="G1205" s="31"/>
      <c r="H1205" s="31"/>
      <c r="I1205" s="31"/>
      <c r="J1205" s="31"/>
      <c r="K1205" s="31"/>
      <c r="L1205" s="31"/>
      <c r="M1205" s="31"/>
    </row>
    <row r="1206" spans="1:13">
      <c r="A1206" s="535" t="s">
        <v>10376</v>
      </c>
      <c r="B1206" s="31" t="s">
        <v>2280</v>
      </c>
      <c r="C1206" s="31" t="s">
        <v>8929</v>
      </c>
      <c r="D1206" s="31" t="s">
        <v>7543</v>
      </c>
      <c r="E1206" s="31" t="s">
        <v>10011</v>
      </c>
      <c r="F1206" s="31" t="s">
        <v>10296</v>
      </c>
      <c r="G1206" s="31"/>
      <c r="H1206" s="31"/>
      <c r="I1206" s="31"/>
      <c r="J1206" s="31"/>
      <c r="K1206" s="31"/>
      <c r="L1206" s="31"/>
      <c r="M1206" s="31"/>
    </row>
    <row r="1207" spans="1:13">
      <c r="A1207" s="535" t="s">
        <v>10376</v>
      </c>
      <c r="B1207" s="31" t="s">
        <v>10377</v>
      </c>
      <c r="C1207" s="31" t="s">
        <v>8929</v>
      </c>
      <c r="D1207" s="31" t="s">
        <v>7543</v>
      </c>
      <c r="E1207" s="31" t="s">
        <v>10011</v>
      </c>
      <c r="F1207" s="31" t="s">
        <v>10268</v>
      </c>
      <c r="G1207" s="31"/>
      <c r="H1207" s="31"/>
      <c r="I1207" s="31"/>
      <c r="J1207" s="31"/>
      <c r="K1207" s="31"/>
      <c r="L1207" s="31"/>
      <c r="M1207" s="31"/>
    </row>
    <row r="1208" spans="1:13">
      <c r="A1208" s="535" t="s">
        <v>10376</v>
      </c>
      <c r="B1208" s="31" t="s">
        <v>3425</v>
      </c>
      <c r="C1208" s="31" t="s">
        <v>8929</v>
      </c>
      <c r="D1208" s="31" t="s">
        <v>7543</v>
      </c>
      <c r="E1208" s="31" t="s">
        <v>10007</v>
      </c>
      <c r="F1208" s="31" t="s">
        <v>10268</v>
      </c>
      <c r="G1208" s="31"/>
      <c r="H1208" s="31"/>
      <c r="I1208" s="31"/>
      <c r="J1208" s="31"/>
      <c r="K1208" s="31"/>
      <c r="L1208" s="31"/>
      <c r="M1208" s="31"/>
    </row>
    <row r="1209" spans="1:13">
      <c r="A1209" s="535" t="s">
        <v>10376</v>
      </c>
      <c r="B1209" s="31" t="s">
        <v>10378</v>
      </c>
      <c r="C1209" s="31" t="s">
        <v>8929</v>
      </c>
      <c r="D1209" s="31" t="s">
        <v>7543</v>
      </c>
      <c r="E1209" s="31" t="s">
        <v>10098</v>
      </c>
      <c r="F1209" s="31" t="s">
        <v>10379</v>
      </c>
      <c r="G1209" s="31"/>
      <c r="H1209" s="31"/>
      <c r="I1209" s="31"/>
      <c r="J1209" s="31"/>
      <c r="K1209" s="31"/>
      <c r="L1209" s="31"/>
      <c r="M1209" s="31"/>
    </row>
    <row r="1210" spans="1:13">
      <c r="A1210" s="535" t="s">
        <v>10380</v>
      </c>
      <c r="B1210" s="31" t="s">
        <v>5707</v>
      </c>
      <c r="C1210" s="31" t="s">
        <v>8929</v>
      </c>
      <c r="D1210" s="31" t="s">
        <v>7543</v>
      </c>
      <c r="E1210" s="31" t="s">
        <v>10314</v>
      </c>
      <c r="F1210" s="31" t="s">
        <v>10373</v>
      </c>
      <c r="G1210" s="31"/>
      <c r="H1210" s="31"/>
      <c r="I1210" s="31"/>
      <c r="J1210" s="31"/>
      <c r="K1210" s="31"/>
      <c r="L1210" s="31"/>
      <c r="M1210" s="31"/>
    </row>
    <row r="1211" spans="1:13">
      <c r="A1211" s="535" t="s">
        <v>10380</v>
      </c>
      <c r="B1211" s="31" t="s">
        <v>10381</v>
      </c>
      <c r="C1211" s="31" t="s">
        <v>8929</v>
      </c>
      <c r="D1211" s="31" t="s">
        <v>7543</v>
      </c>
      <c r="E1211" s="31" t="s">
        <v>10314</v>
      </c>
      <c r="F1211" s="31" t="s">
        <v>10268</v>
      </c>
      <c r="G1211" s="31"/>
      <c r="H1211" s="31"/>
      <c r="I1211" s="31"/>
      <c r="J1211" s="31"/>
      <c r="K1211" s="31"/>
      <c r="L1211" s="31"/>
      <c r="M1211" s="31"/>
    </row>
    <row r="1212" spans="1:13">
      <c r="A1212" s="545"/>
      <c r="B1212" s="421" t="s">
        <v>4357</v>
      </c>
      <c r="C1212" s="149"/>
      <c r="D1212" s="149"/>
      <c r="E1212" s="149"/>
      <c r="F1212" s="149"/>
      <c r="G1212" s="149"/>
      <c r="H1212" s="143"/>
      <c r="I1212" s="31"/>
      <c r="J1212" s="31"/>
      <c r="K1212" s="31"/>
      <c r="L1212" s="31"/>
      <c r="M1212" s="31"/>
    </row>
    <row r="1213" spans="1:13">
      <c r="A1213" s="535">
        <v>44837</v>
      </c>
      <c r="B1213" s="149" t="s">
        <v>5709</v>
      </c>
      <c r="C1213" s="149" t="s">
        <v>8929</v>
      </c>
      <c r="D1213" s="149" t="s">
        <v>4357</v>
      </c>
      <c r="E1213" s="149" t="s">
        <v>10289</v>
      </c>
      <c r="F1213" s="149" t="s">
        <v>10382</v>
      </c>
      <c r="G1213" s="149"/>
      <c r="H1213" s="149"/>
      <c r="I1213" s="149"/>
      <c r="J1213" s="149"/>
      <c r="K1213" s="149"/>
      <c r="L1213" s="149"/>
      <c r="M1213" s="149"/>
    </row>
    <row r="1214" spans="1:13">
      <c r="A1214" s="535">
        <v>44837</v>
      </c>
      <c r="B1214" s="149" t="s">
        <v>5711</v>
      </c>
      <c r="C1214" s="149" t="s">
        <v>8929</v>
      </c>
      <c r="D1214" s="149" t="s">
        <v>4357</v>
      </c>
      <c r="E1214" s="149" t="s">
        <v>10026</v>
      </c>
      <c r="F1214" s="149" t="s">
        <v>10268</v>
      </c>
      <c r="G1214" s="149"/>
      <c r="H1214" s="149"/>
      <c r="I1214" s="149"/>
      <c r="J1214" s="149"/>
      <c r="K1214" s="149"/>
      <c r="L1214" s="149"/>
      <c r="M1214" s="149"/>
    </row>
    <row r="1215" spans="1:13">
      <c r="A1215" s="535">
        <v>44838</v>
      </c>
      <c r="B1215" s="149" t="s">
        <v>3432</v>
      </c>
      <c r="C1215" s="149" t="s">
        <v>8929</v>
      </c>
      <c r="D1215" s="149" t="s">
        <v>4357</v>
      </c>
      <c r="E1215" s="149" t="s">
        <v>10314</v>
      </c>
      <c r="F1215" s="149" t="s">
        <v>10382</v>
      </c>
      <c r="G1215" s="149"/>
      <c r="H1215" s="149"/>
      <c r="I1215" s="149"/>
      <c r="J1215" s="149"/>
      <c r="K1215" s="149"/>
      <c r="L1215" s="149"/>
      <c r="M1215" s="149"/>
    </row>
    <row r="1216" spans="1:13">
      <c r="A1216" s="503">
        <v>44839</v>
      </c>
      <c r="B1216" s="149" t="s">
        <v>5712</v>
      </c>
      <c r="C1216" s="149" t="s">
        <v>8929</v>
      </c>
      <c r="D1216" s="149" t="s">
        <v>4357</v>
      </c>
      <c r="E1216" s="149" t="s">
        <v>10011</v>
      </c>
      <c r="F1216" s="149" t="s">
        <v>10383</v>
      </c>
      <c r="G1216" s="149"/>
      <c r="H1216" s="149"/>
      <c r="I1216" s="149"/>
      <c r="J1216" s="149"/>
      <c r="K1216" s="149"/>
      <c r="L1216" s="149"/>
      <c r="M1216" s="149"/>
    </row>
    <row r="1217" spans="1:13">
      <c r="A1217" s="503">
        <v>44839</v>
      </c>
      <c r="B1217" s="149" t="s">
        <v>5714</v>
      </c>
      <c r="C1217" s="149" t="s">
        <v>8929</v>
      </c>
      <c r="D1217" s="149" t="s">
        <v>4357</v>
      </c>
      <c r="E1217" s="149" t="s">
        <v>10007</v>
      </c>
      <c r="F1217" s="149" t="s">
        <v>10268</v>
      </c>
      <c r="G1217" s="149"/>
      <c r="H1217" s="149"/>
      <c r="I1217" s="149"/>
      <c r="J1217" s="149"/>
      <c r="K1217" s="149"/>
      <c r="L1217" s="149"/>
      <c r="M1217" s="149"/>
    </row>
    <row r="1218" spans="1:13">
      <c r="A1218" s="503">
        <v>44841</v>
      </c>
      <c r="B1218" s="149" t="s">
        <v>10384</v>
      </c>
      <c r="C1218" s="149" t="s">
        <v>8929</v>
      </c>
      <c r="D1218" s="149" t="s">
        <v>4357</v>
      </c>
      <c r="E1218" s="149" t="s">
        <v>10314</v>
      </c>
      <c r="F1218" s="149" t="s">
        <v>10268</v>
      </c>
      <c r="G1218" s="149"/>
      <c r="H1218" s="149"/>
      <c r="I1218" s="149"/>
      <c r="J1218" s="149"/>
      <c r="K1218" s="149"/>
      <c r="L1218" s="149"/>
      <c r="M1218" s="149"/>
    </row>
    <row r="1219" spans="1:13">
      <c r="A1219" s="503">
        <v>44841</v>
      </c>
      <c r="B1219" s="149" t="s">
        <v>3103</v>
      </c>
      <c r="C1219" s="149" t="s">
        <v>8929</v>
      </c>
      <c r="D1219" s="149" t="s">
        <v>4357</v>
      </c>
      <c r="E1219" s="149" t="s">
        <v>10289</v>
      </c>
      <c r="F1219" s="149" t="s">
        <v>10268</v>
      </c>
      <c r="G1219" s="149"/>
      <c r="H1219" s="149"/>
      <c r="I1219" s="149"/>
      <c r="J1219" s="149"/>
      <c r="K1219" s="149"/>
      <c r="L1219" s="149"/>
      <c r="M1219" s="149"/>
    </row>
    <row r="1220" spans="1:13">
      <c r="A1220" s="503">
        <v>44844</v>
      </c>
      <c r="B1220" s="149" t="s">
        <v>5691</v>
      </c>
      <c r="C1220" s="149" t="s">
        <v>8929</v>
      </c>
      <c r="D1220" s="149" t="s">
        <v>4357</v>
      </c>
      <c r="E1220" s="149" t="s">
        <v>10289</v>
      </c>
      <c r="F1220" s="149" t="s">
        <v>10296</v>
      </c>
      <c r="G1220" s="149"/>
      <c r="H1220" s="149"/>
      <c r="I1220" s="149"/>
      <c r="J1220" s="149"/>
      <c r="K1220" s="149"/>
      <c r="L1220" s="149"/>
      <c r="M1220" s="149"/>
    </row>
    <row r="1221" spans="1:13">
      <c r="A1221" s="503">
        <v>44844</v>
      </c>
      <c r="B1221" s="149" t="s">
        <v>5718</v>
      </c>
      <c r="C1221" s="149" t="s">
        <v>8929</v>
      </c>
      <c r="D1221" s="149" t="s">
        <v>4357</v>
      </c>
      <c r="E1221" s="149" t="s">
        <v>10225</v>
      </c>
      <c r="F1221" s="149" t="s">
        <v>10268</v>
      </c>
      <c r="G1221" s="149"/>
      <c r="H1221" s="149"/>
      <c r="I1221" s="149"/>
      <c r="J1221" s="149"/>
      <c r="K1221" s="149"/>
      <c r="L1221" s="149"/>
      <c r="M1221" s="149"/>
    </row>
    <row r="1222" spans="1:13">
      <c r="A1222" s="503">
        <v>44845</v>
      </c>
      <c r="B1222" s="149" t="s">
        <v>10385</v>
      </c>
      <c r="C1222" s="149" t="s">
        <v>8929</v>
      </c>
      <c r="D1222" s="149" t="s">
        <v>4357</v>
      </c>
      <c r="E1222" s="149" t="s">
        <v>10007</v>
      </c>
      <c r="F1222" s="149" t="s">
        <v>10268</v>
      </c>
      <c r="G1222" s="149"/>
      <c r="H1222" s="149"/>
      <c r="I1222" s="149"/>
      <c r="J1222" s="149"/>
      <c r="K1222" s="149"/>
      <c r="L1222" s="149"/>
      <c r="M1222" s="149"/>
    </row>
    <row r="1223" spans="1:13">
      <c r="A1223" s="503">
        <v>44847</v>
      </c>
      <c r="B1223" s="149" t="s">
        <v>10386</v>
      </c>
      <c r="C1223" s="149" t="s">
        <v>8929</v>
      </c>
      <c r="D1223" s="149" t="s">
        <v>4357</v>
      </c>
      <c r="E1223" s="149" t="s">
        <v>10314</v>
      </c>
      <c r="F1223" s="149" t="s">
        <v>10268</v>
      </c>
      <c r="G1223" s="149"/>
      <c r="H1223" s="149"/>
      <c r="I1223" s="149"/>
      <c r="J1223" s="149"/>
      <c r="K1223" s="149"/>
      <c r="L1223" s="149"/>
      <c r="M1223" s="149"/>
    </row>
    <row r="1224" spans="1:13">
      <c r="A1224" s="537">
        <v>44847</v>
      </c>
      <c r="B1224" s="283" t="s">
        <v>3241</v>
      </c>
      <c r="C1224" s="149" t="s">
        <v>8929</v>
      </c>
      <c r="D1224" s="149" t="s">
        <v>4357</v>
      </c>
      <c r="E1224" s="149" t="s">
        <v>10314</v>
      </c>
      <c r="F1224" s="149" t="s">
        <v>10382</v>
      </c>
      <c r="G1224" s="149"/>
      <c r="H1224" s="149"/>
      <c r="I1224" s="149"/>
      <c r="J1224" s="149"/>
      <c r="K1224" s="149"/>
      <c r="L1224" s="149"/>
      <c r="M1224" s="149"/>
    </row>
    <row r="1225" spans="1:13">
      <c r="A1225" s="503">
        <v>44848</v>
      </c>
      <c r="B1225" s="149" t="s">
        <v>3976</v>
      </c>
      <c r="C1225" s="149" t="s">
        <v>8929</v>
      </c>
      <c r="D1225" s="149" t="s">
        <v>4357</v>
      </c>
      <c r="E1225" s="149" t="s">
        <v>10289</v>
      </c>
      <c r="F1225" s="149" t="s">
        <v>10296</v>
      </c>
      <c r="G1225" s="149"/>
      <c r="H1225" s="149"/>
      <c r="I1225" s="149"/>
      <c r="J1225" s="149"/>
      <c r="K1225" s="149"/>
      <c r="L1225" s="149"/>
      <c r="M1225" s="149"/>
    </row>
    <row r="1226" spans="1:13">
      <c r="A1226" s="503">
        <v>44851</v>
      </c>
      <c r="B1226" s="149" t="s">
        <v>10387</v>
      </c>
      <c r="C1226" s="149" t="s">
        <v>8929</v>
      </c>
      <c r="D1226" s="149" t="s">
        <v>4357</v>
      </c>
      <c r="E1226" s="149" t="s">
        <v>10026</v>
      </c>
      <c r="F1226" s="149" t="s">
        <v>10268</v>
      </c>
      <c r="G1226" s="149"/>
      <c r="H1226" s="149"/>
      <c r="I1226" s="149"/>
      <c r="J1226" s="149"/>
      <c r="K1226" s="149"/>
      <c r="L1226" s="149"/>
      <c r="M1226" s="149"/>
    </row>
    <row r="1227" spans="1:13">
      <c r="A1227" s="549">
        <v>44851</v>
      </c>
      <c r="B1227" s="149" t="s">
        <v>10388</v>
      </c>
      <c r="C1227" s="149" t="s">
        <v>8929</v>
      </c>
      <c r="D1227" s="149" t="s">
        <v>4357</v>
      </c>
      <c r="E1227" s="149" t="s">
        <v>10011</v>
      </c>
      <c r="F1227" s="149" t="s">
        <v>10268</v>
      </c>
      <c r="G1227" s="149"/>
      <c r="H1227" s="149"/>
      <c r="I1227" s="149"/>
      <c r="J1227" s="149"/>
      <c r="K1227" s="149"/>
      <c r="L1227" s="149"/>
      <c r="M1227" s="149"/>
    </row>
    <row r="1228" spans="1:13">
      <c r="A1228" s="550">
        <v>44852</v>
      </c>
      <c r="B1228" s="108" t="s">
        <v>5726</v>
      </c>
      <c r="C1228" s="149" t="s">
        <v>8929</v>
      </c>
      <c r="D1228" s="149" t="s">
        <v>4357</v>
      </c>
      <c r="E1228" s="149" t="s">
        <v>10011</v>
      </c>
      <c r="F1228" s="108" t="s">
        <v>278</v>
      </c>
      <c r="G1228" s="149"/>
      <c r="H1228" s="149"/>
      <c r="I1228" s="149"/>
      <c r="J1228" s="149"/>
      <c r="K1228" s="149"/>
      <c r="L1228" s="149"/>
      <c r="M1228" s="149"/>
    </row>
    <row r="1229" spans="1:13">
      <c r="A1229" s="503">
        <v>44853</v>
      </c>
      <c r="B1229" s="149" t="s">
        <v>5730</v>
      </c>
      <c r="C1229" s="149" t="s">
        <v>8929</v>
      </c>
      <c r="D1229" s="149" t="s">
        <v>4357</v>
      </c>
      <c r="E1229" s="149" t="s">
        <v>10389</v>
      </c>
      <c r="F1229" s="149" t="s">
        <v>10390</v>
      </c>
      <c r="G1229" s="149"/>
      <c r="H1229" s="149"/>
      <c r="I1229" s="149"/>
      <c r="J1229" s="149"/>
      <c r="K1229" s="149"/>
      <c r="L1229" s="149"/>
      <c r="M1229" s="149"/>
    </row>
    <row r="1230" spans="1:13">
      <c r="A1230" s="503">
        <v>44853</v>
      </c>
      <c r="B1230" s="149" t="s">
        <v>10391</v>
      </c>
      <c r="C1230" s="149" t="s">
        <v>8929</v>
      </c>
      <c r="D1230" s="149" t="s">
        <v>4357</v>
      </c>
      <c r="E1230" s="149" t="s">
        <v>10011</v>
      </c>
      <c r="F1230" s="149" t="s">
        <v>10268</v>
      </c>
      <c r="G1230" s="149"/>
      <c r="H1230" s="149"/>
      <c r="I1230" s="149"/>
      <c r="J1230" s="149"/>
      <c r="K1230" s="149"/>
      <c r="L1230" s="149"/>
      <c r="M1230" s="149"/>
    </row>
    <row r="1231" spans="1:13">
      <c r="A1231" s="503">
        <v>44854</v>
      </c>
      <c r="B1231" s="149" t="s">
        <v>10392</v>
      </c>
      <c r="C1231" s="149" t="s">
        <v>8929</v>
      </c>
      <c r="D1231" s="149" t="s">
        <v>4357</v>
      </c>
      <c r="E1231" s="149" t="s">
        <v>10289</v>
      </c>
      <c r="F1231" s="149" t="s">
        <v>10382</v>
      </c>
      <c r="G1231" s="149"/>
      <c r="H1231" s="149"/>
      <c r="I1231" s="149"/>
      <c r="J1231" s="149"/>
      <c r="K1231" s="149"/>
      <c r="L1231" s="149"/>
      <c r="M1231" s="149"/>
    </row>
    <row r="1232" spans="1:13">
      <c r="A1232" s="503">
        <v>44855</v>
      </c>
      <c r="B1232" s="149" t="s">
        <v>3513</v>
      </c>
      <c r="C1232" s="149" t="s">
        <v>8929</v>
      </c>
      <c r="D1232" s="149" t="s">
        <v>4357</v>
      </c>
      <c r="E1232" s="149" t="s">
        <v>10289</v>
      </c>
      <c r="F1232" s="149" t="s">
        <v>10393</v>
      </c>
      <c r="G1232" s="149"/>
      <c r="H1232" s="149"/>
      <c r="I1232" s="149"/>
      <c r="J1232" s="149"/>
      <c r="K1232" s="149"/>
      <c r="L1232" s="149"/>
      <c r="M1232" s="149"/>
    </row>
    <row r="1233" spans="1:13">
      <c r="A1233" s="551">
        <v>44855</v>
      </c>
      <c r="B1233" s="461" t="s">
        <v>5732</v>
      </c>
      <c r="C1233" s="149" t="s">
        <v>8929</v>
      </c>
      <c r="D1233" s="149" t="s">
        <v>4357</v>
      </c>
      <c r="E1233" s="149" t="s">
        <v>10389</v>
      </c>
      <c r="F1233" s="461" t="s">
        <v>10394</v>
      </c>
      <c r="G1233" s="149"/>
      <c r="H1233" s="149"/>
      <c r="I1233" s="149"/>
      <c r="J1233" s="149"/>
      <c r="K1233" s="149"/>
      <c r="L1233" s="149"/>
      <c r="M1233" s="149"/>
    </row>
    <row r="1234" spans="1:13">
      <c r="A1234" s="551">
        <v>44858</v>
      </c>
      <c r="B1234" s="461" t="s">
        <v>5734</v>
      </c>
      <c r="C1234" s="149" t="s">
        <v>8929</v>
      </c>
      <c r="D1234" s="149" t="s">
        <v>4357</v>
      </c>
      <c r="E1234" s="149" t="s">
        <v>10026</v>
      </c>
      <c r="F1234" s="461" t="s">
        <v>10394</v>
      </c>
      <c r="G1234" s="149"/>
      <c r="H1234" s="149"/>
      <c r="I1234" s="149"/>
      <c r="J1234" s="149"/>
      <c r="K1234" s="149"/>
      <c r="L1234" s="149"/>
      <c r="M1234" s="149"/>
    </row>
    <row r="1235" spans="1:13">
      <c r="A1235" s="550">
        <v>44858</v>
      </c>
      <c r="B1235" s="108" t="s">
        <v>3802</v>
      </c>
      <c r="C1235" s="149" t="s">
        <v>8929</v>
      </c>
      <c r="D1235" s="149" t="s">
        <v>4357</v>
      </c>
      <c r="E1235" s="149" t="s">
        <v>10011</v>
      </c>
      <c r="F1235" s="108" t="s">
        <v>278</v>
      </c>
      <c r="G1235" s="149"/>
      <c r="H1235" s="149"/>
      <c r="I1235" s="149"/>
      <c r="J1235" s="149"/>
      <c r="K1235" s="149"/>
      <c r="L1235" s="149"/>
      <c r="M1235" s="149"/>
    </row>
    <row r="1236" spans="1:13">
      <c r="A1236" s="503" t="s">
        <v>10395</v>
      </c>
      <c r="B1236" s="149" t="s">
        <v>5736</v>
      </c>
      <c r="C1236" s="149" t="s">
        <v>8929</v>
      </c>
      <c r="D1236" s="149" t="s">
        <v>4357</v>
      </c>
      <c r="E1236" s="149" t="s">
        <v>10011</v>
      </c>
      <c r="F1236" s="149" t="s">
        <v>10268</v>
      </c>
      <c r="G1236" s="149"/>
      <c r="H1236" s="149"/>
      <c r="I1236" s="149"/>
      <c r="J1236" s="149"/>
      <c r="K1236" s="149"/>
      <c r="L1236" s="149"/>
      <c r="M1236" s="149"/>
    </row>
    <row r="1237" spans="1:13">
      <c r="A1237" s="503">
        <v>44861</v>
      </c>
      <c r="B1237" s="149" t="s">
        <v>3346</v>
      </c>
      <c r="C1237" s="149" t="s">
        <v>8929</v>
      </c>
      <c r="D1237" s="149" t="s">
        <v>4357</v>
      </c>
      <c r="E1237" s="149" t="s">
        <v>10007</v>
      </c>
      <c r="F1237" s="149" t="s">
        <v>10268</v>
      </c>
      <c r="G1237" s="149"/>
      <c r="H1237" s="149"/>
      <c r="I1237" s="149"/>
      <c r="J1237" s="149"/>
      <c r="K1237" s="149"/>
      <c r="L1237" s="149"/>
      <c r="M1237" s="149"/>
    </row>
    <row r="1238" spans="1:13">
      <c r="A1238" s="503">
        <v>44861</v>
      </c>
      <c r="B1238" s="149" t="s">
        <v>2944</v>
      </c>
      <c r="C1238" s="149" t="s">
        <v>8929</v>
      </c>
      <c r="D1238" s="149" t="s">
        <v>4357</v>
      </c>
      <c r="E1238" s="149" t="s">
        <v>10026</v>
      </c>
      <c r="F1238" s="149" t="s">
        <v>10291</v>
      </c>
      <c r="G1238" s="149"/>
      <c r="H1238" s="149"/>
      <c r="I1238" s="149"/>
      <c r="J1238" s="149"/>
      <c r="K1238" s="149"/>
      <c r="L1238" s="149"/>
      <c r="M1238" s="149"/>
    </row>
    <row r="1239" spans="1:13">
      <c r="A1239" s="503">
        <v>44861</v>
      </c>
      <c r="B1239" s="149" t="s">
        <v>5447</v>
      </c>
      <c r="C1239" s="149" t="s">
        <v>8929</v>
      </c>
      <c r="D1239" s="149" t="s">
        <v>4357</v>
      </c>
      <c r="E1239" s="149" t="s">
        <v>10314</v>
      </c>
      <c r="F1239" s="149" t="s">
        <v>10291</v>
      </c>
      <c r="G1239" s="149"/>
      <c r="H1239" s="149"/>
      <c r="I1239" s="149"/>
      <c r="J1239" s="149"/>
      <c r="K1239" s="149"/>
      <c r="L1239" s="149"/>
      <c r="M1239" s="149"/>
    </row>
    <row r="1240" spans="1:13">
      <c r="A1240" s="503">
        <v>44861</v>
      </c>
      <c r="B1240" s="149" t="s">
        <v>4957</v>
      </c>
      <c r="C1240" s="149" t="s">
        <v>8929</v>
      </c>
      <c r="D1240" s="149" t="s">
        <v>4357</v>
      </c>
      <c r="E1240" s="149" t="s">
        <v>10314</v>
      </c>
      <c r="F1240" s="149" t="s">
        <v>10396</v>
      </c>
      <c r="G1240" s="149"/>
      <c r="H1240" s="149"/>
      <c r="I1240" s="149"/>
      <c r="J1240" s="149"/>
      <c r="K1240" s="149"/>
      <c r="L1240" s="149"/>
      <c r="M1240" s="149"/>
    </row>
    <row r="1241" spans="1:13">
      <c r="A1241" s="503">
        <v>44862</v>
      </c>
      <c r="B1241" s="149" t="s">
        <v>5738</v>
      </c>
      <c r="C1241" s="149" t="s">
        <v>8929</v>
      </c>
      <c r="D1241" s="149" t="s">
        <v>4357</v>
      </c>
      <c r="E1241" s="149" t="s">
        <v>10314</v>
      </c>
      <c r="F1241" s="149" t="s">
        <v>10268</v>
      </c>
      <c r="G1241" s="149"/>
      <c r="H1241" s="149"/>
      <c r="I1241" s="149"/>
      <c r="J1241" s="149"/>
      <c r="K1241" s="149"/>
      <c r="L1241" s="149"/>
      <c r="M1241" s="149"/>
    </row>
    <row r="1242" spans="1:13">
      <c r="A1242" s="551">
        <v>44865</v>
      </c>
      <c r="B1242" s="461" t="s">
        <v>10397</v>
      </c>
      <c r="C1242" s="149" t="s">
        <v>8929</v>
      </c>
      <c r="D1242" s="149" t="s">
        <v>4357</v>
      </c>
      <c r="E1242" s="149" t="s">
        <v>10026</v>
      </c>
      <c r="F1242" s="461" t="s">
        <v>10394</v>
      </c>
      <c r="G1242" s="149"/>
      <c r="H1242" s="149"/>
      <c r="I1242" s="149"/>
      <c r="J1242" s="149"/>
      <c r="K1242" s="149"/>
      <c r="L1242" s="149"/>
      <c r="M1242" s="149"/>
    </row>
    <row r="1243" spans="1:13">
      <c r="A1243" s="503">
        <v>44865</v>
      </c>
      <c r="B1243" s="149" t="s">
        <v>10398</v>
      </c>
      <c r="C1243" s="149" t="s">
        <v>8929</v>
      </c>
      <c r="D1243" s="149" t="s">
        <v>4357</v>
      </c>
      <c r="E1243" s="149" t="s">
        <v>10026</v>
      </c>
      <c r="F1243" s="149" t="s">
        <v>10268</v>
      </c>
      <c r="G1243" s="149"/>
      <c r="H1243" s="149"/>
      <c r="I1243" s="149"/>
      <c r="J1243" s="149"/>
      <c r="K1243" s="149"/>
      <c r="L1243" s="149"/>
      <c r="M1243" s="149"/>
    </row>
    <row r="1244" spans="1:13">
      <c r="A1244" s="551">
        <v>44865</v>
      </c>
      <c r="B1244" s="461" t="s">
        <v>10399</v>
      </c>
      <c r="C1244" s="149" t="s">
        <v>8929</v>
      </c>
      <c r="D1244" s="149" t="s">
        <v>4357</v>
      </c>
      <c r="E1244" s="149" t="s">
        <v>10007</v>
      </c>
      <c r="F1244" s="461" t="s">
        <v>10394</v>
      </c>
      <c r="G1244" s="149"/>
      <c r="H1244" s="149"/>
      <c r="I1244" s="149"/>
      <c r="J1244" s="149"/>
      <c r="K1244" s="149"/>
      <c r="L1244" s="149"/>
      <c r="M1244" s="149"/>
    </row>
    <row r="1245" spans="1:13">
      <c r="A1245" s="551">
        <v>44865</v>
      </c>
      <c r="B1245" s="461" t="s">
        <v>5744</v>
      </c>
      <c r="C1245" s="149" t="s">
        <v>8929</v>
      </c>
      <c r="D1245" s="149" t="s">
        <v>4357</v>
      </c>
      <c r="E1245" s="149" t="s">
        <v>10026</v>
      </c>
      <c r="F1245" s="461" t="s">
        <v>10394</v>
      </c>
      <c r="G1245" s="149"/>
      <c r="H1245" s="149"/>
      <c r="I1245" s="149"/>
      <c r="J1245" s="149"/>
      <c r="K1245" s="149"/>
      <c r="L1245" s="149"/>
      <c r="M1245" s="149"/>
    </row>
    <row r="1246" spans="1:13">
      <c r="A1246" s="545"/>
      <c r="B1246" s="421" t="s">
        <v>8910</v>
      </c>
      <c r="C1246" s="149"/>
      <c r="D1246" s="149"/>
      <c r="E1246" s="149"/>
      <c r="F1246" s="149"/>
      <c r="G1246" s="149"/>
      <c r="H1246" s="149"/>
      <c r="I1246" s="149"/>
      <c r="J1246" s="149"/>
      <c r="K1246" s="149"/>
      <c r="L1246" s="149"/>
      <c r="M1246" s="149"/>
    </row>
    <row r="1247" spans="1:13">
      <c r="A1247" s="549">
        <v>44866</v>
      </c>
      <c r="B1247" s="149" t="s">
        <v>10400</v>
      </c>
      <c r="C1247" s="149" t="s">
        <v>8929</v>
      </c>
      <c r="D1247" s="149" t="s">
        <v>8910</v>
      </c>
      <c r="E1247" s="149" t="s">
        <v>10007</v>
      </c>
      <c r="F1247" s="149" t="s">
        <v>10268</v>
      </c>
      <c r="G1247" s="464"/>
      <c r="H1247" s="149"/>
      <c r="I1247" s="149"/>
      <c r="J1247" s="149"/>
      <c r="K1247" s="149"/>
      <c r="L1247" s="149"/>
      <c r="M1247" s="149"/>
    </row>
    <row r="1248" spans="1:13">
      <c r="A1248" s="551">
        <v>44866</v>
      </c>
      <c r="B1248" s="461" t="s">
        <v>5746</v>
      </c>
      <c r="C1248" s="149" t="s">
        <v>8929</v>
      </c>
      <c r="D1248" s="149" t="s">
        <v>8910</v>
      </c>
      <c r="E1248" s="149" t="s">
        <v>10007</v>
      </c>
      <c r="F1248" s="461" t="s">
        <v>10401</v>
      </c>
      <c r="G1248" s="464">
        <v>79.900000000000006</v>
      </c>
      <c r="H1248" s="149"/>
      <c r="I1248" s="149"/>
      <c r="J1248" s="149"/>
      <c r="K1248" s="149"/>
      <c r="L1248" s="149"/>
      <c r="M1248" s="149"/>
    </row>
    <row r="1249" spans="1:13">
      <c r="A1249" s="551">
        <v>44866</v>
      </c>
      <c r="B1249" s="461" t="s">
        <v>10402</v>
      </c>
      <c r="C1249" s="149" t="s">
        <v>8929</v>
      </c>
      <c r="D1249" s="149" t="s">
        <v>8910</v>
      </c>
      <c r="E1249" s="149" t="s">
        <v>10007</v>
      </c>
      <c r="F1249" s="461" t="s">
        <v>10394</v>
      </c>
      <c r="G1249" s="464">
        <v>99.9</v>
      </c>
      <c r="H1249" s="149"/>
      <c r="I1249" s="149"/>
      <c r="J1249" s="149"/>
      <c r="K1249" s="149"/>
      <c r="L1249" s="149"/>
      <c r="M1249" s="149"/>
    </row>
    <row r="1250" spans="1:13">
      <c r="A1250" s="503">
        <v>44868</v>
      </c>
      <c r="B1250" s="149" t="s">
        <v>3934</v>
      </c>
      <c r="C1250" s="149" t="s">
        <v>8929</v>
      </c>
      <c r="D1250" s="149" t="s">
        <v>8910</v>
      </c>
      <c r="E1250" s="149" t="s">
        <v>10007</v>
      </c>
      <c r="F1250" s="149" t="s">
        <v>10291</v>
      </c>
      <c r="G1250" s="464"/>
      <c r="H1250" s="149"/>
      <c r="I1250" s="149"/>
      <c r="J1250" s="149"/>
      <c r="K1250" s="149"/>
      <c r="L1250" s="149"/>
      <c r="M1250" s="149"/>
    </row>
    <row r="1251" spans="1:13">
      <c r="A1251" s="503">
        <v>44868</v>
      </c>
      <c r="B1251" s="149" t="s">
        <v>3077</v>
      </c>
      <c r="C1251" s="149" t="s">
        <v>8929</v>
      </c>
      <c r="D1251" s="149" t="s">
        <v>8910</v>
      </c>
      <c r="E1251" s="149" t="s">
        <v>10007</v>
      </c>
      <c r="F1251" s="149" t="s">
        <v>10382</v>
      </c>
      <c r="G1251" s="464"/>
      <c r="H1251" s="149"/>
      <c r="I1251" s="149"/>
      <c r="J1251" s="149"/>
      <c r="K1251" s="149"/>
      <c r="L1251" s="149"/>
      <c r="M1251" s="149"/>
    </row>
    <row r="1252" spans="1:13">
      <c r="A1252" s="551">
        <v>44868</v>
      </c>
      <c r="B1252" s="461" t="s">
        <v>5750</v>
      </c>
      <c r="C1252" s="149" t="s">
        <v>8929</v>
      </c>
      <c r="D1252" s="149" t="s">
        <v>8910</v>
      </c>
      <c r="E1252" s="149" t="s">
        <v>10072</v>
      </c>
      <c r="F1252" s="461" t="s">
        <v>10401</v>
      </c>
      <c r="G1252" s="464">
        <v>79.900000000000006</v>
      </c>
      <c r="H1252" s="149"/>
      <c r="I1252" s="149"/>
      <c r="J1252" s="149"/>
      <c r="K1252" s="149"/>
      <c r="L1252" s="149"/>
      <c r="M1252" s="149"/>
    </row>
    <row r="1253" spans="1:13">
      <c r="A1253" s="551">
        <v>44869</v>
      </c>
      <c r="B1253" s="461" t="s">
        <v>10403</v>
      </c>
      <c r="C1253" s="149" t="s">
        <v>8929</v>
      </c>
      <c r="D1253" s="149" t="s">
        <v>8910</v>
      </c>
      <c r="E1253" s="149" t="s">
        <v>10314</v>
      </c>
      <c r="F1253" s="461" t="s">
        <v>10401</v>
      </c>
      <c r="G1253" s="464">
        <v>79.900000000000006</v>
      </c>
      <c r="H1253" s="149"/>
      <c r="I1253" s="149"/>
      <c r="J1253" s="149"/>
      <c r="K1253" s="149"/>
      <c r="L1253" s="149"/>
      <c r="M1253" s="149"/>
    </row>
    <row r="1254" spans="1:13">
      <c r="A1254" s="503">
        <v>44872</v>
      </c>
      <c r="B1254" s="149" t="s">
        <v>5756</v>
      </c>
      <c r="C1254" s="149" t="s">
        <v>8929</v>
      </c>
      <c r="D1254" s="149" t="s">
        <v>8910</v>
      </c>
      <c r="E1254" s="149" t="s">
        <v>10289</v>
      </c>
      <c r="F1254" s="149" t="s">
        <v>10268</v>
      </c>
      <c r="G1254" s="464"/>
      <c r="H1254" s="149"/>
      <c r="I1254" s="149"/>
      <c r="J1254" s="149"/>
      <c r="K1254" s="149"/>
      <c r="L1254" s="149"/>
      <c r="M1254" s="149"/>
    </row>
    <row r="1255" spans="1:13">
      <c r="A1255" s="551">
        <v>44872</v>
      </c>
      <c r="B1255" s="461" t="s">
        <v>10404</v>
      </c>
      <c r="C1255" s="149" t="s">
        <v>8929</v>
      </c>
      <c r="D1255" s="149" t="s">
        <v>8910</v>
      </c>
      <c r="E1255" s="149" t="s">
        <v>10289</v>
      </c>
      <c r="F1255" s="461" t="s">
        <v>10394</v>
      </c>
      <c r="G1255" s="464">
        <v>79.69</v>
      </c>
      <c r="H1255" s="149"/>
      <c r="I1255" s="149"/>
      <c r="J1255" s="149"/>
      <c r="K1255" s="149"/>
      <c r="L1255" s="149"/>
      <c r="M1255" s="149"/>
    </row>
    <row r="1256" spans="1:13">
      <c r="A1256" s="551">
        <v>44872</v>
      </c>
      <c r="B1256" s="461" t="s">
        <v>10405</v>
      </c>
      <c r="C1256" s="149" t="s">
        <v>8929</v>
      </c>
      <c r="D1256" s="149" t="s">
        <v>8910</v>
      </c>
      <c r="E1256" s="149" t="s">
        <v>10011</v>
      </c>
      <c r="F1256" s="461" t="s">
        <v>10406</v>
      </c>
      <c r="G1256" s="464">
        <v>79.900000000000006</v>
      </c>
      <c r="H1256" s="149"/>
      <c r="I1256" s="149"/>
      <c r="J1256" s="149"/>
      <c r="K1256" s="149"/>
      <c r="L1256" s="149"/>
      <c r="M1256" s="149"/>
    </row>
    <row r="1257" spans="1:13">
      <c r="A1257" s="551">
        <v>44872</v>
      </c>
      <c r="B1257" s="461" t="s">
        <v>10407</v>
      </c>
      <c r="C1257" s="186" t="s">
        <v>8929</v>
      </c>
      <c r="D1257" s="149" t="s">
        <v>8910</v>
      </c>
      <c r="E1257" s="149" t="s">
        <v>10026</v>
      </c>
      <c r="F1257" s="461" t="s">
        <v>10408</v>
      </c>
      <c r="G1257" s="464">
        <v>79.900000000000006</v>
      </c>
      <c r="H1257" s="149"/>
      <c r="I1257" s="149"/>
      <c r="J1257" s="149"/>
      <c r="K1257" s="149"/>
      <c r="L1257" s="149"/>
      <c r="M1257" s="149"/>
    </row>
    <row r="1258" spans="1:13">
      <c r="A1258" s="503">
        <v>44874</v>
      </c>
      <c r="B1258" s="295" t="s">
        <v>3861</v>
      </c>
      <c r="C1258" s="149" t="s">
        <v>8929</v>
      </c>
      <c r="D1258" s="185" t="s">
        <v>8910</v>
      </c>
      <c r="E1258" s="149" t="s">
        <v>10098</v>
      </c>
      <c r="F1258" s="149" t="s">
        <v>10296</v>
      </c>
      <c r="G1258" s="464"/>
      <c r="H1258" s="149"/>
      <c r="I1258" s="149"/>
      <c r="J1258" s="149"/>
      <c r="K1258" s="149"/>
      <c r="L1258" s="149"/>
      <c r="M1258" s="149"/>
    </row>
    <row r="1259" spans="1:13">
      <c r="A1259" s="503">
        <v>44874</v>
      </c>
      <c r="B1259" s="295" t="s">
        <v>10409</v>
      </c>
      <c r="C1259" s="149" t="s">
        <v>8929</v>
      </c>
      <c r="D1259" s="185" t="s">
        <v>8910</v>
      </c>
      <c r="E1259" s="149" t="s">
        <v>10007</v>
      </c>
      <c r="F1259" s="149" t="s">
        <v>10268</v>
      </c>
      <c r="G1259" s="464"/>
      <c r="H1259" s="149"/>
      <c r="I1259" s="149"/>
      <c r="J1259" s="149"/>
      <c r="K1259" s="149"/>
      <c r="L1259" s="149"/>
      <c r="M1259" s="149"/>
    </row>
    <row r="1260" spans="1:13">
      <c r="A1260" s="551">
        <v>44874</v>
      </c>
      <c r="B1260" s="463" t="s">
        <v>5766</v>
      </c>
      <c r="C1260" s="149" t="s">
        <v>8929</v>
      </c>
      <c r="D1260" s="185" t="s">
        <v>8910</v>
      </c>
      <c r="E1260" s="149" t="s">
        <v>10011</v>
      </c>
      <c r="F1260" s="461" t="s">
        <v>10410</v>
      </c>
      <c r="G1260" s="464">
        <v>114.9</v>
      </c>
      <c r="H1260" s="149"/>
      <c r="I1260" s="149"/>
      <c r="J1260" s="149"/>
      <c r="K1260" s="149"/>
      <c r="L1260" s="149"/>
      <c r="M1260" s="149"/>
    </row>
    <row r="1261" spans="1:13">
      <c r="A1261" s="503">
        <v>44874</v>
      </c>
      <c r="B1261" s="295" t="s">
        <v>10411</v>
      </c>
      <c r="C1261" s="149" t="s">
        <v>8929</v>
      </c>
      <c r="D1261" s="185" t="s">
        <v>8910</v>
      </c>
      <c r="E1261" s="149" t="s">
        <v>10007</v>
      </c>
      <c r="F1261" s="149" t="s">
        <v>10291</v>
      </c>
      <c r="G1261" s="464"/>
      <c r="H1261" s="149"/>
      <c r="I1261" s="149"/>
      <c r="J1261" s="149"/>
      <c r="K1261" s="149"/>
      <c r="L1261" s="149"/>
      <c r="M1261" s="149"/>
    </row>
    <row r="1262" spans="1:13">
      <c r="A1262" s="503">
        <v>44874</v>
      </c>
      <c r="B1262" s="295" t="s">
        <v>5768</v>
      </c>
      <c r="C1262" s="149" t="s">
        <v>8929</v>
      </c>
      <c r="D1262" s="185" t="s">
        <v>8910</v>
      </c>
      <c r="E1262" s="149" t="s">
        <v>10314</v>
      </c>
      <c r="F1262" s="149" t="s">
        <v>10345</v>
      </c>
      <c r="G1262" s="464"/>
      <c r="H1262" s="149"/>
      <c r="I1262" s="149"/>
      <c r="J1262" s="149"/>
      <c r="K1262" s="149"/>
      <c r="L1262" s="149"/>
      <c r="M1262" s="149"/>
    </row>
    <row r="1263" spans="1:13">
      <c r="A1263" s="503">
        <v>44874</v>
      </c>
      <c r="B1263" s="295" t="s">
        <v>3186</v>
      </c>
      <c r="C1263" s="149" t="s">
        <v>8929</v>
      </c>
      <c r="D1263" s="185" t="s">
        <v>8910</v>
      </c>
      <c r="E1263" s="149" t="s">
        <v>10007</v>
      </c>
      <c r="F1263" s="149" t="s">
        <v>10291</v>
      </c>
      <c r="G1263" s="464"/>
      <c r="H1263" s="149"/>
      <c r="I1263" s="149"/>
      <c r="J1263" s="149"/>
      <c r="K1263" s="149"/>
      <c r="L1263" s="149"/>
      <c r="M1263" s="149"/>
    </row>
    <row r="1264" spans="1:13">
      <c r="A1264" s="503">
        <v>44875</v>
      </c>
      <c r="B1264" s="295" t="s">
        <v>2936</v>
      </c>
      <c r="C1264" s="149" t="s">
        <v>8929</v>
      </c>
      <c r="D1264" s="185" t="s">
        <v>8910</v>
      </c>
      <c r="E1264" s="149" t="s">
        <v>10314</v>
      </c>
      <c r="F1264" s="149" t="s">
        <v>10291</v>
      </c>
      <c r="G1264" s="464"/>
      <c r="H1264" s="149"/>
      <c r="I1264" s="149"/>
      <c r="J1264" s="149"/>
      <c r="K1264" s="149"/>
      <c r="L1264" s="149"/>
      <c r="M1264" s="149"/>
    </row>
    <row r="1265" spans="1:13">
      <c r="A1265" s="549">
        <v>44875</v>
      </c>
      <c r="B1265" s="149" t="s">
        <v>10412</v>
      </c>
      <c r="C1265" s="187" t="s">
        <v>8929</v>
      </c>
      <c r="D1265" s="149" t="s">
        <v>8910</v>
      </c>
      <c r="E1265" s="149" t="s">
        <v>10314</v>
      </c>
      <c r="F1265" s="149" t="s">
        <v>10268</v>
      </c>
      <c r="G1265" s="464"/>
      <c r="H1265" s="149"/>
      <c r="I1265" s="149"/>
      <c r="J1265" s="149"/>
      <c r="K1265" s="149"/>
      <c r="L1265" s="149"/>
      <c r="M1265" s="149"/>
    </row>
    <row r="1266" spans="1:13">
      <c r="A1266" s="551">
        <v>44875</v>
      </c>
      <c r="B1266" s="461" t="s">
        <v>10413</v>
      </c>
      <c r="C1266" s="149" t="s">
        <v>8929</v>
      </c>
      <c r="D1266" s="149" t="s">
        <v>8910</v>
      </c>
      <c r="E1266" s="149" t="s">
        <v>10314</v>
      </c>
      <c r="F1266" s="461" t="s">
        <v>10401</v>
      </c>
      <c r="G1266" s="464">
        <v>79.900000000000006</v>
      </c>
      <c r="H1266" s="149"/>
      <c r="I1266" s="149"/>
      <c r="J1266" s="149"/>
      <c r="K1266" s="149"/>
      <c r="L1266" s="149"/>
      <c r="M1266" s="149"/>
    </row>
    <row r="1267" spans="1:13">
      <c r="A1267" s="551">
        <v>44875</v>
      </c>
      <c r="B1267" s="461" t="s">
        <v>10413</v>
      </c>
      <c r="C1267" s="149" t="s">
        <v>8929</v>
      </c>
      <c r="D1267" s="149" t="s">
        <v>8910</v>
      </c>
      <c r="E1267" s="149" t="s">
        <v>10314</v>
      </c>
      <c r="F1267" s="461" t="s">
        <v>10401</v>
      </c>
      <c r="G1267" s="464">
        <v>79.900000000000006</v>
      </c>
      <c r="H1267" s="149"/>
      <c r="I1267" s="149"/>
      <c r="J1267" s="149"/>
      <c r="K1267" s="149"/>
      <c r="L1267" s="149"/>
      <c r="M1267" s="149"/>
    </row>
    <row r="1268" spans="1:13">
      <c r="A1268" s="503">
        <v>44876</v>
      </c>
      <c r="B1268" s="149" t="s">
        <v>3048</v>
      </c>
      <c r="C1268" s="149" t="s">
        <v>8929</v>
      </c>
      <c r="D1268" s="149" t="s">
        <v>8910</v>
      </c>
      <c r="E1268" s="149" t="s">
        <v>10314</v>
      </c>
      <c r="F1268" s="149" t="s">
        <v>10291</v>
      </c>
      <c r="G1268" s="464"/>
      <c r="H1268" s="149"/>
      <c r="I1268" s="149"/>
      <c r="J1268" s="149"/>
      <c r="K1268" s="149"/>
      <c r="L1268" s="149"/>
      <c r="M1268" s="149"/>
    </row>
    <row r="1269" spans="1:13">
      <c r="A1269" s="503">
        <v>44876</v>
      </c>
      <c r="B1269" s="149" t="s">
        <v>10414</v>
      </c>
      <c r="C1269" s="149" t="s">
        <v>8929</v>
      </c>
      <c r="D1269" s="149" t="s">
        <v>8910</v>
      </c>
      <c r="E1269" s="149" t="s">
        <v>10314</v>
      </c>
      <c r="F1269" s="149" t="s">
        <v>10268</v>
      </c>
      <c r="G1269" s="464"/>
      <c r="H1269" s="149"/>
      <c r="I1269" s="149"/>
      <c r="J1269" s="149"/>
      <c r="K1269" s="149"/>
      <c r="L1269" s="149"/>
      <c r="M1269" s="149"/>
    </row>
    <row r="1270" spans="1:13">
      <c r="A1270" s="503">
        <v>44877</v>
      </c>
      <c r="B1270" s="149" t="s">
        <v>10415</v>
      </c>
      <c r="C1270" s="149" t="s">
        <v>8929</v>
      </c>
      <c r="D1270" s="149" t="s">
        <v>8910</v>
      </c>
      <c r="E1270" s="149" t="s">
        <v>10011</v>
      </c>
      <c r="F1270" s="149" t="s">
        <v>10268</v>
      </c>
      <c r="G1270" s="464"/>
      <c r="H1270" s="149"/>
      <c r="I1270" s="149"/>
      <c r="J1270" s="149"/>
      <c r="K1270" s="149"/>
      <c r="L1270" s="149"/>
      <c r="M1270" s="149"/>
    </row>
    <row r="1271" spans="1:13">
      <c r="A1271" s="551">
        <v>44879</v>
      </c>
      <c r="B1271" s="461" t="s">
        <v>10416</v>
      </c>
      <c r="C1271" s="149" t="s">
        <v>8929</v>
      </c>
      <c r="D1271" s="149" t="s">
        <v>8910</v>
      </c>
      <c r="E1271" s="149" t="s">
        <v>10072</v>
      </c>
      <c r="F1271" s="461" t="s">
        <v>10401</v>
      </c>
      <c r="G1271" s="464">
        <v>79.900000000000006</v>
      </c>
      <c r="H1271" s="149"/>
      <c r="I1271" s="149"/>
      <c r="J1271" s="149"/>
      <c r="K1271" s="149"/>
      <c r="L1271" s="149"/>
      <c r="M1271" s="149"/>
    </row>
    <row r="1272" spans="1:13">
      <c r="A1272" s="551">
        <v>44879</v>
      </c>
      <c r="B1272" s="461" t="s">
        <v>10417</v>
      </c>
      <c r="C1272" s="149" t="s">
        <v>8929</v>
      </c>
      <c r="D1272" s="149" t="s">
        <v>8910</v>
      </c>
      <c r="E1272" s="149" t="s">
        <v>10072</v>
      </c>
      <c r="F1272" s="461" t="s">
        <v>10418</v>
      </c>
      <c r="G1272" s="464">
        <v>79.900000000000006</v>
      </c>
      <c r="H1272" s="149"/>
      <c r="I1272" s="149"/>
      <c r="J1272" s="149"/>
      <c r="K1272" s="149"/>
      <c r="L1272" s="149"/>
      <c r="M1272" s="149"/>
    </row>
    <row r="1273" spans="1:13">
      <c r="A1273" s="551">
        <v>44879</v>
      </c>
      <c r="B1273" s="461" t="s">
        <v>10419</v>
      </c>
      <c r="C1273" s="149" t="s">
        <v>8929</v>
      </c>
      <c r="D1273" s="149" t="s">
        <v>8910</v>
      </c>
      <c r="E1273" s="149" t="s">
        <v>10011</v>
      </c>
      <c r="F1273" s="461" t="s">
        <v>10420</v>
      </c>
      <c r="G1273" s="464">
        <v>79.900000000000006</v>
      </c>
      <c r="H1273" s="149"/>
      <c r="I1273" s="149"/>
      <c r="J1273" s="149"/>
      <c r="K1273" s="149"/>
      <c r="L1273" s="149"/>
      <c r="M1273" s="149"/>
    </row>
    <row r="1274" spans="1:13">
      <c r="A1274" s="551">
        <v>44881</v>
      </c>
      <c r="B1274" s="461" t="s">
        <v>10421</v>
      </c>
      <c r="C1274" s="149" t="s">
        <v>8929</v>
      </c>
      <c r="D1274" s="149" t="s">
        <v>8910</v>
      </c>
      <c r="F1274" s="461" t="s">
        <v>10406</v>
      </c>
      <c r="G1274" s="464">
        <v>79.900000000000006</v>
      </c>
      <c r="H1274" s="149"/>
      <c r="I1274" s="149"/>
      <c r="J1274" s="149"/>
      <c r="K1274" s="149"/>
      <c r="L1274" s="149"/>
      <c r="M1274" s="149"/>
    </row>
    <row r="1275" spans="1:13">
      <c r="A1275" s="503">
        <v>44881</v>
      </c>
      <c r="B1275" s="149" t="s">
        <v>10422</v>
      </c>
      <c r="C1275" s="149" t="s">
        <v>8929</v>
      </c>
      <c r="D1275" s="149" t="s">
        <v>8910</v>
      </c>
      <c r="E1275" s="149" t="s">
        <v>10011</v>
      </c>
      <c r="F1275" s="149" t="s">
        <v>10268</v>
      </c>
      <c r="G1275" s="464"/>
      <c r="H1275" s="149"/>
      <c r="I1275" s="149"/>
      <c r="J1275" s="149"/>
      <c r="K1275" s="149"/>
      <c r="L1275" s="149"/>
      <c r="M1275" s="149"/>
    </row>
    <row r="1276" spans="1:13">
      <c r="A1276" s="549">
        <v>44881</v>
      </c>
      <c r="B1276" s="149" t="s">
        <v>5778</v>
      </c>
      <c r="C1276" s="149" t="s">
        <v>8929</v>
      </c>
      <c r="D1276" s="149" t="s">
        <v>8910</v>
      </c>
      <c r="E1276" s="149" t="s">
        <v>10011</v>
      </c>
      <c r="F1276" s="149" t="s">
        <v>10268</v>
      </c>
      <c r="G1276" s="464"/>
      <c r="H1276" s="149"/>
      <c r="I1276" s="149"/>
      <c r="J1276" s="149"/>
      <c r="K1276" s="149"/>
      <c r="L1276" s="149"/>
      <c r="M1276" s="149"/>
    </row>
    <row r="1277" spans="1:13">
      <c r="A1277" s="503">
        <v>44881</v>
      </c>
      <c r="B1277" s="149" t="s">
        <v>5780</v>
      </c>
      <c r="C1277" s="149" t="s">
        <v>8929</v>
      </c>
      <c r="D1277" s="149" t="s">
        <v>8910</v>
      </c>
      <c r="E1277" s="149" t="s">
        <v>10314</v>
      </c>
      <c r="F1277" s="149" t="s">
        <v>10423</v>
      </c>
      <c r="G1277" s="464"/>
      <c r="H1277" s="149"/>
      <c r="I1277" s="149"/>
      <c r="J1277" s="149"/>
      <c r="K1277" s="149"/>
      <c r="L1277" s="149"/>
      <c r="M1277" s="149"/>
    </row>
    <row r="1278" spans="1:13">
      <c r="A1278" s="503">
        <v>44882</v>
      </c>
      <c r="B1278" s="149" t="s">
        <v>10424</v>
      </c>
      <c r="C1278" s="149" t="s">
        <v>8929</v>
      </c>
      <c r="D1278" s="149" t="s">
        <v>8910</v>
      </c>
      <c r="E1278" s="149" t="s">
        <v>10314</v>
      </c>
      <c r="F1278" s="149" t="s">
        <v>10268</v>
      </c>
      <c r="G1278" s="464"/>
      <c r="H1278" s="149"/>
      <c r="I1278" s="149"/>
      <c r="J1278" s="149"/>
      <c r="K1278" s="149"/>
      <c r="L1278" s="149"/>
      <c r="M1278" s="149"/>
    </row>
    <row r="1279" spans="1:13">
      <c r="A1279" s="503">
        <v>44882</v>
      </c>
      <c r="B1279" s="149" t="s">
        <v>3086</v>
      </c>
      <c r="C1279" s="149" t="s">
        <v>8929</v>
      </c>
      <c r="D1279" s="149" t="s">
        <v>8910</v>
      </c>
      <c r="E1279" s="149" t="s">
        <v>10007</v>
      </c>
      <c r="F1279" s="149" t="s">
        <v>10268</v>
      </c>
      <c r="G1279" s="464"/>
      <c r="H1279" s="149"/>
      <c r="I1279" s="149"/>
      <c r="J1279" s="149"/>
      <c r="K1279" s="149"/>
      <c r="L1279" s="149"/>
      <c r="M1279" s="149"/>
    </row>
    <row r="1280" spans="1:13">
      <c r="A1280" s="503">
        <v>44882</v>
      </c>
      <c r="B1280" s="149" t="s">
        <v>5786</v>
      </c>
      <c r="C1280" s="149" t="s">
        <v>8929</v>
      </c>
      <c r="D1280" s="149" t="s">
        <v>8910</v>
      </c>
      <c r="E1280" s="149" t="s">
        <v>10314</v>
      </c>
      <c r="F1280" s="149" t="s">
        <v>10268</v>
      </c>
      <c r="G1280" s="464"/>
      <c r="H1280" s="149"/>
      <c r="I1280" s="149"/>
      <c r="J1280" s="149"/>
      <c r="K1280" s="149"/>
      <c r="L1280" s="149"/>
      <c r="M1280" s="149"/>
    </row>
    <row r="1281" spans="1:13">
      <c r="A1281" s="551">
        <v>44883</v>
      </c>
      <c r="B1281" s="461" t="s">
        <v>10425</v>
      </c>
      <c r="C1281" s="149" t="s">
        <v>8929</v>
      </c>
      <c r="D1281" s="149" t="s">
        <v>8910</v>
      </c>
      <c r="E1281" s="149" t="s">
        <v>10314</v>
      </c>
      <c r="F1281" s="461" t="s">
        <v>10426</v>
      </c>
      <c r="G1281" s="464">
        <v>79.900000000000006</v>
      </c>
      <c r="H1281" s="149"/>
      <c r="I1281" s="149"/>
      <c r="J1281" s="149"/>
      <c r="K1281" s="149"/>
      <c r="L1281" s="149"/>
      <c r="M1281" s="149"/>
    </row>
    <row r="1282" spans="1:13">
      <c r="A1282" s="551">
        <v>44883</v>
      </c>
      <c r="B1282" s="461" t="s">
        <v>5782</v>
      </c>
      <c r="C1282" s="149" t="s">
        <v>8929</v>
      </c>
      <c r="D1282" s="149" t="s">
        <v>8910</v>
      </c>
      <c r="E1282" s="149" t="s">
        <v>10314</v>
      </c>
      <c r="F1282" s="461" t="s">
        <v>10410</v>
      </c>
      <c r="G1282" s="464">
        <v>79.900000000000006</v>
      </c>
      <c r="H1282" s="149"/>
      <c r="I1282" s="149"/>
      <c r="J1282" s="149"/>
      <c r="K1282" s="149"/>
      <c r="L1282" s="149"/>
      <c r="M1282" s="149"/>
    </row>
    <row r="1283" spans="1:13">
      <c r="A1283" s="551">
        <v>44883</v>
      </c>
      <c r="B1283" s="461" t="s">
        <v>5788</v>
      </c>
      <c r="C1283" s="149" t="s">
        <v>8929</v>
      </c>
      <c r="D1283" s="149" t="s">
        <v>8910</v>
      </c>
      <c r="E1283" s="149" t="s">
        <v>10244</v>
      </c>
      <c r="F1283" s="461" t="s">
        <v>10406</v>
      </c>
      <c r="G1283" s="464">
        <v>99.9</v>
      </c>
      <c r="H1283" s="149"/>
      <c r="I1283" s="149"/>
      <c r="J1283" s="149"/>
      <c r="K1283" s="149"/>
      <c r="L1283" s="149"/>
      <c r="M1283" s="149"/>
    </row>
    <row r="1284" spans="1:13">
      <c r="A1284" s="503">
        <v>44883</v>
      </c>
      <c r="B1284" s="149" t="s">
        <v>10427</v>
      </c>
      <c r="C1284" s="149" t="s">
        <v>8929</v>
      </c>
      <c r="D1284" s="149" t="s">
        <v>8910</v>
      </c>
      <c r="E1284" s="149" t="s">
        <v>10244</v>
      </c>
      <c r="F1284" s="149" t="s">
        <v>10268</v>
      </c>
      <c r="G1284" s="464"/>
      <c r="H1284" s="149"/>
      <c r="I1284" s="149"/>
      <c r="J1284" s="149"/>
      <c r="K1284" s="149"/>
      <c r="L1284" s="149"/>
      <c r="M1284" s="149"/>
    </row>
    <row r="1285" spans="1:13">
      <c r="A1285" s="549">
        <v>44884</v>
      </c>
      <c r="B1285" s="149" t="s">
        <v>5790</v>
      </c>
      <c r="C1285" s="149" t="s">
        <v>8929</v>
      </c>
      <c r="D1285" s="149" t="s">
        <v>8910</v>
      </c>
      <c r="E1285" s="149" t="s">
        <v>10244</v>
      </c>
      <c r="F1285" s="149" t="s">
        <v>10268</v>
      </c>
      <c r="G1285" s="464"/>
      <c r="H1285" s="149"/>
      <c r="I1285" s="149"/>
      <c r="J1285" s="149"/>
      <c r="K1285" s="149"/>
      <c r="L1285" s="149"/>
      <c r="M1285" s="149"/>
    </row>
    <row r="1286" spans="1:13">
      <c r="A1286" s="551">
        <v>44886</v>
      </c>
      <c r="B1286" s="461" t="s">
        <v>10428</v>
      </c>
      <c r="C1286" s="149" t="s">
        <v>8929</v>
      </c>
      <c r="D1286" s="149" t="s">
        <v>8910</v>
      </c>
      <c r="E1286" s="149" t="s">
        <v>10007</v>
      </c>
      <c r="F1286" s="461" t="s">
        <v>10401</v>
      </c>
      <c r="G1286" s="464">
        <v>79.900000000000006</v>
      </c>
      <c r="H1286" s="149"/>
      <c r="I1286" s="149"/>
      <c r="J1286" s="149"/>
      <c r="K1286" s="149"/>
      <c r="L1286" s="149"/>
      <c r="M1286" s="149"/>
    </row>
    <row r="1287" spans="1:13">
      <c r="A1287" s="551">
        <v>44887</v>
      </c>
      <c r="B1287" s="461" t="s">
        <v>10429</v>
      </c>
      <c r="C1287" s="149" t="s">
        <v>8929</v>
      </c>
      <c r="D1287" s="149" t="s">
        <v>8910</v>
      </c>
      <c r="E1287" s="149" t="s">
        <v>10026</v>
      </c>
      <c r="F1287" s="461" t="s">
        <v>10430</v>
      </c>
      <c r="G1287" s="464">
        <v>99.9</v>
      </c>
      <c r="H1287" s="149"/>
      <c r="I1287" s="149"/>
      <c r="J1287" s="149"/>
      <c r="K1287" s="149"/>
      <c r="L1287" s="149"/>
      <c r="M1287" s="149"/>
    </row>
    <row r="1288" spans="1:13">
      <c r="A1288" s="551">
        <v>44887</v>
      </c>
      <c r="B1288" s="461" t="s">
        <v>10431</v>
      </c>
      <c r="C1288" s="149" t="s">
        <v>8929</v>
      </c>
      <c r="D1288" s="149" t="s">
        <v>8910</v>
      </c>
      <c r="E1288" s="149" t="s">
        <v>10007</v>
      </c>
      <c r="F1288" s="461" t="s">
        <v>10420</v>
      </c>
      <c r="G1288" s="464">
        <v>79.900000000000006</v>
      </c>
      <c r="H1288" s="149"/>
      <c r="I1288" s="149"/>
      <c r="J1288" s="149"/>
      <c r="K1288" s="149"/>
      <c r="L1288" s="149"/>
      <c r="M1288" s="149"/>
    </row>
    <row r="1289" spans="1:13">
      <c r="A1289" s="503">
        <v>44887</v>
      </c>
      <c r="B1289" s="149" t="s">
        <v>10432</v>
      </c>
      <c r="C1289" s="149" t="s">
        <v>8929</v>
      </c>
      <c r="D1289" s="149" t="s">
        <v>8910</v>
      </c>
      <c r="E1289" s="149" t="s">
        <v>10011</v>
      </c>
      <c r="F1289" s="149" t="s">
        <v>10268</v>
      </c>
      <c r="G1289" s="464"/>
      <c r="H1289" s="149"/>
      <c r="I1289" s="149"/>
      <c r="J1289" s="149"/>
      <c r="K1289" s="149"/>
      <c r="L1289" s="149"/>
      <c r="M1289" s="149"/>
    </row>
    <row r="1290" spans="1:13">
      <c r="A1290" s="503">
        <v>44888</v>
      </c>
      <c r="B1290" s="149" t="s">
        <v>10433</v>
      </c>
      <c r="C1290" s="149" t="s">
        <v>8929</v>
      </c>
      <c r="D1290" s="149" t="s">
        <v>8910</v>
      </c>
      <c r="E1290" s="149" t="s">
        <v>10011</v>
      </c>
      <c r="F1290" s="149" t="s">
        <v>10268</v>
      </c>
      <c r="G1290" s="464"/>
      <c r="H1290" s="149"/>
      <c r="I1290" s="149"/>
      <c r="J1290" s="149"/>
      <c r="K1290" s="149"/>
      <c r="L1290" s="149"/>
      <c r="M1290" s="149"/>
    </row>
    <row r="1291" spans="1:13">
      <c r="A1291" s="551">
        <v>44888</v>
      </c>
      <c r="B1291" s="461" t="s">
        <v>5801</v>
      </c>
      <c r="C1291" s="149" t="s">
        <v>8929</v>
      </c>
      <c r="D1291" s="149" t="s">
        <v>8910</v>
      </c>
      <c r="E1291" s="149" t="s">
        <v>10007</v>
      </c>
      <c r="F1291" s="461" t="s">
        <v>10406</v>
      </c>
      <c r="G1291" s="464">
        <v>79.900000000000006</v>
      </c>
      <c r="H1291" s="149"/>
      <c r="I1291" s="149"/>
      <c r="J1291" s="149"/>
      <c r="K1291" s="149"/>
      <c r="L1291" s="149"/>
      <c r="M1291" s="149"/>
    </row>
    <row r="1292" spans="1:13">
      <c r="A1292" s="503">
        <v>44888</v>
      </c>
      <c r="B1292" s="149" t="s">
        <v>5241</v>
      </c>
      <c r="C1292" s="149" t="s">
        <v>8929</v>
      </c>
      <c r="D1292" s="149" t="s">
        <v>8910</v>
      </c>
      <c r="E1292" s="149" t="s">
        <v>10007</v>
      </c>
      <c r="F1292" s="149" t="s">
        <v>10296</v>
      </c>
      <c r="G1292" s="149"/>
      <c r="H1292" s="149"/>
      <c r="I1292" s="149"/>
      <c r="J1292" s="149"/>
      <c r="K1292" s="149"/>
      <c r="L1292" s="149"/>
      <c r="M1292" s="149"/>
    </row>
    <row r="1293" spans="1:13">
      <c r="A1293" s="503">
        <v>44888</v>
      </c>
      <c r="B1293" s="149" t="s">
        <v>5803</v>
      </c>
      <c r="C1293" s="149" t="s">
        <v>8929</v>
      </c>
      <c r="D1293" s="149" t="s">
        <v>8910</v>
      </c>
      <c r="E1293" s="149" t="s">
        <v>10007</v>
      </c>
      <c r="F1293" s="149" t="s">
        <v>10268</v>
      </c>
      <c r="G1293" s="149"/>
      <c r="H1293" s="149"/>
      <c r="I1293" s="149"/>
      <c r="J1293" s="149"/>
      <c r="K1293" s="149"/>
      <c r="L1293" s="149"/>
      <c r="M1293" s="149"/>
    </row>
    <row r="1294" spans="1:13">
      <c r="A1294" s="551">
        <v>44889</v>
      </c>
      <c r="B1294" s="461" t="s">
        <v>10434</v>
      </c>
      <c r="C1294" s="149" t="s">
        <v>8929</v>
      </c>
      <c r="D1294" s="149" t="s">
        <v>8910</v>
      </c>
      <c r="E1294" s="149" t="s">
        <v>10072</v>
      </c>
      <c r="F1294" s="461" t="s">
        <v>10394</v>
      </c>
      <c r="G1294" s="464">
        <v>79.900000000000006</v>
      </c>
      <c r="H1294" s="149"/>
      <c r="I1294" s="149"/>
      <c r="J1294" s="149"/>
      <c r="K1294" s="149"/>
      <c r="L1294" s="149"/>
      <c r="M1294" s="149"/>
    </row>
    <row r="1295" spans="1:13">
      <c r="A1295" s="551">
        <v>44889</v>
      </c>
      <c r="B1295" s="461" t="s">
        <v>10435</v>
      </c>
      <c r="C1295" s="149" t="s">
        <v>8929</v>
      </c>
      <c r="D1295" s="149" t="s">
        <v>8910</v>
      </c>
      <c r="E1295" s="149" t="s">
        <v>10072</v>
      </c>
      <c r="F1295" s="461" t="s">
        <v>10394</v>
      </c>
      <c r="G1295" s="464">
        <v>114.9</v>
      </c>
      <c r="H1295" s="149"/>
      <c r="I1295" s="149"/>
      <c r="J1295" s="149"/>
      <c r="K1295" s="149"/>
      <c r="L1295" s="149"/>
      <c r="M1295" s="149"/>
    </row>
    <row r="1296" spans="1:13">
      <c r="A1296" s="503">
        <v>44890</v>
      </c>
      <c r="B1296" s="149" t="s">
        <v>10436</v>
      </c>
      <c r="C1296" s="149" t="s">
        <v>8929</v>
      </c>
      <c r="D1296" s="149" t="s">
        <v>8910</v>
      </c>
      <c r="E1296" s="149" t="s">
        <v>10314</v>
      </c>
      <c r="F1296" s="149" t="s">
        <v>10268</v>
      </c>
      <c r="G1296" s="149"/>
      <c r="H1296" s="149"/>
      <c r="I1296" s="149"/>
      <c r="J1296" s="149"/>
      <c r="K1296" s="149"/>
      <c r="L1296" s="149"/>
      <c r="M1296" s="149"/>
    </row>
    <row r="1297" spans="1:13">
      <c r="A1297" s="503">
        <v>44890</v>
      </c>
      <c r="B1297" s="149" t="s">
        <v>10437</v>
      </c>
      <c r="C1297" s="149" t="s">
        <v>8929</v>
      </c>
      <c r="D1297" s="149" t="s">
        <v>8910</v>
      </c>
      <c r="E1297" s="149" t="s">
        <v>10314</v>
      </c>
      <c r="F1297" s="149" t="s">
        <v>10268</v>
      </c>
      <c r="G1297" s="149"/>
      <c r="H1297" s="149"/>
      <c r="I1297" s="149"/>
      <c r="J1297" s="149"/>
      <c r="K1297" s="149"/>
      <c r="L1297" s="149"/>
      <c r="M1297" s="149"/>
    </row>
    <row r="1298" spans="1:13">
      <c r="A1298" s="552">
        <v>44891</v>
      </c>
      <c r="B1298" s="461" t="s">
        <v>3409</v>
      </c>
      <c r="C1298" s="149" t="s">
        <v>8929</v>
      </c>
      <c r="D1298" s="149" t="s">
        <v>8910</v>
      </c>
      <c r="E1298" s="149" t="s">
        <v>9996</v>
      </c>
      <c r="F1298" s="461" t="s">
        <v>10401</v>
      </c>
      <c r="G1298" s="464">
        <v>114.9</v>
      </c>
      <c r="H1298" s="149"/>
      <c r="I1298" s="149"/>
      <c r="J1298" s="149"/>
      <c r="K1298" s="149"/>
      <c r="L1298" s="149"/>
      <c r="M1298" s="149"/>
    </row>
    <row r="1299" spans="1:13">
      <c r="A1299" s="551">
        <v>44891</v>
      </c>
      <c r="B1299" s="461" t="s">
        <v>5216</v>
      </c>
      <c r="C1299" s="149" t="s">
        <v>8929</v>
      </c>
      <c r="D1299" s="149" t="s">
        <v>8910</v>
      </c>
      <c r="E1299" s="149" t="s">
        <v>10026</v>
      </c>
      <c r="F1299" s="461" t="s">
        <v>10394</v>
      </c>
      <c r="G1299" s="464">
        <v>79.900000000000006</v>
      </c>
      <c r="H1299" s="149"/>
      <c r="I1299" s="149"/>
      <c r="J1299" s="149"/>
      <c r="K1299" s="149"/>
      <c r="L1299" s="149"/>
      <c r="M1299" s="149"/>
    </row>
    <row r="1300" spans="1:13">
      <c r="A1300" s="503">
        <v>44893</v>
      </c>
      <c r="B1300" s="149" t="s">
        <v>10438</v>
      </c>
      <c r="C1300" s="149" t="s">
        <v>8929</v>
      </c>
      <c r="D1300" s="149" t="s">
        <v>8910</v>
      </c>
      <c r="E1300" s="149" t="s">
        <v>10002</v>
      </c>
      <c r="F1300" s="149" t="s">
        <v>10268</v>
      </c>
      <c r="G1300" s="149"/>
      <c r="H1300" s="149"/>
      <c r="I1300" s="149"/>
      <c r="J1300" s="149"/>
      <c r="K1300" s="149"/>
      <c r="L1300" s="149"/>
      <c r="M1300" s="149"/>
    </row>
    <row r="1301" spans="1:13">
      <c r="A1301" s="503">
        <v>44894</v>
      </c>
      <c r="B1301" s="149" t="s">
        <v>5805</v>
      </c>
      <c r="C1301" s="149" t="s">
        <v>8929</v>
      </c>
      <c r="D1301" s="149" t="s">
        <v>8910</v>
      </c>
      <c r="E1301" s="149" t="s">
        <v>10225</v>
      </c>
      <c r="F1301" s="340" t="s">
        <v>10439</v>
      </c>
      <c r="G1301" s="149"/>
      <c r="H1301" s="149"/>
      <c r="I1301" s="149"/>
      <c r="J1301" s="149"/>
      <c r="K1301" s="149"/>
      <c r="L1301" s="149"/>
      <c r="M1301" s="149"/>
    </row>
    <row r="1302" spans="1:13">
      <c r="A1302" s="551">
        <v>44895</v>
      </c>
      <c r="B1302" s="463" t="s">
        <v>10440</v>
      </c>
      <c r="C1302" s="149" t="s">
        <v>8929</v>
      </c>
      <c r="D1302" s="149" t="s">
        <v>8910</v>
      </c>
      <c r="E1302" s="149" t="s">
        <v>10011</v>
      </c>
      <c r="F1302" s="461" t="s">
        <v>10401</v>
      </c>
      <c r="G1302" s="464">
        <v>99.9</v>
      </c>
      <c r="H1302" s="149"/>
      <c r="I1302" s="149"/>
      <c r="J1302" s="149"/>
      <c r="K1302" s="149"/>
      <c r="L1302" s="149"/>
      <c r="M1302" s="149"/>
    </row>
    <row r="1303" spans="1:13">
      <c r="A1303" s="551">
        <v>44895</v>
      </c>
      <c r="B1303" s="461" t="s">
        <v>10441</v>
      </c>
      <c r="C1303" s="149" t="s">
        <v>8929</v>
      </c>
      <c r="D1303" s="149" t="s">
        <v>8910</v>
      </c>
      <c r="E1303" s="149" t="s">
        <v>10314</v>
      </c>
      <c r="F1303" s="461" t="s">
        <v>10394</v>
      </c>
      <c r="G1303" s="464">
        <v>99.9</v>
      </c>
      <c r="H1303" s="149"/>
      <c r="I1303" s="149"/>
      <c r="J1303" s="149"/>
      <c r="K1303" s="149"/>
      <c r="L1303" s="149"/>
      <c r="M1303" s="149"/>
    </row>
    <row r="1304" spans="1:13">
      <c r="A1304" s="550">
        <v>44895</v>
      </c>
      <c r="B1304" s="108" t="s">
        <v>10442</v>
      </c>
      <c r="C1304" s="149" t="s">
        <v>8929</v>
      </c>
      <c r="D1304" s="149" t="s">
        <v>8910</v>
      </c>
      <c r="E1304" s="149" t="s">
        <v>10007</v>
      </c>
      <c r="F1304" s="108" t="s">
        <v>278</v>
      </c>
      <c r="G1304" s="149"/>
      <c r="H1304" s="149"/>
      <c r="I1304" s="149"/>
      <c r="J1304" s="149"/>
      <c r="K1304" s="149"/>
      <c r="L1304" s="149"/>
      <c r="M1304" s="149"/>
    </row>
    <row r="1305" spans="1:13">
      <c r="A1305" s="503"/>
      <c r="B1305" s="421" t="s">
        <v>7628</v>
      </c>
      <c r="C1305" s="149"/>
      <c r="D1305" s="149"/>
      <c r="E1305" s="149"/>
      <c r="F1305" s="149"/>
      <c r="G1305" s="149"/>
      <c r="H1305" s="149"/>
      <c r="I1305" s="149"/>
      <c r="J1305" s="149"/>
      <c r="K1305" s="149"/>
      <c r="L1305" s="149"/>
      <c r="M1305" s="149"/>
    </row>
    <row r="1306" spans="1:13">
      <c r="A1306" s="503">
        <v>44896</v>
      </c>
      <c r="B1306" s="149" t="s">
        <v>5813</v>
      </c>
      <c r="C1306" s="149" t="s">
        <v>8929</v>
      </c>
      <c r="D1306" s="149" t="s">
        <v>7628</v>
      </c>
      <c r="E1306" s="149" t="s">
        <v>10314</v>
      </c>
      <c r="F1306" s="149" t="s">
        <v>10268</v>
      </c>
      <c r="G1306" s="149"/>
      <c r="H1306" s="149"/>
      <c r="I1306" s="149"/>
      <c r="J1306" s="149"/>
      <c r="K1306" s="149"/>
      <c r="L1306" s="149"/>
      <c r="M1306" s="149"/>
    </row>
    <row r="1307" spans="1:13">
      <c r="A1307" s="545">
        <v>44896</v>
      </c>
      <c r="B1307" t="s">
        <v>10443</v>
      </c>
      <c r="C1307" s="149" t="s">
        <v>8929</v>
      </c>
      <c r="D1307" s="149" t="s">
        <v>7628</v>
      </c>
      <c r="E1307" s="149" t="s">
        <v>10098</v>
      </c>
      <c r="F1307" s="149" t="s">
        <v>10444</v>
      </c>
      <c r="G1307" s="149"/>
      <c r="H1307" s="149"/>
      <c r="I1307" s="149"/>
      <c r="J1307" s="149"/>
      <c r="K1307" s="149"/>
      <c r="L1307" s="149"/>
      <c r="M1307" s="149"/>
    </row>
    <row r="1308" spans="1:13">
      <c r="A1308" s="503">
        <v>44897</v>
      </c>
      <c r="B1308" s="149" t="s">
        <v>3655</v>
      </c>
      <c r="C1308" s="149" t="s">
        <v>8929</v>
      </c>
      <c r="D1308" s="149" t="s">
        <v>7628</v>
      </c>
      <c r="E1308" s="149" t="s">
        <v>9999</v>
      </c>
      <c r="F1308" s="149" t="s">
        <v>10291</v>
      </c>
      <c r="G1308" s="149"/>
      <c r="H1308" s="149"/>
      <c r="I1308" s="149"/>
      <c r="J1308" s="149"/>
      <c r="K1308" s="149"/>
      <c r="L1308" s="149"/>
      <c r="M1308" s="149"/>
    </row>
    <row r="1309" spans="1:13">
      <c r="A1309" s="551">
        <v>44897</v>
      </c>
      <c r="B1309" s="461" t="s">
        <v>10445</v>
      </c>
      <c r="C1309" s="149" t="s">
        <v>8929</v>
      </c>
      <c r="D1309" s="149" t="s">
        <v>7628</v>
      </c>
      <c r="E1309" s="149" t="s">
        <v>9998</v>
      </c>
      <c r="F1309" s="461" t="s">
        <v>10394</v>
      </c>
      <c r="G1309" s="149">
        <v>99.9</v>
      </c>
      <c r="H1309" s="149"/>
      <c r="I1309" s="149"/>
      <c r="J1309" s="149"/>
      <c r="K1309" s="149"/>
      <c r="L1309" s="149"/>
      <c r="M1309" s="149"/>
    </row>
    <row r="1310" spans="1:13">
      <c r="A1310" s="553">
        <v>44867</v>
      </c>
      <c r="B1310" s="192" t="s">
        <v>10446</v>
      </c>
      <c r="C1310" s="149" t="s">
        <v>8929</v>
      </c>
      <c r="D1310" s="149" t="s">
        <v>7628</v>
      </c>
      <c r="E1310" s="149" t="s">
        <v>10314</v>
      </c>
      <c r="F1310" s="149" t="s">
        <v>10296</v>
      </c>
      <c r="G1310" s="149"/>
      <c r="H1310" s="149"/>
      <c r="I1310" s="149"/>
      <c r="J1310" s="149"/>
      <c r="K1310" s="149"/>
      <c r="L1310" s="149"/>
      <c r="M1310" s="149"/>
    </row>
    <row r="1311" spans="1:13">
      <c r="A1311" s="551">
        <v>44897</v>
      </c>
      <c r="B1311" s="461" t="s">
        <v>10447</v>
      </c>
      <c r="C1311" s="149" t="s">
        <v>8929</v>
      </c>
      <c r="D1311" s="149" t="s">
        <v>7628</v>
      </c>
      <c r="E1311" s="149" t="s">
        <v>9998</v>
      </c>
      <c r="F1311" s="461" t="s">
        <v>10401</v>
      </c>
      <c r="G1311" s="149">
        <v>79.900000000000006</v>
      </c>
      <c r="H1311" s="149"/>
      <c r="I1311" s="149"/>
      <c r="J1311" s="149"/>
      <c r="K1311" s="149"/>
      <c r="L1311" s="149"/>
      <c r="M1311" s="149"/>
    </row>
    <row r="1312" spans="1:13">
      <c r="A1312" s="551">
        <v>44897</v>
      </c>
      <c r="B1312" s="461" t="s">
        <v>10448</v>
      </c>
      <c r="C1312" s="149" t="s">
        <v>8929</v>
      </c>
      <c r="D1312" s="149" t="s">
        <v>7628</v>
      </c>
      <c r="E1312" s="149" t="s">
        <v>9998</v>
      </c>
      <c r="F1312" s="461" t="s">
        <v>10449</v>
      </c>
      <c r="G1312" s="149">
        <v>79.900000000000006</v>
      </c>
      <c r="H1312" s="149"/>
      <c r="I1312" s="149"/>
      <c r="J1312" s="149"/>
      <c r="K1312" s="149"/>
      <c r="L1312" s="149"/>
      <c r="M1312" s="149"/>
    </row>
    <row r="1313" spans="1:13">
      <c r="A1313" s="503">
        <v>44900</v>
      </c>
      <c r="B1313" s="149" t="s">
        <v>10450</v>
      </c>
      <c r="C1313" s="149" t="s">
        <v>8929</v>
      </c>
      <c r="D1313" s="149" t="s">
        <v>7628</v>
      </c>
      <c r="E1313" s="149" t="s">
        <v>10002</v>
      </c>
      <c r="F1313" s="149" t="s">
        <v>10268</v>
      </c>
      <c r="G1313" s="149"/>
      <c r="H1313" s="149"/>
      <c r="I1313" s="149"/>
      <c r="J1313" s="149"/>
      <c r="K1313" s="149"/>
      <c r="L1313" s="149"/>
      <c r="M1313" s="149"/>
    </row>
    <row r="1314" spans="1:13">
      <c r="A1314" s="503">
        <v>44901</v>
      </c>
      <c r="B1314" s="149" t="s">
        <v>10451</v>
      </c>
      <c r="C1314" s="149" t="s">
        <v>8929</v>
      </c>
      <c r="D1314" s="149" t="s">
        <v>7628</v>
      </c>
      <c r="E1314" s="149" t="s">
        <v>9999</v>
      </c>
      <c r="F1314" s="149" t="s">
        <v>10268</v>
      </c>
      <c r="G1314" s="149"/>
      <c r="H1314" s="149"/>
      <c r="I1314" s="149"/>
      <c r="J1314" s="149"/>
      <c r="K1314" s="149"/>
      <c r="L1314" s="149"/>
      <c r="M1314" s="149"/>
    </row>
    <row r="1315" spans="1:13">
      <c r="A1315" s="551">
        <v>44901</v>
      </c>
      <c r="B1315" s="461" t="s">
        <v>5823</v>
      </c>
      <c r="C1315" s="149" t="s">
        <v>8929</v>
      </c>
      <c r="D1315" s="149" t="s">
        <v>7628</v>
      </c>
      <c r="E1315" s="149" t="s">
        <v>10314</v>
      </c>
      <c r="F1315" s="461" t="s">
        <v>10449</v>
      </c>
      <c r="G1315" s="149">
        <v>79.900000000000006</v>
      </c>
      <c r="H1315" s="149"/>
      <c r="I1315" s="149"/>
      <c r="J1315" s="149"/>
      <c r="K1315" s="149"/>
      <c r="L1315" s="149"/>
      <c r="M1315" s="149"/>
    </row>
    <row r="1316" spans="1:13">
      <c r="A1316" s="551">
        <v>44901</v>
      </c>
      <c r="B1316" s="461" t="s">
        <v>10452</v>
      </c>
      <c r="C1316" s="149" t="s">
        <v>8929</v>
      </c>
      <c r="D1316" s="149" t="s">
        <v>7628</v>
      </c>
      <c r="E1316" s="149" t="s">
        <v>9999</v>
      </c>
      <c r="F1316" s="461" t="s">
        <v>10449</v>
      </c>
      <c r="G1316" s="149">
        <v>99.9</v>
      </c>
      <c r="H1316" s="149"/>
      <c r="I1316" s="149"/>
      <c r="J1316" s="149"/>
      <c r="K1316" s="149"/>
      <c r="L1316" s="149"/>
      <c r="M1316" s="149"/>
    </row>
    <row r="1317" spans="1:13">
      <c r="A1317" s="503">
        <v>44901</v>
      </c>
      <c r="B1317" s="149" t="s">
        <v>10453</v>
      </c>
      <c r="C1317" s="149" t="s">
        <v>8929</v>
      </c>
      <c r="D1317" s="149" t="s">
        <v>7628</v>
      </c>
      <c r="E1317" s="149" t="s">
        <v>10314</v>
      </c>
      <c r="F1317" s="149" t="s">
        <v>10268</v>
      </c>
      <c r="G1317" s="149">
        <v>99.9</v>
      </c>
      <c r="H1317" s="149"/>
      <c r="I1317" s="149"/>
      <c r="J1317" s="149"/>
      <c r="K1317" s="149"/>
      <c r="L1317" s="149"/>
      <c r="M1317" s="149"/>
    </row>
    <row r="1318" spans="1:13">
      <c r="A1318" s="503">
        <v>44901</v>
      </c>
      <c r="B1318" s="149" t="s">
        <v>965</v>
      </c>
      <c r="C1318" s="149" t="s">
        <v>8929</v>
      </c>
      <c r="D1318" s="149" t="s">
        <v>7628</v>
      </c>
      <c r="E1318" s="149" t="s">
        <v>10011</v>
      </c>
      <c r="F1318" s="149" t="s">
        <v>10296</v>
      </c>
      <c r="G1318" s="149"/>
      <c r="H1318" s="149"/>
      <c r="I1318" s="149"/>
      <c r="J1318" s="149"/>
      <c r="K1318" s="149"/>
      <c r="L1318" s="149"/>
      <c r="M1318" s="149"/>
    </row>
    <row r="1319" spans="1:13">
      <c r="A1319" s="503">
        <v>44902</v>
      </c>
      <c r="B1319" s="149" t="s">
        <v>3327</v>
      </c>
      <c r="C1319" s="149" t="s">
        <v>8929</v>
      </c>
      <c r="D1319" s="149" t="s">
        <v>7628</v>
      </c>
      <c r="E1319" s="149" t="s">
        <v>10007</v>
      </c>
      <c r="F1319" s="149" t="s">
        <v>10268</v>
      </c>
      <c r="G1319" s="149">
        <v>99.9</v>
      </c>
      <c r="H1319" s="149"/>
      <c r="I1319" s="149"/>
      <c r="J1319" s="149"/>
      <c r="K1319" s="149"/>
      <c r="L1319" s="149"/>
      <c r="M1319" s="149"/>
    </row>
    <row r="1320" spans="1:13">
      <c r="A1320" s="551">
        <v>44907</v>
      </c>
      <c r="B1320" s="461" t="s">
        <v>10454</v>
      </c>
      <c r="C1320" s="149" t="s">
        <v>8929</v>
      </c>
      <c r="D1320" s="149" t="s">
        <v>10197</v>
      </c>
      <c r="E1320" s="149" t="s">
        <v>9998</v>
      </c>
      <c r="F1320" s="461" t="s">
        <v>10455</v>
      </c>
      <c r="G1320" s="149">
        <v>99.9</v>
      </c>
      <c r="H1320" s="149"/>
      <c r="I1320" s="149"/>
      <c r="J1320" s="149"/>
      <c r="K1320" s="149"/>
      <c r="L1320" s="149"/>
      <c r="M1320" s="149"/>
    </row>
    <row r="1321" spans="1:13">
      <c r="A1321" s="550">
        <v>44907</v>
      </c>
      <c r="B1321" s="108" t="s">
        <v>10456</v>
      </c>
      <c r="C1321" s="149" t="s">
        <v>8929</v>
      </c>
      <c r="D1321" s="149" t="s">
        <v>7628</v>
      </c>
      <c r="E1321" s="149" t="s">
        <v>9998</v>
      </c>
      <c r="F1321" s="149" t="s">
        <v>10199</v>
      </c>
      <c r="G1321" s="149">
        <v>79.900000000000006</v>
      </c>
      <c r="H1321" s="149"/>
      <c r="I1321" s="149"/>
      <c r="J1321" s="149"/>
      <c r="K1321" s="149"/>
      <c r="L1321" s="149"/>
      <c r="M1321" s="149"/>
    </row>
    <row r="1322" spans="1:13">
      <c r="A1322" s="503">
        <v>44907</v>
      </c>
      <c r="B1322" s="149" t="s">
        <v>10457</v>
      </c>
      <c r="C1322" s="262" t="s">
        <v>8929</v>
      </c>
      <c r="D1322" s="149" t="s">
        <v>10197</v>
      </c>
      <c r="E1322" s="149" t="s">
        <v>9998</v>
      </c>
      <c r="F1322" s="108" t="s">
        <v>10458</v>
      </c>
      <c r="G1322" s="149">
        <v>99.9</v>
      </c>
      <c r="H1322" s="149"/>
      <c r="I1322" s="149"/>
      <c r="J1322" s="149"/>
      <c r="K1322" s="149"/>
      <c r="L1322" s="149"/>
      <c r="M1322" s="149"/>
    </row>
    <row r="1323" spans="1:13">
      <c r="A1323" s="551">
        <v>44908</v>
      </c>
      <c r="B1323" s="461" t="s">
        <v>10459</v>
      </c>
      <c r="C1323" s="149" t="s">
        <v>10460</v>
      </c>
      <c r="D1323" s="149" t="s">
        <v>10197</v>
      </c>
      <c r="E1323" s="149" t="s">
        <v>10026</v>
      </c>
      <c r="F1323" s="461" t="s">
        <v>10461</v>
      </c>
      <c r="G1323" s="149">
        <v>79.900000000000006</v>
      </c>
      <c r="H1323" s="149"/>
      <c r="I1323" s="149"/>
      <c r="J1323" s="149"/>
      <c r="K1323" s="149"/>
      <c r="L1323" s="149"/>
      <c r="M1323" s="149"/>
    </row>
    <row r="1324" spans="1:13">
      <c r="A1324" s="503">
        <v>44908</v>
      </c>
      <c r="B1324" s="149" t="s">
        <v>10462</v>
      </c>
      <c r="C1324" s="149" t="s">
        <v>8929</v>
      </c>
      <c r="D1324" s="149" t="s">
        <v>10197</v>
      </c>
      <c r="E1324" s="149" t="s">
        <v>10026</v>
      </c>
      <c r="F1324" s="149" t="s">
        <v>10458</v>
      </c>
      <c r="G1324" s="149">
        <v>79.900000000000006</v>
      </c>
      <c r="H1324" s="149"/>
      <c r="I1324" s="149"/>
      <c r="J1324" s="149"/>
      <c r="K1324" s="149"/>
      <c r="L1324" s="149"/>
      <c r="M1324" s="149"/>
    </row>
    <row r="1325" spans="1:13">
      <c r="A1325" s="551">
        <v>44909</v>
      </c>
      <c r="B1325" s="461" t="s">
        <v>10463</v>
      </c>
      <c r="C1325" s="149" t="s">
        <v>8929</v>
      </c>
      <c r="D1325" s="149" t="s">
        <v>10197</v>
      </c>
      <c r="E1325" s="149" t="s">
        <v>10007</v>
      </c>
      <c r="F1325" s="461" t="s">
        <v>10464</v>
      </c>
      <c r="G1325" s="149">
        <v>99.9</v>
      </c>
      <c r="H1325" s="149"/>
      <c r="I1325" s="149"/>
      <c r="J1325" s="149"/>
      <c r="K1325" s="149"/>
      <c r="L1325" s="149"/>
      <c r="M1325" s="149"/>
    </row>
    <row r="1326" spans="1:13">
      <c r="A1326" s="551">
        <v>44910</v>
      </c>
      <c r="B1326" s="461" t="s">
        <v>10465</v>
      </c>
      <c r="C1326" s="149" t="s">
        <v>8929</v>
      </c>
      <c r="D1326" s="149" t="s">
        <v>7628</v>
      </c>
      <c r="E1326" s="149" t="s">
        <v>10314</v>
      </c>
      <c r="F1326" s="461" t="s">
        <v>10449</v>
      </c>
      <c r="G1326" s="149">
        <v>79.900000000000006</v>
      </c>
      <c r="H1326" s="262"/>
      <c r="I1326" s="149"/>
      <c r="J1326" s="149"/>
      <c r="K1326" s="149"/>
      <c r="L1326" s="149"/>
      <c r="M1326" s="149"/>
    </row>
    <row r="1327" spans="1:13">
      <c r="A1327" s="551">
        <v>44909</v>
      </c>
      <c r="B1327" s="461" t="s">
        <v>5835</v>
      </c>
      <c r="C1327" s="262" t="s">
        <v>8929</v>
      </c>
      <c r="D1327" s="262" t="s">
        <v>7628</v>
      </c>
      <c r="E1327" s="262" t="s">
        <v>10314</v>
      </c>
      <c r="F1327" s="461" t="s">
        <v>10449</v>
      </c>
      <c r="G1327" s="149">
        <v>79.900000000000006</v>
      </c>
      <c r="H1327" s="149"/>
      <c r="I1327" s="149"/>
      <c r="J1327" s="149"/>
      <c r="K1327" s="149"/>
      <c r="L1327" s="149"/>
      <c r="M1327" s="149"/>
    </row>
    <row r="1328" spans="1:13">
      <c r="A1328" s="551">
        <v>44910</v>
      </c>
      <c r="B1328" s="461" t="s">
        <v>10466</v>
      </c>
      <c r="C1328" s="149" t="s">
        <v>8929</v>
      </c>
      <c r="D1328" s="149" t="s">
        <v>7628</v>
      </c>
      <c r="E1328" s="149" t="s">
        <v>9998</v>
      </c>
      <c r="F1328" s="461" t="s">
        <v>10464</v>
      </c>
      <c r="G1328" s="149">
        <v>99.9</v>
      </c>
      <c r="H1328" s="149"/>
      <c r="I1328" s="149"/>
      <c r="J1328" s="149"/>
      <c r="K1328" s="149"/>
      <c r="L1328" s="149"/>
      <c r="M1328" s="149"/>
    </row>
    <row r="1329" spans="1:13">
      <c r="A1329" s="503">
        <v>44910</v>
      </c>
      <c r="B1329" s="149" t="s">
        <v>10467</v>
      </c>
      <c r="C1329" s="149" t="s">
        <v>8929</v>
      </c>
      <c r="D1329" s="149" t="s">
        <v>10197</v>
      </c>
      <c r="E1329" s="149" t="s">
        <v>10007</v>
      </c>
      <c r="F1329" s="149" t="s">
        <v>10468</v>
      </c>
      <c r="G1329" s="149">
        <v>79.900000000000006</v>
      </c>
      <c r="H1329" s="149"/>
      <c r="I1329" s="149"/>
      <c r="J1329" s="149"/>
      <c r="K1329" s="149"/>
      <c r="L1329" s="149"/>
      <c r="M1329" s="149"/>
    </row>
    <row r="1330" spans="1:13">
      <c r="A1330" s="503">
        <v>44910</v>
      </c>
      <c r="B1330" s="149" t="s">
        <v>10469</v>
      </c>
      <c r="C1330" s="149" t="s">
        <v>8929</v>
      </c>
      <c r="D1330" s="149" t="s">
        <v>7628</v>
      </c>
      <c r="E1330" s="149" t="s">
        <v>9998</v>
      </c>
      <c r="F1330" s="149" t="s">
        <v>10268</v>
      </c>
      <c r="G1330" s="149">
        <v>79.900000000000006</v>
      </c>
      <c r="H1330" s="149"/>
      <c r="I1330" s="149"/>
      <c r="J1330" s="149"/>
      <c r="K1330" s="149"/>
      <c r="L1330" s="149"/>
      <c r="M1330" s="149"/>
    </row>
    <row r="1331" spans="1:13">
      <c r="A1331" s="503">
        <v>44910</v>
      </c>
      <c r="B1331" s="149" t="s">
        <v>10470</v>
      </c>
      <c r="C1331" s="149" t="s">
        <v>10460</v>
      </c>
      <c r="D1331" s="149" t="s">
        <v>10197</v>
      </c>
      <c r="E1331" s="149" t="s">
        <v>9998</v>
      </c>
      <c r="F1331" s="149" t="s">
        <v>10296</v>
      </c>
      <c r="G1331" s="149">
        <v>139.9</v>
      </c>
      <c r="H1331" s="149"/>
      <c r="I1331" s="149"/>
      <c r="J1331" s="149"/>
      <c r="K1331" s="149"/>
      <c r="L1331" s="149"/>
      <c r="M1331" s="149"/>
    </row>
    <row r="1332" spans="1:13">
      <c r="A1332" s="550">
        <v>44910</v>
      </c>
      <c r="B1332" s="108" t="s">
        <v>5841</v>
      </c>
      <c r="C1332" s="149" t="s">
        <v>8929</v>
      </c>
      <c r="D1332" s="149" t="s">
        <v>7628</v>
      </c>
      <c r="E1332" s="149" t="s">
        <v>10072</v>
      </c>
      <c r="F1332" s="108" t="s">
        <v>278</v>
      </c>
      <c r="G1332" s="149">
        <v>79.900000000000006</v>
      </c>
      <c r="H1332" s="149"/>
      <c r="I1332" s="149"/>
      <c r="J1332" s="149"/>
      <c r="K1332" s="149"/>
      <c r="L1332" s="149"/>
      <c r="M1332" s="149"/>
    </row>
    <row r="1333" spans="1:13">
      <c r="A1333" s="551">
        <v>44911</v>
      </c>
      <c r="B1333" s="461" t="s">
        <v>10471</v>
      </c>
      <c r="C1333" s="149" t="s">
        <v>8929</v>
      </c>
      <c r="D1333" s="149" t="s">
        <v>10197</v>
      </c>
      <c r="E1333" s="149" t="s">
        <v>10098</v>
      </c>
      <c r="F1333" s="461" t="s">
        <v>10464</v>
      </c>
      <c r="G1333" s="149">
        <v>99.9</v>
      </c>
      <c r="H1333" s="149"/>
      <c r="I1333" s="149"/>
      <c r="J1333" s="149"/>
      <c r="K1333" s="149"/>
      <c r="L1333" s="149"/>
      <c r="M1333" s="149"/>
    </row>
    <row r="1334" spans="1:13">
      <c r="A1334" s="503">
        <v>44911</v>
      </c>
      <c r="B1334" s="149" t="s">
        <v>10472</v>
      </c>
      <c r="C1334" s="149" t="s">
        <v>8929</v>
      </c>
      <c r="D1334" s="149" t="s">
        <v>10197</v>
      </c>
      <c r="E1334" s="149" t="s">
        <v>9998</v>
      </c>
      <c r="F1334" s="149" t="s">
        <v>9887</v>
      </c>
      <c r="G1334" s="149">
        <v>79.900000000000006</v>
      </c>
      <c r="H1334" s="149"/>
      <c r="I1334" s="149"/>
      <c r="J1334" s="149"/>
      <c r="K1334" s="149"/>
      <c r="L1334" s="149"/>
      <c r="M1334" s="149"/>
    </row>
    <row r="1335" spans="1:13">
      <c r="A1335" s="551">
        <v>44915</v>
      </c>
      <c r="B1335" s="461" t="s">
        <v>5843</v>
      </c>
      <c r="C1335" s="149" t="s">
        <v>8929</v>
      </c>
      <c r="D1335" s="149" t="s">
        <v>10197</v>
      </c>
      <c r="E1335" s="149" t="s">
        <v>10007</v>
      </c>
      <c r="F1335" s="461" t="s">
        <v>10464</v>
      </c>
      <c r="G1335" s="149">
        <v>79.900000000000006</v>
      </c>
      <c r="H1335" s="149"/>
      <c r="I1335" s="149"/>
      <c r="J1335" s="149"/>
      <c r="K1335" s="149"/>
      <c r="L1335" s="149"/>
      <c r="M1335" s="149"/>
    </row>
    <row r="1336" spans="1:13">
      <c r="A1336" s="551">
        <v>44915</v>
      </c>
      <c r="B1336" s="461" t="s">
        <v>10473</v>
      </c>
      <c r="C1336" s="149" t="s">
        <v>8929</v>
      </c>
      <c r="D1336" s="149" t="s">
        <v>10197</v>
      </c>
      <c r="E1336" s="149" t="s">
        <v>10007</v>
      </c>
      <c r="F1336" s="461" t="s">
        <v>10464</v>
      </c>
      <c r="G1336" s="149">
        <v>79.900000000000006</v>
      </c>
      <c r="H1336" s="149"/>
      <c r="I1336" s="149"/>
      <c r="J1336" s="149"/>
      <c r="K1336" s="149"/>
      <c r="L1336" s="149"/>
      <c r="M1336" s="149"/>
    </row>
    <row r="1337" spans="1:13">
      <c r="A1337" s="503">
        <v>44915</v>
      </c>
      <c r="B1337" s="149" t="s">
        <v>10474</v>
      </c>
      <c r="C1337" s="149" t="s">
        <v>8929</v>
      </c>
      <c r="D1337" s="149" t="s">
        <v>10197</v>
      </c>
      <c r="E1337" s="149" t="s">
        <v>9998</v>
      </c>
      <c r="F1337" s="149" t="s">
        <v>9887</v>
      </c>
      <c r="G1337" s="149">
        <v>79.900000000000006</v>
      </c>
      <c r="H1337" s="149"/>
      <c r="I1337" s="149"/>
      <c r="J1337" s="149"/>
      <c r="K1337" s="149"/>
      <c r="L1337" s="149"/>
      <c r="M1337" s="149"/>
    </row>
    <row r="1338" spans="1:13">
      <c r="A1338" s="503">
        <v>44915</v>
      </c>
      <c r="B1338" s="149" t="s">
        <v>10475</v>
      </c>
      <c r="C1338" s="149" t="s">
        <v>8929</v>
      </c>
      <c r="D1338" s="149" t="s">
        <v>10197</v>
      </c>
      <c r="E1338" s="149" t="s">
        <v>10011</v>
      </c>
      <c r="F1338" s="149" t="s">
        <v>9887</v>
      </c>
      <c r="G1338" s="149">
        <v>79.900000000000006</v>
      </c>
      <c r="H1338" s="149"/>
      <c r="I1338" s="149"/>
      <c r="J1338" s="149"/>
      <c r="K1338" s="149"/>
      <c r="L1338" s="149"/>
      <c r="M1338" s="149"/>
    </row>
    <row r="1339" spans="1:13">
      <c r="A1339" s="503">
        <v>44916</v>
      </c>
      <c r="B1339" s="149" t="s">
        <v>10476</v>
      </c>
      <c r="C1339" s="149" t="s">
        <v>8929</v>
      </c>
      <c r="D1339" s="149" t="s">
        <v>7628</v>
      </c>
      <c r="E1339" s="149" t="s">
        <v>10011</v>
      </c>
      <c r="F1339" s="149" t="s">
        <v>10477</v>
      </c>
      <c r="G1339" s="149">
        <v>79.900000000000006</v>
      </c>
      <c r="H1339" s="149"/>
      <c r="I1339" s="149"/>
      <c r="J1339" s="149"/>
      <c r="K1339" s="149"/>
      <c r="L1339" s="149"/>
      <c r="M1339" s="149"/>
    </row>
    <row r="1340" spans="1:13">
      <c r="A1340" s="551">
        <v>44917</v>
      </c>
      <c r="B1340" s="461" t="s">
        <v>5847</v>
      </c>
      <c r="C1340" s="149" t="s">
        <v>8929</v>
      </c>
      <c r="D1340" s="149" t="s">
        <v>10197</v>
      </c>
      <c r="E1340" s="149" t="s">
        <v>9998</v>
      </c>
      <c r="F1340" s="461" t="s">
        <v>10461</v>
      </c>
      <c r="G1340" s="149">
        <v>99.9</v>
      </c>
      <c r="H1340" s="262"/>
      <c r="I1340" s="149"/>
      <c r="J1340" s="149"/>
      <c r="K1340" s="149"/>
      <c r="L1340" s="149"/>
      <c r="M1340" s="149"/>
    </row>
    <row r="1341" spans="1:13">
      <c r="A1341" s="503">
        <v>44917</v>
      </c>
      <c r="B1341" s="149" t="s">
        <v>3316</v>
      </c>
      <c r="C1341" s="149" t="s">
        <v>8929</v>
      </c>
      <c r="D1341" s="149" t="s">
        <v>10197</v>
      </c>
      <c r="E1341" s="149" t="s">
        <v>9998</v>
      </c>
      <c r="F1341" s="149" t="s">
        <v>9887</v>
      </c>
      <c r="G1341" s="149">
        <v>79.900000000000006</v>
      </c>
      <c r="H1341" s="149"/>
      <c r="I1341" s="149"/>
      <c r="J1341" s="149"/>
      <c r="K1341" s="149"/>
      <c r="L1341" s="149"/>
      <c r="M1341" s="149"/>
    </row>
    <row r="1342" spans="1:13">
      <c r="A1342" s="503">
        <v>44917</v>
      </c>
      <c r="B1342" s="149" t="s">
        <v>10478</v>
      </c>
      <c r="C1342" s="149" t="s">
        <v>8929</v>
      </c>
      <c r="D1342" s="149" t="s">
        <v>10197</v>
      </c>
      <c r="E1342" s="149" t="s">
        <v>9998</v>
      </c>
      <c r="F1342" s="149" t="s">
        <v>10477</v>
      </c>
      <c r="G1342" s="149">
        <v>114.9</v>
      </c>
      <c r="H1342" s="149"/>
      <c r="I1342" s="149"/>
      <c r="J1342" s="149"/>
      <c r="K1342" s="149"/>
      <c r="L1342" s="149"/>
      <c r="M1342" s="149"/>
    </row>
    <row r="1343" spans="1:13">
      <c r="A1343" s="552">
        <v>44921</v>
      </c>
      <c r="B1343" s="554" t="s">
        <v>10479</v>
      </c>
      <c r="C1343" s="149" t="s">
        <v>8929</v>
      </c>
      <c r="D1343" s="149" t="s">
        <v>10197</v>
      </c>
      <c r="E1343" s="149" t="s">
        <v>9998</v>
      </c>
      <c r="F1343" s="461" t="s">
        <v>10464</v>
      </c>
      <c r="G1343" s="149">
        <v>79.900000000000006</v>
      </c>
      <c r="H1343" s="149"/>
      <c r="I1343" s="149"/>
      <c r="J1343" s="149"/>
      <c r="K1343" s="149"/>
      <c r="L1343" s="149"/>
      <c r="M1343" s="149"/>
    </row>
    <row r="1344" spans="1:13">
      <c r="A1344" s="552">
        <v>44921</v>
      </c>
      <c r="B1344" s="554" t="s">
        <v>10480</v>
      </c>
      <c r="C1344" s="149" t="s">
        <v>8929</v>
      </c>
      <c r="D1344" s="149" t="s">
        <v>7628</v>
      </c>
      <c r="E1344" s="149" t="s">
        <v>10011</v>
      </c>
      <c r="F1344" s="461" t="s">
        <v>10464</v>
      </c>
      <c r="G1344" s="262">
        <v>99.9</v>
      </c>
      <c r="H1344" s="149"/>
      <c r="I1344" s="149"/>
      <c r="J1344" s="149"/>
      <c r="K1344" s="149"/>
      <c r="L1344" s="149"/>
      <c r="M1344" s="149"/>
    </row>
    <row r="1345" spans="1:13">
      <c r="A1345" s="503">
        <v>44923</v>
      </c>
      <c r="B1345" s="149" t="s">
        <v>10481</v>
      </c>
      <c r="C1345" s="149" t="s">
        <v>8929</v>
      </c>
      <c r="D1345" s="149" t="s">
        <v>10197</v>
      </c>
      <c r="E1345" s="149" t="s">
        <v>10007</v>
      </c>
      <c r="F1345" s="149" t="s">
        <v>10482</v>
      </c>
      <c r="G1345" s="149">
        <v>79.900000000000006</v>
      </c>
      <c r="H1345" s="149"/>
      <c r="I1345" s="149"/>
      <c r="J1345" s="149"/>
      <c r="K1345" s="149"/>
      <c r="L1345" s="149"/>
      <c r="M1345" s="149"/>
    </row>
    <row r="1346" spans="1:13">
      <c r="A1346" s="503">
        <v>44923</v>
      </c>
      <c r="B1346" s="149" t="s">
        <v>10483</v>
      </c>
      <c r="C1346" s="149" t="s">
        <v>8929</v>
      </c>
      <c r="D1346" s="149" t="s">
        <v>10197</v>
      </c>
      <c r="E1346" s="149" t="s">
        <v>10007</v>
      </c>
      <c r="F1346" s="149" t="s">
        <v>10484</v>
      </c>
      <c r="G1346" s="149">
        <v>99.9</v>
      </c>
      <c r="H1346" s="149"/>
      <c r="I1346" s="149"/>
      <c r="J1346" s="149"/>
      <c r="K1346" s="149"/>
      <c r="L1346" s="149"/>
      <c r="M1346" s="149"/>
    </row>
    <row r="1347" spans="1:13">
      <c r="A1347" s="503"/>
      <c r="B1347" s="421" t="s">
        <v>7634</v>
      </c>
      <c r="C1347" s="149"/>
      <c r="D1347" s="149"/>
      <c r="E1347" s="149"/>
      <c r="F1347" s="149"/>
      <c r="G1347" s="149"/>
      <c r="H1347" s="149"/>
      <c r="I1347" s="149"/>
      <c r="J1347" s="149"/>
      <c r="K1347" s="149"/>
      <c r="L1347" s="149"/>
      <c r="M1347" s="149"/>
    </row>
    <row r="1348" spans="1:13">
      <c r="A1348" s="503">
        <v>44928</v>
      </c>
      <c r="B1348" s="149" t="s">
        <v>10485</v>
      </c>
      <c r="C1348" s="149" t="s">
        <v>8929</v>
      </c>
      <c r="D1348" s="149" t="s">
        <v>7634</v>
      </c>
      <c r="E1348" s="149" t="s">
        <v>10011</v>
      </c>
      <c r="F1348" s="149" t="s">
        <v>10268</v>
      </c>
      <c r="G1348" s="149"/>
      <c r="H1348" s="149"/>
      <c r="I1348" s="149"/>
      <c r="J1348" s="149"/>
      <c r="K1348" s="149"/>
      <c r="L1348" s="149"/>
      <c r="M1348" s="149"/>
    </row>
    <row r="1349" spans="1:13">
      <c r="A1349" s="503">
        <v>44928</v>
      </c>
      <c r="B1349" s="149" t="s">
        <v>10486</v>
      </c>
      <c r="C1349" s="149" t="s">
        <v>8929</v>
      </c>
      <c r="D1349" s="340" t="s">
        <v>7634</v>
      </c>
      <c r="E1349" s="149" t="s">
        <v>10011</v>
      </c>
      <c r="F1349" s="149" t="s">
        <v>10268</v>
      </c>
      <c r="G1349" s="149"/>
      <c r="H1349" s="149"/>
      <c r="I1349" s="149"/>
      <c r="J1349" s="149"/>
      <c r="K1349" s="149"/>
      <c r="L1349" s="149"/>
      <c r="M1349" s="149"/>
    </row>
    <row r="1350" spans="1:13">
      <c r="A1350" s="550">
        <v>44929</v>
      </c>
      <c r="B1350" s="108" t="s">
        <v>10487</v>
      </c>
      <c r="C1350" s="149" t="s">
        <v>8929</v>
      </c>
      <c r="D1350" s="149" t="s">
        <v>7634</v>
      </c>
      <c r="E1350" s="149" t="s">
        <v>10026</v>
      </c>
      <c r="F1350" s="108" t="s">
        <v>278</v>
      </c>
      <c r="G1350" s="149"/>
      <c r="H1350" s="149"/>
      <c r="I1350" s="149"/>
      <c r="J1350" s="149"/>
      <c r="K1350" s="149"/>
      <c r="L1350" s="149"/>
      <c r="M1350" s="149"/>
    </row>
    <row r="1351" spans="1:13">
      <c r="A1351" s="550">
        <v>44929</v>
      </c>
      <c r="B1351" s="108" t="s">
        <v>5860</v>
      </c>
      <c r="C1351" s="149" t="s">
        <v>8929</v>
      </c>
      <c r="D1351" s="149" t="s">
        <v>7634</v>
      </c>
      <c r="E1351" s="149"/>
      <c r="F1351" s="108" t="s">
        <v>278</v>
      </c>
      <c r="G1351" s="149"/>
      <c r="H1351" s="149"/>
      <c r="I1351" s="149"/>
      <c r="J1351" s="149"/>
      <c r="K1351" s="149"/>
      <c r="L1351" s="149"/>
      <c r="M1351" s="149"/>
    </row>
    <row r="1352" spans="1:13">
      <c r="A1352" s="503">
        <v>44930</v>
      </c>
      <c r="B1352" s="149" t="s">
        <v>10488</v>
      </c>
      <c r="C1352" s="149" t="s">
        <v>8929</v>
      </c>
      <c r="D1352" s="149" t="s">
        <v>7634</v>
      </c>
      <c r="E1352" s="149" t="s">
        <v>7993</v>
      </c>
      <c r="F1352" s="149" t="s">
        <v>10268</v>
      </c>
      <c r="G1352" s="149"/>
      <c r="H1352" s="149"/>
      <c r="I1352" s="149"/>
      <c r="J1352" s="149"/>
      <c r="K1352" s="149"/>
      <c r="L1352" s="149"/>
      <c r="M1352" s="149"/>
    </row>
    <row r="1353" spans="1:13">
      <c r="A1353" s="549">
        <v>44930</v>
      </c>
      <c r="B1353" s="149" t="s">
        <v>5862</v>
      </c>
      <c r="C1353" s="149" t="s">
        <v>8929</v>
      </c>
      <c r="D1353" s="149" t="s">
        <v>7634</v>
      </c>
      <c r="E1353" s="149" t="s">
        <v>10007</v>
      </c>
      <c r="F1353" s="149" t="s">
        <v>10268</v>
      </c>
      <c r="G1353" s="149"/>
      <c r="H1353" s="149"/>
      <c r="I1353" s="149"/>
      <c r="J1353" s="149"/>
      <c r="K1353" s="149"/>
      <c r="L1353" s="149"/>
      <c r="M1353" s="149"/>
    </row>
    <row r="1354" spans="1:13">
      <c r="A1354" s="503">
        <v>44931</v>
      </c>
      <c r="B1354" s="149" t="s">
        <v>3333</v>
      </c>
      <c r="C1354" s="149" t="s">
        <v>8929</v>
      </c>
      <c r="D1354" s="149" t="s">
        <v>7634</v>
      </c>
      <c r="E1354" s="149" t="s">
        <v>10314</v>
      </c>
      <c r="F1354" s="149" t="s">
        <v>10268</v>
      </c>
      <c r="G1354" s="149"/>
      <c r="H1354" s="149"/>
      <c r="I1354" s="149"/>
      <c r="J1354" s="149"/>
      <c r="K1354" s="149"/>
      <c r="L1354" s="149"/>
      <c r="M1354" s="149"/>
    </row>
    <row r="1355" spans="1:13">
      <c r="A1355" s="503">
        <v>44932</v>
      </c>
      <c r="B1355" s="149" t="s">
        <v>5866</v>
      </c>
      <c r="C1355" s="149" t="s">
        <v>8929</v>
      </c>
      <c r="D1355" s="149" t="s">
        <v>7634</v>
      </c>
      <c r="E1355" s="149" t="s">
        <v>10314</v>
      </c>
      <c r="F1355" s="149" t="s">
        <v>10268</v>
      </c>
      <c r="G1355" s="149"/>
      <c r="H1355" s="149"/>
      <c r="I1355" s="149"/>
      <c r="J1355" s="149"/>
      <c r="K1355" s="149"/>
      <c r="L1355" s="149"/>
      <c r="M1355" s="149"/>
    </row>
    <row r="1356" spans="1:13">
      <c r="A1356" s="503">
        <v>44932</v>
      </c>
      <c r="B1356" s="149" t="s">
        <v>5868</v>
      </c>
      <c r="C1356" s="149" t="s">
        <v>8929</v>
      </c>
      <c r="D1356" s="149" t="s">
        <v>7634</v>
      </c>
      <c r="E1356" s="149" t="s">
        <v>10314</v>
      </c>
      <c r="F1356" s="149" t="s">
        <v>10268</v>
      </c>
      <c r="G1356" s="149"/>
      <c r="H1356" s="149"/>
      <c r="I1356" s="149"/>
      <c r="J1356" s="149"/>
      <c r="K1356" s="149"/>
      <c r="L1356" s="149"/>
      <c r="M1356" s="149"/>
    </row>
    <row r="1357" spans="1:13">
      <c r="A1357" s="503">
        <v>44935</v>
      </c>
      <c r="B1357" s="149" t="s">
        <v>10489</v>
      </c>
      <c r="C1357" s="149" t="s">
        <v>8929</v>
      </c>
      <c r="D1357" s="149" t="s">
        <v>7634</v>
      </c>
      <c r="E1357" s="149" t="s">
        <v>9998</v>
      </c>
      <c r="F1357" s="149" t="s">
        <v>10268</v>
      </c>
      <c r="G1357" s="149"/>
      <c r="H1357" s="149"/>
      <c r="I1357" s="149"/>
      <c r="J1357" s="149"/>
      <c r="K1357" s="149"/>
      <c r="L1357" s="149"/>
      <c r="M1357" s="149"/>
    </row>
    <row r="1358" spans="1:13">
      <c r="A1358" s="551">
        <v>44935</v>
      </c>
      <c r="B1358" s="461" t="s">
        <v>10490</v>
      </c>
      <c r="C1358" s="149" t="s">
        <v>8929</v>
      </c>
      <c r="D1358" s="149" t="s">
        <v>7634</v>
      </c>
      <c r="E1358" s="149" t="s">
        <v>10026</v>
      </c>
      <c r="F1358" s="461" t="s">
        <v>10464</v>
      </c>
      <c r="G1358" s="149">
        <v>99.9</v>
      </c>
      <c r="H1358" s="149"/>
      <c r="I1358" s="149"/>
      <c r="J1358" s="149"/>
      <c r="K1358" s="149"/>
      <c r="L1358" s="149"/>
      <c r="M1358" s="149"/>
    </row>
    <row r="1359" spans="1:13">
      <c r="A1359" s="503">
        <v>44935</v>
      </c>
      <c r="B1359" s="149" t="s">
        <v>5872</v>
      </c>
      <c r="C1359" s="149" t="s">
        <v>8929</v>
      </c>
      <c r="D1359" s="149" t="s">
        <v>7634</v>
      </c>
      <c r="E1359" s="149" t="s">
        <v>10026</v>
      </c>
      <c r="F1359" s="149" t="s">
        <v>10268</v>
      </c>
      <c r="G1359" s="149">
        <v>79.900000000000006</v>
      </c>
      <c r="H1359" s="149"/>
      <c r="I1359" s="149"/>
      <c r="J1359" s="149"/>
      <c r="K1359" s="149"/>
      <c r="L1359" s="149"/>
      <c r="M1359" s="149"/>
    </row>
    <row r="1360" spans="1:13">
      <c r="A1360" s="503">
        <v>44935</v>
      </c>
      <c r="B1360" s="149" t="s">
        <v>5876</v>
      </c>
      <c r="C1360" s="149" t="s">
        <v>8929</v>
      </c>
      <c r="D1360" s="149" t="s">
        <v>7634</v>
      </c>
      <c r="E1360" s="149" t="s">
        <v>10026</v>
      </c>
      <c r="F1360" s="149" t="s">
        <v>10268</v>
      </c>
      <c r="G1360" s="149">
        <v>79.900000000000006</v>
      </c>
      <c r="H1360" s="149"/>
      <c r="I1360" s="149"/>
      <c r="J1360" s="149"/>
      <c r="K1360" s="149"/>
      <c r="L1360" s="149"/>
      <c r="M1360" s="149"/>
    </row>
    <row r="1361" spans="1:13">
      <c r="A1361" s="503">
        <v>44935</v>
      </c>
      <c r="B1361" s="149" t="s">
        <v>5878</v>
      </c>
      <c r="C1361" s="149" t="s">
        <v>8929</v>
      </c>
      <c r="D1361" s="149" t="s">
        <v>7634</v>
      </c>
      <c r="E1361" s="149" t="s">
        <v>10026</v>
      </c>
      <c r="F1361" s="149" t="s">
        <v>10268</v>
      </c>
      <c r="G1361" s="149">
        <v>79.900000000000006</v>
      </c>
      <c r="H1361" s="149"/>
      <c r="I1361" s="192"/>
      <c r="J1361" s="149"/>
      <c r="K1361" s="149"/>
      <c r="L1361" s="149"/>
      <c r="M1361" s="149"/>
    </row>
    <row r="1362" spans="1:13">
      <c r="A1362" s="503">
        <v>44935</v>
      </c>
      <c r="B1362" s="149" t="s">
        <v>5880</v>
      </c>
      <c r="C1362" s="149" t="s">
        <v>8929</v>
      </c>
      <c r="D1362" s="149" t="s">
        <v>10208</v>
      </c>
      <c r="E1362" s="149" t="s">
        <v>10026</v>
      </c>
      <c r="F1362" s="149" t="s">
        <v>10268</v>
      </c>
      <c r="G1362" s="149">
        <v>79.900000000000006</v>
      </c>
      <c r="H1362" s="149"/>
      <c r="I1362" s="149"/>
      <c r="J1362" s="149"/>
      <c r="K1362" s="149"/>
      <c r="L1362" s="149"/>
      <c r="M1362" s="149"/>
    </row>
    <row r="1363" spans="1:13">
      <c r="A1363" s="551">
        <v>44936</v>
      </c>
      <c r="B1363" s="461" t="s">
        <v>10491</v>
      </c>
      <c r="C1363" s="149" t="s">
        <v>8929</v>
      </c>
      <c r="D1363" s="149" t="s">
        <v>10208</v>
      </c>
      <c r="E1363" s="149" t="s">
        <v>10011</v>
      </c>
      <c r="F1363" s="461" t="s">
        <v>10461</v>
      </c>
      <c r="G1363" s="149">
        <v>99.9</v>
      </c>
      <c r="H1363" s="149"/>
      <c r="I1363" s="149"/>
      <c r="J1363" s="149"/>
      <c r="K1363" s="149"/>
      <c r="L1363" s="149"/>
      <c r="M1363" s="149"/>
    </row>
    <row r="1364" spans="1:13">
      <c r="A1364" s="503">
        <v>44936</v>
      </c>
      <c r="B1364" s="149" t="s">
        <v>10492</v>
      </c>
      <c r="C1364" s="149" t="s">
        <v>8929</v>
      </c>
      <c r="D1364" s="149" t="s">
        <v>10493</v>
      </c>
      <c r="E1364" s="149" t="s">
        <v>10011</v>
      </c>
      <c r="F1364" s="149" t="s">
        <v>10494</v>
      </c>
      <c r="G1364" s="149">
        <v>79.900000000000006</v>
      </c>
      <c r="H1364" s="149"/>
      <c r="I1364" s="149"/>
      <c r="J1364" s="149"/>
      <c r="K1364" s="149"/>
      <c r="L1364" s="149"/>
      <c r="M1364" s="149"/>
    </row>
    <row r="1365" spans="1:13">
      <c r="A1365" s="469">
        <v>44936</v>
      </c>
      <c r="B1365" s="461" t="s">
        <v>10495</v>
      </c>
      <c r="C1365" s="149" t="s">
        <v>8929</v>
      </c>
      <c r="D1365" s="149" t="s">
        <v>10208</v>
      </c>
      <c r="E1365" s="149" t="s">
        <v>10011</v>
      </c>
      <c r="F1365" s="554" t="s">
        <v>10461</v>
      </c>
      <c r="G1365" s="149">
        <v>79.900000000000006</v>
      </c>
      <c r="H1365" s="149"/>
      <c r="I1365" s="149"/>
      <c r="J1365" s="149"/>
      <c r="K1365" s="149"/>
      <c r="L1365" s="149"/>
      <c r="M1365" s="149"/>
    </row>
    <row r="1366" spans="1:13">
      <c r="A1366" s="503">
        <v>44937</v>
      </c>
      <c r="B1366" s="149" t="s">
        <v>10496</v>
      </c>
      <c r="C1366" s="149" t="s">
        <v>8929</v>
      </c>
      <c r="D1366" s="149" t="s">
        <v>7634</v>
      </c>
      <c r="E1366" s="149" t="s">
        <v>10497</v>
      </c>
      <c r="F1366" s="149" t="s">
        <v>10494</v>
      </c>
      <c r="G1366" s="149">
        <v>139.9</v>
      </c>
      <c r="H1366" s="149"/>
      <c r="I1366" s="149"/>
      <c r="J1366" s="149"/>
      <c r="K1366" s="149"/>
      <c r="L1366" s="149"/>
      <c r="M1366" s="149"/>
    </row>
    <row r="1367" spans="1:13">
      <c r="A1367" s="503">
        <v>44937</v>
      </c>
      <c r="B1367" s="149" t="s">
        <v>10498</v>
      </c>
      <c r="C1367" s="149" t="s">
        <v>8929</v>
      </c>
      <c r="D1367" s="149" t="s">
        <v>7634</v>
      </c>
      <c r="E1367" s="149" t="s">
        <v>10314</v>
      </c>
      <c r="F1367" s="149" t="s">
        <v>10499</v>
      </c>
      <c r="G1367" s="149">
        <v>99.9</v>
      </c>
      <c r="H1367" s="149"/>
      <c r="I1367" s="149"/>
      <c r="J1367" s="149"/>
      <c r="K1367" s="149"/>
      <c r="L1367" s="149"/>
      <c r="M1367" s="149"/>
    </row>
    <row r="1368" spans="1:13">
      <c r="A1368" s="503">
        <v>44940</v>
      </c>
      <c r="B1368" s="149" t="s">
        <v>5884</v>
      </c>
      <c r="C1368" s="149" t="s">
        <v>8929</v>
      </c>
      <c r="D1368" s="149" t="s">
        <v>7634</v>
      </c>
      <c r="E1368" s="149" t="s">
        <v>9998</v>
      </c>
      <c r="F1368" s="149" t="s">
        <v>10500</v>
      </c>
      <c r="G1368" s="149">
        <v>79.900000000000006</v>
      </c>
      <c r="H1368" s="149"/>
      <c r="I1368" s="149"/>
      <c r="J1368" s="149"/>
      <c r="K1368" s="149"/>
      <c r="L1368" s="149"/>
      <c r="M1368" s="149"/>
    </row>
    <row r="1369" spans="1:13">
      <c r="A1369" s="551">
        <v>44942</v>
      </c>
      <c r="B1369" s="461" t="s">
        <v>10501</v>
      </c>
      <c r="C1369" s="149" t="s">
        <v>8929</v>
      </c>
      <c r="D1369" s="149" t="s">
        <v>10208</v>
      </c>
      <c r="E1369" s="149" t="s">
        <v>9998</v>
      </c>
      <c r="F1369" s="461" t="s">
        <v>10461</v>
      </c>
      <c r="G1369" s="149">
        <v>99.9</v>
      </c>
      <c r="H1369" s="149"/>
      <c r="I1369" s="149"/>
      <c r="J1369" s="149"/>
      <c r="K1369" s="149"/>
      <c r="L1369" s="149"/>
      <c r="M1369" s="149"/>
    </row>
    <row r="1370" spans="1:13">
      <c r="A1370" s="551">
        <v>44577</v>
      </c>
      <c r="B1370" s="461" t="s">
        <v>10502</v>
      </c>
      <c r="C1370" s="192" t="s">
        <v>8929</v>
      </c>
      <c r="D1370" s="192" t="s">
        <v>10208</v>
      </c>
      <c r="E1370" s="149" t="s">
        <v>9998</v>
      </c>
      <c r="F1370" s="461" t="s">
        <v>10461</v>
      </c>
      <c r="G1370" s="149">
        <v>99.9</v>
      </c>
      <c r="H1370" s="149"/>
      <c r="I1370" s="149"/>
      <c r="J1370" s="149"/>
      <c r="K1370" s="149"/>
      <c r="L1370" s="149"/>
      <c r="M1370" s="149"/>
    </row>
    <row r="1371" spans="1:13">
      <c r="A1371" s="503">
        <v>44942</v>
      </c>
      <c r="B1371" s="149" t="s">
        <v>5888</v>
      </c>
      <c r="C1371" s="149" t="s">
        <v>8929</v>
      </c>
      <c r="D1371" s="149" t="s">
        <v>10208</v>
      </c>
      <c r="E1371" s="149" t="s">
        <v>9998</v>
      </c>
      <c r="F1371" s="149" t="s">
        <v>10503</v>
      </c>
      <c r="G1371" s="149">
        <v>99.9</v>
      </c>
      <c r="H1371" s="149"/>
      <c r="I1371" s="149"/>
      <c r="J1371" s="149"/>
      <c r="K1371" s="149"/>
      <c r="L1371" s="149"/>
      <c r="M1371" s="149"/>
    </row>
    <row r="1372" spans="1:13">
      <c r="A1372" s="503">
        <v>44942</v>
      </c>
      <c r="B1372" s="149" t="s">
        <v>3319</v>
      </c>
      <c r="C1372" s="149" t="s">
        <v>8929</v>
      </c>
      <c r="D1372" s="149" t="s">
        <v>7634</v>
      </c>
      <c r="E1372" s="149" t="s">
        <v>10026</v>
      </c>
      <c r="F1372" s="149" t="s">
        <v>10494</v>
      </c>
      <c r="G1372" s="149">
        <v>79.900000000000006</v>
      </c>
      <c r="H1372" s="149"/>
      <c r="I1372" s="149"/>
      <c r="J1372" s="149"/>
      <c r="K1372" s="149"/>
      <c r="L1372" s="149"/>
      <c r="M1372" s="149"/>
    </row>
    <row r="1373" spans="1:13">
      <c r="A1373" s="503">
        <v>44943</v>
      </c>
      <c r="B1373" s="283" t="s">
        <v>5892</v>
      </c>
      <c r="C1373" s="149" t="s">
        <v>8929</v>
      </c>
      <c r="D1373" s="149" t="s">
        <v>7634</v>
      </c>
      <c r="E1373" s="149" t="s">
        <v>10026</v>
      </c>
      <c r="F1373" s="149" t="s">
        <v>10494</v>
      </c>
      <c r="G1373" s="149">
        <v>114.9</v>
      </c>
      <c r="H1373" s="149"/>
      <c r="I1373" s="192"/>
      <c r="J1373" s="149"/>
      <c r="K1373" s="149"/>
      <c r="L1373" s="149"/>
      <c r="M1373" s="149"/>
    </row>
    <row r="1374" spans="1:13">
      <c r="A1374" s="503">
        <v>44943</v>
      </c>
      <c r="B1374" s="149" t="s">
        <v>5894</v>
      </c>
      <c r="C1374" s="149" t="s">
        <v>8929</v>
      </c>
      <c r="D1374" s="149" t="s">
        <v>10208</v>
      </c>
      <c r="E1374" s="149" t="s">
        <v>10026</v>
      </c>
      <c r="F1374" s="192" t="s">
        <v>10494</v>
      </c>
      <c r="G1374" s="149">
        <v>79.900000000000006</v>
      </c>
      <c r="H1374" s="149"/>
      <c r="I1374" s="149"/>
      <c r="J1374" s="149"/>
      <c r="K1374" s="149"/>
      <c r="L1374" s="149"/>
      <c r="M1374" s="149"/>
    </row>
    <row r="1375" spans="1:13">
      <c r="A1375" s="503">
        <v>44944</v>
      </c>
      <c r="B1375" s="149" t="s">
        <v>3745</v>
      </c>
      <c r="C1375" s="149" t="s">
        <v>8929</v>
      </c>
      <c r="D1375" s="149" t="s">
        <v>10208</v>
      </c>
      <c r="E1375" s="149" t="s">
        <v>10011</v>
      </c>
      <c r="F1375" s="149" t="s">
        <v>10504</v>
      </c>
      <c r="G1375" s="149">
        <v>99.9</v>
      </c>
      <c r="H1375" s="149"/>
      <c r="I1375" s="149"/>
      <c r="J1375" s="149"/>
      <c r="K1375" s="149"/>
      <c r="L1375" s="149"/>
      <c r="M1375" s="149"/>
    </row>
    <row r="1376" spans="1:13">
      <c r="A1376" s="550">
        <v>44944</v>
      </c>
      <c r="B1376" s="108" t="s">
        <v>10505</v>
      </c>
      <c r="C1376" s="192" t="s">
        <v>8929</v>
      </c>
      <c r="D1376" s="149" t="s">
        <v>10208</v>
      </c>
      <c r="E1376" s="149" t="s">
        <v>10011</v>
      </c>
      <c r="F1376" s="192" t="s">
        <v>10199</v>
      </c>
      <c r="G1376" s="192">
        <v>79.900000000000006</v>
      </c>
      <c r="H1376" s="149"/>
      <c r="I1376" s="149"/>
      <c r="J1376" s="149"/>
      <c r="K1376" s="149"/>
      <c r="L1376" s="149"/>
      <c r="M1376" s="149"/>
    </row>
    <row r="1377" spans="1:13">
      <c r="A1377" s="551">
        <v>44944</v>
      </c>
      <c r="B1377" s="461" t="s">
        <v>10506</v>
      </c>
      <c r="C1377" s="149" t="s">
        <v>8929</v>
      </c>
      <c r="D1377" s="149" t="s">
        <v>10208</v>
      </c>
      <c r="E1377" s="149" t="s">
        <v>10011</v>
      </c>
      <c r="F1377" s="192" t="s">
        <v>10464</v>
      </c>
      <c r="G1377" s="192">
        <v>79.900000000000006</v>
      </c>
      <c r="H1377" s="149"/>
      <c r="I1377" s="192"/>
      <c r="J1377" s="149"/>
      <c r="K1377" s="149"/>
      <c r="L1377" s="149"/>
      <c r="M1377" s="149"/>
    </row>
    <row r="1378" spans="1:13">
      <c r="A1378" s="551">
        <v>44945</v>
      </c>
      <c r="B1378" s="461" t="s">
        <v>5425</v>
      </c>
      <c r="C1378" s="149" t="s">
        <v>8929</v>
      </c>
      <c r="D1378" s="149" t="s">
        <v>10208</v>
      </c>
      <c r="E1378" s="149" t="s">
        <v>10007</v>
      </c>
      <c r="F1378" s="461" t="s">
        <v>10464</v>
      </c>
      <c r="G1378" s="192">
        <v>79.900000000000006</v>
      </c>
      <c r="H1378" s="149"/>
      <c r="I1378" s="149"/>
      <c r="J1378" s="149"/>
      <c r="K1378" s="149"/>
      <c r="L1378" s="149"/>
      <c r="M1378" s="149"/>
    </row>
    <row r="1379" spans="1:13">
      <c r="A1379" s="503">
        <v>44945</v>
      </c>
      <c r="B1379" s="149" t="s">
        <v>5321</v>
      </c>
      <c r="C1379" s="149" t="s">
        <v>8929</v>
      </c>
      <c r="D1379" s="149" t="s">
        <v>10208</v>
      </c>
      <c r="E1379" s="149" t="s">
        <v>10007</v>
      </c>
      <c r="F1379" s="149" t="s">
        <v>10504</v>
      </c>
      <c r="G1379" s="192">
        <v>79.900000000000006</v>
      </c>
      <c r="H1379" s="149"/>
      <c r="I1379" s="149"/>
      <c r="J1379" s="149"/>
      <c r="K1379" s="149"/>
      <c r="L1379" s="149"/>
      <c r="M1379" s="149"/>
    </row>
    <row r="1380" spans="1:13">
      <c r="A1380" s="503" t="s">
        <v>10507</v>
      </c>
      <c r="B1380" s="149" t="s">
        <v>10508</v>
      </c>
      <c r="C1380" s="149" t="s">
        <v>8929</v>
      </c>
      <c r="D1380" s="149" t="s">
        <v>7634</v>
      </c>
      <c r="E1380" s="149" t="s">
        <v>10314</v>
      </c>
      <c r="F1380" s="149" t="s">
        <v>10494</v>
      </c>
      <c r="G1380" s="149">
        <v>99.9</v>
      </c>
      <c r="H1380" s="149"/>
      <c r="I1380" s="149"/>
      <c r="J1380" s="149"/>
      <c r="K1380" s="149"/>
      <c r="L1380" s="149"/>
      <c r="M1380" s="149"/>
    </row>
    <row r="1381" spans="1:13">
      <c r="A1381" s="503" t="s">
        <v>10507</v>
      </c>
      <c r="B1381" s="149" t="s">
        <v>5898</v>
      </c>
      <c r="C1381" s="149" t="s">
        <v>8929</v>
      </c>
      <c r="D1381" s="149" t="s">
        <v>7634</v>
      </c>
      <c r="E1381" s="149" t="s">
        <v>10314</v>
      </c>
      <c r="F1381" s="149" t="s">
        <v>10494</v>
      </c>
      <c r="G1381" s="149">
        <v>99.9</v>
      </c>
      <c r="H1381" s="149"/>
      <c r="I1381" s="149"/>
      <c r="J1381" s="149"/>
      <c r="K1381" s="149"/>
      <c r="L1381" s="149"/>
      <c r="M1381" s="149"/>
    </row>
    <row r="1382" spans="1:13">
      <c r="A1382" s="503" t="s">
        <v>10507</v>
      </c>
      <c r="B1382" s="149" t="s">
        <v>5896</v>
      </c>
      <c r="C1382" s="149" t="s">
        <v>8929</v>
      </c>
      <c r="D1382" s="149" t="s">
        <v>7634</v>
      </c>
      <c r="E1382" s="149" t="s">
        <v>10314</v>
      </c>
      <c r="F1382" s="149" t="s">
        <v>10494</v>
      </c>
      <c r="G1382" s="149">
        <v>79.900000000000006</v>
      </c>
      <c r="H1382" s="149"/>
      <c r="I1382" s="149"/>
      <c r="J1382" s="149"/>
      <c r="K1382" s="149"/>
      <c r="L1382" s="149"/>
      <c r="M1382" s="149"/>
    </row>
    <row r="1383" spans="1:13">
      <c r="A1383" s="503">
        <v>44949</v>
      </c>
      <c r="B1383" s="149" t="s">
        <v>10509</v>
      </c>
      <c r="C1383" s="149" t="s">
        <v>8929</v>
      </c>
      <c r="D1383" s="149" t="s">
        <v>10208</v>
      </c>
      <c r="E1383" s="149" t="s">
        <v>9998</v>
      </c>
      <c r="F1383" s="149" t="s">
        <v>10461</v>
      </c>
      <c r="G1383" s="149">
        <v>79.900000000000006</v>
      </c>
      <c r="H1383" s="149"/>
      <c r="I1383" s="149"/>
      <c r="J1383" s="149"/>
      <c r="K1383" s="149"/>
      <c r="L1383" s="149"/>
      <c r="M1383" s="149"/>
    </row>
    <row r="1384" spans="1:13">
      <c r="A1384" s="551">
        <v>44949</v>
      </c>
      <c r="B1384" s="461" t="s">
        <v>10510</v>
      </c>
      <c r="C1384" s="149" t="s">
        <v>8929</v>
      </c>
      <c r="D1384" s="149" t="s">
        <v>10208</v>
      </c>
      <c r="E1384" s="149" t="s">
        <v>9998</v>
      </c>
      <c r="F1384" s="461" t="s">
        <v>10461</v>
      </c>
      <c r="G1384" s="149">
        <v>79.900000000000006</v>
      </c>
      <c r="H1384" s="149"/>
      <c r="I1384" s="149"/>
      <c r="J1384" s="149"/>
      <c r="K1384" s="149"/>
      <c r="L1384" s="149"/>
      <c r="M1384" s="149"/>
    </row>
    <row r="1385" spans="1:13">
      <c r="A1385" s="503">
        <v>44949</v>
      </c>
      <c r="B1385" s="149" t="s">
        <v>3202</v>
      </c>
      <c r="C1385" s="149" t="s">
        <v>8929</v>
      </c>
      <c r="D1385" s="149" t="s">
        <v>10493</v>
      </c>
      <c r="E1385" s="149" t="s">
        <v>10002</v>
      </c>
      <c r="F1385" s="149" t="s">
        <v>10494</v>
      </c>
      <c r="G1385" s="149"/>
      <c r="H1385" s="149"/>
      <c r="I1385" s="149"/>
      <c r="J1385" s="149"/>
      <c r="K1385" s="149"/>
      <c r="L1385" s="149"/>
      <c r="M1385" s="149"/>
    </row>
    <row r="1386" spans="1:13">
      <c r="A1386" s="553">
        <v>44950</v>
      </c>
      <c r="B1386" s="461" t="s">
        <v>10511</v>
      </c>
      <c r="C1386" s="149" t="s">
        <v>8929</v>
      </c>
      <c r="D1386" s="149" t="s">
        <v>10208</v>
      </c>
      <c r="E1386" s="149" t="s">
        <v>10026</v>
      </c>
      <c r="F1386" s="461" t="s">
        <v>10455</v>
      </c>
      <c r="G1386" s="149">
        <v>79.900000000000006</v>
      </c>
      <c r="H1386" s="149"/>
      <c r="I1386" s="149"/>
      <c r="J1386" s="149"/>
      <c r="K1386" s="149"/>
      <c r="L1386" s="149"/>
      <c r="M1386" s="149"/>
    </row>
    <row r="1387" spans="1:13">
      <c r="A1387" s="551">
        <v>44950</v>
      </c>
      <c r="B1387" s="461" t="s">
        <v>10512</v>
      </c>
      <c r="C1387" s="149" t="s">
        <v>8929</v>
      </c>
      <c r="D1387" s="149" t="s">
        <v>10493</v>
      </c>
      <c r="E1387" s="149" t="s">
        <v>10026</v>
      </c>
      <c r="F1387" s="461" t="s">
        <v>10461</v>
      </c>
      <c r="G1387" s="149">
        <v>79.900000000000006</v>
      </c>
      <c r="H1387" s="149"/>
      <c r="I1387" s="149"/>
      <c r="J1387" s="149"/>
      <c r="K1387" s="149"/>
      <c r="L1387" s="149"/>
      <c r="M1387" s="149"/>
    </row>
    <row r="1388" spans="1:13">
      <c r="A1388" s="503">
        <v>44950</v>
      </c>
      <c r="B1388" s="149" t="s">
        <v>5906</v>
      </c>
      <c r="C1388" s="149" t="s">
        <v>8929</v>
      </c>
      <c r="D1388" s="149" t="s">
        <v>10493</v>
      </c>
      <c r="E1388" s="149" t="s">
        <v>10007</v>
      </c>
      <c r="F1388" s="192" t="s">
        <v>10494</v>
      </c>
      <c r="G1388" s="149">
        <v>79.900000000000006</v>
      </c>
      <c r="H1388" s="149"/>
      <c r="I1388" s="149"/>
      <c r="J1388" s="149"/>
      <c r="K1388" s="149"/>
      <c r="L1388" s="149"/>
      <c r="M1388" s="149"/>
    </row>
    <row r="1389" spans="1:13">
      <c r="A1389" s="551">
        <v>44951</v>
      </c>
      <c r="B1389" s="461" t="s">
        <v>10513</v>
      </c>
      <c r="C1389" s="149" t="s">
        <v>8929</v>
      </c>
      <c r="D1389" s="149" t="s">
        <v>10208</v>
      </c>
      <c r="E1389" s="149" t="s">
        <v>10011</v>
      </c>
      <c r="F1389" s="461" t="s">
        <v>10455</v>
      </c>
      <c r="G1389" s="149">
        <v>79.900000000000006</v>
      </c>
      <c r="H1389" s="149"/>
      <c r="I1389" s="149"/>
      <c r="J1389" s="149"/>
      <c r="K1389" s="149"/>
      <c r="L1389" s="149"/>
      <c r="M1389" s="149"/>
    </row>
    <row r="1390" spans="1:13">
      <c r="A1390" s="551">
        <v>44952</v>
      </c>
      <c r="B1390" s="461" t="s">
        <v>10514</v>
      </c>
      <c r="C1390" s="149" t="s">
        <v>8929</v>
      </c>
      <c r="D1390" s="149" t="s">
        <v>10208</v>
      </c>
      <c r="E1390" s="149" t="s">
        <v>10007</v>
      </c>
      <c r="F1390" s="149" t="s">
        <v>10461</v>
      </c>
      <c r="G1390" s="149">
        <v>99.9</v>
      </c>
      <c r="H1390" s="149"/>
      <c r="I1390" s="149"/>
      <c r="J1390" s="149"/>
      <c r="K1390" s="149"/>
      <c r="L1390" s="149"/>
      <c r="M1390" s="149"/>
    </row>
    <row r="1391" spans="1:13">
      <c r="A1391" s="503">
        <v>44952</v>
      </c>
      <c r="B1391" s="149" t="s">
        <v>10515</v>
      </c>
      <c r="C1391" s="149" t="s">
        <v>8929</v>
      </c>
      <c r="D1391" s="149" t="s">
        <v>10493</v>
      </c>
      <c r="E1391" s="149" t="s">
        <v>10007</v>
      </c>
      <c r="F1391" s="149" t="s">
        <v>10494</v>
      </c>
      <c r="G1391" s="149"/>
      <c r="H1391" s="149"/>
      <c r="I1391" s="149"/>
      <c r="J1391" s="149"/>
      <c r="K1391" s="149"/>
      <c r="L1391" s="149"/>
      <c r="M1391" s="149"/>
    </row>
    <row r="1392" spans="1:13">
      <c r="A1392" s="503">
        <v>44953</v>
      </c>
      <c r="B1392" s="149" t="s">
        <v>10516</v>
      </c>
      <c r="C1392" s="149" t="s">
        <v>8929</v>
      </c>
      <c r="D1392" s="149" t="s">
        <v>10493</v>
      </c>
      <c r="E1392" s="149" t="s">
        <v>10011</v>
      </c>
      <c r="F1392" s="149" t="s">
        <v>10517</v>
      </c>
      <c r="G1392" s="149"/>
      <c r="H1392" s="149"/>
      <c r="I1392" s="149"/>
      <c r="J1392" s="149"/>
      <c r="K1392" s="149"/>
      <c r="L1392" s="149"/>
      <c r="M1392" s="149"/>
    </row>
    <row r="1393" spans="1:13">
      <c r="A1393" s="551">
        <v>44956</v>
      </c>
      <c r="B1393" s="461" t="s">
        <v>10518</v>
      </c>
      <c r="C1393" s="149" t="s">
        <v>8929</v>
      </c>
      <c r="D1393" s="149" t="s">
        <v>10493</v>
      </c>
      <c r="E1393" s="149" t="s">
        <v>9998</v>
      </c>
      <c r="F1393" s="461" t="s">
        <v>10464</v>
      </c>
      <c r="G1393" s="149">
        <v>79.900000000000006</v>
      </c>
      <c r="H1393" s="149"/>
      <c r="I1393" s="149"/>
      <c r="J1393" s="149"/>
      <c r="K1393" s="149"/>
      <c r="L1393" s="149"/>
      <c r="M1393" s="149"/>
    </row>
    <row r="1394" spans="1:13">
      <c r="A1394" s="503">
        <v>44956</v>
      </c>
      <c r="B1394" s="149" t="s">
        <v>10519</v>
      </c>
      <c r="C1394" s="149" t="s">
        <v>8929</v>
      </c>
      <c r="D1394" s="149" t="s">
        <v>10208</v>
      </c>
      <c r="E1394" s="149" t="s">
        <v>9998</v>
      </c>
      <c r="F1394" s="149" t="s">
        <v>10494</v>
      </c>
      <c r="G1394" s="149">
        <v>79.900000000000006</v>
      </c>
      <c r="H1394" s="149"/>
      <c r="I1394" s="149"/>
      <c r="J1394" s="149"/>
      <c r="K1394" s="149"/>
      <c r="L1394" s="149"/>
      <c r="M1394" s="149"/>
    </row>
    <row r="1395" spans="1:13">
      <c r="A1395" s="503">
        <v>44956</v>
      </c>
      <c r="B1395" s="149" t="s">
        <v>10520</v>
      </c>
      <c r="C1395" s="149" t="s">
        <v>8929</v>
      </c>
      <c r="D1395" s="149" t="s">
        <v>10493</v>
      </c>
      <c r="E1395" s="149" t="s">
        <v>10002</v>
      </c>
      <c r="F1395" s="149" t="s">
        <v>10296</v>
      </c>
      <c r="G1395" s="149"/>
      <c r="H1395" s="149"/>
      <c r="I1395" s="149"/>
      <c r="J1395" s="149"/>
      <c r="K1395" s="149"/>
      <c r="L1395" s="149"/>
      <c r="M1395" s="149"/>
    </row>
    <row r="1396" spans="1:13">
      <c r="A1396" s="551">
        <v>31</v>
      </c>
      <c r="B1396" s="461" t="s">
        <v>10521</v>
      </c>
      <c r="C1396" s="149" t="s">
        <v>8929</v>
      </c>
      <c r="D1396" s="149" t="s">
        <v>10208</v>
      </c>
      <c r="E1396" s="149" t="s">
        <v>10026</v>
      </c>
      <c r="F1396" s="461" t="s">
        <v>10461</v>
      </c>
      <c r="G1396" s="149">
        <v>79.900000000000006</v>
      </c>
      <c r="H1396" s="149"/>
      <c r="I1396" s="149"/>
      <c r="J1396" s="149"/>
      <c r="K1396" s="149"/>
      <c r="L1396" s="149"/>
      <c r="M1396" s="149"/>
    </row>
    <row r="1397" spans="1:13">
      <c r="A1397" s="551">
        <v>44957</v>
      </c>
      <c r="B1397" s="461" t="s">
        <v>10522</v>
      </c>
      <c r="C1397" s="149" t="s">
        <v>8929</v>
      </c>
      <c r="D1397" s="149" t="s">
        <v>10208</v>
      </c>
      <c r="E1397" s="149" t="s">
        <v>10026</v>
      </c>
      <c r="F1397" s="461" t="s">
        <v>10455</v>
      </c>
      <c r="G1397" s="149"/>
      <c r="H1397" s="149"/>
      <c r="I1397" s="149"/>
      <c r="J1397" s="149"/>
      <c r="K1397" s="149"/>
      <c r="L1397" s="149"/>
      <c r="M1397" s="149"/>
    </row>
    <row r="1398" spans="1:13">
      <c r="A1398" s="503"/>
      <c r="B1398" s="471" t="s">
        <v>7656</v>
      </c>
      <c r="C1398" s="186"/>
      <c r="D1398" s="149"/>
      <c r="E1398" s="149"/>
      <c r="F1398" s="149"/>
      <c r="G1398" s="149"/>
      <c r="H1398" s="149"/>
      <c r="I1398" s="149"/>
      <c r="J1398" s="149"/>
      <c r="K1398" s="149"/>
      <c r="L1398" s="149"/>
      <c r="M1398" s="149"/>
    </row>
    <row r="1399" spans="1:13">
      <c r="A1399" s="478">
        <v>44958</v>
      </c>
      <c r="B1399" s="149" t="s">
        <v>3114</v>
      </c>
      <c r="C1399" s="149" t="s">
        <v>8929</v>
      </c>
      <c r="D1399" s="185" t="s">
        <v>7656</v>
      </c>
      <c r="E1399" s="149" t="s">
        <v>10011</v>
      </c>
      <c r="F1399" s="149" t="s">
        <v>10494</v>
      </c>
      <c r="G1399" s="149"/>
      <c r="H1399" s="149"/>
      <c r="I1399" s="149"/>
      <c r="J1399" s="149"/>
      <c r="K1399" s="149"/>
      <c r="L1399" s="149"/>
      <c r="M1399" s="149"/>
    </row>
    <row r="1400" spans="1:13">
      <c r="A1400" s="503">
        <v>44958</v>
      </c>
      <c r="B1400" s="461" t="s">
        <v>10523</v>
      </c>
      <c r="C1400" s="149" t="s">
        <v>8929</v>
      </c>
      <c r="D1400" s="185" t="s">
        <v>7656</v>
      </c>
      <c r="E1400" s="149" t="s">
        <v>10007</v>
      </c>
      <c r="F1400" s="192" t="s">
        <v>10464</v>
      </c>
      <c r="G1400" s="149">
        <v>79.900000000000006</v>
      </c>
      <c r="H1400" s="149"/>
      <c r="I1400" s="149"/>
      <c r="J1400" s="149"/>
      <c r="K1400" s="149"/>
      <c r="L1400" s="149"/>
      <c r="M1400" s="149"/>
    </row>
    <row r="1401" spans="1:13">
      <c r="A1401" s="478">
        <v>44987</v>
      </c>
      <c r="B1401" s="461" t="s">
        <v>10524</v>
      </c>
      <c r="C1401" s="149" t="s">
        <v>8929</v>
      </c>
      <c r="D1401" s="185" t="s">
        <v>7656</v>
      </c>
      <c r="E1401" s="149" t="s">
        <v>10007</v>
      </c>
      <c r="F1401" s="149" t="s">
        <v>10525</v>
      </c>
      <c r="G1401" s="149">
        <v>79.900000000000006</v>
      </c>
      <c r="H1401" s="149"/>
      <c r="I1401" s="149"/>
      <c r="J1401" s="149"/>
      <c r="K1401" s="149"/>
      <c r="L1401" s="149"/>
      <c r="M1401" s="149"/>
    </row>
    <row r="1402" spans="1:13">
      <c r="A1402" s="478">
        <v>44988</v>
      </c>
      <c r="B1402" s="108" t="s">
        <v>10526</v>
      </c>
      <c r="C1402" s="149" t="s">
        <v>8929</v>
      </c>
      <c r="D1402" s="185" t="s">
        <v>7656</v>
      </c>
      <c r="E1402" s="149" t="s">
        <v>10314</v>
      </c>
      <c r="F1402" s="108" t="s">
        <v>278</v>
      </c>
      <c r="G1402" s="149"/>
      <c r="H1402" s="149"/>
      <c r="I1402" s="149"/>
      <c r="J1402" s="149"/>
      <c r="K1402" s="149"/>
      <c r="L1402" s="149"/>
      <c r="M1402" s="149"/>
    </row>
    <row r="1403" spans="1:13">
      <c r="A1403" s="508">
        <v>44991</v>
      </c>
      <c r="B1403" s="149" t="s">
        <v>3145</v>
      </c>
      <c r="C1403" s="107" t="s">
        <v>8929</v>
      </c>
      <c r="D1403" s="185" t="s">
        <v>7656</v>
      </c>
      <c r="E1403" s="149" t="s">
        <v>10002</v>
      </c>
      <c r="F1403" s="149" t="s">
        <v>10494</v>
      </c>
      <c r="G1403" s="149"/>
      <c r="H1403" s="149"/>
      <c r="I1403" s="149"/>
      <c r="J1403" s="149"/>
      <c r="K1403" s="149"/>
      <c r="L1403" s="149"/>
      <c r="M1403" s="149"/>
    </row>
    <row r="1404" spans="1:13">
      <c r="A1404" s="478">
        <v>44991</v>
      </c>
      <c r="B1404" s="108" t="s">
        <v>5923</v>
      </c>
      <c r="C1404" s="149" t="s">
        <v>8929</v>
      </c>
      <c r="D1404" s="185" t="s">
        <v>7656</v>
      </c>
      <c r="E1404" s="149" t="s">
        <v>10002</v>
      </c>
      <c r="F1404" s="108" t="s">
        <v>278</v>
      </c>
      <c r="G1404" s="149"/>
      <c r="H1404" s="149"/>
      <c r="I1404" s="149"/>
      <c r="J1404" s="149"/>
      <c r="K1404" s="149"/>
      <c r="L1404" s="149"/>
      <c r="M1404" s="149"/>
    </row>
    <row r="1405" spans="1:13">
      <c r="A1405" s="478">
        <v>44991</v>
      </c>
      <c r="B1405" s="461" t="s">
        <v>10527</v>
      </c>
      <c r="C1405" s="149" t="s">
        <v>8929</v>
      </c>
      <c r="D1405" s="185" t="s">
        <v>7656</v>
      </c>
      <c r="E1405" s="149" t="s">
        <v>10026</v>
      </c>
      <c r="F1405" s="461" t="s">
        <v>10464</v>
      </c>
      <c r="G1405" s="149">
        <v>99.9</v>
      </c>
      <c r="H1405" s="149"/>
      <c r="I1405" s="149"/>
      <c r="J1405" s="149"/>
      <c r="K1405" s="149"/>
      <c r="L1405" s="149"/>
      <c r="M1405" s="149"/>
    </row>
    <row r="1406" spans="1:13">
      <c r="A1406" s="478">
        <v>44991</v>
      </c>
      <c r="B1406" s="472" t="s">
        <v>10528</v>
      </c>
      <c r="C1406" s="205" t="s">
        <v>8929</v>
      </c>
      <c r="D1406" s="185" t="s">
        <v>7656</v>
      </c>
      <c r="E1406" s="149" t="s">
        <v>10026</v>
      </c>
      <c r="F1406" s="461" t="s">
        <v>10455</v>
      </c>
      <c r="G1406" s="149">
        <v>79.900000000000006</v>
      </c>
      <c r="H1406" s="149"/>
      <c r="I1406" s="149"/>
      <c r="J1406" s="149"/>
      <c r="K1406" s="149"/>
      <c r="L1406" s="149"/>
      <c r="M1406" s="149"/>
    </row>
    <row r="1407" spans="1:13">
      <c r="A1407" s="478">
        <v>44964</v>
      </c>
      <c r="B1407" s="187" t="s">
        <v>10529</v>
      </c>
      <c r="C1407" s="205" t="s">
        <v>8929</v>
      </c>
      <c r="D1407" s="185" t="s">
        <v>7656</v>
      </c>
      <c r="E1407" s="149" t="s">
        <v>10011</v>
      </c>
      <c r="F1407" s="149" t="s">
        <v>10530</v>
      </c>
      <c r="G1407" s="149">
        <v>79.900000000000006</v>
      </c>
      <c r="H1407" s="149"/>
      <c r="I1407" s="149"/>
      <c r="J1407" s="149"/>
      <c r="K1407" s="149"/>
      <c r="L1407" s="149"/>
      <c r="M1407" s="149"/>
    </row>
    <row r="1408" spans="1:13">
      <c r="A1408" s="478">
        <v>44965</v>
      </c>
      <c r="B1408" s="187" t="s">
        <v>1721</v>
      </c>
      <c r="C1408" s="205" t="s">
        <v>8929</v>
      </c>
      <c r="D1408" s="185" t="s">
        <v>7656</v>
      </c>
      <c r="E1408" s="149" t="s">
        <v>10007</v>
      </c>
      <c r="F1408" s="149" t="s">
        <v>10296</v>
      </c>
      <c r="G1408" s="149"/>
      <c r="H1408" s="149"/>
      <c r="I1408" s="149"/>
      <c r="J1408" s="149"/>
      <c r="K1408" s="149"/>
      <c r="L1408" s="149"/>
      <c r="M1408" s="149"/>
    </row>
    <row r="1409" spans="1:13">
      <c r="A1409" s="478">
        <v>44965</v>
      </c>
      <c r="B1409" s="187" t="s">
        <v>10531</v>
      </c>
      <c r="C1409" s="205" t="s">
        <v>8929</v>
      </c>
      <c r="D1409" s="185" t="s">
        <v>7656</v>
      </c>
      <c r="E1409" s="149" t="s">
        <v>10007</v>
      </c>
      <c r="F1409" s="149" t="s">
        <v>10532</v>
      </c>
      <c r="G1409" s="149"/>
      <c r="H1409" s="149"/>
      <c r="I1409" s="149"/>
      <c r="J1409" s="149"/>
      <c r="K1409" s="149"/>
      <c r="L1409" s="149"/>
      <c r="M1409" s="149"/>
    </row>
    <row r="1410" spans="1:13">
      <c r="A1410" s="508">
        <v>44965</v>
      </c>
      <c r="B1410" s="472" t="s">
        <v>5929</v>
      </c>
      <c r="C1410" s="205" t="s">
        <v>8929</v>
      </c>
      <c r="D1410" s="185" t="s">
        <v>7656</v>
      </c>
      <c r="E1410" s="149" t="s">
        <v>9996</v>
      </c>
      <c r="F1410" s="461" t="s">
        <v>10461</v>
      </c>
      <c r="G1410" s="149">
        <v>99.9</v>
      </c>
      <c r="H1410" s="149"/>
      <c r="I1410" s="149"/>
      <c r="J1410" s="149"/>
      <c r="K1410" s="149"/>
      <c r="L1410" s="149"/>
      <c r="M1410" s="149"/>
    </row>
    <row r="1411" spans="1:13">
      <c r="A1411" s="508">
        <v>44965</v>
      </c>
      <c r="B1411" s="472" t="s">
        <v>10533</v>
      </c>
      <c r="C1411" s="205" t="s">
        <v>10534</v>
      </c>
      <c r="D1411" s="185" t="s">
        <v>7656</v>
      </c>
      <c r="E1411" s="428" t="s">
        <v>9998</v>
      </c>
      <c r="F1411" s="461" t="s">
        <v>10461</v>
      </c>
      <c r="G1411" s="149">
        <v>99.9</v>
      </c>
      <c r="H1411" s="149"/>
      <c r="I1411" s="149"/>
      <c r="J1411" s="149"/>
      <c r="K1411" s="149"/>
      <c r="L1411" s="149"/>
      <c r="M1411" s="149"/>
    </row>
    <row r="1412" spans="1:13">
      <c r="A1412" s="508">
        <v>44965</v>
      </c>
      <c r="B1412" s="472" t="s">
        <v>10535</v>
      </c>
      <c r="C1412" s="205" t="s">
        <v>8929</v>
      </c>
      <c r="D1412" s="185" t="s">
        <v>7656</v>
      </c>
      <c r="E1412" s="149" t="s">
        <v>10314</v>
      </c>
      <c r="F1412" s="461" t="s">
        <v>10461</v>
      </c>
      <c r="G1412" s="149">
        <v>79.900000000000006</v>
      </c>
      <c r="H1412" s="149"/>
      <c r="I1412" s="192"/>
      <c r="J1412" s="149"/>
      <c r="K1412" s="149"/>
      <c r="L1412" s="149"/>
      <c r="M1412" s="149"/>
    </row>
    <row r="1413" spans="1:13">
      <c r="A1413" s="478">
        <v>44966</v>
      </c>
      <c r="B1413" s="472" t="s">
        <v>10536</v>
      </c>
      <c r="C1413" s="205" t="s">
        <v>8929</v>
      </c>
      <c r="D1413" s="185" t="s">
        <v>7656</v>
      </c>
      <c r="E1413" s="149" t="s">
        <v>9998</v>
      </c>
      <c r="F1413" s="461" t="s">
        <v>10461</v>
      </c>
      <c r="G1413" s="149">
        <v>99.9</v>
      </c>
      <c r="H1413" s="149"/>
      <c r="I1413" s="149"/>
      <c r="J1413" s="149"/>
      <c r="K1413" s="149"/>
      <c r="L1413" s="149"/>
      <c r="M1413" s="149"/>
    </row>
    <row r="1414" spans="1:13">
      <c r="A1414" s="478">
        <v>44966</v>
      </c>
      <c r="B1414" s="472" t="s">
        <v>3179</v>
      </c>
      <c r="C1414" s="205" t="s">
        <v>8929</v>
      </c>
      <c r="D1414" s="185" t="s">
        <v>7656</v>
      </c>
      <c r="E1414" s="149" t="s">
        <v>10011</v>
      </c>
      <c r="F1414" s="461" t="s">
        <v>10461</v>
      </c>
      <c r="G1414" s="149">
        <v>99.9</v>
      </c>
      <c r="H1414" s="149"/>
      <c r="I1414" s="192"/>
      <c r="J1414" s="149"/>
      <c r="K1414" s="149"/>
      <c r="L1414" s="149"/>
      <c r="M1414" s="149"/>
    </row>
    <row r="1415" spans="1:13">
      <c r="A1415" s="478">
        <v>44966</v>
      </c>
      <c r="B1415" s="187" t="s">
        <v>5307</v>
      </c>
      <c r="C1415" s="205" t="s">
        <v>8929</v>
      </c>
      <c r="D1415" s="185" t="s">
        <v>7656</v>
      </c>
      <c r="E1415" s="149" t="s">
        <v>9998</v>
      </c>
      <c r="F1415" s="149" t="s">
        <v>10504</v>
      </c>
      <c r="G1415" s="149"/>
      <c r="H1415" s="149"/>
      <c r="I1415" s="149"/>
      <c r="J1415" s="149"/>
      <c r="K1415" s="149"/>
      <c r="L1415" s="149"/>
      <c r="M1415" s="149"/>
    </row>
    <row r="1416" spans="1:13">
      <c r="A1416" s="478">
        <v>44967</v>
      </c>
      <c r="B1416" s="472" t="s">
        <v>10537</v>
      </c>
      <c r="C1416" s="205" t="s">
        <v>8929</v>
      </c>
      <c r="D1416" s="149" t="s">
        <v>9781</v>
      </c>
      <c r="E1416" s="149" t="s">
        <v>9998</v>
      </c>
      <c r="F1416" s="461" t="s">
        <v>10461</v>
      </c>
      <c r="G1416" s="149">
        <v>99.9</v>
      </c>
      <c r="H1416" s="149"/>
      <c r="I1416" s="149"/>
      <c r="J1416" s="149"/>
      <c r="K1416" s="149"/>
      <c r="L1416" s="149"/>
      <c r="M1416" s="149"/>
    </row>
    <row r="1417" spans="1:13" hidden="1">
      <c r="A1417" s="478">
        <v>44967</v>
      </c>
      <c r="B1417" s="187" t="s">
        <v>5946</v>
      </c>
      <c r="C1417" s="205"/>
      <c r="D1417" s="149"/>
      <c r="E1417" s="149"/>
      <c r="F1417" s="149"/>
      <c r="G1417" s="149"/>
      <c r="H1417" s="149"/>
      <c r="I1417" s="149"/>
      <c r="J1417" s="149"/>
      <c r="K1417" s="149"/>
      <c r="L1417" s="149"/>
      <c r="M1417" s="149"/>
    </row>
    <row r="1418" spans="1:13">
      <c r="A1418" s="478">
        <v>44967</v>
      </c>
      <c r="B1418" s="555" t="s">
        <v>10538</v>
      </c>
      <c r="C1418" s="205" t="s">
        <v>8929</v>
      </c>
      <c r="D1418" s="149" t="s">
        <v>7656</v>
      </c>
      <c r="E1418" s="149" t="s">
        <v>9998</v>
      </c>
      <c r="F1418" s="461" t="s">
        <v>10461</v>
      </c>
      <c r="G1418" s="149">
        <v>99.9</v>
      </c>
      <c r="H1418" s="149"/>
      <c r="I1418" s="149"/>
      <c r="J1418" s="149"/>
      <c r="K1418" s="149"/>
      <c r="L1418" s="149"/>
      <c r="M1418" s="149"/>
    </row>
    <row r="1419" spans="1:13">
      <c r="A1419" s="478">
        <v>44970</v>
      </c>
      <c r="B1419" s="187" t="s">
        <v>5931</v>
      </c>
      <c r="C1419" s="205" t="s">
        <v>8929</v>
      </c>
      <c r="D1419" s="149" t="s">
        <v>7656</v>
      </c>
      <c r="E1419" s="149" t="s">
        <v>10011</v>
      </c>
      <c r="F1419" s="149" t="s">
        <v>10494</v>
      </c>
      <c r="G1419" s="149">
        <v>99.9</v>
      </c>
      <c r="H1419" s="149"/>
      <c r="I1419" s="477"/>
      <c r="J1419" s="149"/>
      <c r="K1419" s="149"/>
      <c r="L1419" s="149"/>
      <c r="M1419" s="149"/>
    </row>
    <row r="1420" spans="1:13">
      <c r="A1420" s="478">
        <v>44970</v>
      </c>
      <c r="B1420" s="187" t="s">
        <v>10539</v>
      </c>
      <c r="C1420" s="205" t="s">
        <v>8929</v>
      </c>
      <c r="D1420" s="149" t="s">
        <v>7656</v>
      </c>
      <c r="E1420" s="149" t="s">
        <v>10026</v>
      </c>
      <c r="F1420" s="149" t="s">
        <v>10494</v>
      </c>
      <c r="G1420" s="149"/>
      <c r="H1420" s="149"/>
      <c r="I1420" s="149"/>
      <c r="J1420" s="149"/>
      <c r="K1420" s="149"/>
      <c r="L1420" s="149"/>
      <c r="M1420" s="149"/>
    </row>
    <row r="1421" spans="1:13">
      <c r="A1421" s="478" t="s">
        <v>10540</v>
      </c>
      <c r="B1421" s="472" t="s">
        <v>10204</v>
      </c>
      <c r="C1421" s="205" t="s">
        <v>10541</v>
      </c>
      <c r="D1421" s="149" t="s">
        <v>9781</v>
      </c>
      <c r="E1421" s="149" t="s">
        <v>10011</v>
      </c>
      <c r="F1421" s="461" t="s">
        <v>10461</v>
      </c>
      <c r="G1421" s="149">
        <v>79.900000000000006</v>
      </c>
      <c r="H1421" s="149"/>
      <c r="I1421" s="149"/>
      <c r="J1421" s="149"/>
      <c r="K1421" s="149"/>
      <c r="L1421" s="149"/>
      <c r="M1421" s="149"/>
    </row>
    <row r="1422" spans="1:13">
      <c r="A1422" s="478">
        <v>44971</v>
      </c>
      <c r="B1422" s="472" t="s">
        <v>10542</v>
      </c>
      <c r="C1422" s="205" t="s">
        <v>8929</v>
      </c>
      <c r="D1422" s="149" t="s">
        <v>7656</v>
      </c>
      <c r="E1422" s="149" t="s">
        <v>10007</v>
      </c>
      <c r="F1422" s="461" t="s">
        <v>10464</v>
      </c>
      <c r="G1422" s="149">
        <v>99.9</v>
      </c>
      <c r="H1422" s="149"/>
      <c r="I1422" s="149"/>
      <c r="J1422" s="149"/>
      <c r="K1422" s="149"/>
      <c r="L1422" s="149"/>
      <c r="M1422" s="149"/>
    </row>
    <row r="1423" spans="1:13">
      <c r="A1423" s="478">
        <v>44972</v>
      </c>
      <c r="B1423" s="187" t="s">
        <v>5936</v>
      </c>
      <c r="C1423" s="205" t="s">
        <v>8929</v>
      </c>
      <c r="D1423" s="149" t="s">
        <v>7656</v>
      </c>
      <c r="E1423" s="149" t="s">
        <v>10007</v>
      </c>
      <c r="F1423" s="149" t="s">
        <v>10494</v>
      </c>
      <c r="G1423" s="149"/>
      <c r="H1423" s="149"/>
      <c r="I1423" s="149"/>
      <c r="J1423" s="149"/>
      <c r="K1423" s="149"/>
      <c r="L1423" s="149"/>
      <c r="M1423" s="149"/>
    </row>
    <row r="1424" spans="1:13">
      <c r="A1424" s="478">
        <v>44972</v>
      </c>
      <c r="B1424" s="187" t="s">
        <v>5938</v>
      </c>
      <c r="C1424" s="205" t="s">
        <v>8929</v>
      </c>
      <c r="D1424" s="149" t="s">
        <v>7656</v>
      </c>
      <c r="E1424" s="149" t="s">
        <v>10314</v>
      </c>
      <c r="F1424" s="149" t="s">
        <v>10494</v>
      </c>
      <c r="G1424" s="149"/>
      <c r="H1424" s="149"/>
      <c r="I1424" s="149"/>
      <c r="J1424" s="149"/>
      <c r="K1424" s="149"/>
      <c r="L1424" s="149"/>
      <c r="M1424" s="149"/>
    </row>
    <row r="1425" spans="1:13">
      <c r="A1425" s="478">
        <v>44972</v>
      </c>
      <c r="B1425" s="476" t="s">
        <v>10543</v>
      </c>
      <c r="C1425" s="205" t="s">
        <v>8929</v>
      </c>
      <c r="D1425" s="149" t="s">
        <v>7656</v>
      </c>
      <c r="E1425" s="149" t="s">
        <v>10007</v>
      </c>
      <c r="F1425" s="149" t="s">
        <v>278</v>
      </c>
      <c r="G1425" s="149"/>
      <c r="H1425" s="149"/>
      <c r="I1425" s="149"/>
      <c r="J1425" s="149"/>
      <c r="K1425" s="149"/>
      <c r="L1425" s="149"/>
      <c r="M1425" s="149"/>
    </row>
    <row r="1426" spans="1:13">
      <c r="A1426" s="478">
        <v>44973</v>
      </c>
      <c r="B1426" s="499" t="s">
        <v>10544</v>
      </c>
      <c r="C1426" s="205" t="s">
        <v>8929</v>
      </c>
      <c r="D1426" s="149" t="s">
        <v>7656</v>
      </c>
      <c r="E1426" s="149"/>
      <c r="F1426" s="461"/>
      <c r="G1426" s="149"/>
      <c r="H1426" s="149"/>
      <c r="I1426" s="149"/>
      <c r="J1426" s="149"/>
      <c r="K1426" s="149"/>
      <c r="L1426" s="149"/>
      <c r="M1426" s="149"/>
    </row>
    <row r="1427" spans="1:13">
      <c r="A1427" s="478">
        <v>44973</v>
      </c>
      <c r="B1427" s="187" t="s">
        <v>10545</v>
      </c>
      <c r="C1427" s="205" t="s">
        <v>8929</v>
      </c>
      <c r="D1427" s="149" t="s">
        <v>7656</v>
      </c>
      <c r="E1427" s="149"/>
      <c r="F1427" s="149" t="s">
        <v>10494</v>
      </c>
      <c r="G1427" s="149"/>
      <c r="H1427" s="149"/>
      <c r="I1427" s="149"/>
      <c r="J1427" s="149"/>
      <c r="K1427" s="149"/>
      <c r="L1427" s="149"/>
      <c r="M1427" s="149"/>
    </row>
    <row r="1428" spans="1:13">
      <c r="A1428" s="478">
        <v>44973</v>
      </c>
      <c r="B1428" s="476" t="s">
        <v>10546</v>
      </c>
      <c r="C1428" s="205" t="s">
        <v>8929</v>
      </c>
      <c r="D1428" s="149" t="s">
        <v>7656</v>
      </c>
      <c r="E1428" s="149"/>
      <c r="F1428" s="108" t="s">
        <v>10199</v>
      </c>
      <c r="G1428" s="149"/>
      <c r="H1428" s="149"/>
      <c r="I1428" s="149"/>
      <c r="J1428" s="149"/>
      <c r="K1428" s="149"/>
      <c r="L1428" s="149"/>
      <c r="M1428" s="149"/>
    </row>
    <row r="1429" spans="1:13">
      <c r="A1429" s="478">
        <v>44973</v>
      </c>
      <c r="B1429" s="476" t="s">
        <v>10546</v>
      </c>
      <c r="C1429" s="205" t="s">
        <v>8929</v>
      </c>
      <c r="D1429" s="149" t="s">
        <v>7656</v>
      </c>
      <c r="E1429" s="149"/>
      <c r="F1429" s="108" t="s">
        <v>10199</v>
      </c>
      <c r="G1429" s="149"/>
      <c r="H1429" s="149"/>
      <c r="I1429" s="149"/>
      <c r="J1429" s="149"/>
      <c r="K1429" s="149"/>
      <c r="L1429" s="149"/>
      <c r="M1429" s="149"/>
    </row>
    <row r="1430" spans="1:13">
      <c r="A1430" s="478" t="s">
        <v>10547</v>
      </c>
      <c r="B1430" s="472" t="s">
        <v>10548</v>
      </c>
      <c r="C1430" s="205" t="s">
        <v>8929</v>
      </c>
      <c r="D1430" s="149" t="s">
        <v>9781</v>
      </c>
      <c r="E1430" s="149"/>
      <c r="F1430" s="461" t="s">
        <v>10461</v>
      </c>
      <c r="G1430" s="149">
        <v>99.9</v>
      </c>
      <c r="H1430" s="149"/>
      <c r="I1430" s="149"/>
      <c r="J1430" s="149"/>
      <c r="K1430" s="149"/>
      <c r="L1430" s="149"/>
      <c r="M1430" s="149"/>
    </row>
    <row r="1431" spans="1:13">
      <c r="A1431" s="478" t="s">
        <v>10549</v>
      </c>
      <c r="B1431" s="472" t="s">
        <v>10550</v>
      </c>
      <c r="C1431" s="205" t="s">
        <v>8929</v>
      </c>
      <c r="D1431" s="149" t="s">
        <v>9781</v>
      </c>
      <c r="E1431" s="149"/>
      <c r="F1431" s="461" t="s">
        <v>10461</v>
      </c>
      <c r="G1431" s="149">
        <v>99.9</v>
      </c>
      <c r="H1431" s="149"/>
      <c r="I1431" s="149"/>
      <c r="J1431" s="149"/>
      <c r="K1431" s="149"/>
      <c r="L1431" s="149"/>
      <c r="M1431" s="149"/>
    </row>
    <row r="1432" spans="1:13">
      <c r="A1432" s="478">
        <v>44979</v>
      </c>
      <c r="B1432" s="187" t="s">
        <v>10551</v>
      </c>
      <c r="C1432" s="205" t="s">
        <v>8929</v>
      </c>
      <c r="D1432" s="149" t="s">
        <v>7656</v>
      </c>
      <c r="E1432" s="149" t="s">
        <v>10007</v>
      </c>
      <c r="F1432" s="149" t="s">
        <v>10494</v>
      </c>
      <c r="G1432" s="149"/>
      <c r="H1432" s="149"/>
      <c r="I1432" s="149"/>
      <c r="J1432" s="149"/>
      <c r="K1432" s="149"/>
      <c r="L1432" s="149"/>
      <c r="M1432" s="149"/>
    </row>
    <row r="1433" spans="1:13">
      <c r="A1433" s="478">
        <v>44979</v>
      </c>
      <c r="B1433" s="555" t="s">
        <v>10552</v>
      </c>
      <c r="C1433" s="205" t="s">
        <v>8929</v>
      </c>
      <c r="D1433" s="149" t="s">
        <v>7656</v>
      </c>
      <c r="E1433" s="149" t="s">
        <v>10007</v>
      </c>
      <c r="F1433" s="461" t="s">
        <v>10494</v>
      </c>
      <c r="G1433" s="149">
        <v>79.900000000000006</v>
      </c>
      <c r="H1433" s="149"/>
      <c r="I1433" s="149"/>
      <c r="J1433" s="149"/>
      <c r="K1433" s="149"/>
      <c r="L1433" s="149"/>
      <c r="M1433" s="149"/>
    </row>
    <row r="1434" spans="1:13">
      <c r="A1434" s="478" t="s">
        <v>10553</v>
      </c>
      <c r="B1434" s="472" t="s">
        <v>10554</v>
      </c>
      <c r="C1434" s="205" t="s">
        <v>8929</v>
      </c>
      <c r="D1434" s="149" t="s">
        <v>9781</v>
      </c>
      <c r="E1434" s="192" t="s">
        <v>10555</v>
      </c>
      <c r="F1434" s="461" t="s">
        <v>10461</v>
      </c>
      <c r="G1434" s="149">
        <v>79.900000000000006</v>
      </c>
      <c r="H1434" s="149"/>
      <c r="I1434" s="149"/>
      <c r="J1434" s="149"/>
      <c r="K1434" s="149"/>
      <c r="L1434" s="149"/>
      <c r="M1434" s="149"/>
    </row>
    <row r="1435" spans="1:13">
      <c r="A1435" s="478">
        <v>44979</v>
      </c>
      <c r="B1435" s="476" t="s">
        <v>10556</v>
      </c>
      <c r="C1435" s="205" t="s">
        <v>10534</v>
      </c>
      <c r="D1435" s="149" t="s">
        <v>7656</v>
      </c>
      <c r="E1435" s="149"/>
      <c r="F1435" s="108" t="s">
        <v>278</v>
      </c>
      <c r="G1435" s="149"/>
      <c r="H1435" s="149"/>
      <c r="I1435" s="149"/>
      <c r="J1435" s="149"/>
      <c r="K1435" s="149"/>
      <c r="L1435" s="149"/>
      <c r="M1435" s="149"/>
    </row>
    <row r="1436" spans="1:13">
      <c r="A1436" s="478">
        <v>44979</v>
      </c>
      <c r="B1436" s="187" t="s">
        <v>10557</v>
      </c>
      <c r="C1436" s="205" t="s">
        <v>10534</v>
      </c>
      <c r="D1436" s="149" t="s">
        <v>7656</v>
      </c>
      <c r="E1436" s="149"/>
      <c r="F1436" s="149" t="s">
        <v>10494</v>
      </c>
      <c r="G1436" s="149"/>
      <c r="H1436" s="149"/>
      <c r="I1436" s="149"/>
      <c r="J1436" s="149"/>
      <c r="K1436" s="149"/>
      <c r="L1436" s="149"/>
      <c r="M1436" s="149"/>
    </row>
    <row r="1437" spans="1:13">
      <c r="A1437" s="500" t="s">
        <v>8354</v>
      </c>
      <c r="B1437" s="501" t="s">
        <v>10558</v>
      </c>
      <c r="C1437" s="502" t="s">
        <v>10534</v>
      </c>
      <c r="D1437" s="149" t="s">
        <v>7656</v>
      </c>
      <c r="E1437" s="149" t="s">
        <v>10559</v>
      </c>
      <c r="F1437" s="461" t="s">
        <v>10461</v>
      </c>
      <c r="G1437" s="149">
        <v>79.900000000000006</v>
      </c>
      <c r="H1437" s="149"/>
      <c r="I1437" s="149"/>
      <c r="J1437" s="149"/>
      <c r="K1437" s="149"/>
      <c r="L1437" s="149"/>
      <c r="M1437" s="149"/>
    </row>
    <row r="1438" spans="1:13">
      <c r="A1438" s="503">
        <v>44980</v>
      </c>
      <c r="B1438" s="149" t="s">
        <v>3403</v>
      </c>
      <c r="C1438" s="149" t="s">
        <v>10534</v>
      </c>
      <c r="D1438" s="185" t="s">
        <v>7656</v>
      </c>
      <c r="E1438" s="149"/>
      <c r="F1438" s="149" t="s">
        <v>10494</v>
      </c>
      <c r="G1438" s="149"/>
      <c r="H1438" s="149"/>
      <c r="I1438" s="149"/>
      <c r="J1438" s="149"/>
      <c r="K1438" s="149"/>
      <c r="L1438" s="149"/>
      <c r="M1438" s="149"/>
    </row>
    <row r="1439" spans="1:13">
      <c r="A1439" s="503">
        <v>44980</v>
      </c>
      <c r="B1439" s="504" t="s">
        <v>10560</v>
      </c>
      <c r="C1439" s="149" t="s">
        <v>10534</v>
      </c>
      <c r="D1439" s="185" t="s">
        <v>7656</v>
      </c>
      <c r="E1439" s="149" t="s">
        <v>10314</v>
      </c>
      <c r="F1439" s="108" t="s">
        <v>278</v>
      </c>
      <c r="G1439" s="149"/>
      <c r="H1439" s="149"/>
      <c r="I1439" s="149"/>
      <c r="J1439" s="149"/>
      <c r="K1439" s="149"/>
      <c r="L1439" s="149"/>
      <c r="M1439" s="149"/>
    </row>
    <row r="1440" spans="1:13">
      <c r="A1440" s="503" t="s">
        <v>10561</v>
      </c>
      <c r="B1440" s="505" t="s">
        <v>5957</v>
      </c>
      <c r="C1440" s="149" t="s">
        <v>10534</v>
      </c>
      <c r="D1440" s="185" t="s">
        <v>7656</v>
      </c>
      <c r="E1440" s="149" t="s">
        <v>10007</v>
      </c>
      <c r="F1440" s="461" t="s">
        <v>10455</v>
      </c>
      <c r="G1440" s="149">
        <v>79.900000000000006</v>
      </c>
      <c r="H1440" s="149"/>
      <c r="I1440" s="149"/>
      <c r="J1440" s="149"/>
      <c r="K1440" s="149"/>
      <c r="L1440" s="149"/>
      <c r="M1440" s="149"/>
    </row>
    <row r="1441" spans="1:13">
      <c r="A1441" s="507">
        <v>44984</v>
      </c>
      <c r="B1441" s="149" t="s">
        <v>5959</v>
      </c>
      <c r="C1441" s="205" t="s">
        <v>10534</v>
      </c>
      <c r="D1441" s="149" t="s">
        <v>7656</v>
      </c>
      <c r="E1441" s="149" t="s">
        <v>9998</v>
      </c>
      <c r="F1441" s="149" t="s">
        <v>10494</v>
      </c>
      <c r="G1441" s="149"/>
      <c r="H1441" s="149"/>
      <c r="I1441" s="149"/>
      <c r="J1441" s="149"/>
      <c r="K1441" s="149"/>
      <c r="L1441" s="149"/>
      <c r="M1441" s="149"/>
    </row>
    <row r="1442" spans="1:13">
      <c r="A1442" s="478">
        <v>44984</v>
      </c>
      <c r="B1442" s="149" t="s">
        <v>10562</v>
      </c>
      <c r="C1442" s="205" t="s">
        <v>10534</v>
      </c>
      <c r="D1442" s="149" t="s">
        <v>7656</v>
      </c>
      <c r="E1442" s="149" t="s">
        <v>9998</v>
      </c>
      <c r="F1442" s="149" t="s">
        <v>10494</v>
      </c>
      <c r="G1442" s="149"/>
      <c r="H1442" s="149"/>
      <c r="I1442" s="149"/>
      <c r="J1442" s="149"/>
      <c r="K1442" s="149"/>
      <c r="L1442" s="149"/>
      <c r="M1442" s="149"/>
    </row>
    <row r="1443" spans="1:13">
      <c r="A1443" s="478" t="s">
        <v>10563</v>
      </c>
      <c r="B1443" s="461" t="s">
        <v>10564</v>
      </c>
      <c r="C1443" s="205" t="s">
        <v>10534</v>
      </c>
      <c r="D1443" s="149" t="s">
        <v>9781</v>
      </c>
      <c r="E1443" s="149" t="s">
        <v>10026</v>
      </c>
      <c r="F1443" s="461" t="s">
        <v>10461</v>
      </c>
      <c r="G1443" s="149">
        <v>99.9</v>
      </c>
      <c r="H1443" s="149"/>
      <c r="I1443" s="149"/>
      <c r="J1443" s="149"/>
      <c r="K1443" s="149"/>
      <c r="L1443" s="149"/>
      <c r="M1443" s="149"/>
    </row>
    <row r="1444" spans="1:13">
      <c r="A1444" s="478">
        <v>44984</v>
      </c>
      <c r="B1444" s="149" t="s">
        <v>5965</v>
      </c>
      <c r="C1444" s="205" t="s">
        <v>10534</v>
      </c>
      <c r="D1444" s="149" t="s">
        <v>7656</v>
      </c>
      <c r="E1444" s="149"/>
      <c r="F1444" s="149" t="s">
        <v>10494</v>
      </c>
      <c r="G1444" s="149"/>
      <c r="H1444" s="149"/>
      <c r="I1444" s="149"/>
      <c r="J1444" s="149"/>
      <c r="K1444" s="149"/>
      <c r="L1444" s="149"/>
      <c r="M1444" s="149"/>
    </row>
    <row r="1445" spans="1:13">
      <c r="A1445" s="478">
        <v>44984</v>
      </c>
      <c r="B1445" s="149" t="s">
        <v>5961</v>
      </c>
      <c r="C1445" s="205" t="s">
        <v>10534</v>
      </c>
      <c r="D1445" s="149" t="s">
        <v>7656</v>
      </c>
      <c r="E1445" s="149"/>
      <c r="F1445" s="149" t="s">
        <v>10494</v>
      </c>
      <c r="G1445" s="149"/>
      <c r="H1445" s="149"/>
      <c r="I1445" s="149"/>
      <c r="J1445" s="149"/>
      <c r="K1445" s="149"/>
      <c r="L1445" s="149"/>
      <c r="M1445" s="149"/>
    </row>
    <row r="1446" spans="1:13">
      <c r="A1446" s="478" t="s">
        <v>10565</v>
      </c>
      <c r="B1446" s="461" t="s">
        <v>10566</v>
      </c>
      <c r="C1446" s="205" t="s">
        <v>10534</v>
      </c>
      <c r="D1446" s="149" t="s">
        <v>9781</v>
      </c>
      <c r="E1446" s="149" t="s">
        <v>10011</v>
      </c>
      <c r="F1446" s="461" t="s">
        <v>10464</v>
      </c>
      <c r="G1446" s="149">
        <v>79.900000000000006</v>
      </c>
      <c r="H1446" s="149"/>
      <c r="I1446" s="149"/>
      <c r="J1446" s="149"/>
      <c r="K1446" s="149"/>
      <c r="L1446" s="149"/>
      <c r="M1446" s="149"/>
    </row>
    <row r="1447" spans="1:13">
      <c r="A1447" s="478"/>
      <c r="B1447" s="421" t="s">
        <v>7672</v>
      </c>
      <c r="C1447" s="199"/>
      <c r="D1447" s="149"/>
      <c r="E1447" s="149"/>
      <c r="F1447" s="149"/>
      <c r="G1447" s="149"/>
      <c r="H1447" s="149"/>
      <c r="I1447" s="149"/>
      <c r="J1447" s="149"/>
      <c r="K1447" s="149"/>
      <c r="L1447" s="149"/>
      <c r="M1447" s="149"/>
    </row>
    <row r="1448" spans="1:13">
      <c r="A1448" s="478">
        <v>44986</v>
      </c>
      <c r="B1448" s="149" t="s">
        <v>3424</v>
      </c>
      <c r="C1448" s="205" t="s">
        <v>10534</v>
      </c>
      <c r="D1448" s="149" t="s">
        <v>7672</v>
      </c>
      <c r="E1448" s="149"/>
      <c r="F1448" s="149" t="s">
        <v>10567</v>
      </c>
      <c r="G1448" s="149"/>
      <c r="H1448" s="149"/>
      <c r="I1448" s="149"/>
      <c r="J1448" s="149"/>
      <c r="K1448" s="149"/>
      <c r="L1448" s="149"/>
      <c r="M1448" s="149"/>
    </row>
    <row r="1449" spans="1:13">
      <c r="A1449" s="478">
        <v>44986</v>
      </c>
      <c r="B1449" s="149" t="s">
        <v>3386</v>
      </c>
      <c r="C1449" s="205" t="s">
        <v>10534</v>
      </c>
      <c r="D1449" s="149" t="s">
        <v>7672</v>
      </c>
      <c r="E1449" s="149"/>
      <c r="F1449" s="149" t="s">
        <v>10567</v>
      </c>
      <c r="G1449" s="149"/>
      <c r="H1449" s="149"/>
      <c r="I1449" s="149"/>
      <c r="J1449" s="149"/>
      <c r="K1449" s="149"/>
      <c r="L1449" s="149"/>
      <c r="M1449" s="149"/>
    </row>
    <row r="1450" spans="1:13">
      <c r="A1450" s="478">
        <v>44986</v>
      </c>
      <c r="B1450" s="149" t="s">
        <v>5764</v>
      </c>
      <c r="C1450" s="205" t="s">
        <v>8929</v>
      </c>
      <c r="D1450" s="149" t="s">
        <v>7672</v>
      </c>
      <c r="E1450" s="149"/>
      <c r="F1450" s="149" t="s">
        <v>10567</v>
      </c>
      <c r="G1450" s="149"/>
      <c r="H1450" s="149"/>
      <c r="I1450" s="149"/>
      <c r="J1450" s="149"/>
      <c r="K1450" s="149"/>
      <c r="L1450" s="149"/>
      <c r="M1450" s="149"/>
    </row>
    <row r="1451" spans="1:13">
      <c r="A1451" s="478">
        <v>44987</v>
      </c>
      <c r="B1451" s="461" t="s">
        <v>10568</v>
      </c>
      <c r="C1451" s="205" t="s">
        <v>10534</v>
      </c>
      <c r="D1451" s="149" t="s">
        <v>7672</v>
      </c>
      <c r="E1451" s="149" t="s">
        <v>10011</v>
      </c>
      <c r="F1451" s="461" t="s">
        <v>10464</v>
      </c>
      <c r="G1451" s="299">
        <v>79.900000000000006</v>
      </c>
      <c r="H1451" s="149"/>
      <c r="I1451" s="149"/>
      <c r="J1451" s="149"/>
      <c r="K1451" s="149"/>
      <c r="L1451" s="149"/>
      <c r="M1451" s="149"/>
    </row>
    <row r="1452" spans="1:13">
      <c r="A1452" s="478">
        <v>44987</v>
      </c>
      <c r="B1452" s="461" t="s">
        <v>10569</v>
      </c>
      <c r="C1452" s="205" t="s">
        <v>10534</v>
      </c>
      <c r="D1452" s="149" t="s">
        <v>7672</v>
      </c>
      <c r="E1452" s="149" t="s">
        <v>10007</v>
      </c>
      <c r="F1452" s="461" t="s">
        <v>10461</v>
      </c>
      <c r="G1452" s="299">
        <v>79.900000000000006</v>
      </c>
      <c r="H1452" s="149"/>
      <c r="I1452" s="192"/>
      <c r="J1452" s="149"/>
      <c r="K1452" s="149"/>
      <c r="L1452" s="149"/>
      <c r="M1452" s="149"/>
    </row>
    <row r="1453" spans="1:13">
      <c r="A1453" s="478">
        <v>44988</v>
      </c>
      <c r="B1453" s="149" t="s">
        <v>3783</v>
      </c>
      <c r="C1453" s="205" t="s">
        <v>10534</v>
      </c>
      <c r="D1453" s="149" t="s">
        <v>7672</v>
      </c>
      <c r="E1453" s="149" t="s">
        <v>10314</v>
      </c>
      <c r="F1453" s="149" t="s">
        <v>10532</v>
      </c>
      <c r="G1453" s="149"/>
      <c r="H1453" s="149"/>
      <c r="I1453" s="149"/>
      <c r="J1453" s="149"/>
      <c r="K1453" s="149"/>
      <c r="L1453" s="149"/>
      <c r="M1453" s="149"/>
    </row>
    <row r="1454" spans="1:13">
      <c r="A1454" s="478">
        <v>44988</v>
      </c>
      <c r="B1454" s="461" t="s">
        <v>10570</v>
      </c>
      <c r="C1454" s="205" t="s">
        <v>10534</v>
      </c>
      <c r="D1454" s="149" t="s">
        <v>7672</v>
      </c>
      <c r="E1454" s="149" t="s">
        <v>10314</v>
      </c>
      <c r="F1454" s="461" t="s">
        <v>10461</v>
      </c>
      <c r="G1454" s="299">
        <v>79.900000000000006</v>
      </c>
      <c r="H1454" s="149"/>
      <c r="I1454" s="149"/>
      <c r="J1454" s="149"/>
      <c r="K1454" s="149"/>
      <c r="L1454" s="149"/>
      <c r="M1454" s="149"/>
    </row>
    <row r="1455" spans="1:13">
      <c r="A1455" s="478">
        <v>44988</v>
      </c>
      <c r="B1455" s="461" t="s">
        <v>5760</v>
      </c>
      <c r="C1455" s="205" t="s">
        <v>10534</v>
      </c>
      <c r="D1455" s="149" t="s">
        <v>7672</v>
      </c>
      <c r="E1455" s="149" t="s">
        <v>10314</v>
      </c>
      <c r="F1455" s="461" t="s">
        <v>10571</v>
      </c>
      <c r="G1455" s="149">
        <v>99.9</v>
      </c>
      <c r="H1455" s="149"/>
      <c r="I1455" s="149"/>
      <c r="J1455" s="149"/>
      <c r="K1455" s="149"/>
      <c r="L1455" s="149"/>
      <c r="M1455" s="149"/>
    </row>
    <row r="1456" spans="1:13">
      <c r="A1456" s="478">
        <v>44991</v>
      </c>
      <c r="B1456" s="149" t="s">
        <v>3407</v>
      </c>
      <c r="C1456" s="149" t="s">
        <v>10534</v>
      </c>
      <c r="D1456" s="149" t="s">
        <v>7672</v>
      </c>
      <c r="E1456" s="149" t="s">
        <v>9998</v>
      </c>
      <c r="F1456" s="149" t="s">
        <v>10567</v>
      </c>
      <c r="G1456" s="149"/>
      <c r="H1456" s="149"/>
      <c r="I1456" s="149"/>
      <c r="J1456" s="149"/>
      <c r="K1456" s="149"/>
      <c r="L1456" s="149"/>
      <c r="M1456" s="149"/>
    </row>
    <row r="1457" spans="1:13">
      <c r="A1457" s="478">
        <v>44991</v>
      </c>
      <c r="B1457" s="461" t="s">
        <v>10572</v>
      </c>
      <c r="C1457" s="205" t="s">
        <v>8929</v>
      </c>
      <c r="D1457" s="149" t="s">
        <v>7672</v>
      </c>
      <c r="E1457" s="149" t="s">
        <v>9998</v>
      </c>
      <c r="F1457" s="461" t="s">
        <v>10461</v>
      </c>
      <c r="G1457" s="149">
        <v>99.9</v>
      </c>
      <c r="H1457" s="149"/>
      <c r="I1457" s="149"/>
      <c r="J1457" s="149"/>
      <c r="K1457" s="149"/>
      <c r="L1457" s="149"/>
      <c r="M1457" s="149"/>
    </row>
    <row r="1458" spans="1:13">
      <c r="A1458" s="478">
        <v>44991</v>
      </c>
      <c r="B1458" s="340" t="s">
        <v>3667</v>
      </c>
      <c r="C1458" s="205" t="s">
        <v>10534</v>
      </c>
      <c r="D1458" s="149" t="s">
        <v>7672</v>
      </c>
      <c r="E1458" s="149" t="s">
        <v>9998</v>
      </c>
      <c r="F1458" s="149"/>
      <c r="G1458" s="149"/>
      <c r="H1458" s="149"/>
      <c r="I1458" s="149"/>
      <c r="J1458" s="149"/>
      <c r="K1458" s="149"/>
      <c r="L1458" s="149"/>
      <c r="M1458" s="149"/>
    </row>
    <row r="1459" spans="1:13">
      <c r="A1459" s="478">
        <v>44991</v>
      </c>
      <c r="B1459" s="149" t="s">
        <v>5979</v>
      </c>
      <c r="C1459" s="205" t="s">
        <v>10534</v>
      </c>
      <c r="D1459" s="149" t="s">
        <v>7672</v>
      </c>
      <c r="E1459" s="149" t="s">
        <v>9998</v>
      </c>
      <c r="F1459" s="149" t="s">
        <v>10461</v>
      </c>
      <c r="G1459" s="149">
        <v>79.900000000000006</v>
      </c>
      <c r="H1459" s="149"/>
      <c r="I1459" s="149"/>
      <c r="J1459" s="149"/>
      <c r="K1459" s="149"/>
      <c r="L1459" s="149"/>
      <c r="M1459" s="149"/>
    </row>
    <row r="1460" spans="1:13">
      <c r="A1460" s="478">
        <v>44991</v>
      </c>
      <c r="B1460" s="461" t="s">
        <v>10573</v>
      </c>
      <c r="C1460" s="205" t="s">
        <v>10534</v>
      </c>
      <c r="D1460" s="149" t="s">
        <v>7672</v>
      </c>
      <c r="E1460" s="149" t="s">
        <v>10026</v>
      </c>
      <c r="F1460" s="461" t="s">
        <v>10494</v>
      </c>
      <c r="G1460" s="299">
        <v>79.900000000000006</v>
      </c>
      <c r="H1460" s="149"/>
      <c r="I1460" s="149"/>
      <c r="J1460" s="149"/>
      <c r="K1460" s="149"/>
      <c r="L1460" s="149"/>
      <c r="M1460" s="149"/>
    </row>
    <row r="1461" spans="1:13">
      <c r="A1461" s="478">
        <v>44992</v>
      </c>
      <c r="B1461" s="149" t="s">
        <v>1983</v>
      </c>
      <c r="C1461" s="205" t="s">
        <v>10534</v>
      </c>
      <c r="D1461" s="149" t="s">
        <v>7672</v>
      </c>
      <c r="E1461" s="149" t="s">
        <v>10026</v>
      </c>
      <c r="F1461" s="149" t="s">
        <v>10296</v>
      </c>
      <c r="G1461" s="149"/>
      <c r="H1461" s="149"/>
      <c r="I1461" s="149"/>
      <c r="J1461" s="149"/>
      <c r="K1461" s="149"/>
      <c r="L1461" s="149"/>
      <c r="M1461" s="149"/>
    </row>
    <row r="1462" spans="1:13">
      <c r="A1462" s="478">
        <v>44992</v>
      </c>
      <c r="B1462" s="461" t="s">
        <v>10574</v>
      </c>
      <c r="C1462" s="205" t="s">
        <v>10534</v>
      </c>
      <c r="D1462" s="149" t="s">
        <v>7672</v>
      </c>
      <c r="E1462" s="149" t="s">
        <v>10026</v>
      </c>
      <c r="F1462" s="461" t="s">
        <v>10575</v>
      </c>
      <c r="G1462" s="299">
        <v>79.900000000000006</v>
      </c>
      <c r="H1462" s="149"/>
      <c r="I1462" s="149"/>
      <c r="J1462" s="149"/>
      <c r="K1462" s="149"/>
      <c r="L1462" s="149"/>
      <c r="M1462" s="149"/>
    </row>
    <row r="1463" spans="1:13">
      <c r="A1463" s="478">
        <v>44992</v>
      </c>
      <c r="B1463" s="149" t="s">
        <v>3292</v>
      </c>
      <c r="C1463" s="205" t="s">
        <v>10534</v>
      </c>
      <c r="D1463" s="149" t="s">
        <v>7672</v>
      </c>
      <c r="E1463" s="149" t="s">
        <v>10011</v>
      </c>
      <c r="F1463" s="149" t="s">
        <v>10494</v>
      </c>
      <c r="G1463" s="149"/>
      <c r="H1463" s="149"/>
      <c r="I1463" s="149"/>
      <c r="J1463" s="149"/>
      <c r="K1463" s="149"/>
      <c r="L1463" s="149"/>
      <c r="M1463" s="149"/>
    </row>
    <row r="1464" spans="1:13">
      <c r="A1464" s="478">
        <v>44993</v>
      </c>
      <c r="B1464" s="461" t="s">
        <v>10576</v>
      </c>
      <c r="C1464" s="205" t="s">
        <v>10534</v>
      </c>
      <c r="D1464" s="149" t="s">
        <v>7672</v>
      </c>
      <c r="E1464" s="149" t="s">
        <v>10007</v>
      </c>
      <c r="F1464" s="461" t="s">
        <v>10494</v>
      </c>
      <c r="G1464" s="511" t="s">
        <v>10577</v>
      </c>
      <c r="H1464" s="149"/>
      <c r="I1464" s="149"/>
      <c r="J1464" s="149"/>
      <c r="K1464" s="149"/>
      <c r="L1464" s="149"/>
      <c r="M1464" s="149"/>
    </row>
    <row r="1465" spans="1:13">
      <c r="A1465" s="478">
        <v>44993</v>
      </c>
      <c r="B1465" s="149" t="s">
        <v>5981</v>
      </c>
      <c r="C1465" s="205" t="s">
        <v>10534</v>
      </c>
      <c r="D1465" s="149" t="s">
        <v>7672</v>
      </c>
      <c r="E1465" s="149" t="s">
        <v>10007</v>
      </c>
      <c r="F1465" s="149" t="s">
        <v>10494</v>
      </c>
      <c r="G1465" s="512"/>
      <c r="H1465" s="149"/>
      <c r="I1465" s="149"/>
      <c r="J1465" s="149"/>
      <c r="K1465" s="149"/>
      <c r="L1465" s="149"/>
      <c r="M1465" s="149"/>
    </row>
    <row r="1466" spans="1:13">
      <c r="A1466" s="478">
        <v>44994</v>
      </c>
      <c r="B1466" s="506" t="s">
        <v>10578</v>
      </c>
      <c r="C1466" s="205" t="s">
        <v>10534</v>
      </c>
      <c r="D1466" s="149" t="s">
        <v>7672</v>
      </c>
      <c r="E1466" s="149" t="s">
        <v>10007</v>
      </c>
      <c r="F1466" s="461" t="s">
        <v>10461</v>
      </c>
      <c r="G1466" s="511" t="s">
        <v>10579</v>
      </c>
      <c r="H1466" s="149"/>
      <c r="I1466" s="149"/>
      <c r="J1466" s="149"/>
      <c r="K1466" s="149"/>
      <c r="L1466" s="149"/>
      <c r="M1466" s="149"/>
    </row>
    <row r="1467" spans="1:13">
      <c r="A1467" s="478">
        <v>44994</v>
      </c>
      <c r="B1467" s="461" t="s">
        <v>5985</v>
      </c>
      <c r="C1467" s="205" t="s">
        <v>10534</v>
      </c>
      <c r="D1467" s="149" t="s">
        <v>7672</v>
      </c>
      <c r="E1467" s="149" t="s">
        <v>10314</v>
      </c>
      <c r="F1467" s="461" t="s">
        <v>10455</v>
      </c>
      <c r="G1467" s="149">
        <v>99.9</v>
      </c>
      <c r="H1467" s="149"/>
      <c r="I1467" s="149"/>
      <c r="J1467" s="149"/>
      <c r="K1467" s="149"/>
      <c r="L1467" s="149"/>
      <c r="M1467" s="149"/>
    </row>
    <row r="1468" spans="1:13">
      <c r="A1468" s="508">
        <v>44994</v>
      </c>
      <c r="B1468" s="149" t="s">
        <v>10580</v>
      </c>
      <c r="C1468" s="205" t="s">
        <v>10534</v>
      </c>
      <c r="D1468" s="149" t="s">
        <v>7672</v>
      </c>
      <c r="E1468" s="149" t="s">
        <v>10007</v>
      </c>
      <c r="F1468" s="149" t="s">
        <v>10494</v>
      </c>
      <c r="G1468" s="149"/>
      <c r="H1468" s="149"/>
      <c r="I1468" s="149"/>
      <c r="J1468" s="149"/>
      <c r="K1468" s="149"/>
      <c r="L1468" s="149"/>
      <c r="M1468" s="149"/>
    </row>
    <row r="1469" spans="1:13">
      <c r="A1469" s="508">
        <v>44994</v>
      </c>
      <c r="B1469" s="461" t="s">
        <v>10581</v>
      </c>
      <c r="C1469" s="205" t="s">
        <v>10534</v>
      </c>
      <c r="D1469" s="149" t="s">
        <v>7672</v>
      </c>
      <c r="E1469" s="149" t="s">
        <v>10007</v>
      </c>
      <c r="F1469" s="461" t="s">
        <v>10575</v>
      </c>
      <c r="G1469" s="299" t="s">
        <v>10579</v>
      </c>
      <c r="H1469" s="149"/>
      <c r="I1469" s="149"/>
      <c r="J1469" s="149"/>
      <c r="K1469" s="149"/>
      <c r="L1469" s="149"/>
      <c r="M1469" s="149"/>
    </row>
    <row r="1470" spans="1:13">
      <c r="A1470" s="508">
        <v>44995</v>
      </c>
      <c r="B1470" s="472" t="s">
        <v>10582</v>
      </c>
      <c r="C1470" s="205" t="s">
        <v>10534</v>
      </c>
      <c r="D1470" s="149" t="s">
        <v>7672</v>
      </c>
      <c r="E1470" s="149" t="s">
        <v>9998</v>
      </c>
      <c r="F1470" s="461" t="s">
        <v>10583</v>
      </c>
      <c r="G1470" s="299" t="s">
        <v>10579</v>
      </c>
      <c r="H1470" s="149"/>
      <c r="I1470" s="149"/>
      <c r="J1470" s="149"/>
      <c r="K1470" s="149"/>
      <c r="L1470" s="149"/>
      <c r="M1470" s="149"/>
    </row>
    <row r="1471" spans="1:13">
      <c r="A1471" s="478">
        <v>44998</v>
      </c>
      <c r="B1471" s="187" t="s">
        <v>5987</v>
      </c>
      <c r="C1471" s="205" t="s">
        <v>10534</v>
      </c>
      <c r="D1471" s="149" t="s">
        <v>7672</v>
      </c>
      <c r="E1471" s="149" t="s">
        <v>9998</v>
      </c>
      <c r="F1471" s="149" t="s">
        <v>10494</v>
      </c>
      <c r="G1471" s="149"/>
      <c r="H1471" s="149"/>
      <c r="I1471" s="149"/>
      <c r="J1471" s="149"/>
      <c r="K1471" s="149"/>
      <c r="L1471" s="149"/>
      <c r="M1471" s="149"/>
    </row>
    <row r="1472" spans="1:13">
      <c r="A1472" s="478">
        <v>44998</v>
      </c>
      <c r="B1472" s="149" t="s">
        <v>3758</v>
      </c>
      <c r="C1472" s="185" t="s">
        <v>10534</v>
      </c>
      <c r="D1472" s="149" t="s">
        <v>7672</v>
      </c>
      <c r="E1472" s="149" t="s">
        <v>10002</v>
      </c>
      <c r="F1472" s="149" t="s">
        <v>10494</v>
      </c>
      <c r="G1472" s="149"/>
      <c r="H1472" s="149"/>
      <c r="I1472" s="149"/>
      <c r="J1472" s="149"/>
      <c r="K1472" s="149"/>
      <c r="L1472" s="149"/>
      <c r="M1472" s="149"/>
    </row>
    <row r="1473" spans="1:13">
      <c r="A1473" s="478">
        <v>44999</v>
      </c>
      <c r="B1473" s="461" t="s">
        <v>10576</v>
      </c>
      <c r="C1473" s="149" t="s">
        <v>10534</v>
      </c>
      <c r="D1473" s="149" t="s">
        <v>7672</v>
      </c>
      <c r="E1473" s="149" t="s">
        <v>10011</v>
      </c>
      <c r="F1473" s="461" t="s">
        <v>10296</v>
      </c>
      <c r="G1473" s="299" t="s">
        <v>10579</v>
      </c>
      <c r="H1473" s="149"/>
      <c r="I1473" s="149"/>
      <c r="J1473" s="149"/>
      <c r="K1473" s="149"/>
      <c r="L1473" s="149"/>
      <c r="M1473" s="149"/>
    </row>
    <row r="1474" spans="1:13">
      <c r="A1474" s="508">
        <v>44999</v>
      </c>
      <c r="B1474" s="461" t="s">
        <v>10584</v>
      </c>
      <c r="C1474" s="149" t="s">
        <v>10534</v>
      </c>
      <c r="D1474" s="149" t="s">
        <v>7672</v>
      </c>
      <c r="E1474" s="149" t="s">
        <v>10011</v>
      </c>
      <c r="F1474" s="461" t="s">
        <v>10455</v>
      </c>
      <c r="G1474" s="299" t="s">
        <v>10579</v>
      </c>
      <c r="H1474" s="149"/>
      <c r="I1474" s="149"/>
      <c r="J1474" s="149"/>
      <c r="K1474" s="149"/>
      <c r="L1474" s="149"/>
      <c r="M1474" s="149"/>
    </row>
    <row r="1475" spans="1:13">
      <c r="A1475" s="478">
        <v>44999</v>
      </c>
      <c r="B1475" s="461" t="s">
        <v>10585</v>
      </c>
      <c r="C1475" s="149" t="s">
        <v>10586</v>
      </c>
      <c r="D1475" s="149" t="s">
        <v>7672</v>
      </c>
      <c r="E1475" s="149" t="s">
        <v>10011</v>
      </c>
      <c r="F1475" s="149"/>
      <c r="G1475" s="299" t="s">
        <v>10579</v>
      </c>
      <c r="H1475" s="149"/>
      <c r="I1475" s="149"/>
      <c r="J1475" s="149"/>
      <c r="K1475" s="149"/>
      <c r="L1475" s="149"/>
      <c r="M1475" s="149"/>
    </row>
    <row r="1476" spans="1:13">
      <c r="A1476" s="478">
        <v>45000</v>
      </c>
      <c r="B1476" s="461" t="s">
        <v>5993</v>
      </c>
      <c r="C1476" s="149" t="s">
        <v>10534</v>
      </c>
      <c r="D1476" s="149" t="s">
        <v>7672</v>
      </c>
      <c r="E1476" s="149" t="s">
        <v>10011</v>
      </c>
      <c r="F1476" s="461" t="s">
        <v>10461</v>
      </c>
      <c r="G1476" s="299" t="s">
        <v>10579</v>
      </c>
      <c r="H1476" s="149"/>
      <c r="I1476" s="149"/>
      <c r="J1476" s="149"/>
      <c r="K1476" s="149"/>
      <c r="L1476" s="149"/>
      <c r="M1476" s="149"/>
    </row>
    <row r="1477" spans="1:13">
      <c r="A1477" s="556">
        <v>45000</v>
      </c>
      <c r="B1477" s="505" t="s">
        <v>3119</v>
      </c>
      <c r="C1477" s="149" t="s">
        <v>10534</v>
      </c>
      <c r="D1477" s="149" t="s">
        <v>7672</v>
      </c>
      <c r="E1477" s="149" t="s">
        <v>10011</v>
      </c>
      <c r="F1477" s="461" t="s">
        <v>10461</v>
      </c>
      <c r="G1477" s="299" t="s">
        <v>10579</v>
      </c>
      <c r="H1477" s="149"/>
      <c r="I1477" s="149"/>
      <c r="J1477" s="149"/>
      <c r="K1477" s="149"/>
      <c r="L1477" s="149"/>
      <c r="M1477" s="149"/>
    </row>
    <row r="1478" spans="1:13">
      <c r="A1478" s="553">
        <v>45000</v>
      </c>
      <c r="B1478" s="149" t="s">
        <v>10587</v>
      </c>
      <c r="C1478" s="185" t="s">
        <v>10534</v>
      </c>
      <c r="D1478" s="149" t="s">
        <v>7672</v>
      </c>
      <c r="E1478" s="149" t="s">
        <v>10011</v>
      </c>
      <c r="F1478" s="149" t="s">
        <v>10494</v>
      </c>
      <c r="G1478" s="149"/>
      <c r="H1478" s="149"/>
      <c r="I1478" s="149"/>
      <c r="J1478" s="149"/>
      <c r="K1478" s="149"/>
      <c r="L1478" s="149"/>
      <c r="M1478" s="149"/>
    </row>
    <row r="1479" spans="1:13">
      <c r="A1479" s="503">
        <v>45001</v>
      </c>
      <c r="B1479" s="290" t="s">
        <v>5998</v>
      </c>
      <c r="C1479" s="185" t="s">
        <v>10534</v>
      </c>
      <c r="D1479" s="149" t="s">
        <v>7672</v>
      </c>
      <c r="E1479" s="149" t="s">
        <v>10007</v>
      </c>
      <c r="F1479" s="149" t="s">
        <v>10588</v>
      </c>
      <c r="G1479" s="149"/>
      <c r="H1479" s="149"/>
      <c r="I1479" s="149"/>
      <c r="J1479" s="149"/>
      <c r="K1479" s="149"/>
      <c r="L1479" s="149"/>
      <c r="M1479" s="149"/>
    </row>
    <row r="1480" spans="1:13">
      <c r="A1480" s="557">
        <v>45001</v>
      </c>
      <c r="B1480" s="472" t="s">
        <v>10589</v>
      </c>
      <c r="C1480" s="185" t="s">
        <v>10534</v>
      </c>
      <c r="D1480" s="149" t="s">
        <v>7672</v>
      </c>
      <c r="E1480" s="149" t="s">
        <v>9998</v>
      </c>
      <c r="F1480" s="461" t="s">
        <v>10464</v>
      </c>
      <c r="G1480" s="299" t="s">
        <v>10579</v>
      </c>
      <c r="H1480" s="149"/>
      <c r="I1480" s="149"/>
      <c r="J1480" s="149"/>
      <c r="K1480" s="149"/>
      <c r="L1480" s="149"/>
      <c r="M1480" s="149"/>
    </row>
    <row r="1481" spans="1:13">
      <c r="A1481" s="478">
        <v>45002</v>
      </c>
      <c r="B1481" s="149" t="s">
        <v>10590</v>
      </c>
      <c r="C1481" s="185" t="s">
        <v>10534</v>
      </c>
      <c r="D1481" s="149" t="s">
        <v>7672</v>
      </c>
      <c r="E1481" s="149" t="s">
        <v>9998</v>
      </c>
      <c r="F1481" s="149" t="s">
        <v>10494</v>
      </c>
      <c r="G1481" s="149"/>
      <c r="H1481" s="149"/>
      <c r="I1481" s="149"/>
      <c r="J1481" s="149"/>
      <c r="K1481" s="149"/>
      <c r="L1481" s="149"/>
      <c r="M1481" s="149"/>
    </row>
    <row r="1482" spans="1:13">
      <c r="A1482" s="478">
        <v>45002</v>
      </c>
      <c r="B1482" s="149" t="s">
        <v>10591</v>
      </c>
      <c r="C1482" s="185" t="s">
        <v>10534</v>
      </c>
      <c r="D1482" s="149" t="s">
        <v>7672</v>
      </c>
      <c r="E1482" s="149" t="s">
        <v>9998</v>
      </c>
      <c r="F1482" s="149" t="s">
        <v>10494</v>
      </c>
      <c r="G1482" s="149"/>
      <c r="H1482" s="149"/>
      <c r="I1482" s="149"/>
      <c r="J1482" s="149"/>
      <c r="K1482" s="149"/>
      <c r="L1482" s="149"/>
      <c r="M1482" s="149"/>
    </row>
    <row r="1483" spans="1:13">
      <c r="A1483" s="478">
        <v>45002</v>
      </c>
      <c r="B1483" s="149" t="s">
        <v>6000</v>
      </c>
      <c r="C1483" s="185" t="s">
        <v>10534</v>
      </c>
      <c r="D1483" s="149" t="s">
        <v>7672</v>
      </c>
      <c r="E1483" s="149" t="s">
        <v>10314</v>
      </c>
      <c r="F1483" s="149" t="s">
        <v>10494</v>
      </c>
      <c r="G1483" s="149"/>
      <c r="H1483" s="149"/>
      <c r="I1483" s="149"/>
      <c r="J1483" s="149"/>
      <c r="K1483" s="149"/>
      <c r="L1483" s="149"/>
      <c r="M1483" s="149"/>
    </row>
    <row r="1484" spans="1:13">
      <c r="A1484" s="508">
        <v>45002</v>
      </c>
      <c r="B1484" s="461" t="s">
        <v>10592</v>
      </c>
      <c r="C1484" s="185" t="s">
        <v>8929</v>
      </c>
      <c r="D1484" s="149" t="s">
        <v>7672</v>
      </c>
      <c r="E1484" s="149" t="s">
        <v>10026</v>
      </c>
      <c r="F1484" s="461" t="s">
        <v>10593</v>
      </c>
      <c r="G1484" s="299" t="s">
        <v>10594</v>
      </c>
      <c r="H1484" s="149"/>
      <c r="I1484" s="149"/>
      <c r="J1484" s="149"/>
      <c r="K1484" s="149"/>
      <c r="L1484" s="149"/>
      <c r="M1484" s="149"/>
    </row>
    <row r="1485" spans="1:13">
      <c r="A1485" s="478">
        <v>45002</v>
      </c>
      <c r="B1485" s="149" t="s">
        <v>6004</v>
      </c>
      <c r="C1485" s="185" t="s">
        <v>10534</v>
      </c>
      <c r="D1485" s="149" t="s">
        <v>7672</v>
      </c>
      <c r="E1485" s="149" t="s">
        <v>9998</v>
      </c>
      <c r="F1485" s="149" t="s">
        <v>10595</v>
      </c>
      <c r="G1485" s="149"/>
      <c r="H1485" s="149"/>
      <c r="I1485" s="149"/>
      <c r="J1485" s="149"/>
      <c r="K1485" s="149"/>
      <c r="L1485" s="149"/>
      <c r="M1485" s="149"/>
    </row>
    <row r="1486" spans="1:13">
      <c r="A1486" s="508">
        <v>45002</v>
      </c>
      <c r="B1486" s="108" t="s">
        <v>6006</v>
      </c>
      <c r="C1486" s="185" t="s">
        <v>10534</v>
      </c>
      <c r="D1486" s="149" t="s">
        <v>7672</v>
      </c>
      <c r="E1486" s="149" t="s">
        <v>9998</v>
      </c>
      <c r="F1486" s="149" t="s">
        <v>278</v>
      </c>
      <c r="G1486" s="149"/>
      <c r="H1486" s="149"/>
      <c r="I1486" s="149"/>
      <c r="J1486" s="149"/>
      <c r="K1486" s="149"/>
      <c r="L1486" s="149"/>
      <c r="M1486" s="149"/>
    </row>
    <row r="1487" spans="1:13">
      <c r="A1487" s="503" t="s">
        <v>10596</v>
      </c>
      <c r="B1487" s="187" t="s">
        <v>10597</v>
      </c>
      <c r="C1487" s="149" t="s">
        <v>8929</v>
      </c>
      <c r="D1487" s="149" t="s">
        <v>10598</v>
      </c>
      <c r="E1487" s="149" t="s">
        <v>9998</v>
      </c>
      <c r="F1487" s="149" t="s">
        <v>10599</v>
      </c>
      <c r="G1487" s="149"/>
      <c r="H1487" s="149"/>
      <c r="I1487" s="149"/>
      <c r="J1487" s="149"/>
      <c r="K1487" s="149"/>
      <c r="L1487" s="149"/>
      <c r="M1487" s="149"/>
    </row>
    <row r="1488" spans="1:13">
      <c r="A1488" s="503" t="s">
        <v>10596</v>
      </c>
      <c r="B1488" s="476" t="s">
        <v>6010</v>
      </c>
      <c r="C1488" s="149" t="s">
        <v>8929</v>
      </c>
      <c r="D1488" s="149" t="s">
        <v>10598</v>
      </c>
      <c r="E1488" s="149" t="s">
        <v>10289</v>
      </c>
      <c r="F1488" s="108" t="s">
        <v>278</v>
      </c>
      <c r="G1488" s="149"/>
      <c r="H1488" s="149"/>
      <c r="I1488" s="149"/>
      <c r="J1488" s="149"/>
      <c r="K1488" s="149"/>
      <c r="L1488" s="149"/>
      <c r="M1488" s="149"/>
    </row>
    <row r="1489" spans="1:13">
      <c r="A1489" s="503" t="s">
        <v>10596</v>
      </c>
      <c r="B1489" s="187" t="s">
        <v>10600</v>
      </c>
      <c r="C1489" s="149" t="s">
        <v>8929</v>
      </c>
      <c r="D1489" s="149" t="s">
        <v>10598</v>
      </c>
      <c r="E1489" s="149" t="s">
        <v>10289</v>
      </c>
      <c r="F1489" s="149" t="s">
        <v>10601</v>
      </c>
      <c r="G1489" s="149"/>
      <c r="H1489" s="149"/>
      <c r="I1489" s="149"/>
      <c r="J1489" s="149"/>
      <c r="K1489" s="149"/>
      <c r="L1489" s="149"/>
      <c r="M1489" s="149"/>
    </row>
    <row r="1490" spans="1:13">
      <c r="A1490" s="503" t="s">
        <v>10596</v>
      </c>
      <c r="B1490" s="472" t="s">
        <v>10602</v>
      </c>
      <c r="C1490" s="149" t="s">
        <v>10534</v>
      </c>
      <c r="D1490" s="149" t="s">
        <v>10603</v>
      </c>
      <c r="E1490" s="149" t="s">
        <v>10555</v>
      </c>
      <c r="F1490" s="461"/>
      <c r="G1490" s="299" t="s">
        <v>10579</v>
      </c>
      <c r="H1490" s="149"/>
      <c r="I1490" s="149"/>
      <c r="J1490" s="149"/>
      <c r="K1490" s="149"/>
      <c r="L1490" s="149"/>
      <c r="M1490" s="149"/>
    </row>
    <row r="1491" spans="1:13">
      <c r="A1491" s="503" t="s">
        <v>10604</v>
      </c>
      <c r="B1491" s="476" t="s">
        <v>3550</v>
      </c>
      <c r="C1491" s="108" t="s">
        <v>10534</v>
      </c>
      <c r="D1491" s="108" t="s">
        <v>10603</v>
      </c>
      <c r="E1491" s="108" t="s">
        <v>10314</v>
      </c>
      <c r="F1491" s="108" t="s">
        <v>278</v>
      </c>
      <c r="G1491" s="149" t="s">
        <v>10579</v>
      </c>
      <c r="H1491" s="149"/>
      <c r="I1491" s="149"/>
      <c r="J1491" s="149"/>
      <c r="K1491" s="149"/>
      <c r="L1491" s="149"/>
      <c r="M1491" s="149"/>
    </row>
    <row r="1492" spans="1:13">
      <c r="A1492" s="503" t="s">
        <v>10604</v>
      </c>
      <c r="B1492" s="187" t="s">
        <v>6014</v>
      </c>
      <c r="C1492" s="149" t="s">
        <v>8929</v>
      </c>
      <c r="D1492" s="149" t="s">
        <v>10598</v>
      </c>
      <c r="E1492" s="149" t="s">
        <v>10002</v>
      </c>
      <c r="F1492" s="149" t="s">
        <v>10605</v>
      </c>
      <c r="G1492" s="149" t="s">
        <v>10577</v>
      </c>
      <c r="H1492" s="149" t="s">
        <v>10382</v>
      </c>
      <c r="I1492" s="149"/>
      <c r="J1492" s="149"/>
      <c r="K1492" s="149"/>
      <c r="L1492" s="149"/>
      <c r="M1492" s="149"/>
    </row>
    <row r="1493" spans="1:13" ht="15.75">
      <c r="A1493" s="503" t="s">
        <v>10606</v>
      </c>
      <c r="B1493" s="558" t="s">
        <v>10607</v>
      </c>
      <c r="C1493" s="149" t="s">
        <v>10534</v>
      </c>
      <c r="D1493" s="149" t="s">
        <v>10603</v>
      </c>
      <c r="E1493" s="149" t="s">
        <v>10011</v>
      </c>
      <c r="F1493" s="108" t="s">
        <v>10199</v>
      </c>
      <c r="G1493" s="149" t="s">
        <v>10579</v>
      </c>
      <c r="H1493" s="149"/>
      <c r="I1493" s="149"/>
      <c r="J1493" s="149"/>
      <c r="K1493" s="149"/>
      <c r="L1493" s="149"/>
      <c r="M1493" s="149"/>
    </row>
    <row r="1494" spans="1:13">
      <c r="A1494" s="503" t="s">
        <v>10606</v>
      </c>
      <c r="B1494" s="472" t="s">
        <v>6018</v>
      </c>
      <c r="C1494" s="149" t="s">
        <v>10534</v>
      </c>
      <c r="D1494" s="149" t="s">
        <v>10603</v>
      </c>
      <c r="E1494" s="149" t="s">
        <v>10007</v>
      </c>
      <c r="F1494" s="461" t="s">
        <v>10455</v>
      </c>
      <c r="G1494" s="149" t="s">
        <v>10608</v>
      </c>
      <c r="H1494" s="149"/>
      <c r="I1494" s="149"/>
      <c r="J1494" s="149"/>
      <c r="K1494" s="149"/>
      <c r="L1494" s="149"/>
      <c r="M1494" s="149"/>
    </row>
    <row r="1495" spans="1:13">
      <c r="A1495" s="503" t="s">
        <v>8381</v>
      </c>
      <c r="B1495" s="472" t="s">
        <v>10609</v>
      </c>
      <c r="C1495" s="149" t="s">
        <v>10534</v>
      </c>
      <c r="D1495" s="149" t="s">
        <v>10603</v>
      </c>
      <c r="E1495" s="149" t="s">
        <v>9996</v>
      </c>
      <c r="F1495" s="461" t="s">
        <v>10461</v>
      </c>
      <c r="G1495" s="299" t="s">
        <v>10577</v>
      </c>
      <c r="H1495" s="149"/>
      <c r="I1495" s="149"/>
      <c r="J1495" s="149"/>
      <c r="K1495" s="149"/>
      <c r="L1495" s="149"/>
      <c r="M1495" s="149"/>
    </row>
    <row r="1496" spans="1:13">
      <c r="A1496" s="503" t="s">
        <v>8381</v>
      </c>
      <c r="B1496" s="187" t="s">
        <v>6016</v>
      </c>
      <c r="C1496" s="149" t="s">
        <v>10534</v>
      </c>
      <c r="D1496" s="149" t="s">
        <v>10598</v>
      </c>
      <c r="E1496" s="149" t="s">
        <v>10314</v>
      </c>
      <c r="F1496" s="149" t="s">
        <v>7632</v>
      </c>
      <c r="G1496" s="149" t="s">
        <v>10610</v>
      </c>
      <c r="H1496" s="149" t="s">
        <v>10611</v>
      </c>
      <c r="I1496" s="149"/>
      <c r="J1496" s="149"/>
      <c r="K1496" s="149"/>
      <c r="L1496" s="149"/>
      <c r="M1496" s="149"/>
    </row>
    <row r="1497" spans="1:13">
      <c r="A1497" s="503" t="s">
        <v>8381</v>
      </c>
      <c r="B1497" s="187" t="s">
        <v>10612</v>
      </c>
      <c r="C1497" s="149" t="s">
        <v>8929</v>
      </c>
      <c r="D1497" s="149" t="s">
        <v>10598</v>
      </c>
      <c r="E1497" s="149" t="s">
        <v>10007</v>
      </c>
      <c r="F1497" s="149" t="s">
        <v>10458</v>
      </c>
      <c r="G1497" s="149" t="s">
        <v>10577</v>
      </c>
      <c r="H1497" s="149" t="s">
        <v>10611</v>
      </c>
      <c r="I1497" s="149"/>
      <c r="J1497" s="149"/>
      <c r="K1497" s="149"/>
      <c r="L1497" s="149"/>
      <c r="M1497" s="149"/>
    </row>
    <row r="1498" spans="1:13">
      <c r="A1498" s="503" t="s">
        <v>10613</v>
      </c>
      <c r="B1498" s="472" t="s">
        <v>10614</v>
      </c>
      <c r="C1498" s="149" t="s">
        <v>10534</v>
      </c>
      <c r="D1498" s="149" t="s">
        <v>10603</v>
      </c>
      <c r="E1498" s="149" t="s">
        <v>10314</v>
      </c>
      <c r="F1498" s="461" t="s">
        <v>10461</v>
      </c>
      <c r="G1498" s="149" t="s">
        <v>10608</v>
      </c>
      <c r="H1498" s="149"/>
      <c r="I1498" s="149"/>
      <c r="J1498" s="149"/>
      <c r="K1498" s="149"/>
      <c r="L1498" s="149"/>
      <c r="M1498" s="149"/>
    </row>
    <row r="1499" spans="1:13">
      <c r="A1499" s="503" t="s">
        <v>10615</v>
      </c>
      <c r="B1499" s="472" t="s">
        <v>10616</v>
      </c>
      <c r="C1499" s="149" t="s">
        <v>10534</v>
      </c>
      <c r="D1499" s="149" t="s">
        <v>10603</v>
      </c>
      <c r="E1499" s="149" t="s">
        <v>9998</v>
      </c>
      <c r="F1499" s="461" t="s">
        <v>10455</v>
      </c>
      <c r="G1499" s="149" t="s">
        <v>10608</v>
      </c>
      <c r="H1499" s="149"/>
      <c r="I1499" s="149"/>
      <c r="J1499" s="149"/>
      <c r="K1499" s="149"/>
      <c r="L1499" s="149"/>
      <c r="M1499" s="149"/>
    </row>
    <row r="1500" spans="1:13">
      <c r="A1500" s="553" t="s">
        <v>10615</v>
      </c>
      <c r="B1500" s="472" t="s">
        <v>3215</v>
      </c>
      <c r="C1500" s="149" t="s">
        <v>10534</v>
      </c>
      <c r="D1500" s="149" t="s">
        <v>10603</v>
      </c>
      <c r="E1500" s="149" t="s">
        <v>10289</v>
      </c>
      <c r="F1500" s="461" t="s">
        <v>10455</v>
      </c>
      <c r="G1500" s="299" t="s">
        <v>10594</v>
      </c>
      <c r="H1500" s="149"/>
      <c r="I1500" s="149"/>
      <c r="J1500" s="149"/>
      <c r="K1500" s="149"/>
      <c r="L1500" s="149"/>
      <c r="M1500" s="149"/>
    </row>
    <row r="1501" spans="1:13">
      <c r="A1501" s="503" t="s">
        <v>10617</v>
      </c>
      <c r="B1501" s="472" t="s">
        <v>3190</v>
      </c>
      <c r="C1501" s="149" t="s">
        <v>10534</v>
      </c>
      <c r="D1501" s="149" t="s">
        <v>10603</v>
      </c>
      <c r="E1501" s="149" t="s">
        <v>10026</v>
      </c>
      <c r="F1501" s="461" t="s">
        <v>10461</v>
      </c>
      <c r="G1501" s="299" t="s">
        <v>10579</v>
      </c>
      <c r="H1501" s="149"/>
      <c r="I1501" s="149"/>
      <c r="J1501" s="149"/>
      <c r="K1501" s="149"/>
      <c r="L1501" s="149"/>
      <c r="M1501" s="149"/>
    </row>
    <row r="1502" spans="1:13">
      <c r="A1502" s="550" t="s">
        <v>10617</v>
      </c>
      <c r="B1502" s="187" t="s">
        <v>3155</v>
      </c>
      <c r="C1502" s="149" t="s">
        <v>10534</v>
      </c>
      <c r="D1502" s="149" t="s">
        <v>10598</v>
      </c>
      <c r="E1502" s="149" t="s">
        <v>10011</v>
      </c>
      <c r="F1502" s="149" t="s">
        <v>10458</v>
      </c>
      <c r="G1502" s="149"/>
      <c r="H1502" s="149"/>
      <c r="I1502" s="149"/>
      <c r="J1502" s="149"/>
      <c r="K1502" s="149"/>
      <c r="L1502" s="149"/>
      <c r="M1502" s="149"/>
    </row>
    <row r="1503" spans="1:13">
      <c r="A1503" s="503" t="s">
        <v>10617</v>
      </c>
      <c r="B1503" s="472" t="s">
        <v>10618</v>
      </c>
      <c r="C1503" s="149" t="s">
        <v>10534</v>
      </c>
      <c r="D1503" s="149" t="s">
        <v>10603</v>
      </c>
      <c r="E1503" s="149" t="s">
        <v>10011</v>
      </c>
      <c r="F1503" s="461" t="s">
        <v>10464</v>
      </c>
      <c r="G1503" s="299" t="s">
        <v>10579</v>
      </c>
      <c r="H1503" s="149" t="s">
        <v>10504</v>
      </c>
      <c r="I1503" s="149"/>
      <c r="J1503" s="149"/>
      <c r="K1503" s="149"/>
      <c r="L1503" s="149"/>
      <c r="M1503" s="149"/>
    </row>
    <row r="1504" spans="1:13">
      <c r="A1504" s="503" t="s">
        <v>10619</v>
      </c>
      <c r="B1504" s="187" t="s">
        <v>3273</v>
      </c>
      <c r="C1504" s="149" t="s">
        <v>10534</v>
      </c>
      <c r="D1504" s="149" t="s">
        <v>10598</v>
      </c>
      <c r="E1504" s="149" t="s">
        <v>10011</v>
      </c>
      <c r="F1504" s="149" t="s">
        <v>10620</v>
      </c>
      <c r="G1504" s="149" t="s">
        <v>10610</v>
      </c>
      <c r="H1504" s="149" t="s">
        <v>10382</v>
      </c>
      <c r="I1504" s="149"/>
      <c r="J1504" s="149"/>
      <c r="K1504" s="149"/>
      <c r="L1504" s="149"/>
      <c r="M1504" s="149"/>
    </row>
    <row r="1505" spans="1:13">
      <c r="A1505" s="503" t="s">
        <v>10621</v>
      </c>
      <c r="B1505" s="472" t="s">
        <v>10622</v>
      </c>
      <c r="C1505" s="149" t="s">
        <v>10534</v>
      </c>
      <c r="D1505" s="149" t="s">
        <v>10603</v>
      </c>
      <c r="E1505" s="149" t="s">
        <v>10007</v>
      </c>
      <c r="F1505" s="461" t="s">
        <v>10464</v>
      </c>
      <c r="G1505" s="299" t="s">
        <v>10579</v>
      </c>
      <c r="H1505" s="149"/>
      <c r="I1505" s="149"/>
      <c r="J1505" s="149"/>
      <c r="K1505" s="149"/>
      <c r="L1505" s="149"/>
      <c r="M1505" s="149"/>
    </row>
    <row r="1506" spans="1:13">
      <c r="A1506" s="503" t="s">
        <v>10623</v>
      </c>
      <c r="B1506" s="187" t="s">
        <v>6025</v>
      </c>
      <c r="C1506" s="149" t="s">
        <v>10534</v>
      </c>
      <c r="D1506" s="149" t="s">
        <v>10598</v>
      </c>
      <c r="E1506" s="149" t="s">
        <v>10314</v>
      </c>
      <c r="F1506" s="149" t="s">
        <v>10620</v>
      </c>
      <c r="G1506" s="149" t="s">
        <v>10577</v>
      </c>
      <c r="H1506" s="149" t="s">
        <v>10611</v>
      </c>
      <c r="I1506" s="149"/>
      <c r="J1506" s="149"/>
      <c r="K1506" s="149"/>
      <c r="L1506" s="149"/>
      <c r="M1506" s="149"/>
    </row>
    <row r="1507" spans="1:13">
      <c r="A1507" s="503" t="s">
        <v>10624</v>
      </c>
      <c r="B1507" s="187" t="s">
        <v>10625</v>
      </c>
      <c r="C1507" s="149" t="s">
        <v>10534</v>
      </c>
      <c r="D1507" s="149" t="s">
        <v>10598</v>
      </c>
      <c r="E1507" s="149" t="s">
        <v>10007</v>
      </c>
      <c r="F1507" s="149" t="s">
        <v>10620</v>
      </c>
      <c r="G1507" s="149" t="s">
        <v>10577</v>
      </c>
      <c r="H1507" s="149" t="s">
        <v>10626</v>
      </c>
      <c r="I1507" s="149"/>
      <c r="J1507" s="149"/>
      <c r="K1507" s="149"/>
      <c r="L1507" s="149"/>
      <c r="M1507" s="149"/>
    </row>
    <row r="1508" spans="1:13">
      <c r="A1508" s="503" t="s">
        <v>10627</v>
      </c>
      <c r="B1508" s="472" t="s">
        <v>10628</v>
      </c>
      <c r="C1508" s="149" t="s">
        <v>10534</v>
      </c>
      <c r="D1508" s="149" t="s">
        <v>10603</v>
      </c>
      <c r="E1508" s="149" t="s">
        <v>10289</v>
      </c>
      <c r="F1508" s="461" t="s">
        <v>10455</v>
      </c>
      <c r="G1508" s="149" t="s">
        <v>10629</v>
      </c>
      <c r="H1508" s="149" t="s">
        <v>10630</v>
      </c>
      <c r="I1508" s="149"/>
      <c r="J1508" s="149"/>
      <c r="K1508" s="149"/>
      <c r="L1508" s="149"/>
      <c r="M1508" s="149"/>
    </row>
    <row r="1509" spans="1:13">
      <c r="A1509" s="503" t="s">
        <v>10631</v>
      </c>
      <c r="B1509" s="472" t="s">
        <v>10632</v>
      </c>
      <c r="C1509" s="149" t="s">
        <v>10534</v>
      </c>
      <c r="D1509" s="149" t="s">
        <v>10603</v>
      </c>
      <c r="E1509" s="149" t="s">
        <v>9998</v>
      </c>
      <c r="F1509" s="461" t="s">
        <v>10464</v>
      </c>
      <c r="G1509" s="149" t="s">
        <v>10608</v>
      </c>
      <c r="H1509" s="149" t="s">
        <v>10633</v>
      </c>
      <c r="I1509" s="149" t="s">
        <v>10634</v>
      </c>
      <c r="J1509" s="149"/>
      <c r="K1509" s="149"/>
      <c r="L1509" s="149"/>
      <c r="M1509" s="149"/>
    </row>
    <row r="1510" spans="1:13">
      <c r="A1510" s="478"/>
      <c r="B1510" s="421" t="s">
        <v>7684</v>
      </c>
      <c r="C1510" s="199"/>
      <c r="D1510" s="149"/>
      <c r="E1510" s="149"/>
      <c r="F1510" s="149"/>
      <c r="G1510" s="149"/>
      <c r="H1510" s="149"/>
      <c r="I1510" s="149"/>
      <c r="J1510" s="149"/>
      <c r="K1510" s="149"/>
      <c r="L1510" s="149"/>
      <c r="M1510" s="149"/>
    </row>
    <row r="1511" spans="1:13">
      <c r="A1511" s="503">
        <v>44930</v>
      </c>
      <c r="B1511" s="187" t="s">
        <v>6027</v>
      </c>
      <c r="C1511" s="149" t="s">
        <v>10534</v>
      </c>
      <c r="D1511" s="149" t="s">
        <v>7684</v>
      </c>
      <c r="E1511" s="149" t="s">
        <v>9998</v>
      </c>
      <c r="F1511" s="149" t="s">
        <v>10268</v>
      </c>
      <c r="G1511" s="149"/>
      <c r="H1511" s="149"/>
      <c r="I1511" s="149"/>
      <c r="J1511" s="149"/>
      <c r="K1511" s="149"/>
      <c r="L1511" s="149"/>
      <c r="M1511" s="149"/>
    </row>
    <row r="1512" spans="1:13">
      <c r="A1512" s="503">
        <v>44989</v>
      </c>
      <c r="B1512" s="476" t="s">
        <v>10635</v>
      </c>
      <c r="C1512" s="149" t="s">
        <v>10534</v>
      </c>
      <c r="D1512" s="149" t="s">
        <v>7684</v>
      </c>
      <c r="E1512" s="149" t="s">
        <v>10011</v>
      </c>
      <c r="F1512" s="149" t="s">
        <v>10268</v>
      </c>
      <c r="G1512" s="149"/>
      <c r="H1512" s="149"/>
      <c r="I1512" s="149"/>
      <c r="J1512" s="149"/>
      <c r="K1512" s="149"/>
      <c r="L1512" s="149"/>
      <c r="M1512" s="149"/>
    </row>
    <row r="1513" spans="1:13">
      <c r="A1513" s="503">
        <v>44989</v>
      </c>
      <c r="B1513" s="476" t="s">
        <v>10636</v>
      </c>
      <c r="C1513" s="149" t="s">
        <v>10534</v>
      </c>
      <c r="D1513" s="149" t="s">
        <v>7684</v>
      </c>
      <c r="E1513" s="149"/>
      <c r="F1513" s="149" t="s">
        <v>278</v>
      </c>
      <c r="G1513" s="149"/>
      <c r="H1513" s="149"/>
      <c r="I1513" s="149"/>
      <c r="J1513" s="149"/>
      <c r="K1513" s="149"/>
      <c r="L1513" s="149"/>
      <c r="M1513" s="149"/>
    </row>
    <row r="1514" spans="1:13">
      <c r="A1514" s="503">
        <v>44989</v>
      </c>
      <c r="B1514" s="472" t="s">
        <v>6031</v>
      </c>
      <c r="C1514" s="149" t="s">
        <v>10534</v>
      </c>
      <c r="D1514" s="149" t="s">
        <v>7684</v>
      </c>
      <c r="E1514" s="149" t="s">
        <v>10289</v>
      </c>
      <c r="F1514" s="461" t="s">
        <v>10455</v>
      </c>
      <c r="G1514" s="149" t="s">
        <v>10610</v>
      </c>
      <c r="H1514" s="149"/>
      <c r="I1514" s="149"/>
      <c r="J1514" s="149"/>
      <c r="K1514" s="149"/>
      <c r="L1514" s="149"/>
      <c r="M1514" s="149"/>
    </row>
    <row r="1515" spans="1:13">
      <c r="A1515" s="503">
        <v>44989</v>
      </c>
      <c r="B1515" s="472" t="s">
        <v>10637</v>
      </c>
      <c r="C1515" s="149" t="s">
        <v>10534</v>
      </c>
      <c r="D1515" s="149" t="s">
        <v>7684</v>
      </c>
      <c r="E1515" s="149" t="s">
        <v>10026</v>
      </c>
      <c r="F1515" s="461" t="s">
        <v>10464</v>
      </c>
      <c r="G1515" s="59">
        <v>79.900000000000006</v>
      </c>
      <c r="H1515" s="149"/>
      <c r="I1515" s="149"/>
      <c r="J1515" s="149"/>
      <c r="K1515" s="149"/>
      <c r="L1515" s="149"/>
      <c r="M1515" s="149"/>
    </row>
    <row r="1516" spans="1:13">
      <c r="A1516" s="503">
        <v>44989</v>
      </c>
      <c r="B1516" s="187" t="s">
        <v>10638</v>
      </c>
      <c r="C1516" s="149" t="s">
        <v>10534</v>
      </c>
      <c r="D1516" s="149" t="s">
        <v>7684</v>
      </c>
      <c r="E1516" s="149" t="s">
        <v>10007</v>
      </c>
      <c r="F1516" s="149" t="s">
        <v>10268</v>
      </c>
      <c r="G1516" s="149"/>
      <c r="H1516" s="149"/>
      <c r="I1516" s="149" t="s">
        <v>10634</v>
      </c>
      <c r="J1516" s="149"/>
      <c r="K1516" s="149"/>
      <c r="L1516" s="149"/>
      <c r="M1516" s="149"/>
    </row>
    <row r="1517" spans="1:13">
      <c r="A1517" s="503">
        <v>45020</v>
      </c>
      <c r="B1517" s="472" t="s">
        <v>6035</v>
      </c>
      <c r="C1517" s="149" t="s">
        <v>10534</v>
      </c>
      <c r="D1517" s="149" t="s">
        <v>7684</v>
      </c>
      <c r="E1517" s="149" t="s">
        <v>10026</v>
      </c>
      <c r="F1517" s="461" t="s">
        <v>10464</v>
      </c>
      <c r="G1517" s="149" t="s">
        <v>10608</v>
      </c>
      <c r="H1517" s="149"/>
      <c r="I1517" s="149" t="s">
        <v>10634</v>
      </c>
      <c r="J1517" s="149"/>
      <c r="K1517" s="149"/>
      <c r="L1517" s="149"/>
      <c r="M1517" s="149"/>
    </row>
    <row r="1518" spans="1:13">
      <c r="A1518" s="503">
        <v>45020</v>
      </c>
      <c r="B1518" s="187" t="s">
        <v>6041</v>
      </c>
      <c r="C1518" s="149" t="s">
        <v>10534</v>
      </c>
      <c r="D1518" s="149" t="s">
        <v>7684</v>
      </c>
      <c r="E1518" s="149" t="s">
        <v>10007</v>
      </c>
      <c r="F1518" s="149" t="s">
        <v>10268</v>
      </c>
      <c r="G1518" s="149"/>
      <c r="H1518" s="149"/>
      <c r="I1518" s="149" t="s">
        <v>10634</v>
      </c>
      <c r="J1518" s="149"/>
      <c r="K1518" s="149"/>
      <c r="L1518" s="149"/>
      <c r="M1518" s="149"/>
    </row>
    <row r="1519" spans="1:13">
      <c r="A1519" s="503">
        <v>45050</v>
      </c>
      <c r="B1519" s="187" t="s">
        <v>3290</v>
      </c>
      <c r="C1519" s="149" t="s">
        <v>10534</v>
      </c>
      <c r="D1519" s="149" t="s">
        <v>7684</v>
      </c>
      <c r="E1519" s="149" t="s">
        <v>10007</v>
      </c>
      <c r="F1519" s="149" t="s">
        <v>10268</v>
      </c>
      <c r="G1519" s="149"/>
      <c r="H1519" s="149"/>
      <c r="I1519" s="149"/>
      <c r="J1519" s="149"/>
      <c r="K1519" s="149"/>
      <c r="L1519" s="149"/>
      <c r="M1519" s="149"/>
    </row>
    <row r="1520" spans="1:13">
      <c r="A1520" s="503">
        <v>45050</v>
      </c>
      <c r="B1520" s="476" t="s">
        <v>6043</v>
      </c>
      <c r="C1520" s="149" t="s">
        <v>10534</v>
      </c>
      <c r="D1520" s="149" t="s">
        <v>7684</v>
      </c>
      <c r="E1520" s="149" t="s">
        <v>10007</v>
      </c>
      <c r="F1520" s="149" t="s">
        <v>278</v>
      </c>
      <c r="G1520" s="149"/>
      <c r="H1520" s="149"/>
      <c r="I1520" s="149"/>
      <c r="J1520" s="149"/>
      <c r="K1520" s="149"/>
      <c r="L1520" s="149"/>
      <c r="M1520" s="149"/>
    </row>
    <row r="1521" spans="1:13">
      <c r="A1521" s="503">
        <v>45050</v>
      </c>
      <c r="B1521" s="472" t="s">
        <v>6037</v>
      </c>
      <c r="C1521" s="149" t="s">
        <v>10534</v>
      </c>
      <c r="D1521" s="149" t="s">
        <v>7684</v>
      </c>
      <c r="E1521" s="149" t="s">
        <v>10007</v>
      </c>
      <c r="F1521" s="461" t="s">
        <v>10464</v>
      </c>
      <c r="G1521" s="149" t="s">
        <v>10577</v>
      </c>
      <c r="H1521" s="149"/>
      <c r="I1521" s="149"/>
      <c r="J1521" s="149"/>
      <c r="K1521" s="149"/>
      <c r="L1521" s="149"/>
      <c r="M1521" s="149"/>
    </row>
    <row r="1522" spans="1:13">
      <c r="A1522" s="503">
        <v>45050</v>
      </c>
      <c r="B1522" s="187" t="s">
        <v>3159</v>
      </c>
      <c r="C1522" s="149" t="s">
        <v>10534</v>
      </c>
      <c r="D1522" s="149" t="s">
        <v>7684</v>
      </c>
      <c r="E1522" s="149" t="s">
        <v>9998</v>
      </c>
      <c r="F1522" s="149" t="s">
        <v>10296</v>
      </c>
      <c r="G1522" s="149"/>
      <c r="H1522" s="149"/>
      <c r="I1522" s="149"/>
      <c r="J1522" s="149"/>
      <c r="K1522" s="149"/>
      <c r="L1522" s="149"/>
      <c r="M1522" s="149"/>
    </row>
    <row r="1523" spans="1:13">
      <c r="A1523" s="503">
        <v>45050</v>
      </c>
      <c r="B1523" s="187" t="s">
        <v>6045</v>
      </c>
      <c r="C1523" s="149" t="s">
        <v>10534</v>
      </c>
      <c r="D1523" s="149" t="s">
        <v>7684</v>
      </c>
      <c r="E1523" s="149" t="s">
        <v>10026</v>
      </c>
      <c r="F1523" s="149" t="s">
        <v>10205</v>
      </c>
      <c r="G1523" s="149"/>
      <c r="H1523" s="149"/>
      <c r="I1523" s="149"/>
      <c r="J1523" s="149"/>
      <c r="K1523" s="149"/>
      <c r="L1523" s="149"/>
      <c r="M1523" s="149"/>
    </row>
    <row r="1524" spans="1:13">
      <c r="A1524" s="503">
        <v>45142</v>
      </c>
      <c r="B1524" s="472" t="s">
        <v>10639</v>
      </c>
      <c r="C1524" s="149" t="s">
        <v>10534</v>
      </c>
      <c r="D1524" s="149" t="s">
        <v>7684</v>
      </c>
      <c r="E1524" s="149" t="s">
        <v>10026</v>
      </c>
      <c r="F1524" s="461" t="s">
        <v>10455</v>
      </c>
      <c r="G1524" s="149" t="s">
        <v>10640</v>
      </c>
      <c r="H1524" s="149"/>
      <c r="I1524" s="149"/>
      <c r="J1524" s="149"/>
      <c r="K1524" s="149"/>
      <c r="L1524" s="149"/>
      <c r="M1524" s="149"/>
    </row>
    <row r="1525" spans="1:13">
      <c r="A1525" s="503">
        <v>45203</v>
      </c>
      <c r="B1525" s="187" t="s">
        <v>10641</v>
      </c>
      <c r="C1525" s="149" t="s">
        <v>10534</v>
      </c>
      <c r="D1525" s="149" t="s">
        <v>7684</v>
      </c>
      <c r="E1525" s="149" t="s">
        <v>10026</v>
      </c>
      <c r="F1525" s="149" t="s">
        <v>10494</v>
      </c>
      <c r="G1525" s="149"/>
      <c r="H1525" s="149"/>
      <c r="I1525" s="149"/>
      <c r="J1525" s="149"/>
      <c r="K1525" s="149"/>
      <c r="L1525" s="149"/>
      <c r="M1525" s="149"/>
    </row>
    <row r="1526" spans="1:13">
      <c r="A1526" s="503">
        <v>45203</v>
      </c>
      <c r="B1526" s="187" t="s">
        <v>10642</v>
      </c>
      <c r="C1526" s="149" t="s">
        <v>8929</v>
      </c>
      <c r="D1526" s="149" t="s">
        <v>7684</v>
      </c>
      <c r="E1526" s="149" t="s">
        <v>10002</v>
      </c>
      <c r="F1526" s="149" t="s">
        <v>10494</v>
      </c>
      <c r="G1526" s="149"/>
      <c r="H1526" s="149"/>
      <c r="I1526" s="149"/>
      <c r="J1526" s="149"/>
      <c r="K1526" s="149"/>
      <c r="L1526" s="149"/>
      <c r="M1526" s="149"/>
    </row>
    <row r="1527" spans="1:13">
      <c r="A1527" s="553">
        <v>45234</v>
      </c>
      <c r="B1527" s="187" t="s">
        <v>6055</v>
      </c>
      <c r="C1527" s="149" t="s">
        <v>10534</v>
      </c>
      <c r="D1527" s="149" t="s">
        <v>7684</v>
      </c>
      <c r="E1527" s="149" t="s">
        <v>10004</v>
      </c>
      <c r="F1527" s="149" t="s">
        <v>10494</v>
      </c>
      <c r="G1527" s="149"/>
      <c r="H1527" s="149"/>
      <c r="I1527" s="149"/>
      <c r="J1527" s="149"/>
      <c r="K1527" s="149"/>
      <c r="L1527" s="149"/>
      <c r="M1527" s="149"/>
    </row>
    <row r="1528" spans="1:13">
      <c r="A1528" s="503">
        <v>45234</v>
      </c>
      <c r="B1528" s="472" t="s">
        <v>6061</v>
      </c>
      <c r="C1528" s="149" t="s">
        <v>10534</v>
      </c>
      <c r="D1528" s="149" t="s">
        <v>7684</v>
      </c>
      <c r="E1528" s="149" t="s">
        <v>10004</v>
      </c>
      <c r="F1528" s="149" t="s">
        <v>10464</v>
      </c>
      <c r="G1528" s="149" t="s">
        <v>10643</v>
      </c>
      <c r="H1528" s="149"/>
      <c r="I1528" s="149"/>
      <c r="J1528" s="149"/>
      <c r="K1528" s="149"/>
      <c r="L1528" s="149"/>
      <c r="M1528" s="149"/>
    </row>
    <row r="1529" spans="1:13">
      <c r="A1529" s="503">
        <v>45234</v>
      </c>
      <c r="B1529" s="187" t="s">
        <v>6057</v>
      </c>
      <c r="C1529" s="149" t="s">
        <v>10534</v>
      </c>
      <c r="D1529" s="149" t="s">
        <v>7684</v>
      </c>
      <c r="E1529" s="149" t="s">
        <v>10007</v>
      </c>
      <c r="F1529" s="149" t="s">
        <v>10494</v>
      </c>
      <c r="G1529" s="149"/>
      <c r="H1529" s="149"/>
      <c r="I1529" s="149"/>
      <c r="J1529" s="149"/>
      <c r="K1529" s="149"/>
      <c r="L1529" s="149"/>
      <c r="M1529" s="149"/>
    </row>
    <row r="1530" spans="1:13">
      <c r="A1530" s="503">
        <v>45264</v>
      </c>
      <c r="B1530" s="187" t="s">
        <v>6059</v>
      </c>
      <c r="C1530" s="149" t="s">
        <v>10534</v>
      </c>
      <c r="D1530" s="149" t="s">
        <v>7684</v>
      </c>
      <c r="E1530" s="149" t="s">
        <v>10004</v>
      </c>
      <c r="F1530" s="149" t="s">
        <v>10494</v>
      </c>
      <c r="G1530" s="149"/>
      <c r="H1530" s="149"/>
      <c r="I1530" s="149"/>
      <c r="J1530" s="149"/>
      <c r="K1530" s="149"/>
      <c r="L1530" s="149"/>
      <c r="M1530" s="149"/>
    </row>
    <row r="1531" spans="1:13">
      <c r="A1531" s="503">
        <v>45264</v>
      </c>
      <c r="B1531" s="472" t="s">
        <v>10644</v>
      </c>
      <c r="C1531" s="149" t="s">
        <v>10534</v>
      </c>
      <c r="D1531" s="149" t="s">
        <v>9933</v>
      </c>
      <c r="E1531" s="149" t="s">
        <v>10011</v>
      </c>
      <c r="F1531" s="461" t="s">
        <v>10645</v>
      </c>
      <c r="G1531" s="149" t="s">
        <v>10579</v>
      </c>
      <c r="H1531" s="149" t="s">
        <v>10646</v>
      </c>
      <c r="I1531" s="149"/>
      <c r="J1531" s="149"/>
      <c r="K1531" s="149"/>
      <c r="L1531" s="149"/>
      <c r="M1531" s="149"/>
    </row>
    <row r="1532" spans="1:13">
      <c r="A1532" s="503" t="s">
        <v>10647</v>
      </c>
      <c r="B1532" s="472" t="s">
        <v>10648</v>
      </c>
      <c r="C1532" s="149" t="s">
        <v>10534</v>
      </c>
      <c r="D1532" s="149" t="s">
        <v>9933</v>
      </c>
      <c r="E1532" s="149" t="s">
        <v>10026</v>
      </c>
      <c r="F1532" s="461" t="s">
        <v>10464</v>
      </c>
      <c r="G1532" s="149" t="s">
        <v>10579</v>
      </c>
      <c r="H1532" s="149"/>
      <c r="I1532" s="149"/>
      <c r="J1532" s="149"/>
      <c r="K1532" s="149"/>
      <c r="L1532" s="149"/>
      <c r="M1532" s="149"/>
    </row>
    <row r="1533" spans="1:13">
      <c r="A1533" s="503" t="s">
        <v>10649</v>
      </c>
      <c r="B1533" s="472" t="s">
        <v>10650</v>
      </c>
      <c r="C1533" s="149" t="s">
        <v>10534</v>
      </c>
      <c r="D1533" s="149" t="s">
        <v>9933</v>
      </c>
      <c r="E1533" s="149" t="s">
        <v>10011</v>
      </c>
      <c r="F1533" s="461" t="s">
        <v>10455</v>
      </c>
      <c r="G1533" s="149" t="s">
        <v>10579</v>
      </c>
      <c r="H1533" s="149"/>
      <c r="I1533" s="149"/>
      <c r="J1533" s="149"/>
      <c r="K1533" s="149"/>
      <c r="L1533" s="149"/>
      <c r="M1533" s="149"/>
    </row>
    <row r="1534" spans="1:13">
      <c r="A1534" s="545" t="s">
        <v>10651</v>
      </c>
      <c r="B1534" s="472" t="s">
        <v>3383</v>
      </c>
      <c r="C1534" s="149" t="s">
        <v>10534</v>
      </c>
      <c r="D1534" s="149" t="s">
        <v>9933</v>
      </c>
      <c r="E1534" s="149" t="s">
        <v>10011</v>
      </c>
      <c r="F1534" s="461" t="s">
        <v>10455</v>
      </c>
      <c r="G1534" s="149" t="s">
        <v>10579</v>
      </c>
      <c r="H1534" s="149"/>
      <c r="I1534" s="149"/>
      <c r="J1534" s="149"/>
      <c r="K1534" s="149"/>
      <c r="L1534" s="149"/>
      <c r="M1534" s="149"/>
    </row>
    <row r="1535" spans="1:13">
      <c r="A1535" s="503" t="s">
        <v>10652</v>
      </c>
      <c r="B1535" s="472" t="s">
        <v>6069</v>
      </c>
      <c r="C1535" s="149" t="s">
        <v>10534</v>
      </c>
      <c r="D1535" s="149" t="s">
        <v>9933</v>
      </c>
      <c r="E1535" s="149" t="s">
        <v>10011</v>
      </c>
      <c r="F1535" s="461" t="s">
        <v>10653</v>
      </c>
      <c r="G1535" s="149" t="s">
        <v>10579</v>
      </c>
      <c r="H1535" s="149" t="s">
        <v>10646</v>
      </c>
      <c r="I1535" s="149"/>
      <c r="J1535" s="149"/>
      <c r="K1535" s="149"/>
      <c r="L1535" s="149"/>
      <c r="M1535" s="149"/>
    </row>
    <row r="1536" spans="1:13">
      <c r="A1536" s="503" t="s">
        <v>10652</v>
      </c>
      <c r="B1536" s="187" t="s">
        <v>10654</v>
      </c>
      <c r="C1536" s="149" t="s">
        <v>10534</v>
      </c>
      <c r="D1536" s="149" t="s">
        <v>7684</v>
      </c>
      <c r="E1536" s="149" t="s">
        <v>9996</v>
      </c>
      <c r="F1536" s="149" t="s">
        <v>10494</v>
      </c>
      <c r="G1536" s="149"/>
      <c r="H1536" s="149"/>
      <c r="I1536" s="149"/>
      <c r="J1536" s="149"/>
      <c r="K1536" s="149"/>
      <c r="L1536" s="149"/>
      <c r="M1536" s="149"/>
    </row>
    <row r="1537" spans="1:13">
      <c r="A1537" s="503" t="s">
        <v>10652</v>
      </c>
      <c r="B1537" s="187" t="s">
        <v>3345</v>
      </c>
      <c r="C1537" s="149" t="s">
        <v>10534</v>
      </c>
      <c r="D1537" s="149" t="s">
        <v>7684</v>
      </c>
      <c r="E1537" s="149" t="s">
        <v>9998</v>
      </c>
      <c r="F1537" s="149" t="s">
        <v>10494</v>
      </c>
      <c r="G1537" s="149"/>
      <c r="H1537" s="149"/>
      <c r="I1537" s="149"/>
      <c r="J1537" s="149"/>
      <c r="K1537" s="149"/>
      <c r="L1537" s="149"/>
      <c r="M1537" s="149"/>
    </row>
    <row r="1538" spans="1:13">
      <c r="A1538" s="503" t="s">
        <v>10655</v>
      </c>
      <c r="B1538" s="187" t="s">
        <v>6067</v>
      </c>
      <c r="C1538" s="149" t="s">
        <v>10534</v>
      </c>
      <c r="D1538" s="149" t="s">
        <v>7684</v>
      </c>
      <c r="E1538" s="149" t="s">
        <v>9998</v>
      </c>
      <c r="F1538" s="149" t="s">
        <v>10494</v>
      </c>
      <c r="G1538" s="149"/>
      <c r="H1538" s="149"/>
      <c r="I1538" s="149"/>
      <c r="J1538" s="149"/>
      <c r="K1538" s="149"/>
      <c r="L1538" s="149"/>
      <c r="M1538" s="149"/>
    </row>
    <row r="1539" spans="1:13">
      <c r="A1539" s="503" t="s">
        <v>10656</v>
      </c>
      <c r="B1539" s="461" t="s">
        <v>10657</v>
      </c>
      <c r="C1539" s="149" t="s">
        <v>10534</v>
      </c>
      <c r="D1539" s="149" t="s">
        <v>9933</v>
      </c>
      <c r="E1539" s="149" t="s">
        <v>10289</v>
      </c>
      <c r="F1539" s="461" t="s">
        <v>10455</v>
      </c>
      <c r="G1539" s="149" t="s">
        <v>10577</v>
      </c>
      <c r="H1539" s="149"/>
      <c r="I1539" s="149"/>
      <c r="J1539" s="149"/>
      <c r="K1539" s="149"/>
      <c r="L1539" s="149"/>
      <c r="M1539" s="149"/>
    </row>
    <row r="1540" spans="1:13">
      <c r="A1540" s="503" t="s">
        <v>10658</v>
      </c>
      <c r="B1540" s="461" t="s">
        <v>10659</v>
      </c>
      <c r="C1540" s="149" t="s">
        <v>10534</v>
      </c>
      <c r="D1540" s="149" t="s">
        <v>10660</v>
      </c>
      <c r="E1540" s="149" t="s">
        <v>10026</v>
      </c>
      <c r="F1540" s="461" t="s">
        <v>10455</v>
      </c>
      <c r="G1540" s="149" t="s">
        <v>10579</v>
      </c>
      <c r="H1540" s="149"/>
      <c r="I1540" s="149"/>
      <c r="J1540" s="149"/>
      <c r="K1540" s="149"/>
      <c r="L1540" s="149"/>
      <c r="M1540" s="149"/>
    </row>
    <row r="1541" spans="1:13">
      <c r="A1541" s="503" t="s">
        <v>10661</v>
      </c>
      <c r="B1541" s="149" t="s">
        <v>3167</v>
      </c>
      <c r="C1541" s="149" t="s">
        <v>10534</v>
      </c>
      <c r="D1541" s="149" t="s">
        <v>7684</v>
      </c>
      <c r="E1541" s="149" t="s">
        <v>10011</v>
      </c>
      <c r="F1541" s="149" t="s">
        <v>10494</v>
      </c>
      <c r="G1541" s="149"/>
      <c r="H1541" s="149"/>
      <c r="I1541" s="149"/>
      <c r="J1541" s="149"/>
      <c r="K1541" s="149"/>
      <c r="L1541" s="149"/>
      <c r="M1541" s="149"/>
    </row>
    <row r="1542" spans="1:13">
      <c r="A1542" s="503" t="s">
        <v>10661</v>
      </c>
      <c r="B1542" s="149" t="s">
        <v>5709</v>
      </c>
      <c r="C1542" s="149" t="s">
        <v>10534</v>
      </c>
      <c r="D1542" s="149" t="s">
        <v>7684</v>
      </c>
      <c r="E1542" s="149" t="s">
        <v>10007</v>
      </c>
      <c r="F1542" s="149" t="s">
        <v>10296</v>
      </c>
      <c r="G1542" s="149"/>
      <c r="H1542" s="149"/>
      <c r="I1542" s="149"/>
      <c r="J1542" s="149"/>
      <c r="K1542" s="149"/>
      <c r="L1542" s="149"/>
      <c r="M1542" s="149"/>
    </row>
    <row r="1543" spans="1:13">
      <c r="A1543" s="503" t="s">
        <v>10661</v>
      </c>
      <c r="B1543" s="197" t="s">
        <v>10662</v>
      </c>
      <c r="C1543" s="149" t="s">
        <v>10534</v>
      </c>
      <c r="D1543" s="149" t="s">
        <v>7684</v>
      </c>
      <c r="E1543" s="149" t="s">
        <v>10007</v>
      </c>
      <c r="F1543" s="149" t="s">
        <v>278</v>
      </c>
      <c r="G1543" s="149"/>
      <c r="H1543" s="149"/>
      <c r="I1543" s="149"/>
      <c r="J1543" s="149"/>
      <c r="K1543" s="149"/>
      <c r="L1543" s="149"/>
      <c r="M1543" s="149"/>
    </row>
    <row r="1544" spans="1:13">
      <c r="A1544" s="503" t="s">
        <v>10661</v>
      </c>
      <c r="B1544" s="108" t="s">
        <v>6071</v>
      </c>
      <c r="C1544" s="149" t="s">
        <v>10534</v>
      </c>
      <c r="D1544" s="149" t="s">
        <v>7684</v>
      </c>
      <c r="E1544" s="149" t="s">
        <v>10007</v>
      </c>
      <c r="F1544" s="149" t="s">
        <v>278</v>
      </c>
      <c r="G1544" s="149"/>
      <c r="H1544" s="149"/>
      <c r="I1544" s="149"/>
      <c r="J1544" s="149"/>
      <c r="K1544" s="149"/>
      <c r="L1544" s="149"/>
      <c r="M1544" s="149"/>
    </row>
    <row r="1545" spans="1:13">
      <c r="A1545" s="503" t="s">
        <v>10661</v>
      </c>
      <c r="B1545" s="149" t="s">
        <v>10663</v>
      </c>
      <c r="C1545" s="149" t="s">
        <v>10534</v>
      </c>
      <c r="D1545" s="149" t="s">
        <v>7684</v>
      </c>
      <c r="E1545" s="149" t="s">
        <v>10007</v>
      </c>
      <c r="F1545" s="149" t="s">
        <v>10494</v>
      </c>
      <c r="G1545" s="149"/>
      <c r="H1545" s="149"/>
      <c r="I1545" s="149"/>
      <c r="J1545" s="149"/>
      <c r="K1545" s="149"/>
      <c r="L1545" s="149"/>
      <c r="M1545" s="149"/>
    </row>
    <row r="1546" spans="1:13">
      <c r="A1546" s="503" t="s">
        <v>10661</v>
      </c>
      <c r="B1546" s="461" t="s">
        <v>10664</v>
      </c>
      <c r="C1546" s="149" t="s">
        <v>10534</v>
      </c>
      <c r="D1546" s="149" t="s">
        <v>7684</v>
      </c>
      <c r="E1546" s="149" t="s">
        <v>10011</v>
      </c>
      <c r="F1546" s="149" t="s">
        <v>10455</v>
      </c>
      <c r="G1546" s="149" t="s">
        <v>10579</v>
      </c>
      <c r="H1546" s="149"/>
      <c r="I1546" s="149"/>
      <c r="J1546" s="149"/>
      <c r="K1546" s="149"/>
      <c r="L1546" s="149"/>
      <c r="M1546" s="149"/>
    </row>
    <row r="1547" spans="1:13">
      <c r="A1547" s="503" t="s">
        <v>10661</v>
      </c>
      <c r="B1547" s="149" t="s">
        <v>10665</v>
      </c>
      <c r="C1547" s="149" t="s">
        <v>10534</v>
      </c>
      <c r="D1547" s="149" t="s">
        <v>7684</v>
      </c>
      <c r="E1547" s="149" t="s">
        <v>9999</v>
      </c>
      <c r="F1547" s="149" t="s">
        <v>10504</v>
      </c>
      <c r="G1547" s="149"/>
      <c r="H1547" s="149"/>
      <c r="I1547" s="149"/>
      <c r="J1547" s="149"/>
      <c r="K1547" s="149"/>
      <c r="L1547" s="149"/>
      <c r="M1547" s="149"/>
    </row>
    <row r="1548" spans="1:13">
      <c r="A1548" s="503" t="s">
        <v>10661</v>
      </c>
      <c r="B1548" s="461" t="s">
        <v>3240</v>
      </c>
      <c r="C1548" s="149" t="s">
        <v>10534</v>
      </c>
      <c r="D1548" s="149" t="s">
        <v>7684</v>
      </c>
      <c r="E1548" s="149" t="s">
        <v>10007</v>
      </c>
      <c r="F1548" s="149" t="s">
        <v>10464</v>
      </c>
      <c r="G1548" s="149" t="s">
        <v>10579</v>
      </c>
      <c r="H1548" s="149"/>
      <c r="I1548" s="149"/>
      <c r="J1548" s="149"/>
      <c r="K1548" s="149"/>
      <c r="L1548" s="149"/>
      <c r="M1548" s="149"/>
    </row>
    <row r="1549" spans="1:13">
      <c r="A1549" s="503" t="s">
        <v>10661</v>
      </c>
      <c r="B1549" s="461" t="s">
        <v>3240</v>
      </c>
      <c r="C1549" s="149" t="s">
        <v>10534</v>
      </c>
      <c r="D1549" s="149" t="s">
        <v>7684</v>
      </c>
      <c r="E1549" s="149" t="s">
        <v>10007</v>
      </c>
      <c r="F1549" s="149" t="s">
        <v>10464</v>
      </c>
      <c r="G1549" s="149" t="s">
        <v>10579</v>
      </c>
      <c r="H1549" s="149"/>
      <c r="I1549" s="149"/>
      <c r="J1549" s="149"/>
      <c r="K1549" s="149"/>
      <c r="L1549" s="149"/>
      <c r="M1549" s="149"/>
    </row>
    <row r="1550" spans="1:13">
      <c r="A1550" s="503" t="s">
        <v>10661</v>
      </c>
      <c r="B1550" s="149" t="s">
        <v>6077</v>
      </c>
      <c r="C1550" s="149" t="s">
        <v>10534</v>
      </c>
      <c r="D1550" s="149" t="s">
        <v>7684</v>
      </c>
      <c r="E1550" s="149" t="s">
        <v>10007</v>
      </c>
      <c r="F1550" s="149"/>
      <c r="G1550" s="149"/>
      <c r="H1550" s="149"/>
      <c r="I1550" s="149"/>
      <c r="J1550" s="149"/>
      <c r="K1550" s="149"/>
      <c r="L1550" s="149"/>
      <c r="M1550" s="149"/>
    </row>
    <row r="1551" spans="1:13">
      <c r="A1551" s="478"/>
      <c r="B1551" s="421" t="s">
        <v>10666</v>
      </c>
      <c r="C1551" s="199"/>
      <c r="D1551" s="149"/>
      <c r="E1551" s="149"/>
      <c r="F1551" s="149"/>
      <c r="G1551" s="149"/>
      <c r="H1551" s="149"/>
      <c r="I1551" s="149"/>
      <c r="J1551" s="149"/>
      <c r="K1551" s="149"/>
      <c r="L1551" s="149"/>
      <c r="M1551" s="149"/>
    </row>
    <row r="1552" spans="1:13">
      <c r="A1552" s="503">
        <v>45048</v>
      </c>
      <c r="B1552" s="461" t="s">
        <v>10667</v>
      </c>
      <c r="C1552" s="149" t="s">
        <v>10534</v>
      </c>
      <c r="D1552" s="149" t="s">
        <v>2715</v>
      </c>
      <c r="E1552" s="149" t="s">
        <v>10289</v>
      </c>
      <c r="F1552" s="461" t="s">
        <v>10530</v>
      </c>
      <c r="G1552" s="149" t="s">
        <v>10668</v>
      </c>
      <c r="H1552" s="149"/>
      <c r="I1552" s="149"/>
      <c r="J1552" s="149"/>
      <c r="K1552" s="149"/>
      <c r="L1552" s="149"/>
      <c r="M1552" s="149"/>
    </row>
    <row r="1553" spans="1:13">
      <c r="A1553" s="503">
        <v>45048</v>
      </c>
      <c r="B1553" s="149" t="s">
        <v>6079</v>
      </c>
      <c r="C1553" s="149" t="s">
        <v>10534</v>
      </c>
      <c r="D1553" s="149" t="s">
        <v>2715</v>
      </c>
      <c r="E1553" s="149" t="s">
        <v>10002</v>
      </c>
      <c r="F1553" s="149" t="s">
        <v>10669</v>
      </c>
      <c r="G1553" s="149"/>
      <c r="H1553" s="149"/>
      <c r="I1553" s="149"/>
      <c r="J1553" s="149"/>
      <c r="K1553" s="149"/>
      <c r="L1553" s="149"/>
      <c r="M1553" s="149"/>
    </row>
    <row r="1554" spans="1:13">
      <c r="A1554" s="503">
        <v>45049</v>
      </c>
      <c r="B1554" s="461" t="s">
        <v>10670</v>
      </c>
      <c r="C1554" s="149" t="s">
        <v>10534</v>
      </c>
      <c r="D1554" s="149" t="s">
        <v>2715</v>
      </c>
      <c r="E1554" s="149" t="s">
        <v>10011</v>
      </c>
      <c r="F1554" s="461" t="s">
        <v>10645</v>
      </c>
      <c r="G1554" s="149" t="s">
        <v>10579</v>
      </c>
      <c r="H1554" s="149" t="s">
        <v>10671</v>
      </c>
      <c r="I1554" s="149"/>
      <c r="J1554" s="149"/>
      <c r="K1554" s="149"/>
      <c r="L1554" s="149"/>
      <c r="M1554" s="149"/>
    </row>
    <row r="1555" spans="1:13">
      <c r="A1555" s="503">
        <v>45050</v>
      </c>
      <c r="B1555" s="461" t="s">
        <v>10672</v>
      </c>
      <c r="C1555" s="149" t="s">
        <v>10534</v>
      </c>
      <c r="D1555" s="149" t="s">
        <v>2715</v>
      </c>
      <c r="E1555" s="149" t="s">
        <v>10289</v>
      </c>
      <c r="F1555" s="461" t="s">
        <v>10530</v>
      </c>
      <c r="G1555" s="149" t="s">
        <v>10579</v>
      </c>
      <c r="H1555" s="149"/>
      <c r="I1555" s="149"/>
      <c r="J1555" s="149"/>
      <c r="K1555" s="149"/>
      <c r="L1555" s="149"/>
      <c r="M1555" s="149"/>
    </row>
    <row r="1556" spans="1:13">
      <c r="A1556" s="503">
        <v>45051</v>
      </c>
      <c r="B1556" s="461" t="s">
        <v>10672</v>
      </c>
      <c r="C1556" s="149" t="s">
        <v>10534</v>
      </c>
      <c r="D1556" s="149" t="s">
        <v>2715</v>
      </c>
      <c r="E1556" s="149" t="s">
        <v>10289</v>
      </c>
      <c r="F1556" s="461" t="s">
        <v>10530</v>
      </c>
      <c r="G1556" s="149" t="s">
        <v>10579</v>
      </c>
      <c r="H1556" s="149"/>
      <c r="I1556" s="149"/>
      <c r="J1556" s="149"/>
      <c r="K1556" s="149"/>
      <c r="L1556" s="149"/>
      <c r="M1556" s="149"/>
    </row>
    <row r="1557" spans="1:13">
      <c r="A1557" s="545">
        <v>45051</v>
      </c>
      <c r="B1557" s="3" t="s">
        <v>10673</v>
      </c>
      <c r="C1557" s="149" t="s">
        <v>10534</v>
      </c>
      <c r="D1557" s="149" t="s">
        <v>2715</v>
      </c>
      <c r="E1557" s="149" t="s">
        <v>9996</v>
      </c>
      <c r="F1557" s="461" t="s">
        <v>10494</v>
      </c>
      <c r="G1557" s="149" t="s">
        <v>10608</v>
      </c>
      <c r="H1557" s="149"/>
      <c r="I1557" s="149"/>
      <c r="J1557" s="149"/>
      <c r="K1557" s="149"/>
      <c r="L1557" s="149"/>
      <c r="M1557" s="149"/>
    </row>
    <row r="1558" spans="1:13">
      <c r="A1558" s="503">
        <v>45052</v>
      </c>
      <c r="B1558" s="461" t="s">
        <v>5797</v>
      </c>
      <c r="C1558" s="149" t="s">
        <v>10534</v>
      </c>
      <c r="D1558" s="149" t="s">
        <v>2715</v>
      </c>
      <c r="E1558" s="149" t="s">
        <v>9996</v>
      </c>
      <c r="F1558" s="461" t="s">
        <v>10461</v>
      </c>
      <c r="G1558" s="149" t="s">
        <v>10579</v>
      </c>
      <c r="H1558" s="149"/>
      <c r="I1558" s="149"/>
      <c r="J1558" s="149"/>
      <c r="K1558" s="149"/>
      <c r="L1558" s="149"/>
      <c r="M1558" s="149"/>
    </row>
    <row r="1559" spans="1:13">
      <c r="A1559" s="503">
        <v>45054</v>
      </c>
      <c r="B1559" s="461" t="s">
        <v>10674</v>
      </c>
      <c r="C1559" s="149" t="s">
        <v>10534</v>
      </c>
      <c r="D1559" s="149" t="s">
        <v>2715</v>
      </c>
      <c r="E1559" s="149" t="s">
        <v>10289</v>
      </c>
      <c r="F1559" s="461" t="s">
        <v>10455</v>
      </c>
      <c r="G1559" s="149" t="s">
        <v>10579</v>
      </c>
      <c r="H1559" s="149"/>
      <c r="I1559" s="149"/>
      <c r="J1559" s="149"/>
      <c r="K1559" s="149"/>
      <c r="L1559" s="149"/>
      <c r="M1559" s="149"/>
    </row>
    <row r="1560" spans="1:13">
      <c r="A1560" s="503">
        <v>45143</v>
      </c>
      <c r="B1560" s="149" t="s">
        <v>2762</v>
      </c>
      <c r="C1560" s="149" t="s">
        <v>10534</v>
      </c>
      <c r="D1560" s="149" t="s">
        <v>2715</v>
      </c>
      <c r="E1560" s="149" t="s">
        <v>10026</v>
      </c>
      <c r="F1560" s="149" t="s">
        <v>10504</v>
      </c>
      <c r="G1560" s="149"/>
      <c r="H1560" s="149"/>
      <c r="I1560" s="149"/>
      <c r="J1560" s="149"/>
      <c r="K1560" s="149"/>
      <c r="L1560" s="149"/>
      <c r="M1560" s="149"/>
    </row>
    <row r="1561" spans="1:13">
      <c r="A1561" s="503">
        <v>45143</v>
      </c>
      <c r="B1561" s="149" t="s">
        <v>10675</v>
      </c>
      <c r="C1561" s="149" t="s">
        <v>10534</v>
      </c>
      <c r="D1561" s="149" t="s">
        <v>2715</v>
      </c>
      <c r="E1561" s="149" t="s">
        <v>10209</v>
      </c>
      <c r="F1561" s="149" t="s">
        <v>10494</v>
      </c>
      <c r="G1561" s="149"/>
      <c r="H1561" s="149"/>
      <c r="I1561" s="149"/>
      <c r="J1561" s="149"/>
      <c r="K1561" s="149"/>
      <c r="L1561" s="149"/>
      <c r="M1561" s="149"/>
    </row>
    <row r="1562" spans="1:13">
      <c r="A1562" s="503">
        <v>45143</v>
      </c>
      <c r="B1562" s="149" t="s">
        <v>2901</v>
      </c>
      <c r="C1562" s="149" t="s">
        <v>10534</v>
      </c>
      <c r="D1562" s="149" t="s">
        <v>2715</v>
      </c>
      <c r="E1562" s="149" t="s">
        <v>10209</v>
      </c>
      <c r="F1562" s="149" t="s">
        <v>10504</v>
      </c>
      <c r="G1562" s="149"/>
      <c r="H1562" s="149"/>
      <c r="I1562" s="149"/>
      <c r="J1562" s="149"/>
      <c r="K1562" s="149"/>
      <c r="L1562" s="149"/>
      <c r="M1562" s="149"/>
    </row>
    <row r="1563" spans="1:13">
      <c r="A1563" s="503">
        <v>45143</v>
      </c>
      <c r="B1563" s="149" t="s">
        <v>6089</v>
      </c>
      <c r="C1563" s="149" t="s">
        <v>10534</v>
      </c>
      <c r="D1563" s="149" t="s">
        <v>2715</v>
      </c>
      <c r="E1563" s="149" t="s">
        <v>10209</v>
      </c>
      <c r="F1563" s="149" t="s">
        <v>10494</v>
      </c>
      <c r="G1563" s="149"/>
      <c r="H1563" s="149"/>
      <c r="I1563" s="149"/>
      <c r="J1563" s="149"/>
      <c r="K1563" s="149"/>
      <c r="L1563" s="149"/>
      <c r="M1563" s="149"/>
    </row>
    <row r="1564" spans="1:13">
      <c r="A1564" s="503">
        <v>45174</v>
      </c>
      <c r="B1564" s="461" t="s">
        <v>10676</v>
      </c>
      <c r="C1564" s="149" t="s">
        <v>10534</v>
      </c>
      <c r="D1564" s="149" t="s">
        <v>2715</v>
      </c>
      <c r="E1564" s="149" t="s">
        <v>10011</v>
      </c>
      <c r="F1564" s="461" t="s">
        <v>10464</v>
      </c>
      <c r="G1564" s="149" t="s">
        <v>10579</v>
      </c>
      <c r="H1564" s="149"/>
      <c r="I1564" s="149"/>
      <c r="J1564" s="149"/>
      <c r="K1564" s="149"/>
      <c r="L1564" s="149"/>
      <c r="M1564" s="149"/>
    </row>
    <row r="1565" spans="1:13">
      <c r="A1565" s="503">
        <v>45174</v>
      </c>
      <c r="B1565" s="149" t="s">
        <v>5825</v>
      </c>
      <c r="C1565" s="149" t="s">
        <v>10534</v>
      </c>
      <c r="D1565" s="149" t="s">
        <v>2715</v>
      </c>
      <c r="E1565" s="149" t="s">
        <v>10011</v>
      </c>
      <c r="F1565" s="149" t="s">
        <v>10296</v>
      </c>
      <c r="G1565" s="149"/>
      <c r="H1565" s="149"/>
      <c r="I1565" s="149"/>
      <c r="J1565" s="149"/>
      <c r="K1565" s="149"/>
      <c r="L1565" s="149"/>
      <c r="M1565" s="149"/>
    </row>
    <row r="1566" spans="1:13">
      <c r="A1566" s="545">
        <v>45174</v>
      </c>
      <c r="B1566" s="149" t="s">
        <v>6095</v>
      </c>
      <c r="C1566" s="149" t="s">
        <v>10534</v>
      </c>
      <c r="D1566" s="149" t="s">
        <v>2715</v>
      </c>
      <c r="E1566" s="149" t="s">
        <v>10004</v>
      </c>
      <c r="F1566" s="149" t="s">
        <v>10494</v>
      </c>
      <c r="G1566" s="149"/>
      <c r="H1566" s="149"/>
      <c r="I1566" s="149"/>
      <c r="J1566" s="149"/>
      <c r="K1566" s="149"/>
      <c r="L1566" s="149"/>
      <c r="M1566" s="149"/>
    </row>
    <row r="1567" spans="1:13">
      <c r="A1567" s="503">
        <v>45204</v>
      </c>
      <c r="B1567" s="461" t="s">
        <v>6093</v>
      </c>
      <c r="C1567" s="149" t="s">
        <v>10534</v>
      </c>
      <c r="D1567" s="149" t="s">
        <v>2715</v>
      </c>
      <c r="E1567" s="149" t="s">
        <v>10011</v>
      </c>
      <c r="F1567" s="461" t="s">
        <v>10464</v>
      </c>
      <c r="G1567" s="149" t="s">
        <v>10579</v>
      </c>
      <c r="H1567" s="149"/>
      <c r="I1567" s="149"/>
      <c r="J1567" s="149"/>
      <c r="K1567" s="149"/>
      <c r="L1567" s="149"/>
      <c r="M1567" s="149"/>
    </row>
    <row r="1568" spans="1:13">
      <c r="A1568" s="545">
        <v>45204</v>
      </c>
      <c r="B1568" s="149" t="s">
        <v>3293</v>
      </c>
      <c r="C1568" s="149" t="s">
        <v>10534</v>
      </c>
      <c r="D1568" s="149" t="s">
        <v>2715</v>
      </c>
      <c r="E1568" s="149" t="s">
        <v>9996</v>
      </c>
      <c r="F1568" s="149" t="s">
        <v>10494</v>
      </c>
      <c r="G1568" s="149"/>
      <c r="H1568" s="149"/>
      <c r="I1568" s="149"/>
      <c r="J1568" s="149"/>
      <c r="K1568" s="149"/>
      <c r="L1568" s="149"/>
      <c r="M1568" s="149"/>
    </row>
    <row r="1569" spans="1:13">
      <c r="A1569" s="503">
        <v>45204</v>
      </c>
      <c r="B1569" s="149" t="s">
        <v>10677</v>
      </c>
      <c r="C1569" s="149" t="s">
        <v>10534</v>
      </c>
      <c r="D1569" s="149" t="s">
        <v>2715</v>
      </c>
      <c r="E1569" s="149" t="s">
        <v>10007</v>
      </c>
      <c r="F1569" s="149" t="s">
        <v>10494</v>
      </c>
      <c r="G1569" s="149"/>
      <c r="H1569" s="149"/>
      <c r="I1569" s="149"/>
      <c r="J1569" s="149"/>
      <c r="K1569" s="149"/>
      <c r="L1569" s="149"/>
      <c r="M1569" s="149"/>
    </row>
    <row r="1570" spans="1:13">
      <c r="A1570" s="503">
        <v>45235</v>
      </c>
      <c r="B1570" s="461" t="s">
        <v>10678</v>
      </c>
      <c r="C1570" s="149" t="s">
        <v>10534</v>
      </c>
      <c r="D1570" s="149" t="s">
        <v>2715</v>
      </c>
      <c r="E1570" s="149" t="s">
        <v>9999</v>
      </c>
      <c r="F1570" s="461" t="s">
        <v>10461</v>
      </c>
      <c r="G1570" s="149" t="s">
        <v>10579</v>
      </c>
      <c r="H1570" s="149"/>
      <c r="I1570" s="149"/>
      <c r="J1570" s="149"/>
      <c r="K1570" s="149"/>
      <c r="L1570" s="149"/>
      <c r="M1570" s="149"/>
    </row>
    <row r="1571" spans="1:13">
      <c r="A1571" s="503">
        <v>45235</v>
      </c>
      <c r="B1571" s="461" t="s">
        <v>10679</v>
      </c>
      <c r="C1571" s="149" t="s">
        <v>10534</v>
      </c>
      <c r="D1571" s="149" t="s">
        <v>2715</v>
      </c>
      <c r="E1571" s="149" t="s">
        <v>10007</v>
      </c>
      <c r="F1571" s="461" t="s">
        <v>10680</v>
      </c>
      <c r="G1571" s="149" t="s">
        <v>10579</v>
      </c>
      <c r="H1571" s="149"/>
      <c r="I1571" s="149"/>
      <c r="J1571" s="149"/>
      <c r="K1571" s="149"/>
      <c r="L1571" s="149"/>
      <c r="M1571" s="149"/>
    </row>
    <row r="1572" spans="1:13">
      <c r="A1572" s="503">
        <v>45235</v>
      </c>
      <c r="B1572" s="149" t="s">
        <v>6101</v>
      </c>
      <c r="C1572" s="149" t="s">
        <v>10534</v>
      </c>
      <c r="D1572" s="149" t="s">
        <v>2715</v>
      </c>
      <c r="E1572" s="149" t="s">
        <v>9999</v>
      </c>
      <c r="F1572" s="149" t="s">
        <v>10669</v>
      </c>
      <c r="G1572" s="149"/>
      <c r="H1572" s="149"/>
      <c r="I1572" s="149"/>
      <c r="J1572" s="149"/>
      <c r="K1572" s="149"/>
      <c r="L1572" s="149"/>
      <c r="M1572" s="149"/>
    </row>
    <row r="1573" spans="1:13">
      <c r="A1573" s="503">
        <v>45235</v>
      </c>
      <c r="B1573" s="149" t="s">
        <v>10681</v>
      </c>
      <c r="C1573" s="149" t="s">
        <v>10534</v>
      </c>
      <c r="D1573" s="149" t="s">
        <v>2715</v>
      </c>
      <c r="E1573" s="149" t="s">
        <v>10007</v>
      </c>
      <c r="F1573" s="149" t="s">
        <v>10494</v>
      </c>
      <c r="G1573" s="149"/>
      <c r="H1573" s="149"/>
      <c r="I1573" s="149"/>
      <c r="J1573" s="149"/>
      <c r="K1573" s="149"/>
      <c r="L1573" s="149"/>
      <c r="M1573" s="149"/>
    </row>
    <row r="1574" spans="1:13">
      <c r="A1574" s="503">
        <v>45265</v>
      </c>
      <c r="B1574" s="461" t="s">
        <v>6105</v>
      </c>
      <c r="C1574" s="149" t="s">
        <v>10534</v>
      </c>
      <c r="D1574" s="149" t="s">
        <v>2715</v>
      </c>
      <c r="E1574" s="149" t="s">
        <v>10007</v>
      </c>
      <c r="F1574" s="461" t="s">
        <v>10455</v>
      </c>
      <c r="G1574" s="149" t="s">
        <v>10579</v>
      </c>
      <c r="H1574" s="149"/>
      <c r="I1574" s="149"/>
      <c r="J1574" s="149"/>
      <c r="K1574" s="149"/>
      <c r="L1574" s="149"/>
      <c r="M1574" s="149"/>
    </row>
    <row r="1575" spans="1:13">
      <c r="A1575" s="503">
        <v>45265</v>
      </c>
      <c r="B1575" s="192" t="s">
        <v>10682</v>
      </c>
      <c r="C1575" s="149" t="s">
        <v>10534</v>
      </c>
      <c r="D1575" s="149" t="s">
        <v>2715</v>
      </c>
      <c r="E1575" s="149" t="s">
        <v>10314</v>
      </c>
      <c r="F1575" s="192" t="s">
        <v>10494</v>
      </c>
      <c r="G1575" s="149"/>
      <c r="H1575" s="149"/>
      <c r="I1575" s="149"/>
      <c r="J1575" s="149"/>
      <c r="K1575" s="149"/>
      <c r="L1575" s="149"/>
      <c r="M1575" s="149"/>
    </row>
    <row r="1576" spans="1:13">
      <c r="A1576" s="503">
        <v>45061</v>
      </c>
      <c r="B1576" s="461" t="s">
        <v>10683</v>
      </c>
      <c r="C1576" s="149" t="s">
        <v>10534</v>
      </c>
      <c r="D1576" s="149" t="s">
        <v>9986</v>
      </c>
      <c r="E1576" s="149" t="s">
        <v>10289</v>
      </c>
      <c r="F1576" s="461" t="s">
        <v>10455</v>
      </c>
      <c r="G1576" s="149" t="s">
        <v>10579</v>
      </c>
      <c r="H1576" s="149"/>
      <c r="I1576" s="149"/>
      <c r="J1576" s="149"/>
      <c r="K1576" s="149"/>
      <c r="L1576" s="149"/>
      <c r="M1576" s="149"/>
    </row>
    <row r="1577" spans="1:13">
      <c r="A1577" s="503">
        <v>45062</v>
      </c>
      <c r="B1577" s="149" t="s">
        <v>10684</v>
      </c>
      <c r="C1577" s="149" t="s">
        <v>10534</v>
      </c>
      <c r="D1577" s="149" t="s">
        <v>9986</v>
      </c>
      <c r="E1577" s="149" t="s">
        <v>10002</v>
      </c>
      <c r="F1577" s="149" t="s">
        <v>10626</v>
      </c>
      <c r="G1577" s="59">
        <v>79.900000000000006</v>
      </c>
      <c r="H1577" s="149"/>
      <c r="I1577" s="149"/>
      <c r="J1577" s="149"/>
      <c r="K1577" s="149"/>
      <c r="L1577" s="149"/>
      <c r="M1577" s="149"/>
    </row>
    <row r="1578" spans="1:13">
      <c r="A1578" s="503">
        <v>45062</v>
      </c>
      <c r="B1578" s="149" t="s">
        <v>3153</v>
      </c>
      <c r="C1578" s="149" t="s">
        <v>10534</v>
      </c>
      <c r="D1578" s="149" t="s">
        <v>9986</v>
      </c>
      <c r="E1578" s="149" t="s">
        <v>10002</v>
      </c>
      <c r="F1578" s="149" t="s">
        <v>10685</v>
      </c>
      <c r="G1578" s="59">
        <v>99.9</v>
      </c>
      <c r="H1578" s="149"/>
      <c r="I1578" s="149"/>
      <c r="J1578" s="149"/>
      <c r="K1578" s="149"/>
      <c r="L1578" s="149"/>
      <c r="M1578" s="149"/>
    </row>
    <row r="1579" spans="1:13">
      <c r="A1579" s="503">
        <v>45063</v>
      </c>
      <c r="B1579" s="461" t="s">
        <v>10686</v>
      </c>
      <c r="C1579" s="149" t="s">
        <v>10534</v>
      </c>
      <c r="D1579" s="149" t="s">
        <v>9986</v>
      </c>
      <c r="E1579" s="149" t="s">
        <v>10011</v>
      </c>
      <c r="F1579" s="461" t="s">
        <v>10455</v>
      </c>
      <c r="G1579" s="149" t="s">
        <v>10579</v>
      </c>
      <c r="H1579" s="149"/>
      <c r="I1579" s="149"/>
      <c r="J1579" s="149"/>
      <c r="K1579" s="149"/>
      <c r="L1579" s="149"/>
      <c r="M1579" s="149"/>
    </row>
    <row r="1580" spans="1:13">
      <c r="A1580" s="559">
        <v>45062</v>
      </c>
      <c r="B1580" s="461" t="s">
        <v>3391</v>
      </c>
      <c r="C1580" s="192" t="s">
        <v>10534</v>
      </c>
      <c r="D1580" s="192" t="s">
        <v>9986</v>
      </c>
      <c r="E1580" s="192" t="s">
        <v>10002</v>
      </c>
      <c r="F1580" s="461" t="s">
        <v>10394</v>
      </c>
      <c r="G1580" s="527">
        <v>79.900000000000006</v>
      </c>
      <c r="H1580" s="149"/>
      <c r="I1580" s="149"/>
      <c r="J1580" s="149"/>
      <c r="K1580" s="149"/>
      <c r="L1580" s="149"/>
      <c r="M1580" s="149"/>
    </row>
    <row r="1581" spans="1:13">
      <c r="A1581" s="560" t="s">
        <v>10687</v>
      </c>
      <c r="B1581" s="461" t="s">
        <v>10688</v>
      </c>
      <c r="C1581" s="149" t="s">
        <v>10534</v>
      </c>
      <c r="D1581" s="149" t="s">
        <v>9986</v>
      </c>
      <c r="E1581" s="149" t="s">
        <v>10007</v>
      </c>
      <c r="F1581" s="461" t="s">
        <v>10455</v>
      </c>
      <c r="G1581" s="149" t="s">
        <v>10579</v>
      </c>
      <c r="H1581" s="149"/>
      <c r="I1581" s="149"/>
      <c r="J1581" s="149"/>
      <c r="K1581" s="149"/>
      <c r="L1581" s="149"/>
      <c r="M1581" s="149"/>
    </row>
    <row r="1582" spans="1:13">
      <c r="A1582" s="559">
        <v>45064</v>
      </c>
      <c r="B1582" s="461" t="s">
        <v>10689</v>
      </c>
      <c r="C1582" s="149" t="s">
        <v>10534</v>
      </c>
      <c r="D1582" s="149" t="s">
        <v>9986</v>
      </c>
      <c r="E1582" s="149" t="s">
        <v>10007</v>
      </c>
      <c r="F1582" s="461" t="s">
        <v>10690</v>
      </c>
      <c r="G1582" s="528">
        <v>89.9</v>
      </c>
      <c r="H1582" s="149"/>
      <c r="I1582" s="149"/>
      <c r="J1582" s="149"/>
      <c r="K1582" s="149"/>
      <c r="L1582" s="149"/>
      <c r="M1582" s="149"/>
    </row>
    <row r="1583" spans="1:13">
      <c r="A1583" s="503" t="s">
        <v>10691</v>
      </c>
      <c r="B1583" s="461" t="s">
        <v>10692</v>
      </c>
      <c r="C1583" s="149" t="s">
        <v>10693</v>
      </c>
      <c r="D1583" s="149" t="s">
        <v>9986</v>
      </c>
      <c r="E1583" s="149" t="s">
        <v>10314</v>
      </c>
      <c r="F1583" s="461" t="s">
        <v>10461</v>
      </c>
      <c r="G1583" s="149" t="s">
        <v>10608</v>
      </c>
      <c r="H1583" s="149" t="s">
        <v>10694</v>
      </c>
      <c r="I1583" s="149"/>
      <c r="J1583" s="149"/>
      <c r="K1583" s="149"/>
      <c r="L1583" s="149"/>
      <c r="M1583" s="149"/>
    </row>
    <row r="1584" spans="1:13">
      <c r="A1584" s="503">
        <v>45065</v>
      </c>
      <c r="B1584" s="149" t="s">
        <v>6115</v>
      </c>
      <c r="C1584" s="149" t="s">
        <v>10534</v>
      </c>
      <c r="D1584" s="149" t="s">
        <v>9986</v>
      </c>
      <c r="E1584" s="149" t="s">
        <v>10289</v>
      </c>
      <c r="F1584" s="149" t="s">
        <v>10695</v>
      </c>
      <c r="G1584" s="59">
        <v>99.9</v>
      </c>
      <c r="H1584" s="149"/>
      <c r="I1584" s="149"/>
      <c r="J1584" s="149"/>
      <c r="K1584" s="149"/>
      <c r="L1584" s="149"/>
      <c r="M1584" s="149"/>
    </row>
    <row r="1585" spans="1:13">
      <c r="A1585" s="503" t="s">
        <v>10696</v>
      </c>
      <c r="B1585" s="461" t="s">
        <v>10697</v>
      </c>
      <c r="C1585" s="149" t="s">
        <v>10534</v>
      </c>
      <c r="D1585" s="149" t="s">
        <v>9986</v>
      </c>
      <c r="E1585" s="149" t="s">
        <v>10289</v>
      </c>
      <c r="F1585" s="461" t="s">
        <v>10455</v>
      </c>
      <c r="G1585" s="149" t="s">
        <v>10579</v>
      </c>
      <c r="H1585" s="149"/>
      <c r="I1585" s="149"/>
      <c r="J1585" s="149"/>
      <c r="K1585" s="149"/>
      <c r="L1585" s="149"/>
      <c r="M1585" s="149"/>
    </row>
    <row r="1586" spans="1:13">
      <c r="A1586" s="503" t="s">
        <v>10698</v>
      </c>
      <c r="B1586" s="461" t="s">
        <v>10699</v>
      </c>
      <c r="C1586" s="149" t="s">
        <v>10534</v>
      </c>
      <c r="D1586" s="149" t="s">
        <v>9986</v>
      </c>
      <c r="E1586" s="149" t="s">
        <v>10026</v>
      </c>
      <c r="F1586" s="461" t="s">
        <v>10700</v>
      </c>
      <c r="G1586" s="149" t="s">
        <v>10640</v>
      </c>
      <c r="H1586" s="149"/>
      <c r="I1586" s="149"/>
      <c r="J1586" s="149"/>
      <c r="K1586" s="149"/>
      <c r="L1586" s="149"/>
      <c r="M1586" s="149"/>
    </row>
    <row r="1587" spans="1:13">
      <c r="A1587" s="503" t="s">
        <v>10698</v>
      </c>
      <c r="B1587" s="461" t="s">
        <v>10701</v>
      </c>
      <c r="C1587" s="149" t="s">
        <v>10534</v>
      </c>
      <c r="D1587" s="149" t="s">
        <v>9986</v>
      </c>
      <c r="E1587" s="149" t="s">
        <v>10209</v>
      </c>
      <c r="F1587" s="149" t="s">
        <v>10645</v>
      </c>
      <c r="G1587" s="149" t="s">
        <v>10579</v>
      </c>
      <c r="H1587" s="149"/>
      <c r="I1587" s="149"/>
      <c r="J1587" s="149"/>
      <c r="K1587" s="149"/>
      <c r="L1587" s="149"/>
      <c r="M1587" s="149"/>
    </row>
    <row r="1588" spans="1:13">
      <c r="A1588" s="503" t="s">
        <v>10698</v>
      </c>
      <c r="B1588" s="149" t="s">
        <v>3470</v>
      </c>
      <c r="C1588" s="149" t="s">
        <v>10534</v>
      </c>
      <c r="D1588" s="149" t="s">
        <v>2715</v>
      </c>
      <c r="E1588" s="149" t="s">
        <v>10209</v>
      </c>
      <c r="F1588" s="149" t="s">
        <v>10504</v>
      </c>
      <c r="G1588" s="149"/>
      <c r="H1588" s="149"/>
      <c r="I1588" s="149"/>
      <c r="J1588" s="149"/>
      <c r="K1588" s="149"/>
      <c r="L1588" s="149"/>
      <c r="M1588" s="149"/>
    </row>
    <row r="1589" spans="1:13">
      <c r="A1589" s="503" t="s">
        <v>10702</v>
      </c>
      <c r="B1589" s="461" t="s">
        <v>10703</v>
      </c>
      <c r="C1589" s="149" t="s">
        <v>10534</v>
      </c>
      <c r="D1589" s="149" t="s">
        <v>2715</v>
      </c>
      <c r="E1589" s="149" t="s">
        <v>10011</v>
      </c>
      <c r="F1589" s="461" t="s">
        <v>10464</v>
      </c>
      <c r="G1589" s="149" t="s">
        <v>10579</v>
      </c>
      <c r="H1589" s="149"/>
      <c r="I1589" s="149"/>
      <c r="J1589" s="149"/>
      <c r="K1589" s="149"/>
      <c r="L1589" s="149"/>
      <c r="M1589" s="149"/>
    </row>
    <row r="1590" spans="1:13">
      <c r="A1590" s="503" t="s">
        <v>10702</v>
      </c>
      <c r="B1590" s="149" t="s">
        <v>3650</v>
      </c>
      <c r="C1590" s="149" t="s">
        <v>10534</v>
      </c>
      <c r="D1590" s="149" t="s">
        <v>2715</v>
      </c>
      <c r="E1590" s="149" t="s">
        <v>10007</v>
      </c>
      <c r="F1590" s="149" t="s">
        <v>10504</v>
      </c>
      <c r="G1590" s="149"/>
      <c r="H1590" s="149"/>
      <c r="I1590" s="149"/>
      <c r="J1590" s="149"/>
      <c r="K1590" s="149"/>
      <c r="L1590" s="149"/>
      <c r="M1590" s="149"/>
    </row>
    <row r="1591" spans="1:13">
      <c r="A1591" s="503" t="s">
        <v>10704</v>
      </c>
      <c r="B1591" s="461" t="s">
        <v>10705</v>
      </c>
      <c r="C1591" s="149" t="s">
        <v>10534</v>
      </c>
      <c r="D1591" s="149" t="s">
        <v>2715</v>
      </c>
      <c r="E1591" s="149" t="s">
        <v>10007</v>
      </c>
      <c r="F1591" s="461" t="s">
        <v>10455</v>
      </c>
      <c r="G1591" s="149" t="s">
        <v>10706</v>
      </c>
      <c r="H1591" s="149"/>
      <c r="I1591" s="149"/>
      <c r="J1591" s="149"/>
      <c r="K1591" s="149"/>
      <c r="L1591" s="149"/>
      <c r="M1591" s="149"/>
    </row>
    <row r="1592" spans="1:13">
      <c r="A1592" s="503" t="s">
        <v>10707</v>
      </c>
      <c r="B1592" s="461" t="s">
        <v>10708</v>
      </c>
      <c r="C1592" s="149" t="s">
        <v>10534</v>
      </c>
      <c r="D1592" s="149" t="s">
        <v>2715</v>
      </c>
      <c r="E1592" s="149" t="s">
        <v>9996</v>
      </c>
      <c r="F1592" s="461" t="s">
        <v>10464</v>
      </c>
      <c r="G1592" s="149" t="s">
        <v>10706</v>
      </c>
      <c r="H1592" s="149"/>
      <c r="I1592" s="149"/>
      <c r="J1592" s="149"/>
      <c r="K1592" s="149"/>
      <c r="L1592" s="149"/>
      <c r="M1592" s="149"/>
    </row>
    <row r="1593" spans="1:13">
      <c r="A1593" s="503" t="s">
        <v>10707</v>
      </c>
      <c r="B1593" s="461" t="s">
        <v>10709</v>
      </c>
      <c r="C1593" s="149" t="s">
        <v>10534</v>
      </c>
      <c r="D1593" s="149" t="s">
        <v>2715</v>
      </c>
      <c r="E1593" s="149" t="s">
        <v>10289</v>
      </c>
      <c r="F1593" s="149" t="s">
        <v>10494</v>
      </c>
      <c r="G1593" s="149" t="s">
        <v>10579</v>
      </c>
      <c r="H1593" s="149"/>
      <c r="I1593" s="149"/>
      <c r="J1593" s="149"/>
      <c r="K1593" s="149"/>
      <c r="L1593" s="149"/>
      <c r="M1593" s="149"/>
    </row>
    <row r="1594" spans="1:13">
      <c r="A1594" s="503" t="s">
        <v>10710</v>
      </c>
      <c r="B1594" s="149" t="s">
        <v>3817</v>
      </c>
      <c r="C1594" s="149" t="s">
        <v>10534</v>
      </c>
      <c r="D1594" s="149" t="s">
        <v>2715</v>
      </c>
      <c r="E1594" s="149" t="s">
        <v>9998</v>
      </c>
      <c r="F1594" s="149" t="s">
        <v>10504</v>
      </c>
      <c r="G1594" s="149"/>
      <c r="H1594" s="149"/>
      <c r="I1594" s="149"/>
      <c r="J1594" s="149"/>
      <c r="K1594" s="149"/>
      <c r="L1594" s="149"/>
      <c r="M1594" s="149"/>
    </row>
    <row r="1595" spans="1:13">
      <c r="A1595" s="503" t="s">
        <v>10710</v>
      </c>
      <c r="B1595" s="461" t="s">
        <v>10711</v>
      </c>
      <c r="C1595" s="149" t="s">
        <v>10534</v>
      </c>
      <c r="D1595" s="149" t="s">
        <v>2715</v>
      </c>
      <c r="E1595" s="149" t="s">
        <v>10209</v>
      </c>
      <c r="F1595" s="149" t="s">
        <v>10455</v>
      </c>
      <c r="G1595" s="149" t="s">
        <v>10577</v>
      </c>
      <c r="H1595" s="149"/>
      <c r="I1595" s="149"/>
      <c r="J1595" s="149"/>
      <c r="K1595" s="149"/>
      <c r="L1595" s="149"/>
      <c r="M1595" s="149"/>
    </row>
    <row r="1596" spans="1:13">
      <c r="A1596" s="503" t="s">
        <v>10710</v>
      </c>
      <c r="B1596" s="461" t="s">
        <v>10712</v>
      </c>
      <c r="C1596" s="149" t="s">
        <v>10534</v>
      </c>
      <c r="D1596" s="149" t="s">
        <v>2715</v>
      </c>
      <c r="E1596" s="149" t="s">
        <v>10026</v>
      </c>
      <c r="F1596" s="149" t="s">
        <v>10455</v>
      </c>
      <c r="G1596" s="149" t="s">
        <v>10577</v>
      </c>
      <c r="H1596" s="149"/>
      <c r="I1596" s="149"/>
      <c r="J1596" s="149"/>
      <c r="K1596" s="149"/>
      <c r="L1596" s="149"/>
      <c r="M1596" s="149"/>
    </row>
    <row r="1597" spans="1:13">
      <c r="A1597" s="503" t="s">
        <v>10710</v>
      </c>
      <c r="B1597" s="461" t="s">
        <v>10713</v>
      </c>
      <c r="C1597" s="149" t="s">
        <v>10534</v>
      </c>
      <c r="D1597" s="149" t="s">
        <v>2715</v>
      </c>
      <c r="E1597" s="149" t="s">
        <v>10026</v>
      </c>
      <c r="F1597" s="149" t="s">
        <v>10461</v>
      </c>
      <c r="G1597" s="149" t="s">
        <v>10610</v>
      </c>
      <c r="H1597" s="149"/>
      <c r="I1597" s="149"/>
      <c r="J1597" s="149"/>
      <c r="K1597" s="149"/>
      <c r="L1597" s="149"/>
      <c r="M1597" s="149"/>
    </row>
    <row r="1598" spans="1:13">
      <c r="A1598" s="503" t="s">
        <v>10710</v>
      </c>
      <c r="B1598" s="461" t="s">
        <v>10714</v>
      </c>
      <c r="C1598" s="149" t="s">
        <v>10534</v>
      </c>
      <c r="D1598" s="149" t="s">
        <v>2715</v>
      </c>
      <c r="E1598" s="149" t="s">
        <v>10026</v>
      </c>
      <c r="F1598" s="149" t="s">
        <v>10461</v>
      </c>
      <c r="G1598" s="149" t="s">
        <v>10610</v>
      </c>
      <c r="H1598" s="149"/>
      <c r="I1598" s="149"/>
      <c r="J1598" s="149"/>
      <c r="K1598" s="149"/>
      <c r="L1598" s="149"/>
      <c r="M1598" s="149"/>
    </row>
    <row r="1599" spans="1:13">
      <c r="A1599" s="503" t="s">
        <v>10715</v>
      </c>
      <c r="B1599" s="149" t="s">
        <v>6132</v>
      </c>
      <c r="C1599" s="149" t="s">
        <v>10534</v>
      </c>
      <c r="D1599" s="149" t="s">
        <v>2715</v>
      </c>
      <c r="E1599" s="149" t="s">
        <v>10011</v>
      </c>
      <c r="F1599" s="149" t="s">
        <v>10494</v>
      </c>
      <c r="G1599" s="149"/>
      <c r="H1599" s="149"/>
      <c r="I1599" s="149"/>
      <c r="J1599" s="149"/>
      <c r="K1599" s="149"/>
      <c r="L1599" s="149"/>
      <c r="M1599" s="149"/>
    </row>
    <row r="1600" spans="1:13">
      <c r="A1600" s="503" t="s">
        <v>10716</v>
      </c>
      <c r="B1600" s="149" t="s">
        <v>10717</v>
      </c>
      <c r="C1600" s="149" t="s">
        <v>10534</v>
      </c>
      <c r="D1600" s="149" t="s">
        <v>2715</v>
      </c>
      <c r="E1600" s="149" t="s">
        <v>10007</v>
      </c>
      <c r="F1600" s="149" t="s">
        <v>10494</v>
      </c>
      <c r="G1600" s="149"/>
      <c r="H1600" s="149"/>
      <c r="I1600" s="149"/>
      <c r="J1600" s="149"/>
      <c r="K1600" s="149"/>
      <c r="L1600" s="149"/>
      <c r="M1600" s="149"/>
    </row>
    <row r="1601" spans="1:13">
      <c r="A1601" s="503" t="s">
        <v>10716</v>
      </c>
      <c r="B1601" s="149" t="s">
        <v>6134</v>
      </c>
      <c r="C1601" s="149" t="s">
        <v>10534</v>
      </c>
      <c r="D1601" s="149" t="s">
        <v>2715</v>
      </c>
      <c r="E1601" s="149" t="s">
        <v>10007</v>
      </c>
      <c r="F1601" s="149" t="s">
        <v>10494</v>
      </c>
      <c r="G1601" s="149"/>
      <c r="H1601" s="149"/>
      <c r="I1601" s="149"/>
      <c r="J1601" s="149"/>
      <c r="K1601" s="149"/>
      <c r="L1601" s="149"/>
      <c r="M1601" s="149"/>
    </row>
    <row r="1602" spans="1:13">
      <c r="A1602" s="503" t="s">
        <v>10716</v>
      </c>
      <c r="B1602" s="461" t="s">
        <v>10718</v>
      </c>
      <c r="C1602" s="149" t="s">
        <v>10534</v>
      </c>
      <c r="D1602" s="149"/>
      <c r="E1602" s="149"/>
      <c r="F1602" s="149" t="s">
        <v>10464</v>
      </c>
      <c r="G1602" s="149" t="s">
        <v>10610</v>
      </c>
      <c r="H1602" s="149"/>
      <c r="I1602" s="149"/>
      <c r="J1602" s="149"/>
      <c r="K1602" s="149"/>
      <c r="L1602" s="149"/>
      <c r="M1602" s="149"/>
    </row>
    <row r="1603" spans="1:13">
      <c r="A1603" s="478"/>
      <c r="B1603" s="421" t="s">
        <v>10719</v>
      </c>
      <c r="C1603" s="199"/>
      <c r="D1603" s="149"/>
      <c r="E1603" s="149"/>
      <c r="F1603" s="149"/>
      <c r="G1603" s="149"/>
      <c r="H1603" s="149"/>
      <c r="I1603" s="149"/>
      <c r="J1603" s="149"/>
      <c r="K1603" s="149"/>
      <c r="L1603" s="149"/>
      <c r="M1603" s="149"/>
    </row>
    <row r="1604" spans="1:13">
      <c r="A1604" s="503">
        <v>44932</v>
      </c>
      <c r="B1604" s="461" t="s">
        <v>10720</v>
      </c>
      <c r="C1604" s="149" t="s">
        <v>10534</v>
      </c>
      <c r="D1604" s="149" t="s">
        <v>2738</v>
      </c>
      <c r="E1604" s="149" t="s">
        <v>10314</v>
      </c>
      <c r="F1604" s="149" t="s">
        <v>10464</v>
      </c>
      <c r="G1604" s="149" t="s">
        <v>10610</v>
      </c>
      <c r="H1604" s="149"/>
      <c r="I1604" s="149"/>
      <c r="J1604" s="149"/>
      <c r="K1604" s="149"/>
      <c r="L1604" s="149"/>
      <c r="M1604" s="149"/>
    </row>
    <row r="1605" spans="1:13">
      <c r="A1605" s="503">
        <v>44963</v>
      </c>
      <c r="B1605" s="149" t="s">
        <v>3236</v>
      </c>
      <c r="C1605" s="149" t="s">
        <v>10534</v>
      </c>
      <c r="D1605" s="149" t="s">
        <v>2738</v>
      </c>
      <c r="E1605" s="149" t="s">
        <v>10314</v>
      </c>
      <c r="F1605" s="149" t="s">
        <v>10494</v>
      </c>
      <c r="G1605" s="149"/>
      <c r="H1605" s="149"/>
      <c r="I1605" s="149"/>
      <c r="J1605" s="149"/>
      <c r="K1605" s="149"/>
      <c r="L1605" s="149"/>
      <c r="M1605" s="149"/>
    </row>
    <row r="1606" spans="1:13">
      <c r="A1606" s="503">
        <v>45052</v>
      </c>
      <c r="B1606" s="149" t="s">
        <v>3177</v>
      </c>
      <c r="C1606" s="149" t="s">
        <v>10534</v>
      </c>
      <c r="D1606" s="149" t="s">
        <v>2738</v>
      </c>
      <c r="E1606" s="149" t="s">
        <v>10209</v>
      </c>
      <c r="F1606" s="149" t="s">
        <v>10494</v>
      </c>
      <c r="G1606" s="149"/>
      <c r="H1606" s="149"/>
      <c r="I1606" s="149"/>
      <c r="J1606" s="149"/>
      <c r="K1606" s="149"/>
      <c r="L1606" s="149"/>
      <c r="M1606" s="149"/>
    </row>
    <row r="1607" spans="1:13">
      <c r="A1607" s="503">
        <v>45083</v>
      </c>
      <c r="B1607" s="149" t="s">
        <v>6142</v>
      </c>
      <c r="C1607" s="149" t="s">
        <v>10534</v>
      </c>
      <c r="D1607" s="149" t="s">
        <v>2738</v>
      </c>
      <c r="E1607" s="149" t="s">
        <v>10011</v>
      </c>
      <c r="F1607" s="149" t="s">
        <v>10494</v>
      </c>
      <c r="G1607" s="149"/>
      <c r="H1607" s="149"/>
      <c r="I1607" s="149"/>
      <c r="J1607" s="149"/>
      <c r="K1607" s="149"/>
      <c r="L1607" s="149"/>
      <c r="M1607" s="149"/>
    </row>
    <row r="1608" spans="1:13">
      <c r="A1608" s="503">
        <v>45083</v>
      </c>
      <c r="B1608" s="149" t="s">
        <v>6144</v>
      </c>
      <c r="C1608" s="149" t="s">
        <v>10534</v>
      </c>
      <c r="D1608" s="149" t="s">
        <v>2738</v>
      </c>
      <c r="E1608" s="149" t="s">
        <v>10011</v>
      </c>
      <c r="F1608" s="149" t="s">
        <v>10494</v>
      </c>
      <c r="G1608" s="149"/>
      <c r="H1608" s="149"/>
      <c r="I1608" s="149"/>
      <c r="J1608" s="149"/>
      <c r="K1608" s="149"/>
      <c r="L1608" s="149"/>
      <c r="M1608" s="149"/>
    </row>
    <row r="1609" spans="1:13">
      <c r="A1609" s="503">
        <v>45083</v>
      </c>
      <c r="B1609" s="461" t="s">
        <v>10721</v>
      </c>
      <c r="C1609" s="149" t="s">
        <v>10534</v>
      </c>
      <c r="D1609" s="149" t="s">
        <v>10003</v>
      </c>
      <c r="E1609" s="149" t="s">
        <v>10026</v>
      </c>
      <c r="F1609" s="461" t="s">
        <v>10530</v>
      </c>
      <c r="G1609" s="149" t="s">
        <v>10577</v>
      </c>
      <c r="H1609" s="149"/>
      <c r="I1609" s="149"/>
      <c r="J1609" s="149"/>
      <c r="K1609" s="149"/>
      <c r="L1609" s="149"/>
      <c r="M1609" s="149"/>
    </row>
    <row r="1610" spans="1:13">
      <c r="A1610" s="550">
        <v>45083</v>
      </c>
      <c r="B1610" s="561" t="s">
        <v>10722</v>
      </c>
      <c r="C1610" s="149" t="s">
        <v>10534</v>
      </c>
      <c r="D1610" s="149" t="s">
        <v>10003</v>
      </c>
      <c r="E1610" s="149" t="s">
        <v>10209</v>
      </c>
      <c r="F1610" s="461" t="s">
        <v>10530</v>
      </c>
      <c r="G1610" s="149" t="s">
        <v>10577</v>
      </c>
      <c r="H1610" s="149"/>
      <c r="I1610" s="149"/>
      <c r="J1610" s="149"/>
      <c r="K1610" s="149"/>
      <c r="L1610" s="149"/>
      <c r="M1610" s="149"/>
    </row>
    <row r="1611" spans="1:13">
      <c r="A1611" s="503">
        <v>45113</v>
      </c>
      <c r="B1611" s="461" t="s">
        <v>10723</v>
      </c>
      <c r="C1611" s="149" t="s">
        <v>10534</v>
      </c>
      <c r="D1611" s="149" t="s">
        <v>10003</v>
      </c>
      <c r="E1611" s="149" t="s">
        <v>10209</v>
      </c>
      <c r="F1611" s="461" t="s">
        <v>10724</v>
      </c>
      <c r="G1611" s="149" t="s">
        <v>10640</v>
      </c>
      <c r="H1611" s="149"/>
      <c r="I1611" s="149"/>
      <c r="J1611" s="149"/>
      <c r="K1611" s="149"/>
      <c r="L1611" s="149"/>
      <c r="M1611" s="149"/>
    </row>
    <row r="1612" spans="1:13">
      <c r="A1612" s="503">
        <v>45266</v>
      </c>
      <c r="B1612" s="461" t="s">
        <v>10725</v>
      </c>
      <c r="C1612" s="149" t="s">
        <v>10534</v>
      </c>
      <c r="D1612" s="149" t="s">
        <v>10003</v>
      </c>
      <c r="E1612" s="149" t="s">
        <v>10289</v>
      </c>
      <c r="F1612" s="461" t="s">
        <v>10394</v>
      </c>
      <c r="G1612" s="149" t="s">
        <v>10608</v>
      </c>
      <c r="H1612" s="149"/>
      <c r="I1612" s="149"/>
      <c r="J1612" s="149"/>
      <c r="K1612" s="149"/>
      <c r="L1612" s="149"/>
      <c r="M1612" s="149"/>
    </row>
    <row r="1613" spans="1:13">
      <c r="A1613" s="503">
        <v>45266</v>
      </c>
      <c r="B1613" s="283" t="s">
        <v>10726</v>
      </c>
      <c r="C1613" s="149" t="s">
        <v>10534</v>
      </c>
      <c r="D1613" s="149" t="s">
        <v>2738</v>
      </c>
      <c r="E1613" s="149" t="s">
        <v>10209</v>
      </c>
      <c r="F1613" s="149" t="s">
        <v>10296</v>
      </c>
      <c r="G1613" s="149"/>
      <c r="H1613" s="149"/>
      <c r="I1613" s="149"/>
      <c r="J1613" s="149"/>
      <c r="K1613" s="149"/>
      <c r="L1613" s="149"/>
      <c r="M1613" s="149"/>
    </row>
    <row r="1614" spans="1:13">
      <c r="A1614" s="503">
        <v>45266</v>
      </c>
      <c r="B1614" s="149" t="s">
        <v>2346</v>
      </c>
      <c r="C1614" s="149" t="s">
        <v>10534</v>
      </c>
      <c r="D1614" s="149" t="s">
        <v>2738</v>
      </c>
      <c r="E1614" s="149" t="s">
        <v>10026</v>
      </c>
      <c r="F1614" s="149" t="s">
        <v>10494</v>
      </c>
      <c r="G1614" s="149"/>
      <c r="H1614" s="149"/>
      <c r="I1614" s="149"/>
      <c r="J1614" s="149"/>
      <c r="K1614" s="149"/>
      <c r="L1614" s="149"/>
      <c r="M1614" s="149"/>
    </row>
    <row r="1615" spans="1:13">
      <c r="A1615" s="503">
        <v>45266</v>
      </c>
      <c r="B1615" s="149" t="s">
        <v>10727</v>
      </c>
      <c r="C1615" s="149" t="s">
        <v>10534</v>
      </c>
      <c r="D1615" s="149" t="s">
        <v>2738</v>
      </c>
      <c r="E1615" s="149" t="s">
        <v>10026</v>
      </c>
      <c r="F1615" s="149" t="s">
        <v>10494</v>
      </c>
      <c r="G1615" s="149"/>
      <c r="H1615" s="149"/>
      <c r="I1615" s="149"/>
      <c r="J1615" s="149"/>
      <c r="K1615" s="149"/>
      <c r="L1615" s="149"/>
      <c r="M1615" s="149"/>
    </row>
    <row r="1616" spans="1:13">
      <c r="A1616" s="503">
        <v>45266</v>
      </c>
      <c r="B1616" s="149" t="s">
        <v>10728</v>
      </c>
      <c r="C1616" s="149" t="s">
        <v>10534</v>
      </c>
      <c r="D1616" s="149" t="s">
        <v>2738</v>
      </c>
      <c r="E1616" s="149" t="s">
        <v>10026</v>
      </c>
      <c r="F1616" s="149" t="s">
        <v>10729</v>
      </c>
      <c r="G1616" s="149"/>
      <c r="H1616" s="149"/>
      <c r="I1616" s="149"/>
      <c r="J1616" s="149"/>
      <c r="K1616" s="149"/>
      <c r="L1616" s="149"/>
      <c r="M1616" s="149"/>
    </row>
    <row r="1617" spans="1:13">
      <c r="A1617" s="503">
        <v>45266</v>
      </c>
      <c r="B1617" s="461" t="s">
        <v>10730</v>
      </c>
      <c r="C1617" s="149" t="s">
        <v>10534</v>
      </c>
      <c r="D1617" s="149" t="s">
        <v>2738</v>
      </c>
      <c r="E1617" s="149" t="s">
        <v>10209</v>
      </c>
      <c r="F1617" s="461" t="s">
        <v>10455</v>
      </c>
      <c r="G1617" s="149" t="s">
        <v>10577</v>
      </c>
      <c r="H1617" s="149"/>
      <c r="I1617" s="149"/>
      <c r="J1617" s="149"/>
      <c r="K1617" s="149"/>
      <c r="L1617" s="149"/>
      <c r="M1617" s="149"/>
    </row>
    <row r="1618" spans="1:13">
      <c r="A1618" s="503" t="s">
        <v>10731</v>
      </c>
      <c r="B1618" t="s">
        <v>3272</v>
      </c>
      <c r="C1618" s="149" t="s">
        <v>10534</v>
      </c>
      <c r="D1618" s="149" t="s">
        <v>2738</v>
      </c>
      <c r="E1618" s="149" t="s">
        <v>10026</v>
      </c>
      <c r="F1618" s="461" t="s">
        <v>10494</v>
      </c>
      <c r="G1618" s="149"/>
      <c r="H1618" s="149"/>
      <c r="I1618" s="149"/>
      <c r="J1618" s="149"/>
      <c r="K1618" s="149"/>
      <c r="L1618" s="149"/>
      <c r="M1618" s="149"/>
    </row>
    <row r="1619" spans="1:13">
      <c r="A1619" s="562" t="s">
        <v>10732</v>
      </c>
      <c r="B1619" s="461" t="s">
        <v>10733</v>
      </c>
      <c r="C1619" s="149" t="s">
        <v>10534</v>
      </c>
      <c r="D1619" s="149" t="s">
        <v>2738</v>
      </c>
      <c r="E1619" s="149" t="s">
        <v>10007</v>
      </c>
      <c r="F1619" s="149" t="s">
        <v>10494</v>
      </c>
      <c r="G1619" s="149"/>
      <c r="H1619" s="149"/>
      <c r="I1619" s="149"/>
      <c r="J1619" s="149"/>
      <c r="K1619" s="149"/>
      <c r="L1619" s="149"/>
      <c r="M1619" s="149"/>
    </row>
    <row r="1620" spans="1:13">
      <c r="A1620" s="503" t="s">
        <v>10732</v>
      </c>
      <c r="B1620" s="149" t="s">
        <v>10734</v>
      </c>
      <c r="C1620" s="149" t="s">
        <v>10534</v>
      </c>
      <c r="D1620" s="149" t="s">
        <v>2738</v>
      </c>
      <c r="E1620" s="149" t="s">
        <v>10007</v>
      </c>
      <c r="F1620" s="149" t="s">
        <v>10735</v>
      </c>
      <c r="G1620" s="149"/>
      <c r="H1620" s="149"/>
      <c r="I1620" s="149"/>
      <c r="J1620" s="149"/>
      <c r="K1620" s="149"/>
      <c r="L1620" s="149"/>
      <c r="M1620" s="149"/>
    </row>
    <row r="1621" spans="1:13">
      <c r="A1621" s="503" t="s">
        <v>10732</v>
      </c>
      <c r="B1621" s="149" t="s">
        <v>6152</v>
      </c>
      <c r="C1621" s="149" t="s">
        <v>10534</v>
      </c>
      <c r="D1621" s="149" t="s">
        <v>2738</v>
      </c>
      <c r="E1621" s="149" t="s">
        <v>9998</v>
      </c>
      <c r="F1621" s="149" t="s">
        <v>10494</v>
      </c>
      <c r="G1621" s="149"/>
      <c r="H1621" s="149"/>
      <c r="I1621" s="149"/>
      <c r="J1621" s="149"/>
      <c r="K1621" s="149"/>
      <c r="L1621" s="149"/>
      <c r="M1621" s="149"/>
    </row>
    <row r="1622" spans="1:13">
      <c r="A1622" s="503" t="s">
        <v>10736</v>
      </c>
      <c r="B1622" s="149" t="s">
        <v>6154</v>
      </c>
      <c r="C1622" s="149" t="s">
        <v>10534</v>
      </c>
      <c r="D1622" s="149" t="s">
        <v>2738</v>
      </c>
      <c r="E1622" s="149" t="s">
        <v>10314</v>
      </c>
      <c r="F1622" s="149" t="s">
        <v>10737</v>
      </c>
      <c r="G1622" s="149"/>
      <c r="H1622" s="149"/>
      <c r="I1622" s="149"/>
      <c r="J1622" s="149"/>
      <c r="K1622" s="149"/>
      <c r="L1622" s="149"/>
      <c r="M1622" s="149"/>
    </row>
    <row r="1623" spans="1:13">
      <c r="A1623" s="503" t="s">
        <v>10736</v>
      </c>
      <c r="B1623" s="149" t="s">
        <v>2883</v>
      </c>
      <c r="C1623" s="149" t="s">
        <v>10534</v>
      </c>
      <c r="D1623" s="149" t="s">
        <v>2738</v>
      </c>
      <c r="E1623" s="149" t="s">
        <v>9998</v>
      </c>
      <c r="F1623" s="149" t="s">
        <v>10504</v>
      </c>
      <c r="G1623" s="149"/>
      <c r="H1623" s="149"/>
      <c r="I1623" s="149"/>
      <c r="J1623" s="149"/>
      <c r="K1623" s="149"/>
      <c r="L1623" s="149"/>
      <c r="M1623" s="149"/>
    </row>
    <row r="1624" spans="1:13">
      <c r="A1624" s="503" t="s">
        <v>10736</v>
      </c>
      <c r="B1624" s="149" t="s">
        <v>10738</v>
      </c>
      <c r="C1624" s="149" t="s">
        <v>10534</v>
      </c>
      <c r="D1624" s="149" t="s">
        <v>2738</v>
      </c>
      <c r="E1624" s="149" t="s">
        <v>9998</v>
      </c>
      <c r="F1624" s="149" t="s">
        <v>10494</v>
      </c>
      <c r="G1624" s="149"/>
      <c r="H1624" s="149"/>
      <c r="I1624" s="149"/>
      <c r="J1624" s="149"/>
      <c r="K1624" s="149"/>
      <c r="L1624" s="149"/>
      <c r="M1624" s="149"/>
    </row>
    <row r="1625" spans="1:13">
      <c r="A1625" s="503" t="s">
        <v>10736</v>
      </c>
      <c r="B1625" s="149" t="s">
        <v>6156</v>
      </c>
      <c r="C1625" s="149" t="s">
        <v>10534</v>
      </c>
      <c r="D1625" s="149" t="s">
        <v>2738</v>
      </c>
      <c r="E1625" s="149" t="s">
        <v>9998</v>
      </c>
      <c r="F1625" s="149" t="s">
        <v>10494</v>
      </c>
      <c r="G1625" s="149"/>
      <c r="H1625" s="149"/>
      <c r="I1625" s="149"/>
      <c r="J1625" s="149"/>
      <c r="K1625" s="149"/>
      <c r="L1625" s="149"/>
      <c r="M1625" s="149"/>
    </row>
    <row r="1626" spans="1:13">
      <c r="A1626" s="503" t="s">
        <v>10739</v>
      </c>
      <c r="B1626" s="461" t="s">
        <v>6158</v>
      </c>
      <c r="C1626" s="461" t="s">
        <v>10534</v>
      </c>
      <c r="D1626" s="149" t="s">
        <v>2738</v>
      </c>
      <c r="E1626" s="149" t="s">
        <v>10209</v>
      </c>
      <c r="F1626" s="461" t="s">
        <v>10455</v>
      </c>
      <c r="G1626" s="149" t="s">
        <v>10608</v>
      </c>
      <c r="H1626" s="149"/>
      <c r="I1626" s="149"/>
      <c r="J1626" s="149"/>
      <c r="K1626" s="149"/>
      <c r="L1626" s="149"/>
      <c r="M1626" s="149"/>
    </row>
    <row r="1627" spans="1:13">
      <c r="A1627" s="503" t="s">
        <v>10740</v>
      </c>
      <c r="B1627" t="s">
        <v>6167</v>
      </c>
      <c r="C1627" s="149" t="s">
        <v>10534</v>
      </c>
      <c r="D1627" s="149" t="s">
        <v>2738</v>
      </c>
      <c r="E1627" s="149" t="s">
        <v>10011</v>
      </c>
      <c r="F1627" s="149"/>
      <c r="G1627" s="149"/>
      <c r="H1627" s="149"/>
      <c r="I1627" s="149"/>
      <c r="J1627" s="149"/>
      <c r="K1627" s="149"/>
      <c r="L1627" s="149"/>
      <c r="M1627" s="149"/>
    </row>
    <row r="1628" spans="1:13">
      <c r="A1628" s="503" t="s">
        <v>10740</v>
      </c>
      <c r="B1628" s="149" t="s">
        <v>6162</v>
      </c>
      <c r="C1628" s="149" t="s">
        <v>10534</v>
      </c>
      <c r="D1628" s="149" t="s">
        <v>2738</v>
      </c>
      <c r="E1628" s="149" t="s">
        <v>10007</v>
      </c>
      <c r="F1628" s="149" t="s">
        <v>10205</v>
      </c>
      <c r="G1628" s="149"/>
      <c r="H1628" s="149"/>
      <c r="I1628" s="149"/>
      <c r="J1628" s="149"/>
      <c r="K1628" s="149"/>
      <c r="L1628" s="149"/>
      <c r="M1628" s="149"/>
    </row>
    <row r="1629" spans="1:13">
      <c r="A1629" s="503" t="s">
        <v>10741</v>
      </c>
      <c r="B1629" s="461" t="s">
        <v>10742</v>
      </c>
      <c r="C1629" s="461" t="s">
        <v>10534</v>
      </c>
      <c r="D1629" s="149" t="s">
        <v>10003</v>
      </c>
      <c r="E1629" s="149" t="s">
        <v>10314</v>
      </c>
      <c r="F1629" s="461" t="s">
        <v>10530</v>
      </c>
      <c r="G1629" s="149" t="s">
        <v>10608</v>
      </c>
      <c r="H1629" s="149"/>
      <c r="I1629" s="149"/>
      <c r="J1629" s="149"/>
      <c r="K1629" s="149"/>
      <c r="L1629" s="149"/>
      <c r="M1629" s="149"/>
    </row>
    <row r="1630" spans="1:13">
      <c r="A1630" s="503" t="s">
        <v>10741</v>
      </c>
      <c r="B1630" s="461" t="s">
        <v>10743</v>
      </c>
      <c r="C1630" s="461" t="s">
        <v>10534</v>
      </c>
      <c r="D1630" s="149" t="s">
        <v>10003</v>
      </c>
      <c r="E1630" s="149" t="s">
        <v>10314</v>
      </c>
      <c r="F1630" s="461" t="s">
        <v>10530</v>
      </c>
      <c r="G1630" s="149" t="s">
        <v>10610</v>
      </c>
      <c r="H1630" s="149"/>
      <c r="I1630" s="149"/>
      <c r="J1630" s="149"/>
      <c r="K1630" s="149"/>
      <c r="L1630" s="149"/>
      <c r="M1630" s="149"/>
    </row>
    <row r="1631" spans="1:13">
      <c r="A1631" s="503" t="s">
        <v>10741</v>
      </c>
      <c r="B1631" s="505" t="s">
        <v>10744</v>
      </c>
      <c r="C1631" s="461" t="s">
        <v>10534</v>
      </c>
      <c r="D1631" s="149" t="s">
        <v>2738</v>
      </c>
      <c r="E1631" s="149" t="s">
        <v>10007</v>
      </c>
      <c r="F1631" s="461" t="s">
        <v>10464</v>
      </c>
      <c r="G1631" s="149" t="s">
        <v>10608</v>
      </c>
      <c r="H1631" s="149"/>
      <c r="I1631" s="149"/>
      <c r="J1631" s="149"/>
      <c r="K1631" s="149"/>
      <c r="L1631" s="149"/>
      <c r="M1631" s="149"/>
    </row>
    <row r="1632" spans="1:13">
      <c r="A1632" s="478" t="s">
        <v>10741</v>
      </c>
      <c r="B1632" s="461" t="s">
        <v>10745</v>
      </c>
      <c r="C1632" s="532" t="s">
        <v>10534</v>
      </c>
      <c r="D1632" s="149" t="s">
        <v>2738</v>
      </c>
      <c r="E1632" s="149" t="s">
        <v>10007</v>
      </c>
      <c r="F1632" s="461" t="s">
        <v>10464</v>
      </c>
      <c r="G1632" s="149" t="s">
        <v>10608</v>
      </c>
      <c r="H1632" s="149"/>
      <c r="I1632" s="149"/>
      <c r="J1632" s="149"/>
      <c r="K1632" s="149"/>
      <c r="L1632" s="149"/>
      <c r="M1632" s="149"/>
    </row>
    <row r="1633" spans="1:13">
      <c r="A1633" s="478" t="s">
        <v>10746</v>
      </c>
      <c r="B1633" s="149" t="s">
        <v>3180</v>
      </c>
      <c r="C1633" s="185" t="s">
        <v>10534</v>
      </c>
      <c r="D1633" s="149" t="s">
        <v>2738</v>
      </c>
      <c r="E1633" s="149" t="s">
        <v>10314</v>
      </c>
      <c r="F1633" s="149"/>
      <c r="G1633" s="149"/>
      <c r="H1633" s="149"/>
      <c r="I1633" s="149"/>
      <c r="J1633" s="149"/>
      <c r="K1633" s="149"/>
      <c r="L1633" s="149"/>
      <c r="M1633" s="149"/>
    </row>
    <row r="1634" spans="1:13">
      <c r="A1634" s="478" t="s">
        <v>10747</v>
      </c>
      <c r="B1634" s="149" t="s">
        <v>6168</v>
      </c>
      <c r="C1634" s="185" t="s">
        <v>10534</v>
      </c>
      <c r="D1634" s="149" t="s">
        <v>2738</v>
      </c>
      <c r="E1634" s="149" t="s">
        <v>10314</v>
      </c>
      <c r="F1634" s="149"/>
      <c r="G1634" s="149"/>
      <c r="H1634" s="149"/>
      <c r="I1634" s="149"/>
      <c r="J1634" s="149"/>
      <c r="K1634" s="149"/>
      <c r="L1634" s="149"/>
      <c r="M1634" s="149"/>
    </row>
    <row r="1635" spans="1:13">
      <c r="A1635" s="508" t="s">
        <v>10747</v>
      </c>
      <c r="B1635" s="461" t="s">
        <v>6170</v>
      </c>
      <c r="C1635" s="532" t="s">
        <v>10534</v>
      </c>
      <c r="D1635" s="149" t="s">
        <v>2738</v>
      </c>
      <c r="E1635" s="149" t="s">
        <v>9998</v>
      </c>
      <c r="F1635" s="461" t="s">
        <v>10455</v>
      </c>
      <c r="G1635" s="149" t="s">
        <v>10640</v>
      </c>
      <c r="H1635" s="149"/>
      <c r="I1635" s="149"/>
      <c r="J1635" s="149"/>
      <c r="K1635" s="149"/>
      <c r="L1635" s="149"/>
      <c r="M1635" s="149"/>
    </row>
    <row r="1636" spans="1:13">
      <c r="A1636" s="478" t="s">
        <v>10748</v>
      </c>
      <c r="B1636" s="149" t="s">
        <v>6172</v>
      </c>
      <c r="C1636" s="185" t="s">
        <v>10534</v>
      </c>
      <c r="D1636" s="149" t="s">
        <v>2738</v>
      </c>
      <c r="E1636" s="149" t="s">
        <v>9998</v>
      </c>
      <c r="F1636" s="149"/>
      <c r="G1636" s="149"/>
      <c r="H1636" s="149"/>
      <c r="I1636" s="149"/>
      <c r="J1636" s="149"/>
      <c r="K1636" s="149"/>
      <c r="L1636" s="149"/>
      <c r="M1636" s="149"/>
    </row>
    <row r="1637" spans="1:13">
      <c r="A1637" s="478" t="s">
        <v>10748</v>
      </c>
      <c r="B1637" s="149" t="s">
        <v>3523</v>
      </c>
      <c r="C1637" s="185" t="s">
        <v>10534</v>
      </c>
      <c r="D1637" s="149" t="s">
        <v>2738</v>
      </c>
      <c r="E1637" s="149"/>
      <c r="F1637" s="149"/>
      <c r="G1637" s="149"/>
      <c r="H1637" s="149"/>
      <c r="I1637" s="149"/>
      <c r="J1637" s="149"/>
      <c r="K1637" s="149"/>
      <c r="L1637" s="149"/>
      <c r="M1637" s="149"/>
    </row>
    <row r="1638" spans="1:13">
      <c r="A1638" s="478" t="s">
        <v>10748</v>
      </c>
      <c r="B1638" s="461" t="s">
        <v>10749</v>
      </c>
      <c r="C1638" s="532" t="s">
        <v>8929</v>
      </c>
      <c r="D1638" s="149" t="s">
        <v>2738</v>
      </c>
      <c r="E1638" s="149"/>
      <c r="F1638" s="461"/>
      <c r="G1638" s="149" t="s">
        <v>10608</v>
      </c>
      <c r="H1638" s="108"/>
      <c r="I1638" s="149"/>
      <c r="J1638" s="149"/>
      <c r="K1638" s="149"/>
      <c r="L1638" s="149"/>
      <c r="M1638" s="149"/>
    </row>
    <row r="1639" spans="1:13">
      <c r="A1639" s="508" t="s">
        <v>10748</v>
      </c>
      <c r="B1639" s="149" t="s">
        <v>6175</v>
      </c>
      <c r="C1639" s="185" t="s">
        <v>10534</v>
      </c>
      <c r="D1639" s="149" t="s">
        <v>10003</v>
      </c>
      <c r="E1639" s="149" t="s">
        <v>10209</v>
      </c>
      <c r="F1639" s="149"/>
      <c r="G1639" s="149"/>
      <c r="H1639" s="149"/>
      <c r="I1639" s="149"/>
      <c r="J1639" s="149"/>
      <c r="K1639" s="149"/>
      <c r="L1639" s="149"/>
      <c r="M1639" s="149"/>
    </row>
    <row r="1640" spans="1:13">
      <c r="A1640" s="478" t="s">
        <v>10750</v>
      </c>
      <c r="B1640" s="461" t="s">
        <v>10751</v>
      </c>
      <c r="C1640" s="532" t="s">
        <v>10534</v>
      </c>
      <c r="D1640" s="149" t="s">
        <v>10003</v>
      </c>
      <c r="E1640" s="149" t="s">
        <v>10026</v>
      </c>
      <c r="F1640" s="461" t="s">
        <v>10455</v>
      </c>
      <c r="G1640" s="149" t="s">
        <v>10608</v>
      </c>
      <c r="H1640" s="149"/>
      <c r="I1640" s="149"/>
      <c r="J1640" s="149"/>
      <c r="K1640" s="149"/>
      <c r="L1640" s="149"/>
      <c r="M1640" s="149"/>
    </row>
    <row r="1641" spans="1:13">
      <c r="A1641" s="478" t="s">
        <v>10752</v>
      </c>
      <c r="B1641" s="461" t="s">
        <v>10751</v>
      </c>
      <c r="C1641" s="532" t="s">
        <v>10534</v>
      </c>
      <c r="D1641" s="149" t="s">
        <v>10003</v>
      </c>
      <c r="E1641" s="149" t="s">
        <v>10209</v>
      </c>
      <c r="F1641" s="461" t="s">
        <v>10455</v>
      </c>
      <c r="G1641" s="149" t="s">
        <v>10608</v>
      </c>
      <c r="H1641" s="149"/>
      <c r="I1641" s="149"/>
      <c r="J1641" s="149"/>
      <c r="K1641" s="149"/>
      <c r="L1641" s="149"/>
      <c r="M1641" s="149"/>
    </row>
    <row r="1642" spans="1:13">
      <c r="A1642" s="537" t="s">
        <v>10753</v>
      </c>
      <c r="B1642" s="461" t="s">
        <v>10754</v>
      </c>
      <c r="C1642" s="532" t="s">
        <v>10534</v>
      </c>
      <c r="D1642" s="149" t="s">
        <v>10003</v>
      </c>
      <c r="E1642" s="149" t="s">
        <v>10007</v>
      </c>
      <c r="F1642" s="461" t="s">
        <v>10394</v>
      </c>
      <c r="G1642" s="149" t="s">
        <v>10579</v>
      </c>
      <c r="H1642" s="149"/>
      <c r="I1642" s="149"/>
      <c r="J1642" s="149"/>
      <c r="K1642" s="149"/>
      <c r="L1642" s="149"/>
      <c r="M1642" s="149"/>
    </row>
    <row r="1643" spans="1:13">
      <c r="A1643" s="563" t="s">
        <v>10753</v>
      </c>
      <c r="B1643" s="149" t="s">
        <v>10755</v>
      </c>
      <c r="C1643" s="185" t="s">
        <v>10534</v>
      </c>
      <c r="D1643" s="149" t="s">
        <v>2738</v>
      </c>
      <c r="E1643" s="149" t="s">
        <v>10314</v>
      </c>
      <c r="F1643" s="149" t="s">
        <v>10494</v>
      </c>
      <c r="G1643" s="149"/>
      <c r="H1643" s="149"/>
      <c r="I1643" s="149"/>
      <c r="J1643" s="149"/>
      <c r="K1643" s="149"/>
      <c r="L1643" s="149"/>
      <c r="M1643" s="149"/>
    </row>
    <row r="1644" spans="1:13">
      <c r="A1644" s="478" t="s">
        <v>10753</v>
      </c>
      <c r="B1644" s="149" t="s">
        <v>6182</v>
      </c>
      <c r="C1644" s="185" t="s">
        <v>10534</v>
      </c>
      <c r="D1644" s="149" t="s">
        <v>2738</v>
      </c>
      <c r="E1644" s="149" t="s">
        <v>10314</v>
      </c>
      <c r="F1644" s="149" t="s">
        <v>10494</v>
      </c>
      <c r="G1644" s="149"/>
      <c r="H1644" s="149"/>
      <c r="I1644" s="149"/>
      <c r="J1644" s="149"/>
      <c r="K1644" s="149"/>
      <c r="L1644" s="149"/>
      <c r="M1644" s="149"/>
    </row>
    <row r="1645" spans="1:13">
      <c r="A1645" s="478"/>
      <c r="B1645" s="421" t="s">
        <v>10756</v>
      </c>
      <c r="C1645" s="199"/>
      <c r="D1645" s="149"/>
      <c r="E1645" s="149"/>
      <c r="F1645" s="149"/>
      <c r="G1645" s="149"/>
      <c r="H1645" s="149"/>
      <c r="I1645" s="149"/>
      <c r="J1645" s="149"/>
      <c r="K1645" s="149"/>
      <c r="L1645" s="149"/>
      <c r="M1645" s="149"/>
    </row>
    <row r="1646" spans="1:13">
      <c r="A1646" s="478">
        <v>44992</v>
      </c>
      <c r="B1646" s="149" t="s">
        <v>3430</v>
      </c>
      <c r="C1646" s="185" t="s">
        <v>10534</v>
      </c>
      <c r="D1646" s="149" t="s">
        <v>2755</v>
      </c>
      <c r="E1646" s="149" t="s">
        <v>9998</v>
      </c>
      <c r="F1646" s="149" t="s">
        <v>10296</v>
      </c>
      <c r="G1646" s="149"/>
      <c r="H1646" s="149"/>
      <c r="I1646" s="149"/>
      <c r="J1646" s="149"/>
      <c r="K1646" s="149"/>
      <c r="L1646" s="149"/>
      <c r="M1646" s="149"/>
    </row>
    <row r="1647" spans="1:13">
      <c r="A1647" s="478">
        <v>44992</v>
      </c>
      <c r="B1647" s="192" t="s">
        <v>10757</v>
      </c>
      <c r="C1647" s="185" t="s">
        <v>10534</v>
      </c>
      <c r="D1647" s="149" t="s">
        <v>2755</v>
      </c>
      <c r="E1647" s="149" t="s">
        <v>10026</v>
      </c>
      <c r="F1647" s="149" t="s">
        <v>10494</v>
      </c>
      <c r="G1647" s="149"/>
      <c r="H1647" s="149"/>
      <c r="I1647" s="149"/>
      <c r="J1647" s="149"/>
      <c r="K1647" s="149"/>
      <c r="L1647" s="149"/>
      <c r="M1647" s="149"/>
    </row>
    <row r="1648" spans="1:13">
      <c r="A1648" s="478">
        <v>45023</v>
      </c>
      <c r="B1648" s="192" t="s">
        <v>6186</v>
      </c>
      <c r="C1648" s="185" t="s">
        <v>10534</v>
      </c>
      <c r="D1648" s="149" t="s">
        <v>2755</v>
      </c>
      <c r="E1648" s="149" t="s">
        <v>10007</v>
      </c>
      <c r="F1648" s="149" t="s">
        <v>10494</v>
      </c>
      <c r="G1648" s="149"/>
      <c r="H1648" s="149"/>
      <c r="I1648" s="149"/>
      <c r="J1648" s="149"/>
      <c r="K1648" s="149"/>
      <c r="L1648" s="149"/>
      <c r="M1648" s="149"/>
    </row>
    <row r="1649" spans="1:13">
      <c r="A1649" s="478">
        <v>45023</v>
      </c>
      <c r="B1649" s="192" t="s">
        <v>10758</v>
      </c>
      <c r="C1649" s="185" t="s">
        <v>10534</v>
      </c>
      <c r="D1649" s="149" t="s">
        <v>2755</v>
      </c>
      <c r="E1649" s="149" t="s">
        <v>9996</v>
      </c>
      <c r="F1649" s="149" t="s">
        <v>10759</v>
      </c>
      <c r="G1649" s="149"/>
      <c r="H1649" s="149"/>
      <c r="I1649" s="149"/>
      <c r="J1649" s="149"/>
      <c r="K1649" s="149"/>
      <c r="L1649" s="149"/>
      <c r="M1649" s="149"/>
    </row>
    <row r="1650" spans="1:13">
      <c r="A1650" s="503">
        <v>45053</v>
      </c>
      <c r="B1650" s="472" t="s">
        <v>6188</v>
      </c>
      <c r="C1650" s="461" t="s">
        <v>10534</v>
      </c>
      <c r="D1650" s="149" t="s">
        <v>2755</v>
      </c>
      <c r="E1650" s="149" t="s">
        <v>10011</v>
      </c>
      <c r="F1650" s="461" t="s">
        <v>10394</v>
      </c>
      <c r="G1650" s="149" t="s">
        <v>10608</v>
      </c>
      <c r="H1650" s="149"/>
      <c r="I1650" s="149"/>
      <c r="J1650" s="149"/>
      <c r="K1650" s="149"/>
      <c r="L1650" s="149"/>
      <c r="M1650" s="149"/>
    </row>
    <row r="1651" spans="1:13">
      <c r="A1651" s="503" t="s">
        <v>10760</v>
      </c>
      <c r="B1651" s="192" t="s">
        <v>6190</v>
      </c>
      <c r="C1651" s="149" t="s">
        <v>10534</v>
      </c>
      <c r="D1651" s="149" t="s">
        <v>2755</v>
      </c>
      <c r="E1651" s="149" t="s">
        <v>10314</v>
      </c>
      <c r="F1651" s="149" t="s">
        <v>10494</v>
      </c>
      <c r="G1651" s="149"/>
      <c r="H1651" s="149"/>
      <c r="I1651" s="149"/>
      <c r="J1651" s="149"/>
      <c r="K1651" s="149"/>
      <c r="L1651" s="149"/>
      <c r="M1651" s="149"/>
    </row>
    <row r="1652" spans="1:13">
      <c r="A1652" s="503">
        <v>45084</v>
      </c>
      <c r="B1652" s="192" t="s">
        <v>10761</v>
      </c>
      <c r="C1652" s="149" t="s">
        <v>10534</v>
      </c>
      <c r="D1652" s="149" t="s">
        <v>2755</v>
      </c>
      <c r="E1652" s="149" t="s">
        <v>10007</v>
      </c>
      <c r="F1652" s="149" t="s">
        <v>10494</v>
      </c>
      <c r="G1652" s="149"/>
      <c r="H1652" s="149"/>
      <c r="I1652" s="149"/>
      <c r="J1652" s="149"/>
      <c r="K1652" s="149"/>
      <c r="L1652" s="149"/>
      <c r="M1652" s="149"/>
    </row>
    <row r="1653" spans="1:13">
      <c r="A1653" s="503">
        <v>45084</v>
      </c>
      <c r="B1653" s="192" t="s">
        <v>10761</v>
      </c>
      <c r="C1653" s="149" t="s">
        <v>10534</v>
      </c>
      <c r="D1653" s="149" t="s">
        <v>2755</v>
      </c>
      <c r="E1653" s="149" t="s">
        <v>10314</v>
      </c>
      <c r="F1653" s="149" t="s">
        <v>10494</v>
      </c>
      <c r="G1653" s="149"/>
      <c r="H1653" s="149"/>
      <c r="I1653" s="149"/>
      <c r="J1653" s="149"/>
      <c r="K1653" s="149"/>
      <c r="L1653" s="149"/>
      <c r="M1653" s="149"/>
    </row>
    <row r="1654" spans="1:13">
      <c r="A1654" s="503">
        <v>45114</v>
      </c>
      <c r="B1654" s="461" t="s">
        <v>6192</v>
      </c>
      <c r="C1654" s="461" t="s">
        <v>10534</v>
      </c>
      <c r="D1654" s="149" t="s">
        <v>2755</v>
      </c>
      <c r="E1654" s="149" t="s">
        <v>10314</v>
      </c>
      <c r="F1654" s="461" t="s">
        <v>10530</v>
      </c>
      <c r="G1654" s="149" t="s">
        <v>10579</v>
      </c>
      <c r="H1654" s="149"/>
      <c r="I1654" s="149"/>
      <c r="J1654" s="149"/>
      <c r="K1654" s="149"/>
      <c r="L1654" s="149"/>
      <c r="M1654" s="149"/>
    </row>
    <row r="1655" spans="1:13">
      <c r="A1655" s="503">
        <v>45206</v>
      </c>
      <c r="B1655" s="461" t="s">
        <v>10762</v>
      </c>
      <c r="C1655" s="461" t="s">
        <v>10534</v>
      </c>
      <c r="D1655" s="149" t="s">
        <v>10019</v>
      </c>
      <c r="E1655" s="149" t="s">
        <v>10289</v>
      </c>
      <c r="F1655" s="461" t="s">
        <v>10530</v>
      </c>
      <c r="G1655" s="149" t="s">
        <v>10579</v>
      </c>
      <c r="H1655" s="149"/>
      <c r="I1655" s="149"/>
      <c r="J1655" s="149"/>
      <c r="K1655" s="149"/>
      <c r="L1655" s="149"/>
      <c r="M1655" s="149"/>
    </row>
    <row r="1656" spans="1:13">
      <c r="A1656" s="503">
        <v>45206</v>
      </c>
      <c r="B1656" s="461" t="s">
        <v>10763</v>
      </c>
      <c r="C1656" s="461" t="s">
        <v>10534</v>
      </c>
      <c r="D1656" s="149" t="s">
        <v>10019</v>
      </c>
      <c r="E1656" s="149" t="s">
        <v>10289</v>
      </c>
      <c r="F1656" s="461" t="s">
        <v>10530</v>
      </c>
      <c r="G1656" s="149" t="s">
        <v>10579</v>
      </c>
      <c r="H1656" s="149"/>
      <c r="I1656" s="149" t="s">
        <v>10764</v>
      </c>
      <c r="J1656" s="149"/>
      <c r="K1656" s="149"/>
      <c r="L1656" s="149"/>
      <c r="M1656" s="149"/>
    </row>
    <row r="1657" spans="1:13">
      <c r="A1657" s="550">
        <v>45206</v>
      </c>
      <c r="B1657" s="192" t="s">
        <v>10765</v>
      </c>
      <c r="C1657" s="149" t="s">
        <v>10534</v>
      </c>
      <c r="D1657" s="149" t="s">
        <v>2755</v>
      </c>
      <c r="E1657" s="149" t="s">
        <v>10289</v>
      </c>
      <c r="F1657" s="149" t="s">
        <v>10494</v>
      </c>
      <c r="G1657" s="149"/>
      <c r="H1657" s="149"/>
      <c r="I1657" s="149"/>
      <c r="J1657" s="149"/>
      <c r="K1657" s="149"/>
      <c r="L1657" s="149"/>
      <c r="M1657" s="149"/>
    </row>
    <row r="1658" spans="1:13">
      <c r="A1658" s="503">
        <v>45206</v>
      </c>
      <c r="B1658" s="461" t="s">
        <v>6194</v>
      </c>
      <c r="C1658" s="461" t="s">
        <v>10534</v>
      </c>
      <c r="D1658" s="149" t="s">
        <v>2755</v>
      </c>
      <c r="E1658" s="149" t="s">
        <v>9998</v>
      </c>
      <c r="F1658" s="461" t="s">
        <v>10530</v>
      </c>
      <c r="G1658" s="149" t="s">
        <v>10579</v>
      </c>
      <c r="H1658" s="149"/>
      <c r="I1658" s="149"/>
      <c r="J1658" s="149"/>
      <c r="K1658" s="149"/>
      <c r="L1658" s="149"/>
      <c r="M1658" s="149"/>
    </row>
    <row r="1659" spans="1:13">
      <c r="A1659" s="503">
        <v>45206</v>
      </c>
      <c r="B1659" s="192" t="s">
        <v>4882</v>
      </c>
      <c r="C1659" s="149" t="s">
        <v>10534</v>
      </c>
      <c r="D1659" s="149" t="s">
        <v>2755</v>
      </c>
      <c r="E1659" s="149" t="s">
        <v>10209</v>
      </c>
      <c r="F1659" s="461" t="s">
        <v>10766</v>
      </c>
      <c r="G1659" s="149" t="s">
        <v>10577</v>
      </c>
      <c r="H1659" s="149"/>
      <c r="I1659" s="149"/>
      <c r="J1659" s="149"/>
      <c r="K1659" s="149"/>
      <c r="L1659" s="149"/>
      <c r="M1659" s="149"/>
    </row>
    <row r="1660" spans="1:13">
      <c r="A1660" s="503">
        <v>45237</v>
      </c>
      <c r="B1660" s="461" t="s">
        <v>6194</v>
      </c>
      <c r="C1660" s="461" t="s">
        <v>10534</v>
      </c>
      <c r="D1660" s="149" t="s">
        <v>10019</v>
      </c>
      <c r="E1660" s="149" t="s">
        <v>10209</v>
      </c>
      <c r="F1660" s="461" t="s">
        <v>10530</v>
      </c>
      <c r="G1660" s="149" t="s">
        <v>10579</v>
      </c>
      <c r="H1660" s="149"/>
      <c r="I1660" s="149"/>
      <c r="J1660" s="149"/>
      <c r="K1660" s="149"/>
      <c r="L1660" s="149"/>
      <c r="M1660" s="149"/>
    </row>
    <row r="1661" spans="1:13">
      <c r="A1661" s="549">
        <v>45267</v>
      </c>
      <c r="B1661" s="192" t="s">
        <v>6200</v>
      </c>
      <c r="C1661" s="149" t="s">
        <v>10534</v>
      </c>
      <c r="D1661" s="149" t="s">
        <v>2755</v>
      </c>
      <c r="E1661" s="149" t="s">
        <v>10011</v>
      </c>
      <c r="F1661" s="149" t="s">
        <v>10494</v>
      </c>
      <c r="G1661" s="149"/>
      <c r="H1661" s="149"/>
      <c r="I1661" s="149"/>
      <c r="J1661" s="149"/>
      <c r="K1661" s="149"/>
      <c r="L1661" s="149"/>
      <c r="M1661" s="149"/>
    </row>
    <row r="1662" spans="1:13">
      <c r="A1662" s="503">
        <v>45267</v>
      </c>
      <c r="B1662" s="149" t="s">
        <v>6196</v>
      </c>
      <c r="C1662" s="149" t="s">
        <v>10534</v>
      </c>
      <c r="D1662" s="149" t="s">
        <v>10019</v>
      </c>
      <c r="E1662" s="149" t="s">
        <v>10209</v>
      </c>
      <c r="F1662" s="149" t="s">
        <v>10494</v>
      </c>
      <c r="G1662" s="149"/>
      <c r="H1662" s="149"/>
      <c r="I1662" s="149"/>
      <c r="J1662" s="149"/>
      <c r="K1662" s="149"/>
      <c r="L1662" s="149"/>
      <c r="M1662" s="149"/>
    </row>
    <row r="1663" spans="1:13">
      <c r="A1663" s="503">
        <v>45267</v>
      </c>
      <c r="B1663" s="149" t="s">
        <v>6198</v>
      </c>
      <c r="C1663" s="149" t="s">
        <v>10534</v>
      </c>
      <c r="D1663" s="149" t="s">
        <v>2755</v>
      </c>
      <c r="E1663" s="149" t="s">
        <v>10314</v>
      </c>
      <c r="F1663" s="149" t="s">
        <v>10494</v>
      </c>
      <c r="G1663" s="149"/>
      <c r="H1663" s="149"/>
      <c r="I1663" s="149"/>
      <c r="J1663" s="149"/>
      <c r="K1663" s="149"/>
      <c r="L1663" s="149"/>
      <c r="M1663" s="149"/>
    </row>
    <row r="1664" spans="1:13">
      <c r="A1664" s="553">
        <v>45267</v>
      </c>
      <c r="B1664" s="149" t="s">
        <v>5229</v>
      </c>
      <c r="C1664" s="149" t="s">
        <v>10534</v>
      </c>
      <c r="D1664" s="149" t="s">
        <v>10019</v>
      </c>
      <c r="E1664" s="149" t="s">
        <v>10007</v>
      </c>
      <c r="F1664" s="149" t="s">
        <v>10494</v>
      </c>
      <c r="G1664" s="149"/>
      <c r="H1664" s="149"/>
      <c r="I1664" s="149"/>
      <c r="J1664" s="149"/>
      <c r="K1664" s="149"/>
      <c r="L1664" s="149"/>
      <c r="M1664" s="149"/>
    </row>
    <row r="1665" spans="1:13">
      <c r="A1665" s="503" t="s">
        <v>10767</v>
      </c>
      <c r="B1665" s="461" t="s">
        <v>10768</v>
      </c>
      <c r="C1665" s="461" t="s">
        <v>10534</v>
      </c>
      <c r="D1665" s="149" t="s">
        <v>10019</v>
      </c>
      <c r="E1665" s="149" t="s">
        <v>10007</v>
      </c>
      <c r="F1665" s="461" t="s">
        <v>10645</v>
      </c>
      <c r="G1665" s="192" t="s">
        <v>10579</v>
      </c>
      <c r="H1665" s="149"/>
      <c r="I1665" s="149"/>
      <c r="J1665" s="149"/>
      <c r="K1665" s="149"/>
      <c r="L1665" s="149"/>
      <c r="M1665" s="149"/>
    </row>
    <row r="1666" spans="1:13">
      <c r="A1666" s="503">
        <v>45120</v>
      </c>
      <c r="B1666" s="149" t="s">
        <v>3298</v>
      </c>
      <c r="C1666" s="149" t="s">
        <v>10534</v>
      </c>
      <c r="D1666" s="149" t="s">
        <v>2755</v>
      </c>
      <c r="E1666" s="149" t="s">
        <v>10314</v>
      </c>
      <c r="F1666" s="149" t="s">
        <v>10494</v>
      </c>
      <c r="G1666" s="149"/>
      <c r="H1666" s="149"/>
      <c r="I1666" s="149"/>
      <c r="J1666" s="149"/>
      <c r="K1666" s="149"/>
      <c r="L1666" s="149"/>
      <c r="M1666" s="149"/>
    </row>
    <row r="1667" spans="1:13">
      <c r="A1667" s="503">
        <v>45120</v>
      </c>
      <c r="B1667" s="149" t="s">
        <v>6206</v>
      </c>
      <c r="C1667" s="149" t="s">
        <v>10534</v>
      </c>
      <c r="D1667" s="149" t="s">
        <v>2755</v>
      </c>
      <c r="E1667" s="149" t="s">
        <v>10314</v>
      </c>
      <c r="F1667" s="149" t="s">
        <v>10494</v>
      </c>
      <c r="G1667" s="149"/>
      <c r="H1667" s="149"/>
      <c r="I1667" s="149"/>
      <c r="J1667" s="149"/>
      <c r="K1667" s="149"/>
      <c r="L1667" s="149"/>
      <c r="M1667" s="149"/>
    </row>
    <row r="1668" spans="1:13">
      <c r="A1668" s="503" t="s">
        <v>10767</v>
      </c>
      <c r="B1668" s="149" t="s">
        <v>10769</v>
      </c>
      <c r="C1668" s="149" t="s">
        <v>10534</v>
      </c>
      <c r="D1668" s="149" t="s">
        <v>2755</v>
      </c>
      <c r="E1668" s="149" t="s">
        <v>10314</v>
      </c>
      <c r="F1668" s="149" t="s">
        <v>10770</v>
      </c>
      <c r="G1668" s="149"/>
      <c r="H1668" s="149"/>
      <c r="I1668" s="149"/>
      <c r="J1668" s="149"/>
      <c r="K1668" s="149"/>
      <c r="L1668" s="149"/>
      <c r="M1668" s="149"/>
    </row>
    <row r="1669" spans="1:13">
      <c r="A1669" s="503" t="s">
        <v>10767</v>
      </c>
      <c r="B1669" s="149" t="s">
        <v>10771</v>
      </c>
      <c r="C1669" s="149" t="s">
        <v>10534</v>
      </c>
      <c r="D1669" s="149" t="s">
        <v>2755</v>
      </c>
      <c r="E1669" s="149" t="s">
        <v>9998</v>
      </c>
      <c r="F1669" s="149" t="s">
        <v>10494</v>
      </c>
      <c r="G1669" s="149"/>
      <c r="H1669" s="149"/>
      <c r="I1669" s="149"/>
      <c r="J1669" s="149"/>
      <c r="K1669" s="149"/>
      <c r="L1669" s="149"/>
      <c r="M1669" s="149"/>
    </row>
    <row r="1670" spans="1:13">
      <c r="A1670" s="503" t="s">
        <v>10772</v>
      </c>
      <c r="B1670" s="149" t="s">
        <v>6208</v>
      </c>
      <c r="C1670" s="149" t="s">
        <v>10534</v>
      </c>
      <c r="D1670" s="149" t="s">
        <v>2755</v>
      </c>
      <c r="E1670" s="149" t="s">
        <v>9998</v>
      </c>
      <c r="F1670" s="149" t="s">
        <v>10494</v>
      </c>
      <c r="G1670" s="149"/>
      <c r="H1670" s="149"/>
      <c r="I1670" s="149"/>
      <c r="J1670" s="149"/>
      <c r="K1670" s="149"/>
      <c r="L1670" s="149"/>
      <c r="M1670" s="149"/>
    </row>
    <row r="1671" spans="1:13">
      <c r="A1671" s="503" t="s">
        <v>10773</v>
      </c>
      <c r="B1671" s="461" t="s">
        <v>5379</v>
      </c>
      <c r="C1671" s="461" t="s">
        <v>10534</v>
      </c>
      <c r="D1671" s="149" t="s">
        <v>2755</v>
      </c>
      <c r="E1671" s="149" t="s">
        <v>10209</v>
      </c>
      <c r="F1671" s="461" t="s">
        <v>10464</v>
      </c>
      <c r="G1671" s="149" t="s">
        <v>10579</v>
      </c>
      <c r="H1671" s="149"/>
      <c r="I1671" s="149"/>
      <c r="J1671" s="149"/>
      <c r="K1671" s="149"/>
      <c r="L1671" s="149"/>
      <c r="M1671" s="149"/>
    </row>
    <row r="1672" spans="1:13">
      <c r="A1672" s="503" t="s">
        <v>10773</v>
      </c>
      <c r="B1672" s="461" t="s">
        <v>5379</v>
      </c>
      <c r="C1672" s="461" t="s">
        <v>10534</v>
      </c>
      <c r="D1672" s="149" t="s">
        <v>2755</v>
      </c>
      <c r="E1672" s="149" t="s">
        <v>10209</v>
      </c>
      <c r="F1672" s="461" t="s">
        <v>10464</v>
      </c>
      <c r="G1672" s="149" t="s">
        <v>10579</v>
      </c>
      <c r="H1672" s="149"/>
      <c r="I1672" s="149"/>
      <c r="J1672" s="149"/>
      <c r="K1672" s="149"/>
      <c r="L1672" s="149"/>
      <c r="M1672" s="149"/>
    </row>
    <row r="1673" spans="1:13">
      <c r="A1673" s="503" t="s">
        <v>10773</v>
      </c>
      <c r="B1673" s="461" t="s">
        <v>6210</v>
      </c>
      <c r="C1673" s="461" t="s">
        <v>10534</v>
      </c>
      <c r="D1673" s="149" t="s">
        <v>10019</v>
      </c>
      <c r="E1673" s="149" t="s">
        <v>9998</v>
      </c>
      <c r="F1673" s="461" t="s">
        <v>10464</v>
      </c>
      <c r="G1673" s="149" t="s">
        <v>10579</v>
      </c>
      <c r="H1673" s="149"/>
      <c r="I1673" s="149"/>
      <c r="J1673" s="149"/>
      <c r="K1673" s="149"/>
      <c r="L1673" s="149"/>
      <c r="M1673" s="149"/>
    </row>
    <row r="1674" spans="1:13">
      <c r="A1674" s="503" t="s">
        <v>10773</v>
      </c>
      <c r="B1674" s="149" t="s">
        <v>6212</v>
      </c>
      <c r="C1674" s="149" t="s">
        <v>10534</v>
      </c>
      <c r="D1674" t="s">
        <v>2755</v>
      </c>
      <c r="E1674" s="149" t="s">
        <v>10007</v>
      </c>
      <c r="F1674" s="149" t="s">
        <v>10494</v>
      </c>
      <c r="G1674" s="149"/>
      <c r="H1674" s="149"/>
      <c r="I1674" s="149"/>
      <c r="J1674" s="149"/>
      <c r="K1674" s="149"/>
      <c r="L1674" s="149"/>
      <c r="M1674" s="149"/>
    </row>
    <row r="1675" spans="1:13">
      <c r="A1675" s="503" t="s">
        <v>10773</v>
      </c>
      <c r="B1675" s="149" t="s">
        <v>6214</v>
      </c>
      <c r="C1675" s="149" t="s">
        <v>10534</v>
      </c>
      <c r="D1675" s="149" t="s">
        <v>2755</v>
      </c>
      <c r="E1675" s="149" t="s">
        <v>10225</v>
      </c>
      <c r="F1675" s="149" t="s">
        <v>10494</v>
      </c>
      <c r="G1675" s="149"/>
      <c r="H1675" s="149"/>
      <c r="I1675" s="149"/>
      <c r="J1675" s="149"/>
      <c r="K1675" s="149"/>
      <c r="L1675" s="149"/>
      <c r="M1675" s="149"/>
    </row>
    <row r="1676" spans="1:13">
      <c r="A1676" s="503" t="s">
        <v>10773</v>
      </c>
      <c r="B1676" s="149" t="s">
        <v>6218</v>
      </c>
      <c r="C1676" s="149" t="s">
        <v>10534</v>
      </c>
      <c r="D1676" s="149" t="s">
        <v>10019</v>
      </c>
      <c r="E1676" s="149" t="s">
        <v>10011</v>
      </c>
      <c r="F1676" s="149" t="s">
        <v>10494</v>
      </c>
      <c r="G1676" s="149"/>
      <c r="H1676" s="149"/>
      <c r="I1676" s="149"/>
      <c r="J1676" s="149"/>
      <c r="K1676" s="149"/>
      <c r="L1676" s="149"/>
      <c r="M1676" s="149"/>
    </row>
    <row r="1677" spans="1:13">
      <c r="A1677" s="503" t="s">
        <v>10774</v>
      </c>
      <c r="B1677" s="461" t="s">
        <v>10775</v>
      </c>
      <c r="C1677" s="149" t="s">
        <v>10534</v>
      </c>
      <c r="D1677" s="149" t="s">
        <v>2755</v>
      </c>
      <c r="E1677" s="149" t="s">
        <v>10011</v>
      </c>
      <c r="F1677" s="149" t="s">
        <v>10494</v>
      </c>
      <c r="G1677" s="149"/>
      <c r="H1677" s="149"/>
      <c r="I1677" s="108"/>
      <c r="J1677" s="149"/>
      <c r="K1677" s="149"/>
      <c r="L1677" s="149"/>
      <c r="M1677" s="149"/>
    </row>
    <row r="1678" spans="1:13">
      <c r="A1678" s="503" t="s">
        <v>10774</v>
      </c>
      <c r="B1678" s="108" t="s">
        <v>6216</v>
      </c>
      <c r="C1678" s="149" t="s">
        <v>10534</v>
      </c>
      <c r="D1678" s="149" t="s">
        <v>2755</v>
      </c>
      <c r="E1678" s="149" t="s">
        <v>10011</v>
      </c>
      <c r="F1678" s="149" t="s">
        <v>10199</v>
      </c>
      <c r="G1678" s="149"/>
      <c r="H1678" s="149"/>
      <c r="I1678" s="149"/>
      <c r="J1678" s="149"/>
      <c r="K1678" s="149"/>
      <c r="L1678" s="149"/>
      <c r="M1678" s="149"/>
    </row>
    <row r="1679" spans="1:13">
      <c r="A1679" s="503" t="s">
        <v>10776</v>
      </c>
      <c r="B1679" s="461" t="s">
        <v>10777</v>
      </c>
      <c r="C1679" s="461" t="s">
        <v>10534</v>
      </c>
      <c r="D1679" s="149" t="s">
        <v>10019</v>
      </c>
      <c r="E1679" s="149" t="s">
        <v>10011</v>
      </c>
      <c r="F1679" s="461" t="s">
        <v>10394</v>
      </c>
      <c r="G1679" s="149" t="s">
        <v>10579</v>
      </c>
      <c r="H1679" s="149"/>
      <c r="I1679" s="149"/>
      <c r="J1679" s="149"/>
      <c r="K1679" s="149"/>
      <c r="L1679" s="149"/>
      <c r="M1679" s="149"/>
    </row>
    <row r="1680" spans="1:13">
      <c r="A1680" s="537" t="s">
        <v>10778</v>
      </c>
      <c r="B1680" s="3" t="s">
        <v>10779</v>
      </c>
      <c r="C1680" s="3" t="s">
        <v>10534</v>
      </c>
      <c r="D1680" t="s">
        <v>10019</v>
      </c>
      <c r="E1680" t="s">
        <v>10011</v>
      </c>
      <c r="F1680" s="3" t="s">
        <v>10464</v>
      </c>
      <c r="G1680" t="s">
        <v>10608</v>
      </c>
    </row>
    <row r="1681" spans="1:13">
      <c r="A1681" s="503" t="s">
        <v>10780</v>
      </c>
      <c r="B1681" s="149" t="s">
        <v>10781</v>
      </c>
      <c r="C1681" s="149" t="s">
        <v>10534</v>
      </c>
      <c r="D1681" s="149" t="s">
        <v>2755</v>
      </c>
      <c r="E1681" s="149" t="s">
        <v>10314</v>
      </c>
      <c r="F1681" s="149" t="s">
        <v>10494</v>
      </c>
      <c r="G1681" s="149"/>
      <c r="H1681" s="149"/>
      <c r="I1681" s="149"/>
      <c r="J1681" s="149"/>
      <c r="K1681" s="149"/>
      <c r="L1681" s="149"/>
      <c r="M1681" s="149"/>
    </row>
    <row r="1682" spans="1:13">
      <c r="A1682" s="503">
        <v>45128</v>
      </c>
      <c r="B1682" s="149" t="s">
        <v>3431</v>
      </c>
      <c r="C1682" s="149" t="s">
        <v>10534</v>
      </c>
      <c r="D1682" s="149" t="s">
        <v>10019</v>
      </c>
      <c r="E1682" s="149" t="s">
        <v>10314</v>
      </c>
      <c r="F1682" s="149" t="s">
        <v>10782</v>
      </c>
      <c r="G1682" s="149"/>
      <c r="H1682" s="149"/>
      <c r="I1682" s="149"/>
      <c r="J1682" s="149"/>
      <c r="K1682" s="149"/>
      <c r="L1682" s="149"/>
      <c r="M1682" s="149"/>
    </row>
    <row r="1683" spans="1:13">
      <c r="A1683" s="503" t="s">
        <v>10783</v>
      </c>
      <c r="B1683" t="s">
        <v>10784</v>
      </c>
      <c r="C1683" s="149" t="s">
        <v>10534</v>
      </c>
      <c r="D1683" s="149" t="s">
        <v>2755</v>
      </c>
      <c r="E1683" s="149" t="s">
        <v>9998</v>
      </c>
      <c r="F1683" s="149" t="s">
        <v>10785</v>
      </c>
      <c r="G1683" s="149"/>
      <c r="H1683" s="149"/>
      <c r="I1683" s="149"/>
      <c r="J1683" s="149"/>
      <c r="K1683" s="149"/>
      <c r="L1683" s="149"/>
      <c r="M1683" s="149"/>
    </row>
    <row r="1684" spans="1:13">
      <c r="A1684" s="503">
        <v>45131</v>
      </c>
      <c r="B1684" s="149" t="s">
        <v>3305</v>
      </c>
      <c r="C1684" s="149" t="s">
        <v>10534</v>
      </c>
      <c r="D1684" s="149" t="s">
        <v>2755</v>
      </c>
      <c r="E1684" s="149" t="s">
        <v>10026</v>
      </c>
      <c r="F1684" s="149" t="s">
        <v>10494</v>
      </c>
      <c r="G1684" s="149"/>
      <c r="H1684" s="149"/>
      <c r="I1684" s="149"/>
      <c r="J1684" s="149"/>
      <c r="K1684" s="149"/>
      <c r="L1684" s="149"/>
      <c r="M1684" s="149"/>
    </row>
    <row r="1685" spans="1:13">
      <c r="A1685" s="503">
        <v>45131</v>
      </c>
      <c r="B1685" s="461" t="s">
        <v>6226</v>
      </c>
      <c r="C1685" s="149" t="s">
        <v>10534</v>
      </c>
      <c r="D1685" s="149" t="s">
        <v>2755</v>
      </c>
      <c r="E1685" s="149" t="s">
        <v>10026</v>
      </c>
      <c r="F1685" s="149" t="s">
        <v>10394</v>
      </c>
      <c r="G1685" s="149" t="s">
        <v>10579</v>
      </c>
      <c r="H1685" s="149"/>
      <c r="I1685" s="149"/>
      <c r="J1685" s="149"/>
      <c r="K1685" s="149"/>
      <c r="L1685" s="149"/>
      <c r="M1685" s="149"/>
    </row>
    <row r="1686" spans="1:13">
      <c r="A1686" s="503">
        <v>45131</v>
      </c>
      <c r="B1686" s="461" t="s">
        <v>10786</v>
      </c>
      <c r="C1686" s="149" t="s">
        <v>10534</v>
      </c>
      <c r="D1686" s="149" t="s">
        <v>2755</v>
      </c>
      <c r="E1686" s="149" t="s">
        <v>10289</v>
      </c>
      <c r="F1686" s="149" t="s">
        <v>10530</v>
      </c>
      <c r="G1686" s="149" t="s">
        <v>10608</v>
      </c>
      <c r="H1686" s="149"/>
      <c r="I1686" s="149"/>
      <c r="J1686" s="149"/>
      <c r="K1686" s="149"/>
      <c r="L1686" s="149"/>
      <c r="M1686" s="149"/>
    </row>
    <row r="1687" spans="1:13" hidden="1">
      <c r="A1687" s="503">
        <v>45131</v>
      </c>
      <c r="B1687" s="149" t="s">
        <v>10787</v>
      </c>
      <c r="C1687" s="149"/>
      <c r="D1687" s="149"/>
      <c r="E1687" s="149"/>
      <c r="F1687" s="149"/>
      <c r="G1687" s="149"/>
      <c r="H1687" s="149"/>
      <c r="I1687" s="149"/>
      <c r="J1687" s="149"/>
      <c r="K1687" s="149"/>
      <c r="L1687" s="149"/>
      <c r="M1687" s="149"/>
    </row>
    <row r="1688" spans="1:13">
      <c r="A1688" s="503" t="s">
        <v>10788</v>
      </c>
      <c r="B1688" s="108" t="s">
        <v>10787</v>
      </c>
      <c r="C1688" s="149" t="s">
        <v>10534</v>
      </c>
      <c r="D1688" s="149" t="s">
        <v>10019</v>
      </c>
      <c r="E1688" s="149" t="s">
        <v>9998</v>
      </c>
      <c r="F1688" s="149" t="s">
        <v>10199</v>
      </c>
      <c r="G1688" s="149"/>
      <c r="H1688" s="149"/>
      <c r="I1688" s="149"/>
      <c r="J1688" s="149"/>
      <c r="K1688" s="149"/>
      <c r="L1688" s="149"/>
      <c r="M1688" s="149"/>
    </row>
    <row r="1689" spans="1:13">
      <c r="A1689" s="503" t="s">
        <v>10789</v>
      </c>
      <c r="B1689" s="149" t="s">
        <v>10790</v>
      </c>
      <c r="C1689" s="149" t="s">
        <v>10534</v>
      </c>
      <c r="D1689" s="149" t="s">
        <v>10019</v>
      </c>
      <c r="E1689" s="149" t="s">
        <v>10011</v>
      </c>
      <c r="F1689" s="149" t="s">
        <v>10494</v>
      </c>
      <c r="G1689" s="149"/>
      <c r="H1689" s="149"/>
      <c r="I1689" s="149"/>
      <c r="J1689" s="149"/>
      <c r="K1689" s="149"/>
      <c r="L1689" s="149"/>
      <c r="M1689" s="149"/>
    </row>
    <row r="1690" spans="1:13">
      <c r="A1690" s="503" t="s">
        <v>10789</v>
      </c>
      <c r="B1690" s="461" t="s">
        <v>10791</v>
      </c>
      <c r="C1690" s="149" t="s">
        <v>10534</v>
      </c>
      <c r="D1690" s="149" t="s">
        <v>10019</v>
      </c>
      <c r="E1690" s="149" t="s">
        <v>10011</v>
      </c>
      <c r="F1690" s="461" t="s">
        <v>10464</v>
      </c>
      <c r="G1690" s="149" t="s">
        <v>10608</v>
      </c>
      <c r="H1690" s="149"/>
      <c r="I1690" s="149"/>
      <c r="J1690" s="149"/>
      <c r="K1690" s="149"/>
      <c r="L1690" s="149"/>
      <c r="M1690" s="149"/>
    </row>
    <row r="1691" spans="1:13">
      <c r="A1691" s="503" t="s">
        <v>10789</v>
      </c>
      <c r="B1691" s="108" t="s">
        <v>10792</v>
      </c>
      <c r="C1691" s="149" t="s">
        <v>10534</v>
      </c>
      <c r="D1691" s="149" t="s">
        <v>2755</v>
      </c>
      <c r="E1691" s="149" t="s">
        <v>10209</v>
      </c>
      <c r="F1691" s="149" t="s">
        <v>10199</v>
      </c>
      <c r="G1691" s="149"/>
      <c r="H1691" s="149"/>
      <c r="I1691" s="149"/>
      <c r="J1691" s="149"/>
      <c r="K1691" s="149"/>
      <c r="L1691" s="149"/>
      <c r="M1691" s="149"/>
    </row>
    <row r="1692" spans="1:13">
      <c r="A1692" s="550" t="s">
        <v>10789</v>
      </c>
      <c r="B1692" s="149" t="s">
        <v>3300</v>
      </c>
      <c r="C1692" s="149" t="s">
        <v>10534</v>
      </c>
      <c r="D1692" s="149" t="s">
        <v>2755</v>
      </c>
      <c r="E1692" s="149" t="s">
        <v>10289</v>
      </c>
      <c r="F1692" s="149" t="s">
        <v>10494</v>
      </c>
      <c r="G1692" s="149"/>
      <c r="H1692" s="149"/>
      <c r="I1692" s="149"/>
      <c r="J1692" s="149"/>
      <c r="K1692" s="149"/>
      <c r="L1692" s="149"/>
      <c r="M1692" s="149"/>
    </row>
    <row r="1693" spans="1:13">
      <c r="A1693" s="566" t="s">
        <v>10789</v>
      </c>
      <c r="B1693" s="505" t="s">
        <v>10793</v>
      </c>
      <c r="C1693" s="186" t="s">
        <v>10534</v>
      </c>
      <c r="D1693" s="186" t="s">
        <v>10019</v>
      </c>
      <c r="E1693" s="186" t="s">
        <v>10011</v>
      </c>
      <c r="F1693" s="149" t="s">
        <v>10394</v>
      </c>
      <c r="G1693" s="149"/>
      <c r="H1693" s="149"/>
      <c r="I1693" s="149"/>
      <c r="J1693" s="149"/>
      <c r="K1693" s="149"/>
      <c r="L1693" s="149"/>
      <c r="M1693" s="149"/>
    </row>
    <row r="1694" spans="1:13">
      <c r="A1694" s="503" t="s">
        <v>10789</v>
      </c>
      <c r="B1694" s="461" t="s">
        <v>10793</v>
      </c>
      <c r="C1694" s="149" t="s">
        <v>10534</v>
      </c>
      <c r="D1694" s="149" t="s">
        <v>10019</v>
      </c>
      <c r="E1694" s="149" t="s">
        <v>10007</v>
      </c>
      <c r="F1694" s="185" t="s">
        <v>10394</v>
      </c>
      <c r="G1694" s="149"/>
      <c r="H1694" s="149"/>
      <c r="I1694" s="149"/>
      <c r="J1694" s="149"/>
      <c r="K1694" s="149"/>
      <c r="L1694" s="149"/>
      <c r="M1694" s="149"/>
    </row>
    <row r="1695" spans="1:13">
      <c r="A1695" s="503" t="s">
        <v>10789</v>
      </c>
      <c r="B1695" s="149" t="s">
        <v>4347</v>
      </c>
      <c r="C1695" s="149" t="s">
        <v>10534</v>
      </c>
      <c r="D1695" s="149" t="s">
        <v>10019</v>
      </c>
      <c r="E1695" s="149" t="s">
        <v>10007</v>
      </c>
      <c r="F1695" s="185" t="s">
        <v>10494</v>
      </c>
      <c r="G1695" s="149"/>
      <c r="H1695" s="149"/>
      <c r="I1695" s="149"/>
      <c r="J1695" s="149"/>
      <c r="K1695" s="149"/>
      <c r="L1695" s="149"/>
      <c r="M1695" s="149"/>
    </row>
    <row r="1696" spans="1:13">
      <c r="A1696" s="503" t="s">
        <v>7437</v>
      </c>
      <c r="B1696" s="149" t="s">
        <v>10794</v>
      </c>
      <c r="C1696" s="149" t="s">
        <v>10534</v>
      </c>
      <c r="D1696" s="149" t="s">
        <v>2755</v>
      </c>
      <c r="E1696" s="149" t="s">
        <v>10007</v>
      </c>
      <c r="F1696" s="185" t="s">
        <v>10494</v>
      </c>
      <c r="G1696" s="149"/>
      <c r="H1696" s="149"/>
      <c r="I1696" s="149"/>
      <c r="J1696" s="149"/>
      <c r="K1696" s="149"/>
      <c r="L1696" s="149"/>
      <c r="M1696" s="149"/>
    </row>
    <row r="1697" spans="1:13">
      <c r="A1697" s="503" t="s">
        <v>7437</v>
      </c>
      <c r="B1697" s="149" t="s">
        <v>6236</v>
      </c>
      <c r="C1697" s="149" t="s">
        <v>10534</v>
      </c>
      <c r="D1697" s="149" t="s">
        <v>2755</v>
      </c>
      <c r="E1697" s="149" t="s">
        <v>10007</v>
      </c>
      <c r="F1697" s="185"/>
      <c r="G1697" s="149"/>
      <c r="H1697" s="149"/>
      <c r="I1697" s="149"/>
      <c r="J1697" s="149"/>
      <c r="K1697" s="149"/>
      <c r="L1697" s="149"/>
      <c r="M1697" s="149"/>
    </row>
    <row r="1698" spans="1:13">
      <c r="A1698" s="503" t="s">
        <v>4348</v>
      </c>
      <c r="B1698" s="461" t="s">
        <v>10795</v>
      </c>
      <c r="C1698" s="149" t="s">
        <v>10534</v>
      </c>
      <c r="D1698" s="149" t="s">
        <v>10019</v>
      </c>
      <c r="E1698" s="149" t="s">
        <v>9998</v>
      </c>
      <c r="F1698" s="532" t="s">
        <v>10394</v>
      </c>
      <c r="G1698" s="149" t="s">
        <v>10577</v>
      </c>
      <c r="H1698" s="149"/>
      <c r="I1698" s="149"/>
      <c r="J1698" s="149"/>
      <c r="K1698" s="149"/>
      <c r="L1698" s="149"/>
      <c r="M1698" s="149"/>
    </row>
    <row r="1699" spans="1:13">
      <c r="A1699" s="503" t="s">
        <v>4348</v>
      </c>
      <c r="B1699" s="149" t="s">
        <v>6079</v>
      </c>
      <c r="C1699" s="149" t="s">
        <v>10534</v>
      </c>
      <c r="D1699" s="149" t="s">
        <v>2755</v>
      </c>
      <c r="E1699" s="149" t="s">
        <v>10026</v>
      </c>
      <c r="F1699" s="534" t="s">
        <v>10494</v>
      </c>
      <c r="G1699" s="149"/>
      <c r="H1699" s="149"/>
      <c r="I1699" s="149"/>
      <c r="J1699" s="149"/>
      <c r="K1699" s="149"/>
      <c r="L1699" s="149"/>
      <c r="M1699" s="149"/>
    </row>
    <row r="1700" spans="1:13">
      <c r="A1700" s="503" t="s">
        <v>4348</v>
      </c>
      <c r="B1700" s="149" t="s">
        <v>692</v>
      </c>
      <c r="C1700" s="149" t="s">
        <v>10534</v>
      </c>
      <c r="D1700" s="149" t="s">
        <v>10019</v>
      </c>
      <c r="E1700" s="149" t="s">
        <v>9998</v>
      </c>
      <c r="F1700" s="185" t="s">
        <v>10296</v>
      </c>
      <c r="G1700" s="149"/>
      <c r="H1700" s="149"/>
      <c r="I1700" s="149"/>
      <c r="J1700" s="149"/>
      <c r="K1700" s="149"/>
      <c r="L1700" s="149"/>
      <c r="M1700" s="149"/>
    </row>
    <row r="1701" spans="1:13">
      <c r="A1701" s="503" t="s">
        <v>4348</v>
      </c>
      <c r="B1701" s="149" t="s">
        <v>905</v>
      </c>
      <c r="C1701" s="149" t="s">
        <v>10534</v>
      </c>
      <c r="D1701" s="149" t="s">
        <v>10019</v>
      </c>
      <c r="E1701" s="149" t="s">
        <v>10209</v>
      </c>
      <c r="F1701" s="185" t="s">
        <v>10796</v>
      </c>
      <c r="G1701" s="149"/>
      <c r="H1701" s="149"/>
      <c r="I1701" s="149"/>
      <c r="J1701" s="149"/>
      <c r="K1701" s="149"/>
      <c r="L1701" s="149"/>
      <c r="M1701" s="149"/>
    </row>
    <row r="1702" spans="1:13">
      <c r="A1702" s="503" t="s">
        <v>4348</v>
      </c>
      <c r="B1702" s="149" t="s">
        <v>7417</v>
      </c>
      <c r="C1702" s="149" t="s">
        <v>10534</v>
      </c>
      <c r="D1702" s="149" t="s">
        <v>10797</v>
      </c>
      <c r="E1702" s="149" t="s">
        <v>9996</v>
      </c>
      <c r="F1702" s="185" t="s">
        <v>10494</v>
      </c>
      <c r="G1702" s="149"/>
      <c r="H1702" s="149"/>
      <c r="I1702" s="149"/>
      <c r="J1702" s="149"/>
      <c r="K1702" s="149"/>
      <c r="L1702" s="149"/>
      <c r="M1702" s="149"/>
    </row>
    <row r="1703" spans="1:13">
      <c r="A1703" s="478"/>
      <c r="B1703" s="421" t="s">
        <v>10798</v>
      </c>
      <c r="C1703" s="199"/>
      <c r="D1703" s="149"/>
      <c r="E1703" s="149"/>
      <c r="F1703" s="149"/>
      <c r="G1703" s="149"/>
      <c r="H1703" s="149"/>
      <c r="I1703" s="149"/>
      <c r="J1703" s="149"/>
      <c r="K1703" s="149"/>
      <c r="L1703" s="149"/>
      <c r="M1703" s="149"/>
    </row>
    <row r="1704" spans="1:13">
      <c r="A1704" s="503">
        <v>44934</v>
      </c>
      <c r="B1704" s="149" t="s">
        <v>10799</v>
      </c>
      <c r="C1704" s="149" t="s">
        <v>10534</v>
      </c>
      <c r="D1704" s="149" t="s">
        <v>7720</v>
      </c>
      <c r="E1704" s="185" t="s">
        <v>10010</v>
      </c>
      <c r="F1704" s="149" t="s">
        <v>10494</v>
      </c>
      <c r="G1704" s="149"/>
      <c r="H1704" s="149"/>
      <c r="I1704" s="149"/>
      <c r="J1704" s="149"/>
      <c r="K1704" s="149"/>
      <c r="L1704" s="149"/>
      <c r="M1704" s="149"/>
    </row>
    <row r="1705" spans="1:13">
      <c r="A1705" s="503">
        <v>44934</v>
      </c>
      <c r="B1705" s="149" t="s">
        <v>3086</v>
      </c>
      <c r="C1705" s="149" t="s">
        <v>10534</v>
      </c>
      <c r="D1705" s="149" t="s">
        <v>7720</v>
      </c>
      <c r="E1705" s="185" t="s">
        <v>10011</v>
      </c>
      <c r="F1705" s="149" t="s">
        <v>10494</v>
      </c>
      <c r="G1705" s="149"/>
      <c r="H1705" s="149"/>
      <c r="I1705" s="149"/>
      <c r="J1705" s="149"/>
      <c r="K1705" s="149"/>
      <c r="L1705" s="149"/>
      <c r="M1705" s="149"/>
    </row>
    <row r="1706" spans="1:13">
      <c r="A1706" s="503">
        <v>44934</v>
      </c>
      <c r="B1706" s="149" t="s">
        <v>10800</v>
      </c>
      <c r="C1706" s="149" t="s">
        <v>10534</v>
      </c>
      <c r="D1706" s="149" t="s">
        <v>7720</v>
      </c>
      <c r="E1706" s="185" t="s">
        <v>10011</v>
      </c>
      <c r="F1706" s="149" t="s">
        <v>10801</v>
      </c>
      <c r="G1706" s="149"/>
      <c r="H1706" s="149"/>
      <c r="I1706" s="149"/>
      <c r="J1706" s="149"/>
      <c r="K1706" s="149"/>
      <c r="L1706" s="149"/>
      <c r="M1706" s="149"/>
    </row>
    <row r="1707" spans="1:13">
      <c r="A1707" s="503">
        <v>44934</v>
      </c>
      <c r="B1707" s="149" t="s">
        <v>3224</v>
      </c>
      <c r="C1707" s="149" t="s">
        <v>10534</v>
      </c>
      <c r="D1707" s="149" t="s">
        <v>7720</v>
      </c>
      <c r="E1707" s="185" t="s">
        <v>10209</v>
      </c>
      <c r="F1707" s="149" t="s">
        <v>10532</v>
      </c>
      <c r="G1707" s="149"/>
      <c r="H1707" s="149"/>
      <c r="I1707" s="149"/>
      <c r="J1707" s="149"/>
      <c r="K1707" s="149"/>
      <c r="L1707" s="149"/>
      <c r="M1707" s="149"/>
    </row>
    <row r="1708" spans="1:13">
      <c r="A1708" s="503">
        <v>44934</v>
      </c>
      <c r="B1708" s="149" t="s">
        <v>6252</v>
      </c>
      <c r="C1708" s="149" t="s">
        <v>10534</v>
      </c>
      <c r="D1708" s="149" t="s">
        <v>7720</v>
      </c>
      <c r="E1708" s="185" t="s">
        <v>10010</v>
      </c>
      <c r="F1708" s="149" t="s">
        <v>10802</v>
      </c>
      <c r="G1708" s="149"/>
      <c r="H1708" s="149"/>
      <c r="I1708" s="149"/>
      <c r="J1708" s="149"/>
      <c r="K1708" s="149"/>
      <c r="L1708" s="149"/>
      <c r="M1708" s="149"/>
    </row>
    <row r="1709" spans="1:13">
      <c r="A1709" s="503">
        <v>44934</v>
      </c>
      <c r="B1709" s="149" t="s">
        <v>6238</v>
      </c>
      <c r="C1709" s="149" t="s">
        <v>10534</v>
      </c>
      <c r="D1709" s="149" t="s">
        <v>7720</v>
      </c>
      <c r="E1709" s="185" t="s">
        <v>10209</v>
      </c>
      <c r="F1709" s="149" t="s">
        <v>10494</v>
      </c>
      <c r="G1709" s="149"/>
      <c r="H1709" s="149"/>
      <c r="I1709" s="149"/>
      <c r="J1709" s="149"/>
      <c r="K1709" s="149"/>
      <c r="L1709" s="149"/>
      <c r="M1709" s="149"/>
    </row>
    <row r="1710" spans="1:13">
      <c r="A1710" s="503">
        <v>44965</v>
      </c>
      <c r="B1710" s="461" t="s">
        <v>10803</v>
      </c>
      <c r="C1710" s="149" t="s">
        <v>10534</v>
      </c>
      <c r="D1710" s="149" t="s">
        <v>7720</v>
      </c>
      <c r="E1710" s="185" t="s">
        <v>10209</v>
      </c>
      <c r="F1710" s="461" t="s">
        <v>10610</v>
      </c>
      <c r="G1710" s="149"/>
      <c r="H1710" s="149"/>
      <c r="I1710" s="149"/>
      <c r="J1710" s="149"/>
      <c r="K1710" s="149"/>
      <c r="L1710" s="149"/>
      <c r="M1710" s="149"/>
    </row>
    <row r="1711" spans="1:13">
      <c r="A1711" s="503">
        <v>44965</v>
      </c>
      <c r="B1711" s="461" t="s">
        <v>10804</v>
      </c>
      <c r="C1711" s="149" t="s">
        <v>10534</v>
      </c>
      <c r="D1711" s="149" t="s">
        <v>7720</v>
      </c>
      <c r="E1711" s="185" t="s">
        <v>10209</v>
      </c>
      <c r="F1711" s="461" t="s">
        <v>10608</v>
      </c>
      <c r="G1711" s="149"/>
      <c r="H1711" s="149"/>
      <c r="I1711" s="149"/>
      <c r="J1711" s="149"/>
      <c r="K1711" s="149"/>
      <c r="L1711" s="149"/>
      <c r="M1711" s="149"/>
    </row>
    <row r="1712" spans="1:13">
      <c r="A1712" s="503">
        <v>44965</v>
      </c>
      <c r="B1712" s="149" t="s">
        <v>10805</v>
      </c>
      <c r="C1712" s="149" t="s">
        <v>10534</v>
      </c>
      <c r="D1712" s="149" t="s">
        <v>7720</v>
      </c>
      <c r="E1712" s="185" t="s">
        <v>10314</v>
      </c>
      <c r="F1712" s="149" t="s">
        <v>10494</v>
      </c>
      <c r="G1712" s="149"/>
      <c r="H1712" s="149"/>
      <c r="I1712" s="149"/>
      <c r="J1712" s="149"/>
      <c r="K1712" s="149"/>
      <c r="L1712" s="149"/>
      <c r="M1712" s="149"/>
    </row>
    <row r="1713" spans="1:13">
      <c r="A1713" s="503">
        <v>44993</v>
      </c>
      <c r="B1713" s="149" t="s">
        <v>10806</v>
      </c>
      <c r="C1713" s="149" t="s">
        <v>10534</v>
      </c>
      <c r="D1713" s="149" t="s">
        <v>7720</v>
      </c>
      <c r="E1713" s="185" t="s">
        <v>10314</v>
      </c>
      <c r="F1713" s="149" t="s">
        <v>10807</v>
      </c>
      <c r="G1713" s="149"/>
      <c r="H1713" s="149"/>
      <c r="I1713" s="149"/>
      <c r="J1713" s="149"/>
      <c r="K1713" s="149"/>
      <c r="L1713" s="149"/>
      <c r="M1713" s="149"/>
    </row>
    <row r="1714" spans="1:13">
      <c r="A1714" s="503">
        <v>44993</v>
      </c>
      <c r="B1714" s="149" t="s">
        <v>10808</v>
      </c>
      <c r="C1714" s="149" t="s">
        <v>10534</v>
      </c>
      <c r="D1714" s="149" t="s">
        <v>7720</v>
      </c>
      <c r="E1714" s="185" t="s">
        <v>10314</v>
      </c>
      <c r="F1714" s="149" t="s">
        <v>10494</v>
      </c>
      <c r="G1714" s="149"/>
      <c r="H1714" s="149"/>
      <c r="I1714" s="149"/>
      <c r="J1714" s="149"/>
      <c r="K1714" s="149"/>
      <c r="L1714" s="149"/>
      <c r="M1714" s="149"/>
    </row>
    <row r="1715" spans="1:13">
      <c r="A1715" s="503">
        <v>44993</v>
      </c>
      <c r="B1715" s="149" t="s">
        <v>3247</v>
      </c>
      <c r="C1715" s="149" t="s">
        <v>10534</v>
      </c>
      <c r="D1715" s="149" t="s">
        <v>7720</v>
      </c>
      <c r="E1715" s="185" t="s">
        <v>9998</v>
      </c>
      <c r="F1715" s="149" t="s">
        <v>10494</v>
      </c>
      <c r="G1715" s="149"/>
      <c r="H1715" s="149"/>
      <c r="I1715" s="149"/>
      <c r="J1715" s="149"/>
      <c r="K1715" s="149"/>
      <c r="L1715" s="149"/>
      <c r="M1715" s="149"/>
    </row>
    <row r="1716" spans="1:13">
      <c r="A1716" s="503">
        <v>45115</v>
      </c>
      <c r="B1716" s="461" t="s">
        <v>10809</v>
      </c>
      <c r="C1716" s="149" t="s">
        <v>10534</v>
      </c>
      <c r="D1716" s="149" t="s">
        <v>10810</v>
      </c>
      <c r="E1716" s="185" t="s">
        <v>10289</v>
      </c>
      <c r="F1716" s="461" t="s">
        <v>10464</v>
      </c>
      <c r="G1716" s="149" t="s">
        <v>10608</v>
      </c>
      <c r="H1716" s="149"/>
      <c r="I1716" s="149"/>
      <c r="J1716" s="149"/>
      <c r="K1716" s="149"/>
      <c r="L1716" s="149"/>
      <c r="M1716" s="149"/>
    </row>
    <row r="1717" spans="1:13">
      <c r="A1717" s="503">
        <v>45115</v>
      </c>
      <c r="B1717" s="461" t="s">
        <v>10811</v>
      </c>
      <c r="C1717" s="149" t="s">
        <v>10534</v>
      </c>
      <c r="D1717" s="149" t="s">
        <v>10812</v>
      </c>
      <c r="E1717" s="185" t="s">
        <v>9998</v>
      </c>
      <c r="F1717" s="461" t="s">
        <v>10530</v>
      </c>
      <c r="G1717" s="149" t="s">
        <v>10579</v>
      </c>
      <c r="H1717" s="149"/>
      <c r="I1717" s="149"/>
      <c r="J1717" s="149"/>
      <c r="K1717" s="149"/>
      <c r="L1717" s="149"/>
      <c r="M1717" s="149"/>
    </row>
    <row r="1718" spans="1:13">
      <c r="A1718" s="503">
        <v>45115</v>
      </c>
      <c r="B1718" s="461" t="s">
        <v>10813</v>
      </c>
      <c r="C1718" s="149" t="s">
        <v>10534</v>
      </c>
      <c r="D1718" s="149" t="s">
        <v>10814</v>
      </c>
      <c r="E1718" s="185" t="s">
        <v>10289</v>
      </c>
      <c r="F1718" s="461" t="s">
        <v>10815</v>
      </c>
      <c r="G1718" s="149" t="s">
        <v>10579</v>
      </c>
      <c r="H1718" s="149"/>
      <c r="I1718" s="149"/>
      <c r="J1718" s="149"/>
      <c r="K1718" s="149"/>
      <c r="L1718" s="149"/>
      <c r="M1718" s="149"/>
    </row>
    <row r="1719" spans="1:13">
      <c r="A1719" s="503">
        <v>45115</v>
      </c>
      <c r="B1719" s="149" t="s">
        <v>6254</v>
      </c>
      <c r="C1719" s="149" t="s">
        <v>10534</v>
      </c>
      <c r="D1719" s="149" t="s">
        <v>7720</v>
      </c>
      <c r="E1719" s="185" t="s">
        <v>10209</v>
      </c>
      <c r="F1719" s="149" t="s">
        <v>10494</v>
      </c>
      <c r="G1719" s="149"/>
      <c r="H1719" s="149"/>
      <c r="I1719" s="149"/>
      <c r="J1719" s="149"/>
      <c r="K1719" s="149"/>
      <c r="L1719" s="149"/>
      <c r="M1719" s="149"/>
    </row>
    <row r="1720" spans="1:13">
      <c r="A1720" s="503">
        <v>45115</v>
      </c>
      <c r="B1720" s="149" t="s">
        <v>6256</v>
      </c>
      <c r="C1720" s="149" t="s">
        <v>10534</v>
      </c>
      <c r="D1720" s="149" t="s">
        <v>7720</v>
      </c>
      <c r="E1720" s="185" t="s">
        <v>10209</v>
      </c>
      <c r="F1720" s="149" t="s">
        <v>10494</v>
      </c>
      <c r="G1720" s="149"/>
      <c r="H1720" s="149"/>
      <c r="I1720" s="149"/>
      <c r="J1720" s="149"/>
      <c r="K1720" s="149"/>
      <c r="L1720" s="149"/>
      <c r="M1720" s="149"/>
    </row>
    <row r="1721" spans="1:13">
      <c r="A1721" s="503">
        <v>45115</v>
      </c>
      <c r="B1721" s="149" t="s">
        <v>6258</v>
      </c>
      <c r="C1721" s="149" t="s">
        <v>10534</v>
      </c>
      <c r="D1721" s="149" t="s">
        <v>7720</v>
      </c>
      <c r="E1721" s="185" t="s">
        <v>10209</v>
      </c>
      <c r="F1721" s="149" t="s">
        <v>10494</v>
      </c>
      <c r="G1721" s="149"/>
      <c r="H1721" s="149"/>
      <c r="I1721" s="149"/>
      <c r="J1721" s="149"/>
      <c r="K1721" s="149"/>
      <c r="L1721" s="149"/>
      <c r="M1721" s="149"/>
    </row>
    <row r="1722" spans="1:13">
      <c r="A1722" s="503">
        <v>45115</v>
      </c>
      <c r="B1722" s="149" t="s">
        <v>10816</v>
      </c>
      <c r="C1722" s="149" t="s">
        <v>10534</v>
      </c>
      <c r="D1722" s="149" t="s">
        <v>7720</v>
      </c>
      <c r="E1722" s="185" t="s">
        <v>10817</v>
      </c>
      <c r="F1722" s="149" t="s">
        <v>10818</v>
      </c>
      <c r="G1722" s="149"/>
      <c r="H1722" s="149"/>
      <c r="I1722" s="149"/>
      <c r="J1722" s="149"/>
      <c r="K1722" s="149"/>
      <c r="L1722" s="149"/>
      <c r="M1722" s="149"/>
    </row>
    <row r="1723" spans="1:13">
      <c r="A1723" s="567">
        <v>45177</v>
      </c>
      <c r="B1723" s="187" t="s">
        <v>6260</v>
      </c>
      <c r="C1723" s="187" t="s">
        <v>10534</v>
      </c>
      <c r="D1723" s="187" t="s">
        <v>7720</v>
      </c>
      <c r="E1723" s="149" t="s">
        <v>10011</v>
      </c>
      <c r="F1723" s="149" t="s">
        <v>10819</v>
      </c>
      <c r="G1723" s="149"/>
      <c r="H1723" s="149"/>
      <c r="I1723" s="149"/>
      <c r="J1723" s="149"/>
      <c r="K1723" s="149"/>
      <c r="L1723" s="149"/>
      <c r="M1723" s="149"/>
    </row>
    <row r="1724" spans="1:13">
      <c r="A1724" s="567">
        <v>45177</v>
      </c>
      <c r="B1724" s="187" t="s">
        <v>6270</v>
      </c>
      <c r="C1724" s="187" t="s">
        <v>10534</v>
      </c>
      <c r="D1724" s="187" t="s">
        <v>7720</v>
      </c>
      <c r="E1724" s="149" t="s">
        <v>10820</v>
      </c>
      <c r="F1724" s="149" t="s">
        <v>10494</v>
      </c>
      <c r="G1724" s="149"/>
      <c r="H1724" s="149"/>
      <c r="I1724" s="149"/>
      <c r="J1724" s="149"/>
      <c r="K1724" s="149"/>
      <c r="L1724" s="149"/>
      <c r="M1724" s="149"/>
    </row>
    <row r="1725" spans="1:13">
      <c r="A1725" s="567">
        <v>45238</v>
      </c>
      <c r="B1725" s="187" t="s">
        <v>3825</v>
      </c>
      <c r="C1725" s="187" t="s">
        <v>10534</v>
      </c>
      <c r="D1725" s="187" t="s">
        <v>7720</v>
      </c>
      <c r="E1725" s="149" t="s">
        <v>10314</v>
      </c>
      <c r="F1725" s="149" t="s">
        <v>10821</v>
      </c>
      <c r="G1725" s="149"/>
      <c r="H1725" s="149"/>
      <c r="I1725" s="149"/>
      <c r="J1725" s="149"/>
      <c r="K1725" s="149"/>
      <c r="L1725" s="149"/>
      <c r="M1725" s="149"/>
    </row>
    <row r="1726" spans="1:13">
      <c r="A1726" s="567">
        <v>45268</v>
      </c>
      <c r="B1726" s="187" t="s">
        <v>10822</v>
      </c>
      <c r="C1726" s="187" t="s">
        <v>10534</v>
      </c>
      <c r="D1726" s="187" t="s">
        <v>10040</v>
      </c>
      <c r="E1726" s="149" t="s">
        <v>10209</v>
      </c>
      <c r="F1726" s="149" t="s">
        <v>10494</v>
      </c>
      <c r="G1726" s="149"/>
      <c r="H1726" s="149"/>
      <c r="I1726" s="149"/>
      <c r="J1726" s="149"/>
      <c r="K1726" s="149"/>
      <c r="L1726" s="149"/>
      <c r="M1726" s="149"/>
    </row>
    <row r="1727" spans="1:13">
      <c r="A1727" s="567">
        <v>45268</v>
      </c>
      <c r="B1727" s="187" t="s">
        <v>6274</v>
      </c>
      <c r="C1727" s="187" t="s">
        <v>10534</v>
      </c>
      <c r="D1727" s="187" t="s">
        <v>7720</v>
      </c>
      <c r="E1727" s="149" t="s">
        <v>9998</v>
      </c>
      <c r="F1727" s="149" t="s">
        <v>10494</v>
      </c>
      <c r="G1727" s="149"/>
      <c r="H1727" s="149"/>
      <c r="I1727" s="149"/>
      <c r="J1727" s="149"/>
      <c r="K1727" s="149"/>
      <c r="L1727" s="149"/>
      <c r="M1727" s="149"/>
    </row>
    <row r="1728" spans="1:13">
      <c r="A1728" s="567" t="s">
        <v>7435</v>
      </c>
      <c r="B1728" s="187" t="s">
        <v>3301</v>
      </c>
      <c r="C1728" s="187" t="s">
        <v>10534</v>
      </c>
      <c r="D1728" s="187" t="s">
        <v>7720</v>
      </c>
      <c r="E1728" s="187" t="s">
        <v>9998</v>
      </c>
      <c r="F1728" s="149" t="s">
        <v>10823</v>
      </c>
      <c r="G1728" s="149"/>
      <c r="H1728" s="149"/>
      <c r="I1728" s="149"/>
      <c r="J1728" s="149"/>
      <c r="K1728" s="149"/>
      <c r="L1728" s="149"/>
      <c r="M1728" s="149"/>
    </row>
    <row r="1729" spans="1:13">
      <c r="A1729" s="567" t="s">
        <v>7435</v>
      </c>
      <c r="B1729" s="187" t="s">
        <v>10824</v>
      </c>
      <c r="C1729" s="187" t="s">
        <v>10534</v>
      </c>
      <c r="D1729" s="187" t="s">
        <v>7720</v>
      </c>
      <c r="E1729" s="149" t="s">
        <v>10209</v>
      </c>
      <c r="F1729" s="149" t="s">
        <v>10825</v>
      </c>
      <c r="G1729" s="149"/>
      <c r="H1729" s="149"/>
      <c r="I1729" s="149"/>
      <c r="J1729" s="149"/>
      <c r="K1729" s="149"/>
      <c r="L1729" s="149"/>
      <c r="M1729" s="149"/>
    </row>
    <row r="1730" spans="1:13">
      <c r="A1730" s="567" t="s">
        <v>7435</v>
      </c>
      <c r="B1730" s="187" t="s">
        <v>6278</v>
      </c>
      <c r="C1730" s="187" t="s">
        <v>10534</v>
      </c>
      <c r="D1730" s="187" t="s">
        <v>7720</v>
      </c>
      <c r="E1730" s="149" t="s">
        <v>10011</v>
      </c>
      <c r="F1730" s="149" t="s">
        <v>10825</v>
      </c>
      <c r="G1730" s="149"/>
      <c r="H1730" s="149"/>
      <c r="I1730" s="149"/>
      <c r="J1730" s="149"/>
      <c r="K1730" s="149"/>
      <c r="L1730" s="149"/>
      <c r="M1730" s="149"/>
    </row>
    <row r="1731" spans="1:13">
      <c r="A1731" s="567" t="s">
        <v>7435</v>
      </c>
      <c r="B1731" s="472" t="s">
        <v>6276</v>
      </c>
      <c r="C1731" s="187" t="s">
        <v>10534</v>
      </c>
      <c r="D1731" s="187" t="s">
        <v>7720</v>
      </c>
      <c r="E1731" s="149" t="s">
        <v>9998</v>
      </c>
      <c r="F1731" s="149" t="s">
        <v>10394</v>
      </c>
      <c r="G1731" s="149"/>
      <c r="H1731" s="149"/>
      <c r="I1731" s="149"/>
      <c r="J1731" s="149"/>
      <c r="K1731" s="149"/>
      <c r="L1731" s="149"/>
      <c r="M1731" s="149"/>
    </row>
    <row r="1732" spans="1:13">
      <c r="A1732" s="567" t="s">
        <v>7435</v>
      </c>
      <c r="B1732" s="472" t="s">
        <v>3295</v>
      </c>
      <c r="C1732" s="187" t="s">
        <v>10534</v>
      </c>
      <c r="D1732" s="187" t="s">
        <v>7720</v>
      </c>
      <c r="E1732" s="149" t="s">
        <v>10225</v>
      </c>
      <c r="F1732" s="149" t="s">
        <v>10394</v>
      </c>
      <c r="G1732" s="149"/>
      <c r="H1732" s="149"/>
      <c r="I1732" s="149"/>
      <c r="J1732" s="149"/>
      <c r="K1732" s="149"/>
      <c r="L1732" s="149"/>
      <c r="M1732" s="149"/>
    </row>
    <row r="1733" spans="1:13">
      <c r="A1733" s="567" t="s">
        <v>7489</v>
      </c>
      <c r="B1733" s="187" t="s">
        <v>6280</v>
      </c>
      <c r="C1733" s="187" t="s">
        <v>10534</v>
      </c>
      <c r="D1733" s="187" t="s">
        <v>7720</v>
      </c>
      <c r="E1733" s="149" t="s">
        <v>10209</v>
      </c>
      <c r="F1733" s="149" t="s">
        <v>10826</v>
      </c>
      <c r="G1733" s="149"/>
      <c r="H1733" s="149"/>
      <c r="I1733" s="149"/>
      <c r="J1733" s="149"/>
      <c r="K1733" s="149"/>
      <c r="L1733" s="149"/>
      <c r="M1733" s="149"/>
    </row>
    <row r="1734" spans="1:13">
      <c r="A1734" s="567" t="s">
        <v>7489</v>
      </c>
      <c r="B1734" s="472" t="s">
        <v>5254</v>
      </c>
      <c r="C1734" s="187" t="s">
        <v>10534</v>
      </c>
      <c r="D1734" s="187" t="s">
        <v>7720</v>
      </c>
      <c r="E1734" s="149" t="s">
        <v>10007</v>
      </c>
      <c r="F1734" s="149" t="s">
        <v>10394</v>
      </c>
      <c r="G1734" s="149"/>
      <c r="H1734" s="149"/>
      <c r="I1734" s="149"/>
      <c r="J1734" s="149"/>
      <c r="K1734" s="149"/>
      <c r="L1734" s="149"/>
      <c r="M1734" s="149"/>
    </row>
    <row r="1735" spans="1:13">
      <c r="A1735" s="567" t="s">
        <v>7491</v>
      </c>
      <c r="B1735" s="472" t="s">
        <v>10827</v>
      </c>
      <c r="C1735" s="187" t="s">
        <v>10534</v>
      </c>
      <c r="D1735" s="187" t="s">
        <v>10828</v>
      </c>
      <c r="E1735" s="149" t="s">
        <v>10011</v>
      </c>
      <c r="F1735" s="149" t="s">
        <v>10461</v>
      </c>
      <c r="G1735" s="149"/>
      <c r="H1735" s="149"/>
      <c r="I1735" s="149"/>
      <c r="J1735" s="149"/>
      <c r="K1735" s="149"/>
      <c r="L1735" s="149"/>
      <c r="M1735" s="149"/>
    </row>
    <row r="1736" spans="1:13">
      <c r="A1736" s="567" t="s">
        <v>7491</v>
      </c>
      <c r="B1736" s="187" t="s">
        <v>6284</v>
      </c>
      <c r="C1736" s="187" t="s">
        <v>10534</v>
      </c>
      <c r="D1736" s="187" t="s">
        <v>7720</v>
      </c>
      <c r="E1736" s="149" t="s">
        <v>10209</v>
      </c>
      <c r="F1736" s="149" t="s">
        <v>10818</v>
      </c>
      <c r="G1736" s="149"/>
      <c r="H1736" s="149"/>
      <c r="I1736" s="149"/>
      <c r="J1736" s="149"/>
      <c r="K1736" s="149"/>
      <c r="L1736" s="149"/>
      <c r="M1736" s="149"/>
    </row>
    <row r="1737" spans="1:13">
      <c r="A1737" s="567" t="s">
        <v>7482</v>
      </c>
      <c r="B1737" s="187" t="s">
        <v>4352</v>
      </c>
      <c r="C1737" s="187" t="s">
        <v>10534</v>
      </c>
      <c r="D1737" s="187" t="s">
        <v>7720</v>
      </c>
      <c r="E1737" s="149" t="s">
        <v>9998</v>
      </c>
      <c r="F1737" s="149" t="s">
        <v>10829</v>
      </c>
      <c r="G1737" s="149"/>
      <c r="H1737" s="149"/>
      <c r="I1737" s="149"/>
      <c r="J1737" s="149"/>
      <c r="K1737" s="149"/>
      <c r="L1737" s="149"/>
      <c r="M1737" s="149"/>
    </row>
    <row r="1738" spans="1:13">
      <c r="A1738" s="567" t="s">
        <v>7482</v>
      </c>
      <c r="B1738" s="187" t="s">
        <v>6288</v>
      </c>
      <c r="C1738" s="187" t="s">
        <v>10534</v>
      </c>
      <c r="D1738" s="187" t="s">
        <v>10828</v>
      </c>
      <c r="E1738" s="149" t="s">
        <v>10007</v>
      </c>
      <c r="F1738" s="149" t="s">
        <v>10807</v>
      </c>
      <c r="G1738" s="149"/>
      <c r="H1738" s="149"/>
      <c r="I1738" s="149"/>
      <c r="J1738" s="149"/>
      <c r="K1738" s="149"/>
      <c r="L1738" s="149"/>
      <c r="M1738" s="149"/>
    </row>
    <row r="1739" spans="1:13">
      <c r="A1739" s="567" t="s">
        <v>7482</v>
      </c>
      <c r="B1739" s="472" t="s">
        <v>6290</v>
      </c>
      <c r="C1739" s="187" t="s">
        <v>10534</v>
      </c>
      <c r="D1739" s="187" t="s">
        <v>7720</v>
      </c>
      <c r="E1739" s="149" t="s">
        <v>9998</v>
      </c>
      <c r="F1739" s="149" t="s">
        <v>10394</v>
      </c>
      <c r="G1739" s="149"/>
      <c r="H1739" s="149"/>
      <c r="I1739" s="149"/>
      <c r="J1739" s="149"/>
      <c r="K1739" s="149"/>
      <c r="L1739" s="149"/>
      <c r="M1739" s="149"/>
    </row>
    <row r="1740" spans="1:13">
      <c r="A1740" s="567" t="s">
        <v>7486</v>
      </c>
      <c r="B1740" s="187" t="s">
        <v>3939</v>
      </c>
      <c r="C1740" s="187" t="s">
        <v>10534</v>
      </c>
      <c r="D1740" s="187" t="s">
        <v>7720</v>
      </c>
      <c r="E1740" s="149" t="s">
        <v>10209</v>
      </c>
      <c r="F1740" s="149" t="s">
        <v>10296</v>
      </c>
      <c r="G1740" s="149"/>
      <c r="H1740" s="149"/>
      <c r="I1740" s="149"/>
      <c r="J1740" s="149"/>
      <c r="K1740" s="149"/>
      <c r="L1740" s="149"/>
      <c r="M1740" s="149"/>
    </row>
    <row r="1741" spans="1:13">
      <c r="A1741" s="567">
        <v>45159</v>
      </c>
      <c r="B1741" s="187" t="s">
        <v>6292</v>
      </c>
      <c r="C1741" s="187" t="s">
        <v>10534</v>
      </c>
      <c r="D1741" s="187" t="s">
        <v>7720</v>
      </c>
      <c r="E1741" s="149" t="s">
        <v>10209</v>
      </c>
      <c r="F1741" s="149" t="s">
        <v>10494</v>
      </c>
      <c r="G1741" s="149"/>
      <c r="H1741" s="149"/>
      <c r="I1741" s="149"/>
      <c r="J1741" s="149"/>
      <c r="K1741" s="149"/>
      <c r="L1741" s="149"/>
      <c r="M1741" s="149"/>
    </row>
    <row r="1742" spans="1:13">
      <c r="A1742" s="567" t="s">
        <v>7486</v>
      </c>
      <c r="B1742" s="187" t="s">
        <v>10830</v>
      </c>
      <c r="C1742" s="187" t="s">
        <v>10534</v>
      </c>
      <c r="D1742" s="187" t="s">
        <v>7720</v>
      </c>
      <c r="E1742" s="149" t="s">
        <v>10209</v>
      </c>
      <c r="F1742" s="149" t="s">
        <v>10829</v>
      </c>
      <c r="G1742" s="149"/>
      <c r="H1742" s="149"/>
      <c r="I1742" s="149"/>
      <c r="J1742" s="149"/>
      <c r="K1742" s="149"/>
      <c r="L1742" s="149"/>
      <c r="M1742" s="149"/>
    </row>
    <row r="1743" spans="1:13">
      <c r="A1743" s="567">
        <v>45162</v>
      </c>
      <c r="B1743" s="187" t="s">
        <v>10831</v>
      </c>
      <c r="C1743" s="187" t="s">
        <v>10534</v>
      </c>
      <c r="D1743" s="187" t="s">
        <v>7720</v>
      </c>
      <c r="E1743" s="149" t="s">
        <v>10289</v>
      </c>
      <c r="F1743" s="149" t="s">
        <v>10532</v>
      </c>
      <c r="G1743" s="149"/>
      <c r="H1743" s="149"/>
      <c r="I1743" s="149"/>
      <c r="J1743" s="149"/>
      <c r="K1743" s="149"/>
      <c r="L1743" s="149"/>
      <c r="M1743" s="149"/>
    </row>
    <row r="1744" spans="1:13">
      <c r="A1744" s="567">
        <v>45166</v>
      </c>
      <c r="B1744" s="472" t="s">
        <v>10832</v>
      </c>
      <c r="C1744" s="187" t="s">
        <v>10534</v>
      </c>
      <c r="D1744" s="187" t="s">
        <v>7720</v>
      </c>
      <c r="E1744" s="149" t="s">
        <v>10289</v>
      </c>
      <c r="F1744" s="149"/>
      <c r="G1744" s="149"/>
      <c r="H1744" s="149"/>
      <c r="I1744" s="149"/>
      <c r="J1744" s="149"/>
      <c r="K1744" s="149"/>
      <c r="L1744" s="149"/>
      <c r="M1744" s="149"/>
    </row>
    <row r="1745" spans="1:13">
      <c r="A1745" s="567">
        <v>45166</v>
      </c>
      <c r="B1745" s="187" t="s">
        <v>6304</v>
      </c>
      <c r="C1745" s="187" t="s">
        <v>8929</v>
      </c>
      <c r="D1745" s="187" t="s">
        <v>7720</v>
      </c>
      <c r="E1745" s="149" t="s">
        <v>10026</v>
      </c>
      <c r="F1745" s="149" t="s">
        <v>10494</v>
      </c>
      <c r="G1745" s="149"/>
      <c r="H1745" s="149"/>
      <c r="I1745" s="149"/>
      <c r="J1745" s="149"/>
      <c r="K1745" s="149"/>
      <c r="L1745" s="149"/>
      <c r="M1745" s="149"/>
    </row>
    <row r="1746" spans="1:13">
      <c r="A1746" s="567">
        <v>45166</v>
      </c>
      <c r="B1746" s="187" t="s">
        <v>6308</v>
      </c>
      <c r="C1746" s="187" t="s">
        <v>10534</v>
      </c>
      <c r="D1746" s="187" t="s">
        <v>7720</v>
      </c>
      <c r="E1746" s="149" t="s">
        <v>10209</v>
      </c>
      <c r="F1746" s="149" t="s">
        <v>10807</v>
      </c>
      <c r="G1746" s="149"/>
      <c r="H1746" s="149"/>
      <c r="I1746" s="149"/>
      <c r="J1746" s="149"/>
      <c r="K1746" s="149"/>
      <c r="L1746" s="149"/>
      <c r="M1746" s="149"/>
    </row>
    <row r="1747" spans="1:13">
      <c r="A1747" s="567">
        <v>45167</v>
      </c>
      <c r="B1747" s="187" t="s">
        <v>6310</v>
      </c>
      <c r="C1747" s="187" t="s">
        <v>10534</v>
      </c>
      <c r="D1747" s="187" t="s">
        <v>7720</v>
      </c>
      <c r="E1747" s="149" t="s">
        <v>10209</v>
      </c>
      <c r="F1747" s="149" t="s">
        <v>10494</v>
      </c>
      <c r="G1747" s="149"/>
      <c r="H1747" s="149"/>
      <c r="I1747" s="149"/>
      <c r="J1747" s="149"/>
      <c r="K1747" s="149"/>
      <c r="L1747" s="149"/>
      <c r="M1747" s="149"/>
    </row>
    <row r="1748" spans="1:13">
      <c r="A1748" s="478"/>
      <c r="B1748" s="421" t="s">
        <v>7543</v>
      </c>
      <c r="C1748" s="199"/>
      <c r="D1748" s="149"/>
      <c r="E1748" s="149"/>
      <c r="F1748" s="149"/>
      <c r="G1748" s="149"/>
      <c r="H1748" s="149"/>
      <c r="I1748" s="149"/>
      <c r="J1748" s="149"/>
      <c r="K1748" s="149"/>
      <c r="L1748" s="149"/>
      <c r="M1748" s="149"/>
    </row>
    <row r="1749" spans="1:13">
      <c r="A1749" s="567">
        <v>45170</v>
      </c>
      <c r="B1749" s="187" t="s">
        <v>10833</v>
      </c>
      <c r="C1749" s="187" t="s">
        <v>10534</v>
      </c>
      <c r="D1749" s="187" t="s">
        <v>7543</v>
      </c>
      <c r="E1749" s="149" t="s">
        <v>10314</v>
      </c>
      <c r="F1749" s="149" t="s">
        <v>10834</v>
      </c>
      <c r="G1749" s="149"/>
      <c r="H1749" s="149"/>
      <c r="I1749" s="149"/>
      <c r="J1749" s="149"/>
      <c r="K1749" s="149"/>
      <c r="L1749" s="149"/>
      <c r="M1749" s="149"/>
    </row>
    <row r="1750" spans="1:13">
      <c r="A1750" s="567">
        <v>45170</v>
      </c>
      <c r="B1750" s="187" t="s">
        <v>6330</v>
      </c>
      <c r="C1750" s="187" t="s">
        <v>10534</v>
      </c>
      <c r="D1750" s="187" t="s">
        <v>7543</v>
      </c>
      <c r="E1750" s="149" t="s">
        <v>10289</v>
      </c>
      <c r="F1750" s="149" t="s">
        <v>10494</v>
      </c>
      <c r="G1750" s="149"/>
      <c r="H1750" s="149"/>
      <c r="I1750" s="149"/>
      <c r="J1750" s="149"/>
      <c r="K1750" s="149"/>
      <c r="L1750" s="149"/>
      <c r="M1750" s="149"/>
    </row>
    <row r="1751" spans="1:13">
      <c r="A1751" s="567">
        <v>45173</v>
      </c>
      <c r="B1751" s="187" t="s">
        <v>5936</v>
      </c>
      <c r="C1751" s="187" t="s">
        <v>10534</v>
      </c>
      <c r="D1751" s="187" t="s">
        <v>7543</v>
      </c>
      <c r="E1751" s="149" t="s">
        <v>10209</v>
      </c>
      <c r="F1751" s="149" t="s">
        <v>10296</v>
      </c>
      <c r="G1751" s="149"/>
      <c r="H1751" s="149"/>
      <c r="I1751" s="149"/>
      <c r="J1751" s="149"/>
      <c r="K1751" s="149"/>
      <c r="L1751" s="149"/>
      <c r="M1751" s="149"/>
    </row>
    <row r="1752" spans="1:13">
      <c r="A1752" s="503">
        <v>45173</v>
      </c>
      <c r="B1752" s="570" t="s">
        <v>6336</v>
      </c>
      <c r="C1752" s="149" t="s">
        <v>10534</v>
      </c>
      <c r="D1752" s="149" t="s">
        <v>7543</v>
      </c>
      <c r="E1752" t="s">
        <v>10026</v>
      </c>
      <c r="F1752" s="149" t="s">
        <v>10494</v>
      </c>
      <c r="G1752" s="149"/>
      <c r="H1752" s="149"/>
      <c r="I1752" s="149"/>
      <c r="J1752" s="149"/>
      <c r="K1752" s="149"/>
      <c r="L1752" s="149"/>
      <c r="M1752" s="149"/>
    </row>
    <row r="1753" spans="1:13">
      <c r="A1753" s="503">
        <v>45173</v>
      </c>
      <c r="B1753" s="149" t="s">
        <v>10835</v>
      </c>
      <c r="C1753" s="149" t="s">
        <v>10534</v>
      </c>
      <c r="D1753" s="149" t="s">
        <v>7543</v>
      </c>
      <c r="E1753" s="149" t="s">
        <v>9998</v>
      </c>
      <c r="F1753" s="149" t="s">
        <v>10494</v>
      </c>
      <c r="G1753" s="149"/>
      <c r="H1753" s="149"/>
      <c r="I1753" s="149"/>
      <c r="J1753" s="149"/>
      <c r="K1753" s="149"/>
      <c r="L1753" s="149"/>
      <c r="M1753" s="149"/>
    </row>
    <row r="1754" spans="1:13" ht="15" customHeight="1">
      <c r="A1754" s="503">
        <v>45174</v>
      </c>
      <c r="B1754" s="573" t="s">
        <v>6344</v>
      </c>
      <c r="C1754" s="149" t="s">
        <v>10534</v>
      </c>
      <c r="D1754" s="149" t="s">
        <v>7543</v>
      </c>
      <c r="E1754" s="149" t="s">
        <v>10209</v>
      </c>
      <c r="F1754" s="149" t="s">
        <v>10836</v>
      </c>
      <c r="G1754" s="149"/>
      <c r="H1754" s="149"/>
      <c r="I1754" s="149"/>
      <c r="J1754" s="149"/>
      <c r="K1754" s="149"/>
      <c r="L1754" s="149"/>
      <c r="M1754" s="149"/>
    </row>
    <row r="1755" spans="1:13">
      <c r="A1755" s="503">
        <v>45174</v>
      </c>
      <c r="B1755" s="149" t="s">
        <v>10837</v>
      </c>
      <c r="C1755" s="149" t="s">
        <v>10534</v>
      </c>
      <c r="D1755" s="149" t="s">
        <v>7543</v>
      </c>
      <c r="E1755" s="149" t="s">
        <v>10026</v>
      </c>
      <c r="F1755" s="149" t="s">
        <v>10785</v>
      </c>
      <c r="G1755" s="149"/>
      <c r="H1755" s="149"/>
      <c r="I1755" s="149"/>
      <c r="J1755" s="149"/>
      <c r="K1755" s="149"/>
      <c r="L1755" s="149"/>
      <c r="M1755" s="149"/>
    </row>
    <row r="1756" spans="1:13">
      <c r="A1756" s="566">
        <v>45177</v>
      </c>
      <c r="B1756" s="186" t="s">
        <v>4455</v>
      </c>
      <c r="C1756" s="186" t="s">
        <v>8929</v>
      </c>
      <c r="D1756" s="186" t="s">
        <v>7543</v>
      </c>
      <c r="E1756" s="149" t="s">
        <v>9996</v>
      </c>
      <c r="F1756" s="149" t="s">
        <v>10296</v>
      </c>
      <c r="G1756" s="149"/>
      <c r="H1756" s="149"/>
      <c r="I1756" s="149"/>
      <c r="J1756" s="149"/>
      <c r="K1756" s="149"/>
      <c r="L1756" s="149"/>
      <c r="M1756" s="149"/>
    </row>
    <row r="1757" spans="1:13" ht="18">
      <c r="A1757" s="503">
        <v>45177</v>
      </c>
      <c r="B1757" s="575" t="s">
        <v>3401</v>
      </c>
      <c r="C1757" s="149" t="s">
        <v>10534</v>
      </c>
      <c r="D1757" s="149" t="s">
        <v>7543</v>
      </c>
      <c r="E1757" s="185" t="s">
        <v>10209</v>
      </c>
      <c r="F1757" s="149" t="s">
        <v>10494</v>
      </c>
      <c r="G1757" s="149"/>
      <c r="H1757" s="149"/>
      <c r="I1757" s="149"/>
      <c r="J1757" s="149"/>
      <c r="K1757" s="149"/>
      <c r="L1757" s="149"/>
      <c r="M1757" s="149"/>
    </row>
    <row r="1758" spans="1:13">
      <c r="A1758" s="503">
        <v>45180</v>
      </c>
      <c r="B1758" s="149" t="s">
        <v>6354</v>
      </c>
      <c r="C1758" s="149" t="s">
        <v>10534</v>
      </c>
      <c r="D1758" s="149" t="s">
        <v>7543</v>
      </c>
      <c r="E1758" s="185" t="s">
        <v>10209</v>
      </c>
      <c r="F1758" s="149" t="s">
        <v>10494</v>
      </c>
      <c r="G1758" s="149"/>
      <c r="H1758" s="149"/>
      <c r="I1758" s="149"/>
      <c r="J1758" s="149"/>
      <c r="K1758" s="149"/>
      <c r="L1758" s="149"/>
      <c r="M1758" s="149"/>
    </row>
    <row r="1759" spans="1:13">
      <c r="A1759" s="503">
        <v>45180</v>
      </c>
      <c r="B1759" s="149" t="s">
        <v>6352</v>
      </c>
      <c r="C1759" s="149" t="s">
        <v>10534</v>
      </c>
      <c r="D1759" s="149" t="s">
        <v>7543</v>
      </c>
      <c r="E1759" s="185" t="s">
        <v>10314</v>
      </c>
      <c r="F1759" s="149" t="s">
        <v>10494</v>
      </c>
      <c r="G1759" s="149"/>
      <c r="H1759" s="149"/>
      <c r="I1759" s="149"/>
      <c r="J1759" s="149"/>
      <c r="K1759" s="149"/>
      <c r="L1759" s="149"/>
      <c r="M1759" s="149"/>
    </row>
    <row r="1760" spans="1:13" ht="18">
      <c r="A1760" s="503">
        <v>45180</v>
      </c>
      <c r="B1760" s="575" t="s">
        <v>3498</v>
      </c>
      <c r="C1760" s="149" t="s">
        <v>10534</v>
      </c>
      <c r="D1760" s="149" t="s">
        <v>7543</v>
      </c>
      <c r="E1760" s="185" t="s">
        <v>10004</v>
      </c>
      <c r="F1760" s="149" t="s">
        <v>10494</v>
      </c>
      <c r="G1760" s="149"/>
      <c r="H1760" s="149"/>
      <c r="I1760" s="149"/>
      <c r="J1760" s="149"/>
      <c r="K1760" s="149"/>
      <c r="L1760" s="149"/>
      <c r="M1760" s="149"/>
    </row>
    <row r="1761" spans="1:13" ht="18">
      <c r="A1761" s="503">
        <v>45183</v>
      </c>
      <c r="B1761" s="575" t="s">
        <v>6366</v>
      </c>
      <c r="C1761" s="149" t="s">
        <v>10534</v>
      </c>
      <c r="D1761" s="149" t="s">
        <v>7543</v>
      </c>
      <c r="E1761" s="185" t="s">
        <v>10314</v>
      </c>
      <c r="F1761" s="149" t="s">
        <v>7421</v>
      </c>
      <c r="G1761" s="149"/>
      <c r="H1761" s="149"/>
      <c r="I1761" s="149"/>
      <c r="J1761" s="149"/>
      <c r="K1761" s="149"/>
      <c r="L1761" s="149"/>
      <c r="M1761" s="149"/>
    </row>
    <row r="1762" spans="1:13">
      <c r="A1762" s="503">
        <v>45184</v>
      </c>
      <c r="B1762" s="149" t="s">
        <v>3227</v>
      </c>
      <c r="C1762" s="149" t="s">
        <v>10534</v>
      </c>
      <c r="D1762" s="149" t="s">
        <v>7543</v>
      </c>
      <c r="E1762" s="185" t="s">
        <v>10314</v>
      </c>
      <c r="F1762" s="149" t="s">
        <v>10838</v>
      </c>
      <c r="G1762" s="149"/>
      <c r="H1762" s="149"/>
      <c r="I1762" s="149"/>
      <c r="J1762" s="149"/>
      <c r="K1762" s="149"/>
      <c r="L1762" s="149"/>
      <c r="M1762" s="149"/>
    </row>
    <row r="1763" spans="1:13">
      <c r="A1763" s="503">
        <v>45187</v>
      </c>
      <c r="B1763" s="149" t="s">
        <v>9816</v>
      </c>
      <c r="C1763" s="149" t="s">
        <v>10534</v>
      </c>
      <c r="D1763" s="149" t="s">
        <v>7543</v>
      </c>
      <c r="E1763" s="185" t="s">
        <v>9998</v>
      </c>
      <c r="F1763" s="149" t="s">
        <v>10839</v>
      </c>
      <c r="G1763" s="149"/>
      <c r="H1763" s="149"/>
      <c r="I1763" s="149"/>
      <c r="J1763" s="149"/>
      <c r="K1763" s="149"/>
      <c r="L1763" s="149"/>
      <c r="M1763" s="149"/>
    </row>
    <row r="1764" spans="1:13">
      <c r="A1764" s="503">
        <v>45187</v>
      </c>
      <c r="B1764" s="149" t="s">
        <v>10840</v>
      </c>
      <c r="C1764" s="149" t="s">
        <v>10534</v>
      </c>
      <c r="D1764" s="149" t="s">
        <v>7543</v>
      </c>
      <c r="E1764" s="185" t="s">
        <v>9998</v>
      </c>
      <c r="F1764" s="149" t="s">
        <v>10839</v>
      </c>
      <c r="G1764" s="149"/>
      <c r="H1764" s="149"/>
      <c r="I1764" s="149"/>
      <c r="J1764" s="149"/>
      <c r="K1764" s="149"/>
      <c r="L1764" s="149"/>
      <c r="M1764" s="149"/>
    </row>
    <row r="1765" spans="1:13">
      <c r="A1765" s="503">
        <v>45187</v>
      </c>
      <c r="B1765" s="149" t="s">
        <v>4882</v>
      </c>
      <c r="C1765" s="149" t="s">
        <v>10534</v>
      </c>
      <c r="D1765" s="149" t="s">
        <v>7543</v>
      </c>
      <c r="E1765" s="185" t="s">
        <v>9998</v>
      </c>
      <c r="F1765" s="149" t="s">
        <v>10821</v>
      </c>
      <c r="G1765" s="149"/>
      <c r="H1765" s="149"/>
      <c r="I1765" s="149"/>
      <c r="J1765" s="149"/>
      <c r="K1765" s="149"/>
      <c r="L1765" s="149"/>
      <c r="M1765" s="149"/>
    </row>
    <row r="1766" spans="1:13">
      <c r="A1766" s="503">
        <v>45187</v>
      </c>
      <c r="B1766" s="149" t="s">
        <v>5390</v>
      </c>
      <c r="C1766" s="149" t="s">
        <v>10534</v>
      </c>
      <c r="D1766" s="149" t="s">
        <v>7543</v>
      </c>
      <c r="E1766" s="185" t="s">
        <v>9998</v>
      </c>
      <c r="F1766" s="149" t="s">
        <v>10821</v>
      </c>
      <c r="G1766" s="149"/>
      <c r="H1766" s="149"/>
      <c r="I1766" s="149"/>
      <c r="J1766" s="149"/>
      <c r="K1766" s="149"/>
      <c r="L1766" s="149"/>
      <c r="M1766" s="149"/>
    </row>
    <row r="1767" spans="1:13" ht="18">
      <c r="A1767" s="503">
        <v>45187</v>
      </c>
      <c r="B1767" s="575" t="s">
        <v>10841</v>
      </c>
      <c r="C1767" s="149" t="s">
        <v>10534</v>
      </c>
      <c r="D1767" s="149" t="s">
        <v>7543</v>
      </c>
      <c r="E1767" s="149" t="s">
        <v>10209</v>
      </c>
      <c r="F1767" s="149" t="s">
        <v>10494</v>
      </c>
      <c r="G1767" s="149"/>
      <c r="H1767" s="149"/>
      <c r="I1767" s="149"/>
      <c r="J1767" s="149"/>
      <c r="K1767" s="149"/>
      <c r="L1767" s="149"/>
      <c r="M1767" s="149"/>
    </row>
    <row r="1768" spans="1:13">
      <c r="A1768" s="503">
        <v>45191</v>
      </c>
      <c r="B1768" s="461" t="s">
        <v>10842</v>
      </c>
      <c r="C1768" s="461" t="s">
        <v>10534</v>
      </c>
      <c r="D1768" s="461" t="s">
        <v>7543</v>
      </c>
      <c r="E1768" s="461" t="s">
        <v>9998</v>
      </c>
      <c r="F1768" s="461" t="s">
        <v>10394</v>
      </c>
      <c r="G1768" s="149"/>
      <c r="H1768" s="149"/>
      <c r="I1768" s="149"/>
      <c r="J1768" s="149"/>
      <c r="K1768" s="149"/>
      <c r="L1768" s="149"/>
      <c r="M1768" s="149"/>
    </row>
    <row r="1769" spans="1:13">
      <c r="A1769" s="503">
        <v>45195</v>
      </c>
      <c r="B1769" s="149" t="s">
        <v>5837</v>
      </c>
      <c r="C1769" s="149" t="s">
        <v>10534</v>
      </c>
      <c r="D1769" s="149" t="s">
        <v>7543</v>
      </c>
      <c r="E1769" s="149" t="s">
        <v>10209</v>
      </c>
      <c r="F1769" s="149" t="s">
        <v>10821</v>
      </c>
      <c r="G1769" s="149"/>
      <c r="H1769" s="149"/>
      <c r="I1769" s="149"/>
      <c r="J1769" s="149"/>
      <c r="K1769" s="149"/>
      <c r="L1769" s="149"/>
      <c r="M1769" s="149"/>
    </row>
    <row r="1770" spans="1:13" ht="18">
      <c r="A1770" s="503">
        <v>45195</v>
      </c>
      <c r="B1770" s="575" t="s">
        <v>6388</v>
      </c>
      <c r="C1770" s="149" t="s">
        <v>10534</v>
      </c>
      <c r="D1770" s="149" t="s">
        <v>7543</v>
      </c>
      <c r="E1770" s="149" t="s">
        <v>10026</v>
      </c>
      <c r="F1770" s="149" t="s">
        <v>10494</v>
      </c>
      <c r="G1770" s="149"/>
      <c r="H1770" s="149"/>
      <c r="I1770" s="149"/>
      <c r="J1770" s="149"/>
      <c r="K1770" s="149"/>
      <c r="L1770" s="149"/>
      <c r="M1770" s="149"/>
    </row>
    <row r="1771" spans="1:13" ht="18">
      <c r="A1771" s="503">
        <v>45195</v>
      </c>
      <c r="B1771" s="575" t="s">
        <v>6390</v>
      </c>
      <c r="C1771" s="149" t="s">
        <v>10534</v>
      </c>
      <c r="D1771" s="149" t="s">
        <v>7543</v>
      </c>
      <c r="E1771" s="149" t="s">
        <v>10004</v>
      </c>
      <c r="F1771" s="149" t="s">
        <v>10494</v>
      </c>
      <c r="G1771" s="149"/>
      <c r="H1771" s="149"/>
      <c r="I1771" s="149"/>
      <c r="J1771" s="149"/>
      <c r="K1771" s="149"/>
      <c r="L1771" s="149"/>
      <c r="M1771" s="149"/>
    </row>
    <row r="1772" spans="1:13" ht="15.75">
      <c r="A1772" s="503">
        <v>45196</v>
      </c>
      <c r="B1772" s="578" t="s">
        <v>10843</v>
      </c>
      <c r="C1772" s="108" t="s">
        <v>10534</v>
      </c>
      <c r="D1772" s="108" t="s">
        <v>7543</v>
      </c>
      <c r="E1772" s="108" t="s">
        <v>9996</v>
      </c>
      <c r="F1772" s="108" t="s">
        <v>10296</v>
      </c>
      <c r="G1772" s="149"/>
      <c r="H1772" s="149"/>
      <c r="I1772" s="149"/>
      <c r="J1772" s="149"/>
      <c r="K1772" s="149"/>
      <c r="L1772" s="149"/>
      <c r="M1772" s="149"/>
    </row>
    <row r="1773" spans="1:13">
      <c r="A1773" s="503">
        <v>45196</v>
      </c>
      <c r="B1773" s="149" t="s">
        <v>10844</v>
      </c>
      <c r="C1773" s="149" t="s">
        <v>10534</v>
      </c>
      <c r="D1773" s="149" t="s">
        <v>7543</v>
      </c>
      <c r="E1773" s="149" t="s">
        <v>10314</v>
      </c>
      <c r="F1773" s="149" t="s">
        <v>10785</v>
      </c>
      <c r="G1773" s="149"/>
      <c r="H1773" s="149"/>
      <c r="I1773" s="149"/>
      <c r="J1773" s="149"/>
      <c r="K1773" s="149"/>
      <c r="L1773" s="149"/>
      <c r="M1773" s="149"/>
    </row>
    <row r="1774" spans="1:13" ht="15.75">
      <c r="A1774" s="566">
        <v>45196</v>
      </c>
      <c r="B1774" s="577" t="s">
        <v>10845</v>
      </c>
      <c r="C1774" s="186" t="s">
        <v>10534</v>
      </c>
      <c r="D1774" s="149" t="s">
        <v>7543</v>
      </c>
      <c r="E1774" s="149" t="s">
        <v>10314</v>
      </c>
      <c r="F1774" s="149" t="s">
        <v>10296</v>
      </c>
      <c r="G1774" s="149"/>
      <c r="H1774" s="149"/>
      <c r="I1774" s="149"/>
      <c r="J1774" s="149"/>
      <c r="K1774" s="149"/>
      <c r="L1774" s="149"/>
      <c r="M1774" s="149"/>
    </row>
    <row r="1775" spans="1:13">
      <c r="A1775" s="503"/>
      <c r="B1775" s="421" t="s">
        <v>4357</v>
      </c>
      <c r="C1775" s="149"/>
      <c r="D1775" s="185"/>
      <c r="E1775" s="149"/>
      <c r="F1775" s="149"/>
      <c r="G1775" s="149"/>
      <c r="H1775" s="149"/>
      <c r="I1775" s="149"/>
      <c r="J1775" s="149"/>
      <c r="K1775" s="149"/>
      <c r="L1775" s="149"/>
      <c r="M1775" s="149"/>
    </row>
    <row r="1776" spans="1:13">
      <c r="A1776" s="503">
        <v>45201</v>
      </c>
      <c r="B1776" s="186" t="s">
        <v>10846</v>
      </c>
      <c r="C1776" s="149" t="s">
        <v>10534</v>
      </c>
      <c r="D1776" s="185" t="s">
        <v>4357</v>
      </c>
      <c r="E1776" s="149" t="s">
        <v>10209</v>
      </c>
      <c r="F1776" s="149" t="s">
        <v>10494</v>
      </c>
      <c r="G1776" s="149"/>
      <c r="H1776" s="149"/>
      <c r="I1776" s="149"/>
      <c r="J1776" s="149"/>
      <c r="K1776" s="149"/>
      <c r="L1776" s="149"/>
      <c r="M1776" s="149"/>
    </row>
    <row r="1777" spans="1:13">
      <c r="A1777" s="478">
        <v>45201</v>
      </c>
      <c r="B1777" s="149" t="s">
        <v>6402</v>
      </c>
      <c r="C1777" s="185" t="s">
        <v>10534</v>
      </c>
      <c r="D1777" s="185" t="s">
        <v>4357</v>
      </c>
      <c r="E1777" s="149" t="s">
        <v>10289</v>
      </c>
      <c r="F1777" s="149" t="s">
        <v>10494</v>
      </c>
      <c r="G1777" s="149"/>
      <c r="H1777" s="149"/>
      <c r="I1777" s="149"/>
      <c r="J1777" s="149"/>
      <c r="K1777" s="149"/>
      <c r="L1777" s="149"/>
      <c r="M1777" s="149"/>
    </row>
    <row r="1778" spans="1:13">
      <c r="A1778" s="478">
        <v>45201</v>
      </c>
      <c r="B1778" s="149" t="s">
        <v>6404</v>
      </c>
      <c r="C1778" s="185" t="s">
        <v>10534</v>
      </c>
      <c r="D1778" s="185" t="s">
        <v>4357</v>
      </c>
      <c r="E1778" s="149" t="s">
        <v>10002</v>
      </c>
      <c r="F1778" s="149" t="s">
        <v>10494</v>
      </c>
      <c r="G1778" s="149"/>
      <c r="H1778" s="149"/>
      <c r="I1778" s="149"/>
      <c r="J1778" s="149"/>
      <c r="K1778" s="149"/>
      <c r="L1778" s="149"/>
      <c r="M1778" s="149"/>
    </row>
    <row r="1779" spans="1:13">
      <c r="A1779" s="478">
        <v>45202</v>
      </c>
      <c r="B1779" s="149" t="s">
        <v>10847</v>
      </c>
      <c r="C1779" s="185" t="s">
        <v>10534</v>
      </c>
      <c r="D1779" s="185" t="s">
        <v>4357</v>
      </c>
      <c r="E1779" s="149" t="s">
        <v>10002</v>
      </c>
      <c r="F1779" s="149" t="s">
        <v>10494</v>
      </c>
      <c r="G1779" s="149"/>
      <c r="H1779" s="149"/>
      <c r="I1779" s="149"/>
      <c r="J1779" s="149"/>
      <c r="K1779" s="149"/>
      <c r="L1779" s="149"/>
      <c r="M1779" s="149"/>
    </row>
    <row r="1780" spans="1:13">
      <c r="A1780" s="478">
        <v>45202</v>
      </c>
      <c r="B1780" s="149" t="s">
        <v>10848</v>
      </c>
      <c r="C1780" s="185" t="s">
        <v>10534</v>
      </c>
      <c r="D1780" s="185" t="s">
        <v>4357</v>
      </c>
      <c r="E1780" s="149" t="s">
        <v>10289</v>
      </c>
      <c r="F1780" s="149" t="s">
        <v>10494</v>
      </c>
      <c r="G1780" s="149"/>
      <c r="H1780" s="149"/>
      <c r="I1780" s="149"/>
      <c r="J1780" s="149"/>
      <c r="K1780" s="149"/>
      <c r="L1780" s="149"/>
      <c r="M1780" s="149"/>
    </row>
    <row r="1781" spans="1:13">
      <c r="A1781" s="478">
        <v>45203</v>
      </c>
      <c r="B1781" s="108" t="s">
        <v>6418</v>
      </c>
      <c r="C1781" s="582" t="s">
        <v>10534</v>
      </c>
      <c r="D1781" s="108" t="s">
        <v>4357</v>
      </c>
      <c r="E1781" s="108" t="s">
        <v>10314</v>
      </c>
      <c r="F1781" s="108" t="s">
        <v>10849</v>
      </c>
      <c r="G1781" s="149"/>
      <c r="H1781" s="149"/>
      <c r="I1781" s="149"/>
      <c r="J1781" s="149"/>
      <c r="K1781" s="149"/>
      <c r="L1781" s="149"/>
      <c r="M1781" s="149"/>
    </row>
    <row r="1782" spans="1:13">
      <c r="A1782" s="478">
        <v>45203</v>
      </c>
      <c r="B1782" s="461" t="s">
        <v>6420</v>
      </c>
      <c r="C1782" s="583" t="s">
        <v>10534</v>
      </c>
      <c r="D1782" s="461" t="s">
        <v>4357</v>
      </c>
      <c r="E1782" s="461" t="s">
        <v>10314</v>
      </c>
      <c r="F1782" s="461" t="s">
        <v>10394</v>
      </c>
      <c r="G1782" s="149"/>
      <c r="H1782" s="149"/>
      <c r="I1782" s="149"/>
      <c r="J1782" s="149"/>
      <c r="K1782" s="149"/>
      <c r="L1782" s="149"/>
      <c r="M1782" s="149"/>
    </row>
    <row r="1783" spans="1:13" ht="18">
      <c r="A1783" s="500">
        <v>45204</v>
      </c>
      <c r="B1783" s="584" t="s">
        <v>6422</v>
      </c>
      <c r="C1783" s="185" t="s">
        <v>10534</v>
      </c>
      <c r="D1783" s="149" t="s">
        <v>4357</v>
      </c>
      <c r="E1783" s="149" t="s">
        <v>9998</v>
      </c>
      <c r="F1783" s="149" t="s">
        <v>10494</v>
      </c>
      <c r="G1783" s="149"/>
      <c r="H1783" s="149"/>
      <c r="I1783" s="149"/>
      <c r="J1783" s="149"/>
      <c r="K1783" s="149"/>
      <c r="L1783" s="149"/>
      <c r="M1783" s="149"/>
    </row>
    <row r="1784" spans="1:13" ht="18">
      <c r="A1784" s="503">
        <v>45205</v>
      </c>
      <c r="B1784" s="584" t="s">
        <v>10850</v>
      </c>
      <c r="C1784" s="199" t="s">
        <v>10534</v>
      </c>
      <c r="D1784" s="186" t="s">
        <v>4357</v>
      </c>
      <c r="E1784" s="186" t="s">
        <v>9998</v>
      </c>
      <c r="F1784" s="149" t="s">
        <v>10494</v>
      </c>
      <c r="G1784" s="149"/>
      <c r="H1784" s="149"/>
      <c r="I1784" s="149"/>
      <c r="J1784" s="149"/>
      <c r="K1784" s="149"/>
      <c r="L1784" s="149"/>
      <c r="M1784" s="149"/>
    </row>
    <row r="1785" spans="1:13">
      <c r="A1785" s="478">
        <v>45208</v>
      </c>
      <c r="B1785" s="149" t="s">
        <v>3743</v>
      </c>
      <c r="C1785" s="149" t="s">
        <v>10534</v>
      </c>
      <c r="D1785" s="149" t="s">
        <v>4357</v>
      </c>
      <c r="E1785" s="149" t="s">
        <v>10002</v>
      </c>
      <c r="F1785" s="185" t="s">
        <v>10296</v>
      </c>
      <c r="G1785" s="149"/>
      <c r="H1785" s="149"/>
      <c r="I1785" s="149"/>
      <c r="J1785" s="149"/>
      <c r="K1785" s="149"/>
      <c r="L1785" s="149"/>
      <c r="M1785" s="149"/>
    </row>
    <row r="1786" spans="1:13" ht="15.75">
      <c r="A1786" s="478">
        <v>45208</v>
      </c>
      <c r="B1786" s="580" t="s">
        <v>5260</v>
      </c>
      <c r="C1786" s="149" t="s">
        <v>10534</v>
      </c>
      <c r="D1786" s="149" t="s">
        <v>4357</v>
      </c>
      <c r="E1786" s="149" t="s">
        <v>10002</v>
      </c>
      <c r="F1786" s="185" t="s">
        <v>10296</v>
      </c>
      <c r="G1786" s="149"/>
      <c r="H1786" s="149"/>
      <c r="I1786" s="149"/>
      <c r="J1786" s="149"/>
      <c r="K1786" s="149"/>
      <c r="L1786" s="149"/>
      <c r="M1786" s="149"/>
    </row>
    <row r="1787" spans="1:13" ht="18">
      <c r="A1787" s="478">
        <v>45208</v>
      </c>
      <c r="B1787" s="575" t="s">
        <v>6432</v>
      </c>
      <c r="C1787" s="149" t="s">
        <v>10534</v>
      </c>
      <c r="D1787" s="149" t="s">
        <v>4357</v>
      </c>
      <c r="E1787" s="149" t="s">
        <v>10002</v>
      </c>
      <c r="F1787" s="185" t="s">
        <v>10494</v>
      </c>
      <c r="G1787" s="149"/>
      <c r="H1787" s="149"/>
      <c r="I1787" s="149"/>
      <c r="J1787" s="149"/>
      <c r="K1787" s="149"/>
      <c r="L1787" s="149"/>
      <c r="M1787" s="149"/>
    </row>
    <row r="1788" spans="1:13">
      <c r="A1788" s="478">
        <v>45209</v>
      </c>
      <c r="B1788" s="149" t="s">
        <v>6434</v>
      </c>
      <c r="C1788" s="149" t="s">
        <v>10534</v>
      </c>
      <c r="D1788" s="149" t="s">
        <v>4357</v>
      </c>
      <c r="E1788" s="149" t="s">
        <v>10004</v>
      </c>
      <c r="F1788" s="185" t="s">
        <v>10494</v>
      </c>
      <c r="G1788" s="149"/>
      <c r="H1788" s="149"/>
      <c r="I1788" s="149"/>
      <c r="J1788" s="149"/>
      <c r="K1788" s="149"/>
      <c r="L1788" s="149"/>
      <c r="M1788" s="149"/>
    </row>
    <row r="1789" spans="1:13" ht="18">
      <c r="A1789" s="478">
        <v>45210</v>
      </c>
      <c r="B1789" s="573" t="s">
        <v>6440</v>
      </c>
      <c r="C1789" s="149" t="s">
        <v>10534</v>
      </c>
      <c r="D1789" s="149" t="s">
        <v>4357</v>
      </c>
      <c r="E1789" s="149" t="s">
        <v>9996</v>
      </c>
      <c r="F1789" s="185" t="s">
        <v>10494</v>
      </c>
      <c r="G1789" s="149"/>
      <c r="H1789" s="149"/>
      <c r="I1789" s="149"/>
      <c r="J1789" s="149"/>
      <c r="K1789" s="149"/>
      <c r="L1789" s="149"/>
      <c r="M1789" s="149"/>
    </row>
    <row r="1790" spans="1:13">
      <c r="A1790" s="478">
        <v>45210</v>
      </c>
      <c r="B1790" s="149" t="s">
        <v>6438</v>
      </c>
      <c r="C1790" s="149" t="s">
        <v>10534</v>
      </c>
      <c r="D1790" s="149" t="s">
        <v>4357</v>
      </c>
      <c r="E1790" s="149" t="s">
        <v>10314</v>
      </c>
      <c r="F1790" s="185" t="s">
        <v>10851</v>
      </c>
      <c r="G1790" s="149"/>
      <c r="H1790" s="149"/>
      <c r="I1790" s="149"/>
      <c r="J1790" s="149"/>
      <c r="K1790" s="149"/>
      <c r="L1790" s="149"/>
      <c r="M1790" s="149"/>
    </row>
    <row r="1791" spans="1:13">
      <c r="A1791" s="557">
        <v>45212</v>
      </c>
      <c r="B1791" s="149" t="s">
        <v>6442</v>
      </c>
      <c r="C1791" s="149" t="s">
        <v>10534</v>
      </c>
      <c r="D1791" s="149" t="s">
        <v>4357</v>
      </c>
      <c r="E1791" s="149" t="s">
        <v>9998</v>
      </c>
      <c r="F1791" s="185" t="s">
        <v>10494</v>
      </c>
      <c r="G1791" s="149"/>
      <c r="H1791" s="149"/>
      <c r="I1791" s="149"/>
      <c r="J1791" s="149"/>
      <c r="K1791" s="149"/>
      <c r="L1791" s="149"/>
      <c r="M1791" s="149"/>
    </row>
    <row r="1792" spans="1:13">
      <c r="A1792" s="503">
        <v>45212</v>
      </c>
      <c r="B1792" s="187" t="s">
        <v>10852</v>
      </c>
      <c r="C1792" s="149" t="s">
        <v>10534</v>
      </c>
      <c r="D1792" s="149" t="s">
        <v>4357</v>
      </c>
      <c r="E1792" s="187" t="s">
        <v>10314</v>
      </c>
      <c r="F1792" s="149" t="s">
        <v>10821</v>
      </c>
      <c r="G1792" s="149"/>
      <c r="H1792" s="149"/>
      <c r="I1792" s="149"/>
      <c r="J1792" s="149"/>
      <c r="K1792" s="149"/>
      <c r="L1792" s="149"/>
      <c r="M1792" s="149"/>
    </row>
    <row r="1793" spans="1:13">
      <c r="A1793" s="557">
        <v>45212</v>
      </c>
      <c r="B1793" s="149" t="s">
        <v>6444</v>
      </c>
      <c r="C1793" s="149" t="s">
        <v>10534</v>
      </c>
      <c r="D1793" s="149" t="s">
        <v>4357</v>
      </c>
      <c r="E1793" s="149" t="s">
        <v>10072</v>
      </c>
      <c r="F1793" s="149" t="s">
        <v>10494</v>
      </c>
      <c r="G1793" s="149"/>
      <c r="H1793" s="149"/>
      <c r="I1793" s="149"/>
      <c r="J1793" s="149"/>
      <c r="K1793" s="149"/>
      <c r="L1793" s="149"/>
      <c r="M1793" s="149"/>
    </row>
    <row r="1794" spans="1:13">
      <c r="A1794" s="503">
        <v>45212</v>
      </c>
      <c r="B1794" s="149" t="s">
        <v>5817</v>
      </c>
      <c r="C1794" s="149" t="s">
        <v>10534</v>
      </c>
      <c r="D1794" s="149" t="s">
        <v>4357</v>
      </c>
      <c r="E1794" s="149" t="s">
        <v>10289</v>
      </c>
      <c r="F1794" s="149" t="s">
        <v>10296</v>
      </c>
      <c r="G1794" s="149"/>
      <c r="H1794" s="149"/>
      <c r="I1794" s="149"/>
      <c r="J1794" s="149"/>
      <c r="K1794" s="149"/>
      <c r="L1794" s="149"/>
      <c r="M1794" s="149"/>
    </row>
    <row r="1795" spans="1:13">
      <c r="A1795" s="478">
        <v>45215</v>
      </c>
      <c r="B1795" s="149" t="s">
        <v>10853</v>
      </c>
      <c r="C1795" s="149" t="s">
        <v>10534</v>
      </c>
      <c r="D1795" s="149" t="s">
        <v>4357</v>
      </c>
      <c r="E1795" s="149" t="s">
        <v>10002</v>
      </c>
      <c r="F1795" s="185" t="s">
        <v>10494</v>
      </c>
      <c r="G1795" s="149"/>
      <c r="H1795" s="149"/>
      <c r="I1795" s="149"/>
      <c r="J1795" s="149"/>
      <c r="K1795" s="149"/>
      <c r="L1795" s="149"/>
      <c r="M1795" s="149"/>
    </row>
    <row r="1796" spans="1:13">
      <c r="A1796" s="478">
        <v>45215</v>
      </c>
      <c r="B1796" s="149" t="s">
        <v>10854</v>
      </c>
      <c r="C1796" s="149" t="s">
        <v>10534</v>
      </c>
      <c r="D1796" s="149" t="s">
        <v>4357</v>
      </c>
      <c r="E1796" s="149" t="s">
        <v>10209</v>
      </c>
      <c r="F1796" s="149" t="s">
        <v>10494</v>
      </c>
      <c r="G1796" s="149"/>
      <c r="H1796" s="149"/>
      <c r="I1796" s="149"/>
      <c r="J1796" s="149"/>
      <c r="K1796" s="149"/>
      <c r="L1796" s="149"/>
      <c r="M1796" s="149"/>
    </row>
    <row r="1797" spans="1:13">
      <c r="A1797" s="503">
        <v>45215</v>
      </c>
      <c r="B1797" s="149" t="s">
        <v>6446</v>
      </c>
      <c r="C1797" s="149" t="s">
        <v>10534</v>
      </c>
      <c r="D1797" s="149" t="s">
        <v>4357</v>
      </c>
      <c r="E1797" s="149" t="s">
        <v>10004</v>
      </c>
      <c r="F1797" s="149" t="s">
        <v>10494</v>
      </c>
      <c r="G1797" s="149"/>
      <c r="H1797" s="149"/>
      <c r="I1797" s="149"/>
      <c r="J1797" s="149"/>
      <c r="K1797" s="149"/>
      <c r="L1797" s="149"/>
      <c r="M1797" s="149"/>
    </row>
    <row r="1798" spans="1:13">
      <c r="A1798" s="503">
        <v>45215</v>
      </c>
      <c r="B1798" t="s">
        <v>5262</v>
      </c>
      <c r="C1798" s="149" t="s">
        <v>10534</v>
      </c>
      <c r="D1798" s="149" t="s">
        <v>4357</v>
      </c>
      <c r="E1798" s="149" t="s">
        <v>10004</v>
      </c>
      <c r="F1798" s="149" t="s">
        <v>10296</v>
      </c>
      <c r="G1798" s="149"/>
      <c r="H1798" s="149"/>
      <c r="I1798" s="149"/>
      <c r="J1798" s="149"/>
      <c r="K1798" s="149"/>
      <c r="L1798" s="149"/>
      <c r="M1798" s="149"/>
    </row>
    <row r="1799" spans="1:13">
      <c r="A1799" s="503">
        <v>45215</v>
      </c>
      <c r="B1799" s="186" t="s">
        <v>3339</v>
      </c>
      <c r="C1799" s="149" t="s">
        <v>10534</v>
      </c>
      <c r="D1799" s="149" t="s">
        <v>4357</v>
      </c>
      <c r="E1799" s="149" t="s">
        <v>10209</v>
      </c>
      <c r="F1799" s="149" t="s">
        <v>10494</v>
      </c>
      <c r="G1799" s="149"/>
      <c r="H1799" s="149"/>
      <c r="I1799" s="149"/>
      <c r="J1799" s="149"/>
      <c r="K1799" s="149"/>
      <c r="L1799" s="149"/>
      <c r="M1799" s="149"/>
    </row>
    <row r="1800" spans="1:13">
      <c r="A1800" s="478">
        <v>45215</v>
      </c>
      <c r="B1800" s="186" t="s">
        <v>6450</v>
      </c>
      <c r="C1800" s="199" t="s">
        <v>10534</v>
      </c>
      <c r="D1800" s="186" t="s">
        <v>4357</v>
      </c>
      <c r="E1800" s="186" t="s">
        <v>10002</v>
      </c>
      <c r="F1800" s="149" t="s">
        <v>10494</v>
      </c>
      <c r="G1800" s="149"/>
      <c r="H1800" s="149"/>
      <c r="I1800" s="149"/>
      <c r="J1800" s="149"/>
      <c r="K1800" s="149"/>
      <c r="L1800" s="149"/>
      <c r="M1800" s="149"/>
    </row>
    <row r="1801" spans="1:13">
      <c r="A1801" s="478">
        <v>45216</v>
      </c>
      <c r="B1801" s="149" t="s">
        <v>6304</v>
      </c>
      <c r="C1801" s="149" t="s">
        <v>10534</v>
      </c>
      <c r="D1801" s="149" t="s">
        <v>4357</v>
      </c>
      <c r="E1801" s="149" t="s">
        <v>10007</v>
      </c>
      <c r="F1801" s="185" t="s">
        <v>10494</v>
      </c>
      <c r="G1801" s="149"/>
      <c r="H1801" s="149"/>
      <c r="I1801" s="149"/>
      <c r="J1801" s="149"/>
      <c r="K1801" s="149"/>
      <c r="L1801" s="149"/>
      <c r="M1801" s="149"/>
    </row>
    <row r="1802" spans="1:13" ht="15.75">
      <c r="A1802" s="478">
        <v>45217</v>
      </c>
      <c r="B1802" s="580" t="s">
        <v>3483</v>
      </c>
      <c r="C1802" s="149" t="s">
        <v>10534</v>
      </c>
      <c r="D1802" s="149" t="s">
        <v>4357</v>
      </c>
      <c r="E1802" s="149" t="s">
        <v>10007</v>
      </c>
      <c r="F1802" s="185" t="s">
        <v>10296</v>
      </c>
      <c r="G1802" s="149"/>
      <c r="H1802" s="149"/>
      <c r="I1802" s="149"/>
      <c r="J1802" s="149"/>
      <c r="K1802" s="149"/>
      <c r="L1802" s="149"/>
      <c r="M1802" s="149"/>
    </row>
    <row r="1803" spans="1:13" ht="15.75">
      <c r="A1803" s="478">
        <v>45217</v>
      </c>
      <c r="B1803" s="580" t="s">
        <v>10855</v>
      </c>
      <c r="C1803" s="149" t="s">
        <v>10534</v>
      </c>
      <c r="D1803" s="149" t="s">
        <v>4357</v>
      </c>
      <c r="E1803" s="149" t="s">
        <v>10314</v>
      </c>
      <c r="F1803" s="185" t="s">
        <v>10296</v>
      </c>
      <c r="G1803" s="149"/>
      <c r="H1803" s="149"/>
      <c r="I1803" s="149"/>
      <c r="J1803" s="149"/>
      <c r="K1803" s="149"/>
      <c r="L1803" s="149"/>
      <c r="M1803" s="149"/>
    </row>
    <row r="1804" spans="1:13" ht="18">
      <c r="A1804" s="478">
        <v>45218</v>
      </c>
      <c r="B1804" s="575" t="s">
        <v>6461</v>
      </c>
      <c r="C1804" s="149" t="s">
        <v>10534</v>
      </c>
      <c r="D1804" s="149" t="s">
        <v>4357</v>
      </c>
      <c r="E1804" s="149" t="s">
        <v>10289</v>
      </c>
      <c r="F1804" s="185" t="s">
        <v>10494</v>
      </c>
      <c r="G1804" s="149"/>
      <c r="H1804" s="149"/>
      <c r="I1804" s="149"/>
      <c r="J1804" s="149"/>
      <c r="K1804" s="149"/>
      <c r="L1804" s="149"/>
      <c r="M1804" s="149"/>
    </row>
    <row r="1805" spans="1:13" ht="18">
      <c r="A1805" s="478">
        <v>45218</v>
      </c>
      <c r="B1805" s="575" t="s">
        <v>6463</v>
      </c>
      <c r="C1805" s="149" t="s">
        <v>10534</v>
      </c>
      <c r="D1805" s="149" t="s">
        <v>4357</v>
      </c>
      <c r="E1805" s="149" t="s">
        <v>10314</v>
      </c>
      <c r="F1805" s="185" t="s">
        <v>10494</v>
      </c>
      <c r="G1805" s="149"/>
      <c r="H1805" s="149"/>
      <c r="I1805" s="149"/>
      <c r="J1805" s="149"/>
      <c r="K1805" s="149"/>
      <c r="L1805" s="149"/>
      <c r="M1805" s="149"/>
    </row>
    <row r="1806" spans="1:13">
      <c r="A1806" s="478">
        <v>45219</v>
      </c>
      <c r="B1806" s="149" t="s">
        <v>6475</v>
      </c>
      <c r="C1806" s="149" t="s">
        <v>10534</v>
      </c>
      <c r="D1806" s="149" t="s">
        <v>4357</v>
      </c>
      <c r="E1806" s="149" t="s">
        <v>10314</v>
      </c>
      <c r="F1806" s="185" t="s">
        <v>10851</v>
      </c>
      <c r="G1806" s="149"/>
      <c r="H1806" s="149"/>
      <c r="I1806" s="149"/>
      <c r="J1806" s="149"/>
      <c r="K1806" s="149"/>
      <c r="L1806" s="149"/>
      <c r="M1806" s="149"/>
    </row>
    <row r="1807" spans="1:13" ht="18">
      <c r="A1807" s="478">
        <v>45222</v>
      </c>
      <c r="B1807" s="575" t="s">
        <v>3392</v>
      </c>
      <c r="C1807" s="149" t="s">
        <v>10534</v>
      </c>
      <c r="D1807" s="149" t="s">
        <v>4357</v>
      </c>
      <c r="E1807" s="149" t="s">
        <v>10289</v>
      </c>
      <c r="F1807" s="185" t="s">
        <v>10494</v>
      </c>
      <c r="G1807" s="149"/>
      <c r="H1807" s="149"/>
      <c r="I1807" s="149"/>
      <c r="J1807" s="149"/>
      <c r="K1807" s="149"/>
      <c r="L1807" s="149"/>
      <c r="M1807" s="149"/>
    </row>
    <row r="1808" spans="1:13" ht="18">
      <c r="A1808" s="503" t="s">
        <v>10856</v>
      </c>
      <c r="B1808" s="575" t="s">
        <v>6469</v>
      </c>
      <c r="C1808" s="149" t="s">
        <v>10534</v>
      </c>
      <c r="D1808" s="149" t="s">
        <v>4357</v>
      </c>
      <c r="E1808" s="149" t="s">
        <v>10209</v>
      </c>
      <c r="F1808" s="149" t="s">
        <v>10494</v>
      </c>
      <c r="G1808" s="149"/>
      <c r="H1808" s="149"/>
      <c r="I1808" s="149"/>
      <c r="J1808" s="149"/>
      <c r="K1808" s="149"/>
      <c r="L1808" s="149"/>
      <c r="M1808" s="149"/>
    </row>
    <row r="1809" spans="1:13" ht="18">
      <c r="A1809" s="503">
        <v>45223</v>
      </c>
      <c r="B1809" s="575" t="s">
        <v>10857</v>
      </c>
      <c r="C1809" s="149" t="s">
        <v>10534</v>
      </c>
      <c r="D1809" s="149" t="s">
        <v>4357</v>
      </c>
      <c r="E1809" s="149" t="s">
        <v>10002</v>
      </c>
      <c r="F1809" s="149" t="s">
        <v>10858</v>
      </c>
      <c r="G1809" s="149"/>
      <c r="H1809" s="149"/>
      <c r="I1809" s="149"/>
      <c r="J1809" s="149"/>
      <c r="K1809" s="149"/>
      <c r="L1809" s="149"/>
      <c r="M1809" s="149"/>
    </row>
    <row r="1810" spans="1:13">
      <c r="A1810" s="503">
        <v>45224</v>
      </c>
      <c r="B1810" s="149" t="s">
        <v>6481</v>
      </c>
      <c r="C1810" s="149" t="s">
        <v>10534</v>
      </c>
      <c r="D1810" s="149" t="s">
        <v>4357</v>
      </c>
      <c r="E1810" s="149" t="s">
        <v>10007</v>
      </c>
      <c r="F1810" s="149" t="s">
        <v>10494</v>
      </c>
      <c r="G1810" s="149" t="s">
        <v>10859</v>
      </c>
      <c r="H1810" s="149"/>
      <c r="I1810" s="149"/>
      <c r="J1810" s="149"/>
      <c r="K1810" s="149"/>
      <c r="L1810" s="149"/>
      <c r="M1810" s="149"/>
    </row>
    <row r="1811" spans="1:13" ht="18">
      <c r="A1811" s="503">
        <v>45224</v>
      </c>
      <c r="B1811" s="573" t="s">
        <v>10860</v>
      </c>
      <c r="C1811" s="149" t="s">
        <v>10534</v>
      </c>
      <c r="D1811" s="149" t="s">
        <v>4357</v>
      </c>
      <c r="E1811" s="149" t="s">
        <v>10314</v>
      </c>
      <c r="F1811" s="149" t="s">
        <v>10494</v>
      </c>
      <c r="G1811" s="149"/>
      <c r="H1811" s="149"/>
      <c r="I1811" s="149"/>
      <c r="J1811" s="149"/>
      <c r="K1811" s="149"/>
      <c r="L1811" s="149"/>
      <c r="M1811" s="149"/>
    </row>
    <row r="1812" spans="1:13">
      <c r="A1812" s="503">
        <v>45224</v>
      </c>
      <c r="B1812" s="149" t="s">
        <v>6487</v>
      </c>
      <c r="C1812" s="149" t="s">
        <v>10534</v>
      </c>
      <c r="D1812" s="149" t="s">
        <v>4357</v>
      </c>
      <c r="E1812" s="149" t="s">
        <v>10314</v>
      </c>
      <c r="F1812" s="149" t="s">
        <v>10861</v>
      </c>
      <c r="G1812" s="149"/>
      <c r="H1812" s="149"/>
      <c r="I1812" s="149"/>
      <c r="J1812" s="149"/>
      <c r="K1812" s="149"/>
      <c r="L1812" s="149"/>
      <c r="M1812" s="149"/>
    </row>
    <row r="1813" spans="1:13" ht="18">
      <c r="A1813" s="503">
        <v>45225</v>
      </c>
      <c r="B1813" s="573" t="s">
        <v>6491</v>
      </c>
      <c r="C1813" s="149" t="s">
        <v>10534</v>
      </c>
      <c r="D1813" s="149" t="s">
        <v>4357</v>
      </c>
      <c r="E1813" s="149" t="s">
        <v>9998</v>
      </c>
      <c r="F1813" s="149" t="s">
        <v>10818</v>
      </c>
      <c r="G1813" s="149"/>
      <c r="H1813" s="149"/>
      <c r="I1813" s="149"/>
      <c r="J1813" s="149"/>
      <c r="K1813" s="149"/>
      <c r="L1813" s="149"/>
      <c r="M1813" s="149"/>
    </row>
    <row r="1814" spans="1:13">
      <c r="A1814" s="503">
        <v>45226</v>
      </c>
      <c r="B1814" s="149" t="s">
        <v>6495</v>
      </c>
      <c r="C1814" s="149" t="s">
        <v>10534</v>
      </c>
      <c r="D1814" s="149" t="s">
        <v>4357</v>
      </c>
      <c r="E1814" s="149" t="s">
        <v>10314</v>
      </c>
      <c r="F1814" s="149" t="s">
        <v>10494</v>
      </c>
      <c r="G1814" s="149"/>
      <c r="H1814" s="149"/>
      <c r="I1814" s="149"/>
      <c r="J1814" s="149"/>
      <c r="K1814" s="149"/>
      <c r="L1814" s="149"/>
      <c r="M1814" s="149"/>
    </row>
    <row r="1815" spans="1:13">
      <c r="A1815" s="503">
        <v>45226</v>
      </c>
      <c r="B1815" s="149" t="s">
        <v>6497</v>
      </c>
      <c r="C1815" s="149" t="s">
        <v>10534</v>
      </c>
      <c r="D1815" s="149" t="s">
        <v>4357</v>
      </c>
      <c r="E1815" s="149" t="s">
        <v>9996</v>
      </c>
      <c r="F1815" s="149" t="s">
        <v>10494</v>
      </c>
      <c r="G1815" s="149"/>
      <c r="H1815" s="149"/>
      <c r="I1815" s="149"/>
      <c r="J1815" s="149"/>
      <c r="K1815" s="149"/>
      <c r="L1815" s="149"/>
      <c r="M1815" s="149"/>
    </row>
    <row r="1816" spans="1:13">
      <c r="A1816" s="503">
        <v>45230</v>
      </c>
      <c r="B1816" s="149" t="s">
        <v>6499</v>
      </c>
      <c r="C1816" s="149" t="s">
        <v>8929</v>
      </c>
      <c r="D1816" s="149" t="s">
        <v>4357</v>
      </c>
      <c r="E1816" s="149" t="s">
        <v>10026</v>
      </c>
      <c r="F1816" s="149" t="s">
        <v>10494</v>
      </c>
      <c r="G1816" s="149"/>
      <c r="H1816" s="149"/>
      <c r="I1816" s="149"/>
      <c r="J1816" s="149"/>
      <c r="K1816" s="149"/>
      <c r="L1816" s="149"/>
      <c r="M1816" s="149"/>
    </row>
    <row r="1817" spans="1:13">
      <c r="A1817" s="503"/>
      <c r="B1817" s="421" t="s">
        <v>8910</v>
      </c>
      <c r="C1817" s="149"/>
      <c r="D1817" s="185"/>
      <c r="E1817" s="149"/>
      <c r="F1817" s="149"/>
      <c r="G1817" s="149"/>
      <c r="H1817" s="149"/>
      <c r="I1817" s="149"/>
      <c r="J1817" s="149"/>
      <c r="K1817" s="149"/>
      <c r="L1817" s="149"/>
      <c r="M1817" s="149"/>
    </row>
    <row r="1818" spans="1:13">
      <c r="A1818" s="503">
        <v>45231</v>
      </c>
      <c r="B1818" s="149" t="s">
        <v>3308</v>
      </c>
      <c r="C1818" s="149" t="s">
        <v>10534</v>
      </c>
      <c r="D1818" s="149" t="s">
        <v>8910</v>
      </c>
      <c r="E1818" s="149" t="s">
        <v>10010</v>
      </c>
      <c r="F1818" s="149" t="s">
        <v>10821</v>
      </c>
      <c r="G1818" s="149"/>
      <c r="H1818" s="149"/>
      <c r="I1818" s="149"/>
      <c r="J1818" s="149"/>
      <c r="K1818" s="149"/>
      <c r="L1818" s="149"/>
      <c r="M1818" s="149"/>
    </row>
    <row r="1819" spans="1:13">
      <c r="A1819" s="503">
        <v>45231</v>
      </c>
      <c r="B1819" t="s">
        <v>6507</v>
      </c>
      <c r="C1819" s="149" t="s">
        <v>10534</v>
      </c>
      <c r="D1819" s="149" t="s">
        <v>8910</v>
      </c>
      <c r="E1819" s="149" t="s">
        <v>10010</v>
      </c>
      <c r="F1819" s="149" t="s">
        <v>10494</v>
      </c>
      <c r="G1819" s="149"/>
      <c r="H1819" s="149"/>
      <c r="I1819" s="149"/>
      <c r="J1819" s="149"/>
      <c r="K1819" s="149"/>
      <c r="L1819" s="149"/>
      <c r="M1819" s="149"/>
    </row>
    <row r="1820" spans="1:13">
      <c r="A1820" s="503">
        <v>45233</v>
      </c>
      <c r="B1820" s="149" t="s">
        <v>3673</v>
      </c>
      <c r="C1820" s="149" t="s">
        <v>10534</v>
      </c>
      <c r="D1820" s="149" t="s">
        <v>8910</v>
      </c>
      <c r="E1820" s="149" t="s">
        <v>10314</v>
      </c>
      <c r="F1820" s="149" t="s">
        <v>10296</v>
      </c>
      <c r="G1820" s="149"/>
      <c r="H1820" s="149"/>
      <c r="I1820" s="149"/>
      <c r="J1820" s="149"/>
      <c r="K1820" s="149"/>
      <c r="L1820" s="149"/>
      <c r="M1820" s="149"/>
    </row>
    <row r="1821" spans="1:13">
      <c r="A1821" s="503">
        <v>45233</v>
      </c>
      <c r="B1821" s="149" t="s">
        <v>6497</v>
      </c>
      <c r="C1821" s="149" t="s">
        <v>10534</v>
      </c>
      <c r="D1821" s="149" t="s">
        <v>8910</v>
      </c>
      <c r="E1821" s="149" t="s">
        <v>10314</v>
      </c>
      <c r="F1821" s="149" t="s">
        <v>10296</v>
      </c>
      <c r="G1821" s="149"/>
      <c r="H1821" s="149"/>
      <c r="I1821" s="149"/>
      <c r="J1821" s="149"/>
      <c r="K1821" s="149"/>
      <c r="L1821" s="149"/>
      <c r="M1821" s="149"/>
    </row>
    <row r="1822" spans="1:13">
      <c r="A1822" s="594">
        <v>45237</v>
      </c>
      <c r="B1822" s="108" t="s">
        <v>6515</v>
      </c>
      <c r="C1822" s="287" t="s">
        <v>10534</v>
      </c>
      <c r="D1822" s="108" t="s">
        <v>8910</v>
      </c>
      <c r="E1822" s="108" t="s">
        <v>10002</v>
      </c>
      <c r="F1822" s="108" t="s">
        <v>8918</v>
      </c>
      <c r="G1822" s="108" t="s">
        <v>10862</v>
      </c>
      <c r="H1822" s="149"/>
      <c r="I1822" s="149"/>
      <c r="J1822" s="149"/>
      <c r="K1822" s="149"/>
      <c r="L1822" s="149"/>
      <c r="M1822" s="149"/>
    </row>
    <row r="1823" spans="1:13">
      <c r="A1823" s="595">
        <v>45237</v>
      </c>
      <c r="B1823" s="197" t="s">
        <v>10863</v>
      </c>
      <c r="C1823" s="596" t="s">
        <v>10534</v>
      </c>
      <c r="D1823" s="197" t="s">
        <v>8910</v>
      </c>
      <c r="E1823" s="108" t="s">
        <v>10002</v>
      </c>
      <c r="F1823" s="108" t="s">
        <v>8918</v>
      </c>
      <c r="G1823" s="108" t="s">
        <v>10862</v>
      </c>
      <c r="H1823" s="149"/>
      <c r="I1823" s="149"/>
      <c r="J1823" s="149"/>
      <c r="K1823" s="149"/>
      <c r="L1823" s="149"/>
      <c r="M1823" s="149"/>
    </row>
    <row r="1824" spans="1:13" ht="15.75">
      <c r="A1824" s="503">
        <v>45237</v>
      </c>
      <c r="B1824" s="597" t="s">
        <v>10864</v>
      </c>
      <c r="C1824" s="186" t="s">
        <v>10534</v>
      </c>
      <c r="D1824" s="149" t="s">
        <v>8910</v>
      </c>
      <c r="E1824" s="185" t="s">
        <v>10004</v>
      </c>
      <c r="F1824" s="149" t="s">
        <v>10296</v>
      </c>
      <c r="G1824" s="149"/>
      <c r="H1824" s="149"/>
      <c r="I1824" s="149"/>
      <c r="J1824" s="149"/>
      <c r="K1824" s="149"/>
      <c r="L1824" s="149"/>
      <c r="M1824" s="149"/>
    </row>
    <row r="1825" spans="1:13" ht="15.75">
      <c r="A1825" s="478">
        <v>45237</v>
      </c>
      <c r="B1825" s="580" t="s">
        <v>3526</v>
      </c>
      <c r="C1825" s="149" t="s">
        <v>10534</v>
      </c>
      <c r="D1825" s="185" t="s">
        <v>8910</v>
      </c>
      <c r="E1825" s="185" t="s">
        <v>10002</v>
      </c>
      <c r="F1825" s="149" t="s">
        <v>10296</v>
      </c>
      <c r="G1825" s="149"/>
      <c r="H1825" s="149"/>
      <c r="I1825" s="149"/>
      <c r="J1825" s="149"/>
      <c r="K1825" s="149"/>
      <c r="L1825" s="149"/>
      <c r="M1825" s="149"/>
    </row>
    <row r="1826" spans="1:13" ht="15.75">
      <c r="A1826" s="478">
        <v>45237</v>
      </c>
      <c r="B1826" s="597" t="s">
        <v>6531</v>
      </c>
      <c r="C1826" s="149" t="s">
        <v>10534</v>
      </c>
      <c r="D1826" s="185" t="s">
        <v>8910</v>
      </c>
      <c r="E1826" s="185" t="s">
        <v>10026</v>
      </c>
      <c r="F1826" s="149" t="s">
        <v>10494</v>
      </c>
      <c r="G1826" s="149"/>
      <c r="H1826" s="149"/>
      <c r="I1826" s="149"/>
      <c r="J1826" s="149"/>
      <c r="K1826" s="149"/>
      <c r="L1826" s="149"/>
      <c r="M1826" s="149"/>
    </row>
    <row r="1827" spans="1:13" ht="18">
      <c r="A1827" s="478">
        <v>45239</v>
      </c>
      <c r="B1827" s="584" t="s">
        <v>10865</v>
      </c>
      <c r="C1827" s="149" t="s">
        <v>10534</v>
      </c>
      <c r="D1827" s="185" t="s">
        <v>8910</v>
      </c>
      <c r="E1827" s="185" t="s">
        <v>10010</v>
      </c>
      <c r="F1827" s="149" t="s">
        <v>10494</v>
      </c>
      <c r="G1827" s="149"/>
      <c r="H1827" s="149"/>
      <c r="I1827" s="149"/>
      <c r="J1827" s="149"/>
      <c r="K1827" s="149"/>
      <c r="L1827" s="149"/>
      <c r="M1827" s="149"/>
    </row>
    <row r="1828" spans="1:13">
      <c r="A1828" s="478">
        <v>45239</v>
      </c>
      <c r="B1828" s="149" t="s">
        <v>6529</v>
      </c>
      <c r="C1828" s="185" t="s">
        <v>10534</v>
      </c>
      <c r="D1828" s="185" t="s">
        <v>8910</v>
      </c>
      <c r="E1828" s="185" t="s">
        <v>10314</v>
      </c>
      <c r="F1828" s="149" t="s">
        <v>10494</v>
      </c>
      <c r="G1828" s="149"/>
      <c r="H1828" s="149"/>
      <c r="I1828" s="149"/>
      <c r="J1828" s="149"/>
      <c r="K1828" s="149"/>
      <c r="L1828" s="149"/>
      <c r="M1828" s="149"/>
    </row>
    <row r="1829" spans="1:13">
      <c r="A1829" s="478">
        <v>45239</v>
      </c>
      <c r="B1829" s="149" t="s">
        <v>10866</v>
      </c>
      <c r="C1829" s="185" t="s">
        <v>10534</v>
      </c>
      <c r="D1829" s="185" t="s">
        <v>8910</v>
      </c>
      <c r="E1829" s="185" t="s">
        <v>10314</v>
      </c>
      <c r="F1829" s="149" t="s">
        <v>10494</v>
      </c>
      <c r="G1829" s="149"/>
      <c r="H1829" s="149"/>
      <c r="I1829" s="149"/>
      <c r="J1829" s="149"/>
      <c r="K1829" s="149"/>
      <c r="L1829" s="149"/>
      <c r="M1829" s="149"/>
    </row>
    <row r="1830" spans="1:13">
      <c r="A1830" s="478">
        <v>45239</v>
      </c>
      <c r="B1830" s="149" t="s">
        <v>6533</v>
      </c>
      <c r="C1830" s="185" t="s">
        <v>10534</v>
      </c>
      <c r="D1830" s="185" t="s">
        <v>8910</v>
      </c>
      <c r="E1830" s="185" t="s">
        <v>10010</v>
      </c>
      <c r="F1830" s="149" t="s">
        <v>10494</v>
      </c>
      <c r="G1830" s="149"/>
      <c r="H1830" s="149"/>
      <c r="I1830" s="149"/>
      <c r="J1830" s="149"/>
      <c r="K1830" s="149"/>
      <c r="L1830" s="149"/>
      <c r="M1830" s="149"/>
    </row>
    <row r="1831" spans="1:13">
      <c r="A1831" s="557">
        <v>45240</v>
      </c>
      <c r="B1831" s="149" t="s">
        <v>10867</v>
      </c>
      <c r="C1831" s="185" t="s">
        <v>10534</v>
      </c>
      <c r="D1831" s="205" t="s">
        <v>8910</v>
      </c>
      <c r="E1831" s="149" t="s">
        <v>10314</v>
      </c>
      <c r="F1831" s="149" t="s">
        <v>10785</v>
      </c>
      <c r="G1831" s="149"/>
      <c r="H1831" s="149"/>
      <c r="I1831" s="149"/>
      <c r="J1831" s="149"/>
      <c r="K1831" s="149"/>
      <c r="L1831" s="149"/>
      <c r="M1831" s="149"/>
    </row>
    <row r="1832" spans="1:13">
      <c r="A1832" s="478">
        <v>45240</v>
      </c>
      <c r="B1832" s="149" t="s">
        <v>6535</v>
      </c>
      <c r="C1832" s="205" t="s">
        <v>10534</v>
      </c>
      <c r="D1832" s="149" t="s">
        <v>8910</v>
      </c>
      <c r="E1832" s="149" t="s">
        <v>10289</v>
      </c>
      <c r="F1832" s="149" t="s">
        <v>10494</v>
      </c>
      <c r="G1832" s="149"/>
      <c r="H1832" s="149"/>
      <c r="I1832" s="149"/>
      <c r="J1832" s="149"/>
      <c r="K1832" s="149"/>
      <c r="L1832" s="149"/>
      <c r="M1832" s="149"/>
    </row>
    <row r="1833" spans="1:13">
      <c r="A1833" s="500">
        <v>45243</v>
      </c>
      <c r="B1833" s="186" t="s">
        <v>5677</v>
      </c>
      <c r="C1833" s="199" t="s">
        <v>10534</v>
      </c>
      <c r="D1833" s="149" t="s">
        <v>8910</v>
      </c>
      <c r="E1833" s="149" t="s">
        <v>9998</v>
      </c>
      <c r="F1833" s="149" t="s">
        <v>10296</v>
      </c>
      <c r="G1833" s="149"/>
      <c r="H1833" s="149"/>
      <c r="I1833" s="149"/>
      <c r="J1833" s="149"/>
      <c r="K1833" s="149"/>
      <c r="L1833" s="149"/>
      <c r="M1833" s="149"/>
    </row>
    <row r="1834" spans="1:13">
      <c r="A1834" s="503" t="s">
        <v>10868</v>
      </c>
      <c r="B1834" s="149" t="s">
        <v>10869</v>
      </c>
      <c r="C1834" s="149" t="s">
        <v>8929</v>
      </c>
      <c r="D1834" s="185" t="s">
        <v>8910</v>
      </c>
      <c r="E1834" s="149" t="s">
        <v>10002</v>
      </c>
      <c r="F1834" s="149" t="s">
        <v>10494</v>
      </c>
      <c r="G1834" s="149"/>
      <c r="H1834" s="149"/>
      <c r="I1834" s="149"/>
      <c r="J1834" s="149"/>
      <c r="K1834" s="149"/>
      <c r="L1834" s="149"/>
      <c r="M1834" s="149"/>
    </row>
    <row r="1835" spans="1:13">
      <c r="A1835" s="503" t="s">
        <v>10870</v>
      </c>
      <c r="B1835" s="149" t="s">
        <v>6544</v>
      </c>
      <c r="C1835" s="149" t="s">
        <v>10534</v>
      </c>
      <c r="D1835" s="185" t="s">
        <v>10871</v>
      </c>
      <c r="E1835" s="149" t="s">
        <v>10237</v>
      </c>
      <c r="F1835" s="149" t="s">
        <v>10494</v>
      </c>
      <c r="G1835" s="149"/>
      <c r="H1835" s="149"/>
      <c r="I1835" s="149"/>
      <c r="J1835" s="149"/>
      <c r="K1835" s="149"/>
      <c r="L1835" s="149"/>
      <c r="M1835" s="149"/>
    </row>
    <row r="1836" spans="1:13" ht="18">
      <c r="A1836" s="503" t="s">
        <v>10872</v>
      </c>
      <c r="B1836" s="575" t="s">
        <v>6546</v>
      </c>
      <c r="C1836" s="149" t="s">
        <v>10534</v>
      </c>
      <c r="D1836" s="185" t="s">
        <v>8910</v>
      </c>
      <c r="E1836" s="149" t="s">
        <v>10314</v>
      </c>
      <c r="F1836" s="149" t="s">
        <v>10494</v>
      </c>
      <c r="G1836" s="149"/>
      <c r="H1836" s="149"/>
      <c r="I1836" s="149"/>
      <c r="J1836" s="149"/>
      <c r="K1836" s="149"/>
      <c r="L1836" s="149"/>
      <c r="M1836" s="149"/>
    </row>
    <row r="1837" spans="1:13">
      <c r="A1837" s="503" t="s">
        <v>10872</v>
      </c>
      <c r="B1837" s="149" t="s">
        <v>2956</v>
      </c>
      <c r="C1837" s="149" t="s">
        <v>10534</v>
      </c>
      <c r="D1837" s="185" t="s">
        <v>8910</v>
      </c>
      <c r="E1837" s="149" t="s">
        <v>10314</v>
      </c>
      <c r="F1837" s="149" t="s">
        <v>10494</v>
      </c>
      <c r="G1837" s="149"/>
      <c r="H1837" s="149"/>
      <c r="I1837" s="149"/>
      <c r="J1837" s="149"/>
      <c r="K1837" s="149"/>
      <c r="L1837" s="149"/>
      <c r="M1837" s="149"/>
    </row>
    <row r="1838" spans="1:13">
      <c r="A1838" s="503" t="s">
        <v>10872</v>
      </c>
      <c r="B1838" s="149" t="s">
        <v>10873</v>
      </c>
      <c r="C1838" s="149" t="s">
        <v>10534</v>
      </c>
      <c r="D1838" s="185" t="s">
        <v>8910</v>
      </c>
      <c r="E1838" s="149" t="s">
        <v>10314</v>
      </c>
      <c r="F1838" s="149" t="s">
        <v>10874</v>
      </c>
      <c r="G1838" s="149"/>
      <c r="H1838" s="149"/>
      <c r="I1838" s="149"/>
      <c r="J1838" s="149"/>
      <c r="K1838" s="149"/>
      <c r="L1838" s="149"/>
      <c r="M1838" s="149"/>
    </row>
    <row r="1839" spans="1:13">
      <c r="A1839" s="557" t="s">
        <v>10875</v>
      </c>
      <c r="B1839" s="187" t="s">
        <v>10876</v>
      </c>
      <c r="C1839" s="205" t="s">
        <v>10534</v>
      </c>
      <c r="D1839" s="149" t="s">
        <v>8910</v>
      </c>
      <c r="E1839" s="149" t="s">
        <v>10877</v>
      </c>
      <c r="F1839" s="149" t="s">
        <v>10494</v>
      </c>
      <c r="G1839" s="149"/>
      <c r="H1839" s="149"/>
      <c r="I1839" s="149"/>
      <c r="J1839" s="149"/>
      <c r="K1839" s="149"/>
      <c r="L1839" s="149"/>
      <c r="M1839" s="149"/>
    </row>
    <row r="1840" spans="1:13">
      <c r="A1840" s="557" t="s">
        <v>10875</v>
      </c>
      <c r="B1840" s="149" t="s">
        <v>10878</v>
      </c>
      <c r="C1840" s="185" t="s">
        <v>10534</v>
      </c>
      <c r="D1840" s="149" t="s">
        <v>8910</v>
      </c>
      <c r="E1840" s="149" t="s">
        <v>10877</v>
      </c>
      <c r="F1840" s="149" t="s">
        <v>10494</v>
      </c>
      <c r="G1840" s="149"/>
      <c r="H1840" s="149"/>
      <c r="I1840" s="149"/>
      <c r="J1840" s="149"/>
      <c r="K1840" s="149"/>
      <c r="L1840" s="149"/>
      <c r="M1840" s="149"/>
    </row>
    <row r="1841" spans="1:13">
      <c r="A1841" s="557" t="s">
        <v>10875</v>
      </c>
      <c r="B1841" s="149" t="s">
        <v>10879</v>
      </c>
      <c r="C1841" s="185" t="s">
        <v>10534</v>
      </c>
      <c r="D1841" s="149" t="s">
        <v>8910</v>
      </c>
      <c r="E1841" s="149" t="s">
        <v>10004</v>
      </c>
      <c r="F1841" s="149" t="s">
        <v>10494</v>
      </c>
      <c r="G1841" s="149"/>
      <c r="H1841" s="149"/>
      <c r="I1841" s="149"/>
      <c r="J1841" s="149"/>
      <c r="K1841" s="149"/>
      <c r="L1841" s="149"/>
      <c r="M1841" s="149"/>
    </row>
    <row r="1842" spans="1:13">
      <c r="A1842" s="594" t="s">
        <v>10880</v>
      </c>
      <c r="B1842" s="108" t="s">
        <v>10881</v>
      </c>
      <c r="C1842" s="287" t="s">
        <v>10534</v>
      </c>
      <c r="D1842" s="108" t="s">
        <v>8910</v>
      </c>
      <c r="E1842" s="108" t="s">
        <v>10877</v>
      </c>
      <c r="F1842" s="108" t="s">
        <v>8918</v>
      </c>
      <c r="G1842" s="108" t="s">
        <v>10882</v>
      </c>
      <c r="H1842" s="149"/>
      <c r="I1842" s="149"/>
      <c r="J1842" s="149"/>
      <c r="K1842" s="149"/>
      <c r="L1842" s="149"/>
      <c r="M1842" s="149"/>
    </row>
    <row r="1843" spans="1:13" ht="15.75">
      <c r="A1843" s="503" t="s">
        <v>10880</v>
      </c>
      <c r="B1843" s="599" t="s">
        <v>10883</v>
      </c>
      <c r="C1843" s="149" t="s">
        <v>10534</v>
      </c>
      <c r="D1843" s="149" t="s">
        <v>8910</v>
      </c>
      <c r="E1843" s="149" t="s">
        <v>10884</v>
      </c>
      <c r="F1843" s="149" t="s">
        <v>10494</v>
      </c>
      <c r="G1843" s="149"/>
      <c r="H1843" s="149"/>
      <c r="I1843" s="149"/>
      <c r="J1843" s="149"/>
      <c r="K1843" s="149"/>
      <c r="L1843" s="149"/>
      <c r="M1843" s="149"/>
    </row>
    <row r="1844" spans="1:13">
      <c r="A1844" s="503" t="s">
        <v>10885</v>
      </c>
      <c r="B1844" s="149" t="s">
        <v>6575</v>
      </c>
      <c r="C1844" s="149" t="s">
        <v>10534</v>
      </c>
      <c r="D1844" s="149" t="s">
        <v>10871</v>
      </c>
      <c r="E1844" s="149" t="s">
        <v>10072</v>
      </c>
      <c r="F1844" s="149" t="s">
        <v>10494</v>
      </c>
      <c r="G1844" s="149"/>
      <c r="H1844" s="149"/>
      <c r="I1844" s="149"/>
      <c r="J1844" s="149"/>
      <c r="K1844" s="149"/>
      <c r="L1844" s="149"/>
      <c r="M1844" s="149"/>
    </row>
    <row r="1845" spans="1:13">
      <c r="A1845" s="503" t="s">
        <v>10885</v>
      </c>
      <c r="B1845" s="149" t="s">
        <v>10886</v>
      </c>
      <c r="C1845" s="149" t="s">
        <v>10534</v>
      </c>
      <c r="D1845" s="149" t="s">
        <v>10871</v>
      </c>
      <c r="E1845" s="149" t="s">
        <v>10004</v>
      </c>
      <c r="F1845" s="149" t="s">
        <v>10494</v>
      </c>
      <c r="G1845" s="149"/>
      <c r="H1845" s="149"/>
      <c r="I1845" s="149"/>
      <c r="J1845" s="149"/>
      <c r="K1845" s="149"/>
      <c r="L1845" s="149"/>
      <c r="M1845" s="149"/>
    </row>
    <row r="1846" spans="1:13">
      <c r="A1846" s="503" t="s">
        <v>10885</v>
      </c>
      <c r="B1846" s="149" t="s">
        <v>6580</v>
      </c>
      <c r="C1846" s="149" t="s">
        <v>10534</v>
      </c>
      <c r="D1846" s="149" t="s">
        <v>10871</v>
      </c>
      <c r="E1846" s="149" t="s">
        <v>10072</v>
      </c>
      <c r="F1846" s="149" t="s">
        <v>10494</v>
      </c>
      <c r="G1846" s="149"/>
      <c r="H1846" s="149"/>
      <c r="I1846" s="149"/>
      <c r="J1846" s="149"/>
      <c r="K1846" s="149"/>
      <c r="L1846" s="149"/>
      <c r="M1846" s="149"/>
    </row>
    <row r="1847" spans="1:13">
      <c r="A1847" s="503" t="s">
        <v>10885</v>
      </c>
      <c r="B1847" s="149" t="s">
        <v>10887</v>
      </c>
      <c r="C1847" s="149" t="s">
        <v>10534</v>
      </c>
      <c r="D1847" s="149" t="s">
        <v>10871</v>
      </c>
      <c r="E1847" s="149" t="s">
        <v>10877</v>
      </c>
      <c r="F1847" s="149" t="s">
        <v>10494</v>
      </c>
      <c r="G1847" s="149"/>
      <c r="H1847" s="149"/>
      <c r="I1847" s="149"/>
      <c r="J1847" s="149"/>
      <c r="K1847" s="149"/>
      <c r="L1847" s="149"/>
      <c r="M1847" s="149"/>
    </row>
    <row r="1848" spans="1:13">
      <c r="A1848" s="503" t="s">
        <v>10888</v>
      </c>
      <c r="B1848" s="149" t="s">
        <v>10889</v>
      </c>
      <c r="C1848" s="149" t="s">
        <v>10534</v>
      </c>
      <c r="D1848" s="149" t="s">
        <v>8910</v>
      </c>
      <c r="E1848" s="149" t="s">
        <v>10004</v>
      </c>
      <c r="F1848" s="149" t="s">
        <v>10785</v>
      </c>
      <c r="G1848" s="149"/>
      <c r="H1848" s="149"/>
      <c r="I1848" s="149"/>
      <c r="J1848" s="149"/>
      <c r="K1848" s="149"/>
      <c r="L1848" s="149"/>
      <c r="M1848" s="149"/>
    </row>
    <row r="1849" spans="1:13">
      <c r="A1849" s="503" t="s">
        <v>10888</v>
      </c>
      <c r="B1849" s="149" t="s">
        <v>6582</v>
      </c>
      <c r="C1849" s="149" t="s">
        <v>10534</v>
      </c>
      <c r="D1849" s="149" t="s">
        <v>8910</v>
      </c>
      <c r="E1849" s="149" t="s">
        <v>10007</v>
      </c>
      <c r="F1849" s="149" t="s">
        <v>10494</v>
      </c>
      <c r="G1849" s="149"/>
      <c r="H1849" s="149"/>
      <c r="I1849" s="149"/>
      <c r="J1849" s="149"/>
      <c r="K1849" s="149"/>
      <c r="L1849" s="149"/>
      <c r="M1849" s="149"/>
    </row>
    <row r="1850" spans="1:13">
      <c r="A1850" s="503"/>
      <c r="C1850" s="149"/>
      <c r="D1850" s="185"/>
      <c r="E1850" s="149"/>
      <c r="F1850" s="149"/>
      <c r="G1850" s="149"/>
      <c r="H1850" s="149"/>
      <c r="I1850" s="149"/>
      <c r="J1850" s="149"/>
      <c r="K1850" s="149"/>
      <c r="L1850" s="149"/>
      <c r="M1850" s="149"/>
    </row>
    <row r="1851" spans="1:13">
      <c r="A1851" s="503"/>
      <c r="B1851" s="421" t="s">
        <v>7628</v>
      </c>
      <c r="C1851" s="149"/>
      <c r="D1851" s="149"/>
      <c r="E1851" s="149"/>
      <c r="F1851" s="149"/>
      <c r="G1851" s="149"/>
      <c r="H1851" s="149"/>
      <c r="I1851" s="149"/>
      <c r="J1851" s="149"/>
      <c r="K1851" s="149"/>
      <c r="L1851" s="149"/>
      <c r="M1851" s="149"/>
    </row>
    <row r="1852" spans="1:13">
      <c r="A1852" s="503">
        <v>44938</v>
      </c>
      <c r="B1852" s="149" t="s">
        <v>6593</v>
      </c>
      <c r="C1852" s="149" t="s">
        <v>10534</v>
      </c>
      <c r="D1852" s="149" t="s">
        <v>7628</v>
      </c>
      <c r="E1852" s="149" t="s">
        <v>10314</v>
      </c>
      <c r="F1852" s="149" t="s">
        <v>10494</v>
      </c>
      <c r="G1852" s="149"/>
      <c r="H1852" s="149"/>
      <c r="I1852" s="149"/>
      <c r="J1852" s="149"/>
      <c r="K1852" s="149"/>
      <c r="L1852" s="149"/>
      <c r="M1852" s="149"/>
    </row>
    <row r="1853" spans="1:13">
      <c r="A1853" s="503">
        <v>44938</v>
      </c>
      <c r="B1853" s="149" t="s">
        <v>10890</v>
      </c>
      <c r="C1853" s="149" t="s">
        <v>10534</v>
      </c>
      <c r="D1853" s="149" t="s">
        <v>7628</v>
      </c>
      <c r="E1853" s="149" t="s">
        <v>10314</v>
      </c>
      <c r="F1853" s="149" t="s">
        <v>10494</v>
      </c>
      <c r="G1853" s="149"/>
      <c r="H1853" s="149"/>
      <c r="I1853" s="149"/>
      <c r="J1853" s="149"/>
      <c r="K1853" s="149"/>
      <c r="L1853" s="149"/>
      <c r="M1853" s="149"/>
    </row>
    <row r="1854" spans="1:13">
      <c r="A1854" s="503">
        <v>45028</v>
      </c>
      <c r="B1854" s="149" t="s">
        <v>10891</v>
      </c>
      <c r="C1854" s="149" t="s">
        <v>10534</v>
      </c>
      <c r="D1854" s="149" t="s">
        <v>7628</v>
      </c>
      <c r="E1854" s="149" t="s">
        <v>10289</v>
      </c>
      <c r="F1854" s="149" t="s">
        <v>10494</v>
      </c>
      <c r="G1854" s="149"/>
      <c r="H1854" s="149"/>
      <c r="I1854" s="149"/>
      <c r="J1854" s="149"/>
      <c r="K1854" s="149"/>
      <c r="L1854" s="149"/>
      <c r="M1854" s="149"/>
    </row>
    <row r="1855" spans="1:13">
      <c r="A1855" s="503">
        <v>45028</v>
      </c>
      <c r="B1855" s="149" t="s">
        <v>6599</v>
      </c>
      <c r="C1855" s="149" t="s">
        <v>10534</v>
      </c>
      <c r="D1855" s="149" t="s">
        <v>7628</v>
      </c>
      <c r="E1855" s="149" t="s">
        <v>10289</v>
      </c>
      <c r="F1855" s="149" t="s">
        <v>10494</v>
      </c>
      <c r="G1855" s="149"/>
      <c r="H1855" s="149"/>
      <c r="I1855" s="149"/>
      <c r="J1855" s="149"/>
      <c r="K1855" s="149"/>
      <c r="L1855" s="149"/>
      <c r="M1855" s="149"/>
    </row>
    <row r="1856" spans="1:13">
      <c r="A1856" s="503">
        <v>45028</v>
      </c>
      <c r="B1856" s="149" t="s">
        <v>6604</v>
      </c>
      <c r="C1856" s="149" t="s">
        <v>10534</v>
      </c>
      <c r="D1856" s="149" t="s">
        <v>7628</v>
      </c>
      <c r="E1856" s="149" t="s">
        <v>10289</v>
      </c>
      <c r="F1856" s="149" t="s">
        <v>10494</v>
      </c>
      <c r="G1856" s="149"/>
      <c r="H1856" s="149"/>
      <c r="I1856" s="149"/>
      <c r="J1856" s="149"/>
      <c r="K1856" s="149"/>
      <c r="L1856" s="149"/>
      <c r="M1856" s="149"/>
    </row>
    <row r="1857" spans="1:13">
      <c r="A1857" s="503">
        <v>45028</v>
      </c>
      <c r="B1857" s="149" t="s">
        <v>10892</v>
      </c>
      <c r="C1857" s="149" t="s">
        <v>10534</v>
      </c>
      <c r="D1857" s="149" t="s">
        <v>7628</v>
      </c>
      <c r="E1857" s="149" t="s">
        <v>10877</v>
      </c>
      <c r="F1857" s="149" t="s">
        <v>10893</v>
      </c>
      <c r="G1857" s="149"/>
      <c r="H1857" s="149"/>
      <c r="I1857" s="149"/>
      <c r="J1857" s="149"/>
      <c r="K1857" s="149"/>
      <c r="L1857" s="149"/>
      <c r="M1857" s="149"/>
    </row>
    <row r="1858" spans="1:13">
      <c r="A1858" s="503">
        <v>45089</v>
      </c>
      <c r="B1858" s="149" t="s">
        <v>10894</v>
      </c>
      <c r="C1858" s="149" t="s">
        <v>10534</v>
      </c>
      <c r="D1858" s="149" t="s">
        <v>7628</v>
      </c>
      <c r="E1858" s="149" t="s">
        <v>10007</v>
      </c>
      <c r="F1858" s="149" t="s">
        <v>10494</v>
      </c>
      <c r="G1858" s="149"/>
      <c r="H1858" s="149"/>
      <c r="I1858" s="149"/>
      <c r="J1858" s="149"/>
      <c r="K1858" s="149"/>
      <c r="L1858" s="149"/>
      <c r="M1858" s="149"/>
    </row>
    <row r="1859" spans="1:13">
      <c r="A1859" s="503">
        <v>45119</v>
      </c>
      <c r="B1859" s="149" t="s">
        <v>10895</v>
      </c>
      <c r="C1859" s="149" t="s">
        <v>10534</v>
      </c>
      <c r="D1859" s="149" t="s">
        <v>7628</v>
      </c>
      <c r="E1859" s="149" t="s">
        <v>10314</v>
      </c>
      <c r="F1859" s="149" t="s">
        <v>10896</v>
      </c>
      <c r="G1859" s="149"/>
      <c r="H1859" s="149"/>
      <c r="I1859" s="149"/>
      <c r="J1859" s="149"/>
      <c r="K1859" s="149"/>
      <c r="L1859" s="149"/>
      <c r="M1859" s="149"/>
    </row>
    <row r="1860" spans="1:13">
      <c r="A1860" s="503">
        <v>45242</v>
      </c>
      <c r="B1860" s="149" t="s">
        <v>3910</v>
      </c>
      <c r="C1860" s="149" t="s">
        <v>10534</v>
      </c>
      <c r="D1860" s="149" t="s">
        <v>10897</v>
      </c>
      <c r="E1860" s="149" t="s">
        <v>10289</v>
      </c>
      <c r="F1860" s="149" t="s">
        <v>10494</v>
      </c>
      <c r="G1860" s="149"/>
      <c r="H1860" s="149"/>
      <c r="I1860" s="149"/>
      <c r="J1860" s="149"/>
      <c r="K1860" s="149"/>
      <c r="L1860" s="149"/>
      <c r="M1860" s="149"/>
    </row>
    <row r="1861" spans="1:13">
      <c r="A1861" s="503">
        <v>45242</v>
      </c>
      <c r="B1861" s="108" t="s">
        <v>3395</v>
      </c>
      <c r="C1861" s="149" t="s">
        <v>10534</v>
      </c>
      <c r="D1861" s="149" t="s">
        <v>7628</v>
      </c>
      <c r="E1861" s="149" t="s">
        <v>10877</v>
      </c>
      <c r="F1861" s="149" t="s">
        <v>8918</v>
      </c>
      <c r="G1861" s="149"/>
      <c r="H1861" s="149"/>
      <c r="I1861" s="149"/>
      <c r="J1861" s="149"/>
      <c r="K1861" s="149"/>
      <c r="L1861" s="149"/>
      <c r="M1861" s="149"/>
    </row>
    <row r="1862" spans="1:13">
      <c r="A1862" s="503">
        <v>45242</v>
      </c>
      <c r="B1862" s="149" t="s">
        <v>10898</v>
      </c>
      <c r="C1862" s="149" t="s">
        <v>10534</v>
      </c>
      <c r="D1862" s="149" t="s">
        <v>7628</v>
      </c>
      <c r="E1862" s="149" t="s">
        <v>10877</v>
      </c>
      <c r="F1862" s="149" t="s">
        <v>10494</v>
      </c>
      <c r="G1862" s="149"/>
      <c r="H1862" s="149"/>
      <c r="I1862" s="149"/>
      <c r="J1862" s="149"/>
      <c r="K1862" s="149"/>
      <c r="L1862" s="149"/>
      <c r="M1862" s="149"/>
    </row>
    <row r="1863" spans="1:13">
      <c r="A1863" s="503">
        <v>45272</v>
      </c>
      <c r="B1863" s="149" t="s">
        <v>6629</v>
      </c>
      <c r="C1863" s="149" t="s">
        <v>10534</v>
      </c>
      <c r="D1863" s="149" t="s">
        <v>7628</v>
      </c>
      <c r="E1863" s="149" t="s">
        <v>10236</v>
      </c>
      <c r="F1863" s="149" t="s">
        <v>10494</v>
      </c>
      <c r="G1863" s="149"/>
      <c r="H1863" s="149"/>
      <c r="I1863" s="149"/>
      <c r="J1863" s="149"/>
      <c r="K1863" s="149"/>
      <c r="L1863" s="149"/>
      <c r="M1863" s="149"/>
    </row>
    <row r="1864" spans="1:13">
      <c r="A1864" s="503">
        <v>45272</v>
      </c>
      <c r="B1864" s="149" t="s">
        <v>5349</v>
      </c>
      <c r="C1864" s="149" t="s">
        <v>10534</v>
      </c>
      <c r="D1864" s="149" t="s">
        <v>7628</v>
      </c>
      <c r="E1864" s="149" t="s">
        <v>10899</v>
      </c>
      <c r="F1864" s="149" t="s">
        <v>10291</v>
      </c>
      <c r="G1864" s="149"/>
      <c r="H1864" s="149"/>
      <c r="I1864" s="149"/>
      <c r="J1864" s="149"/>
      <c r="K1864" s="149"/>
      <c r="L1864" s="149"/>
      <c r="M1864" s="149"/>
    </row>
    <row r="1865" spans="1:13">
      <c r="A1865" s="503" t="s">
        <v>10900</v>
      </c>
      <c r="B1865" s="149" t="s">
        <v>6625</v>
      </c>
      <c r="C1865" s="149" t="s">
        <v>10534</v>
      </c>
      <c r="D1865" s="149" t="s">
        <v>7628</v>
      </c>
      <c r="E1865" s="149" t="s">
        <v>10899</v>
      </c>
      <c r="F1865" s="149" t="s">
        <v>10494</v>
      </c>
      <c r="G1865" s="149"/>
      <c r="H1865" s="149"/>
      <c r="I1865" s="149"/>
      <c r="J1865" s="149"/>
      <c r="K1865" s="149"/>
      <c r="L1865" s="149"/>
      <c r="M1865" s="149"/>
    </row>
    <row r="1866" spans="1:13">
      <c r="A1866" s="503" t="s">
        <v>10901</v>
      </c>
      <c r="B1866" s="149" t="s">
        <v>6637</v>
      </c>
      <c r="C1866" s="149" t="s">
        <v>10534</v>
      </c>
      <c r="D1866" s="149" t="s">
        <v>7628</v>
      </c>
      <c r="E1866" s="149" t="s">
        <v>10007</v>
      </c>
      <c r="F1866" s="149" t="s">
        <v>10494</v>
      </c>
      <c r="G1866" s="149"/>
      <c r="H1866" s="149"/>
      <c r="I1866" s="149"/>
      <c r="J1866" s="149"/>
      <c r="K1866" s="149"/>
      <c r="L1866" s="149"/>
      <c r="M1866" s="149"/>
    </row>
    <row r="1867" spans="1:13">
      <c r="A1867" s="503" t="s">
        <v>10902</v>
      </c>
      <c r="B1867" s="149" t="s">
        <v>3587</v>
      </c>
      <c r="C1867" s="149" t="s">
        <v>10534</v>
      </c>
      <c r="D1867" s="149" t="s">
        <v>7628</v>
      </c>
      <c r="E1867" s="149" t="s">
        <v>10314</v>
      </c>
      <c r="F1867" s="149" t="s">
        <v>10796</v>
      </c>
      <c r="G1867" s="149"/>
      <c r="H1867" s="149"/>
      <c r="I1867" s="149"/>
      <c r="J1867" s="149"/>
      <c r="K1867" s="149"/>
      <c r="L1867" s="149"/>
      <c r="M1867" s="149"/>
    </row>
    <row r="1868" spans="1:13">
      <c r="A1868" s="503" t="s">
        <v>10902</v>
      </c>
      <c r="B1868" s="149" t="s">
        <v>6099</v>
      </c>
      <c r="C1868" s="149" t="s">
        <v>10534</v>
      </c>
      <c r="D1868" s="149" t="s">
        <v>7628</v>
      </c>
      <c r="E1868" s="149" t="s">
        <v>9996</v>
      </c>
      <c r="F1868" s="149" t="s">
        <v>10903</v>
      </c>
      <c r="G1868" s="149"/>
      <c r="H1868" s="149"/>
      <c r="I1868" s="149"/>
      <c r="J1868" s="149"/>
      <c r="K1868" s="149"/>
      <c r="L1868" s="149"/>
      <c r="M1868" s="149"/>
    </row>
    <row r="1869" spans="1:13">
      <c r="A1869" s="503" t="s">
        <v>7633</v>
      </c>
      <c r="B1869" s="149" t="s">
        <v>10904</v>
      </c>
      <c r="C1869" s="149" t="s">
        <v>10534</v>
      </c>
      <c r="D1869" s="149" t="s">
        <v>7628</v>
      </c>
      <c r="E1869" s="149" t="s">
        <v>10289</v>
      </c>
      <c r="F1869" s="149" t="s">
        <v>10494</v>
      </c>
      <c r="G1869" s="149"/>
      <c r="H1869" s="149"/>
      <c r="I1869" s="149"/>
      <c r="J1869" s="149"/>
      <c r="K1869" s="149"/>
      <c r="L1869" s="149"/>
      <c r="M1869" s="149"/>
    </row>
    <row r="1870" spans="1:13">
      <c r="A1870" s="503" t="s">
        <v>7633</v>
      </c>
      <c r="B1870" s="149" t="s">
        <v>10904</v>
      </c>
      <c r="C1870" s="149" t="s">
        <v>10534</v>
      </c>
      <c r="D1870" s="149" t="s">
        <v>7628</v>
      </c>
      <c r="E1870" s="149" t="s">
        <v>10289</v>
      </c>
      <c r="F1870" s="149" t="s">
        <v>10293</v>
      </c>
      <c r="G1870" s="149"/>
      <c r="H1870" s="149"/>
      <c r="I1870" s="149"/>
      <c r="J1870" s="149"/>
      <c r="K1870" s="149"/>
      <c r="L1870" s="149"/>
      <c r="M1870" s="149"/>
    </row>
    <row r="1871" spans="1:13">
      <c r="A1871" s="503" t="s">
        <v>7633</v>
      </c>
      <c r="B1871" s="149" t="s">
        <v>6653</v>
      </c>
      <c r="C1871" s="149" t="s">
        <v>10534</v>
      </c>
      <c r="D1871" s="149" t="s">
        <v>7628</v>
      </c>
      <c r="E1871" s="149" t="s">
        <v>9998</v>
      </c>
      <c r="F1871" s="149" t="s">
        <v>10494</v>
      </c>
      <c r="G1871" s="149"/>
      <c r="H1871" s="149"/>
      <c r="I1871" s="149"/>
      <c r="J1871" s="149"/>
      <c r="K1871" s="149"/>
      <c r="L1871" s="149"/>
      <c r="M1871" s="149"/>
    </row>
    <row r="1872" spans="1:13" ht="18">
      <c r="A1872" s="503" t="s">
        <v>10905</v>
      </c>
      <c r="B1872" s="573" t="s">
        <v>6655</v>
      </c>
      <c r="C1872" s="149" t="s">
        <v>8929</v>
      </c>
      <c r="D1872" s="149" t="s">
        <v>7628</v>
      </c>
      <c r="E1872" s="149" t="s">
        <v>10236</v>
      </c>
      <c r="F1872" s="149" t="s">
        <v>10494</v>
      </c>
      <c r="G1872" s="149"/>
      <c r="H1872" s="149"/>
      <c r="I1872" s="149"/>
      <c r="J1872" s="149"/>
      <c r="K1872" s="149"/>
      <c r="L1872" s="149"/>
      <c r="M1872" s="149"/>
    </row>
    <row r="1873" spans="1:13">
      <c r="A1873" s="503" t="s">
        <v>10905</v>
      </c>
      <c r="B1873" t="s">
        <v>6657</v>
      </c>
      <c r="C1873" s="149" t="s">
        <v>10534</v>
      </c>
      <c r="D1873" s="149" t="s">
        <v>7628</v>
      </c>
      <c r="E1873" s="149" t="s">
        <v>10007</v>
      </c>
      <c r="F1873" s="149" t="s">
        <v>10494</v>
      </c>
      <c r="G1873" s="149"/>
      <c r="H1873" s="149"/>
      <c r="I1873" s="149"/>
      <c r="J1873" s="149"/>
      <c r="K1873" s="149"/>
      <c r="L1873" s="149"/>
      <c r="M1873" s="149"/>
    </row>
    <row r="1874" spans="1:13" ht="18">
      <c r="A1874" s="503" t="s">
        <v>10905</v>
      </c>
      <c r="B1874" s="573" t="s">
        <v>10906</v>
      </c>
      <c r="C1874" s="149" t="s">
        <v>10534</v>
      </c>
      <c r="D1874" s="149" t="s">
        <v>7628</v>
      </c>
      <c r="E1874" s="149" t="s">
        <v>10899</v>
      </c>
      <c r="F1874" s="149" t="s">
        <v>10903</v>
      </c>
      <c r="G1874" s="149"/>
      <c r="H1874" s="149"/>
      <c r="I1874" s="149"/>
      <c r="J1874" s="149"/>
      <c r="K1874" s="149"/>
      <c r="L1874" s="149"/>
      <c r="M1874" s="149"/>
    </row>
    <row r="1875" spans="1:13" ht="15.75">
      <c r="A1875" s="503" t="s">
        <v>10907</v>
      </c>
      <c r="B1875" s="634" t="s">
        <v>6669</v>
      </c>
      <c r="C1875" s="149" t="s">
        <v>10534</v>
      </c>
      <c r="D1875" s="149" t="s">
        <v>7628</v>
      </c>
      <c r="E1875" s="149" t="s">
        <v>10007</v>
      </c>
      <c r="F1875" s="149" t="s">
        <v>278</v>
      </c>
      <c r="G1875" s="149"/>
      <c r="H1875" s="149"/>
      <c r="I1875" s="149"/>
      <c r="J1875" s="149"/>
      <c r="K1875" s="149"/>
      <c r="L1875" s="149"/>
      <c r="M1875" s="149"/>
    </row>
    <row r="1876" spans="1:13" ht="15.75">
      <c r="A1876" s="503" t="s">
        <v>10908</v>
      </c>
      <c r="B1876" s="577" t="s">
        <v>3958</v>
      </c>
      <c r="C1876" s="149" t="s">
        <v>10534</v>
      </c>
      <c r="D1876" s="149" t="s">
        <v>7628</v>
      </c>
      <c r="E1876" s="149" t="s">
        <v>10314</v>
      </c>
      <c r="F1876" s="149" t="s">
        <v>10532</v>
      </c>
      <c r="G1876" s="149"/>
      <c r="H1876" s="149"/>
      <c r="I1876" s="149"/>
      <c r="J1876" s="149"/>
      <c r="K1876" s="149"/>
      <c r="L1876" s="149"/>
      <c r="M1876" s="149"/>
    </row>
    <row r="1877" spans="1:13" ht="18">
      <c r="A1877" s="503" t="s">
        <v>10909</v>
      </c>
      <c r="B1877" s="584" t="s">
        <v>10910</v>
      </c>
      <c r="C1877" s="149" t="s">
        <v>10534</v>
      </c>
      <c r="D1877" s="149" t="s">
        <v>7628</v>
      </c>
      <c r="E1877" s="149" t="s">
        <v>10877</v>
      </c>
      <c r="F1877" s="149" t="s">
        <v>10494</v>
      </c>
      <c r="G1877" s="149"/>
      <c r="H1877" s="149"/>
      <c r="I1877" s="149"/>
      <c r="J1877" s="149"/>
      <c r="K1877" s="149"/>
      <c r="L1877" s="149"/>
      <c r="M1877" s="149"/>
    </row>
    <row r="1878" spans="1:13">
      <c r="A1878" s="503" t="s">
        <v>10909</v>
      </c>
      <c r="B1878" s="149" t="s">
        <v>10911</v>
      </c>
      <c r="C1878" s="149" t="s">
        <v>10534</v>
      </c>
      <c r="D1878" s="149" t="s">
        <v>7628</v>
      </c>
      <c r="E1878" s="149" t="s">
        <v>10877</v>
      </c>
      <c r="F1878" s="149" t="s">
        <v>10494</v>
      </c>
      <c r="G1878" s="149"/>
      <c r="H1878" s="149"/>
      <c r="I1878" s="149"/>
      <c r="J1878" s="149"/>
      <c r="K1878" s="149"/>
      <c r="L1878" s="149"/>
      <c r="M1878" s="149"/>
    </row>
    <row r="1879" spans="1:13">
      <c r="A1879" s="503" t="s">
        <v>10912</v>
      </c>
      <c r="B1879" s="149" t="s">
        <v>10913</v>
      </c>
      <c r="C1879" s="149" t="s">
        <v>10534</v>
      </c>
      <c r="D1879" s="149" t="s">
        <v>10897</v>
      </c>
      <c r="E1879" s="149" t="s">
        <v>10899</v>
      </c>
      <c r="F1879" s="149" t="s">
        <v>10494</v>
      </c>
      <c r="G1879" s="149"/>
      <c r="H1879" s="149"/>
      <c r="I1879" s="149"/>
      <c r="J1879" s="149"/>
      <c r="K1879" s="149"/>
      <c r="L1879" s="149"/>
      <c r="M1879" s="149"/>
    </row>
    <row r="1880" spans="1:13">
      <c r="A1880" s="503" t="s">
        <v>10912</v>
      </c>
      <c r="B1880" s="149" t="s">
        <v>3850</v>
      </c>
      <c r="C1880" s="149" t="s">
        <v>10534</v>
      </c>
      <c r="D1880" s="149" t="s">
        <v>10897</v>
      </c>
      <c r="E1880" s="149" t="s">
        <v>10899</v>
      </c>
      <c r="F1880" s="149" t="s">
        <v>10914</v>
      </c>
      <c r="G1880" s="149"/>
      <c r="H1880" s="149"/>
      <c r="I1880" s="149"/>
      <c r="J1880" s="149"/>
      <c r="K1880" s="149"/>
      <c r="L1880" s="149"/>
      <c r="M1880" s="149"/>
    </row>
    <row r="1881" spans="1:13">
      <c r="A1881" s="503" t="s">
        <v>10912</v>
      </c>
      <c r="B1881" s="149" t="s">
        <v>3784</v>
      </c>
      <c r="C1881" s="149" t="s">
        <v>10534</v>
      </c>
      <c r="D1881" s="149" t="s">
        <v>10897</v>
      </c>
      <c r="E1881" s="149" t="s">
        <v>10899</v>
      </c>
      <c r="F1881" s="149" t="s">
        <v>10914</v>
      </c>
      <c r="G1881" s="149"/>
      <c r="H1881" s="149"/>
      <c r="I1881" s="149"/>
      <c r="J1881" s="149"/>
      <c r="K1881" s="149"/>
      <c r="L1881" s="149"/>
      <c r="M1881" s="149"/>
    </row>
    <row r="1882" spans="1:13">
      <c r="A1882" s="503" t="s">
        <v>10912</v>
      </c>
      <c r="B1882" s="186" t="s">
        <v>10915</v>
      </c>
      <c r="C1882" s="149" t="s">
        <v>10534</v>
      </c>
      <c r="D1882" s="149" t="s">
        <v>10897</v>
      </c>
      <c r="E1882" t="s">
        <v>10916</v>
      </c>
      <c r="F1882" s="149" t="s">
        <v>10494</v>
      </c>
      <c r="G1882" s="149"/>
      <c r="H1882" s="149"/>
      <c r="I1882" s="149"/>
      <c r="J1882" s="149"/>
      <c r="K1882" s="149"/>
      <c r="L1882" s="149"/>
      <c r="M1882" s="149"/>
    </row>
    <row r="1883" spans="1:13">
      <c r="A1883" s="503" t="s">
        <v>10917</v>
      </c>
      <c r="B1883" s="149" t="s">
        <v>6691</v>
      </c>
      <c r="C1883" s="149" t="s">
        <v>10534</v>
      </c>
      <c r="D1883" s="149" t="s">
        <v>10897</v>
      </c>
      <c r="E1883" s="149" t="s">
        <v>10918</v>
      </c>
      <c r="F1883" s="149" t="s">
        <v>10494</v>
      </c>
      <c r="G1883" s="149"/>
      <c r="H1883" s="149"/>
      <c r="I1883" s="149"/>
      <c r="J1883" s="149"/>
      <c r="K1883" s="149"/>
      <c r="L1883" s="149"/>
      <c r="M1883" s="149"/>
    </row>
    <row r="1884" spans="1:13">
      <c r="A1884" s="503" t="s">
        <v>10917</v>
      </c>
      <c r="B1884" s="149" t="s">
        <v>3312</v>
      </c>
      <c r="C1884" s="149" t="s">
        <v>10534</v>
      </c>
      <c r="D1884" s="149" t="s">
        <v>10897</v>
      </c>
      <c r="E1884" s="149" t="s">
        <v>10010</v>
      </c>
      <c r="F1884" s="149" t="s">
        <v>10494</v>
      </c>
      <c r="G1884" s="149"/>
      <c r="H1884" s="149"/>
      <c r="I1884" s="149"/>
      <c r="J1884" s="149"/>
      <c r="K1884" s="149"/>
      <c r="L1884" s="149"/>
      <c r="M1884" s="149"/>
    </row>
    <row r="1885" spans="1:13" ht="18">
      <c r="A1885" s="503" t="s">
        <v>10919</v>
      </c>
      <c r="B1885" s="575" t="s">
        <v>6695</v>
      </c>
      <c r="C1885" s="149" t="s">
        <v>10534</v>
      </c>
      <c r="D1885" s="149" t="s">
        <v>10897</v>
      </c>
      <c r="E1885" s="149" t="s">
        <v>10314</v>
      </c>
      <c r="F1885" s="149" t="s">
        <v>10494</v>
      </c>
      <c r="G1885" s="149"/>
      <c r="H1885" s="149"/>
      <c r="I1885" s="149"/>
      <c r="J1885" s="149"/>
      <c r="K1885" s="149"/>
      <c r="L1885" s="149"/>
      <c r="M1885" s="149"/>
    </row>
    <row r="1886" spans="1:13" ht="18">
      <c r="A1886" s="503" t="s">
        <v>10919</v>
      </c>
      <c r="B1886" s="573" t="s">
        <v>10920</v>
      </c>
      <c r="C1886" s="149" t="s">
        <v>9777</v>
      </c>
      <c r="D1886" s="149" t="s">
        <v>7628</v>
      </c>
      <c r="E1886" s="149" t="s">
        <v>10314</v>
      </c>
      <c r="F1886" s="149" t="s">
        <v>10921</v>
      </c>
      <c r="G1886" s="149"/>
      <c r="H1886" s="149"/>
      <c r="I1886" s="149"/>
      <c r="J1886" s="149"/>
      <c r="K1886" s="149"/>
      <c r="L1886" s="149"/>
      <c r="M1886" s="149"/>
    </row>
    <row r="1887" spans="1:13">
      <c r="A1887" s="635" t="s">
        <v>10919</v>
      </c>
      <c r="B1887" s="636" t="s">
        <v>10922</v>
      </c>
      <c r="C1887" s="636" t="s">
        <v>10534</v>
      </c>
      <c r="D1887" s="636" t="s">
        <v>7628</v>
      </c>
      <c r="E1887" s="636" t="s">
        <v>10916</v>
      </c>
      <c r="F1887" s="636" t="s">
        <v>10923</v>
      </c>
      <c r="G1887" s="149"/>
      <c r="H1887" s="149"/>
      <c r="I1887" s="149"/>
      <c r="J1887" s="149"/>
      <c r="K1887" s="149"/>
      <c r="L1887" s="149"/>
      <c r="M1887" s="149"/>
    </row>
    <row r="1888" spans="1:13">
      <c r="A1888" s="635" t="s">
        <v>10919</v>
      </c>
      <c r="B1888" s="636" t="s">
        <v>10922</v>
      </c>
      <c r="C1888" s="636" t="s">
        <v>10534</v>
      </c>
      <c r="D1888" s="636" t="s">
        <v>7628</v>
      </c>
      <c r="E1888" s="636" t="s">
        <v>10916</v>
      </c>
      <c r="F1888" s="636" t="s">
        <v>10924</v>
      </c>
      <c r="G1888" s="149"/>
      <c r="H1888" s="149"/>
      <c r="I1888" s="149"/>
      <c r="J1888" s="149"/>
      <c r="K1888" s="149"/>
      <c r="L1888" s="149"/>
      <c r="M1888" s="149"/>
    </row>
    <row r="1889" spans="1:13">
      <c r="A1889" s="503" t="s">
        <v>10919</v>
      </c>
      <c r="B1889" s="149" t="s">
        <v>3771</v>
      </c>
      <c r="C1889" s="192" t="s">
        <v>10534</v>
      </c>
      <c r="D1889" s="192" t="s">
        <v>7628</v>
      </c>
      <c r="E1889" s="149" t="s">
        <v>10314</v>
      </c>
      <c r="F1889" s="149" t="s">
        <v>10626</v>
      </c>
      <c r="G1889" s="149"/>
      <c r="H1889" s="149"/>
      <c r="I1889" s="149"/>
      <c r="J1889" s="149"/>
      <c r="K1889" s="149"/>
      <c r="L1889" s="149"/>
      <c r="M1889" s="149"/>
    </row>
    <row r="1890" spans="1:13">
      <c r="A1890" s="503" t="s">
        <v>10919</v>
      </c>
      <c r="B1890" s="637" t="s">
        <v>4914</v>
      </c>
      <c r="C1890" s="192" t="s">
        <v>10534</v>
      </c>
      <c r="D1890" s="192" t="s">
        <v>7628</v>
      </c>
      <c r="E1890" s="149" t="s">
        <v>10899</v>
      </c>
      <c r="F1890" s="149" t="s">
        <v>10796</v>
      </c>
      <c r="G1890" s="149"/>
      <c r="H1890" s="149"/>
      <c r="I1890" s="149"/>
      <c r="J1890" s="149"/>
      <c r="K1890" s="149"/>
      <c r="L1890" s="149"/>
      <c r="M1890" s="149"/>
    </row>
    <row r="1891" spans="1:13" ht="15.75">
      <c r="A1891" s="635" t="s">
        <v>10925</v>
      </c>
      <c r="B1891" s="638" t="s">
        <v>6705</v>
      </c>
      <c r="C1891" s="636" t="s">
        <v>10534</v>
      </c>
      <c r="D1891" s="636" t="s">
        <v>7628</v>
      </c>
      <c r="E1891" s="636" t="s">
        <v>10314</v>
      </c>
      <c r="F1891" s="636" t="s">
        <v>10926</v>
      </c>
      <c r="G1891" s="149"/>
      <c r="H1891" s="149"/>
      <c r="I1891" s="149"/>
      <c r="J1891" s="149"/>
      <c r="K1891" s="149"/>
      <c r="L1891" s="149"/>
      <c r="M1891" s="149"/>
    </row>
    <row r="1892" spans="1:13">
      <c r="A1892" s="503" t="s">
        <v>10927</v>
      </c>
      <c r="B1892" s="149" t="s">
        <v>3320</v>
      </c>
      <c r="C1892" s="149" t="s">
        <v>10534</v>
      </c>
      <c r="D1892" s="149" t="s">
        <v>7628</v>
      </c>
      <c r="E1892" s="149" t="s">
        <v>10026</v>
      </c>
      <c r="F1892" s="149" t="s">
        <v>10494</v>
      </c>
      <c r="G1892" s="149"/>
      <c r="H1892" s="149"/>
      <c r="I1892" s="149"/>
      <c r="J1892" s="149"/>
      <c r="K1892" s="149"/>
      <c r="L1892" s="149"/>
      <c r="M1892" s="149"/>
    </row>
    <row r="1893" spans="1:13">
      <c r="A1893" s="503" t="s">
        <v>10927</v>
      </c>
      <c r="B1893" s="149" t="s">
        <v>6711</v>
      </c>
      <c r="C1893" s="149" t="s">
        <v>10534</v>
      </c>
      <c r="D1893" s="149" t="s">
        <v>7628</v>
      </c>
      <c r="E1893" s="149" t="s">
        <v>10026</v>
      </c>
      <c r="F1893" s="149" t="s">
        <v>10494</v>
      </c>
      <c r="G1893" s="149"/>
      <c r="H1893" s="149"/>
      <c r="I1893" s="149"/>
      <c r="J1893" s="149"/>
      <c r="K1893" s="149"/>
      <c r="L1893" s="149"/>
      <c r="M1893" s="149"/>
    </row>
    <row r="1894" spans="1:13">
      <c r="A1894" s="503"/>
      <c r="B1894" s="149"/>
      <c r="C1894" s="149"/>
      <c r="D1894" s="149"/>
      <c r="E1894" s="149"/>
      <c r="F1894" s="149"/>
      <c r="G1894" s="149"/>
      <c r="H1894" s="149"/>
      <c r="I1894" s="149"/>
      <c r="J1894" s="149"/>
      <c r="K1894" s="149"/>
      <c r="L1894" s="149"/>
      <c r="M1894" s="149"/>
    </row>
    <row r="1895" spans="1:13">
      <c r="A1895" s="550"/>
      <c r="B1895" s="645" t="s">
        <v>10928</v>
      </c>
      <c r="C1895" s="108"/>
      <c r="D1895" s="108"/>
      <c r="E1895" s="108"/>
      <c r="F1895" s="108"/>
      <c r="G1895" s="149"/>
      <c r="H1895" s="149"/>
      <c r="I1895" s="149"/>
      <c r="J1895" s="149"/>
      <c r="K1895" s="149"/>
      <c r="L1895" s="149"/>
      <c r="M1895" s="149"/>
    </row>
    <row r="1896" spans="1:13">
      <c r="A1896" s="503">
        <v>45293</v>
      </c>
      <c r="B1896" s="149" t="s">
        <v>10929</v>
      </c>
      <c r="C1896" s="192" t="s">
        <v>10534</v>
      </c>
      <c r="D1896" s="149" t="s">
        <v>7634</v>
      </c>
      <c r="E1896" s="149" t="s">
        <v>10877</v>
      </c>
      <c r="F1896" s="149" t="s">
        <v>10494</v>
      </c>
      <c r="G1896" s="149"/>
      <c r="H1896" s="149"/>
      <c r="I1896" s="149"/>
      <c r="J1896" s="149"/>
      <c r="K1896" s="149"/>
      <c r="L1896" s="149"/>
      <c r="M1896" s="149"/>
    </row>
    <row r="1897" spans="1:13">
      <c r="A1897" s="503">
        <v>45293</v>
      </c>
      <c r="B1897" s="149" t="s">
        <v>6713</v>
      </c>
      <c r="C1897" s="192" t="s">
        <v>10534</v>
      </c>
      <c r="D1897" s="149" t="s">
        <v>7634</v>
      </c>
      <c r="E1897" s="149" t="s">
        <v>10899</v>
      </c>
      <c r="F1897" s="149" t="s">
        <v>10494</v>
      </c>
      <c r="G1897" s="149"/>
      <c r="H1897" s="149"/>
      <c r="I1897" s="149"/>
      <c r="J1897" s="149"/>
      <c r="K1897" s="149"/>
      <c r="L1897" s="149"/>
      <c r="M1897" s="149"/>
    </row>
    <row r="1898" spans="1:13">
      <c r="A1898" s="503">
        <v>45293</v>
      </c>
      <c r="B1898" s="149" t="s">
        <v>10930</v>
      </c>
      <c r="C1898" s="192" t="s">
        <v>10534</v>
      </c>
      <c r="D1898" s="149" t="s">
        <v>7634</v>
      </c>
      <c r="E1898" s="149" t="s">
        <v>10899</v>
      </c>
      <c r="F1898" s="149" t="s">
        <v>10494</v>
      </c>
      <c r="G1898" s="149"/>
      <c r="H1898" s="149"/>
      <c r="I1898" s="149"/>
      <c r="J1898" s="149"/>
      <c r="K1898" s="149"/>
      <c r="L1898" s="149"/>
      <c r="M1898" s="149"/>
    </row>
    <row r="1899" spans="1:13">
      <c r="A1899" s="503">
        <v>45293</v>
      </c>
      <c r="B1899" s="673" t="s">
        <v>10931</v>
      </c>
      <c r="C1899" s="149" t="s">
        <v>10534</v>
      </c>
      <c r="D1899" s="149" t="s">
        <v>7634</v>
      </c>
      <c r="E1899" s="149" t="s">
        <v>10916</v>
      </c>
      <c r="F1899" s="149" t="s">
        <v>10785</v>
      </c>
      <c r="G1899" s="149"/>
      <c r="H1899" s="149"/>
      <c r="I1899" s="149"/>
      <c r="J1899" s="149"/>
      <c r="K1899" s="149"/>
      <c r="L1899" s="149"/>
      <c r="M1899" s="149"/>
    </row>
    <row r="1900" spans="1:13">
      <c r="A1900" s="503">
        <v>45294</v>
      </c>
      <c r="B1900" s="149" t="s">
        <v>6720</v>
      </c>
      <c r="C1900" s="149" t="s">
        <v>10534</v>
      </c>
      <c r="D1900" s="149" t="s">
        <v>7634</v>
      </c>
      <c r="E1900" s="149" t="s">
        <v>10007</v>
      </c>
      <c r="F1900" s="149" t="s">
        <v>10494</v>
      </c>
      <c r="G1900" s="149"/>
      <c r="H1900" s="149"/>
      <c r="I1900" s="149"/>
      <c r="J1900" s="149"/>
      <c r="K1900" s="149"/>
      <c r="L1900" s="149"/>
      <c r="M1900" s="149"/>
    </row>
    <row r="1901" spans="1:13">
      <c r="A1901" s="551">
        <v>45294</v>
      </c>
      <c r="B1901" s="461" t="s">
        <v>6718</v>
      </c>
      <c r="C1901" s="461" t="s">
        <v>10534</v>
      </c>
      <c r="D1901" s="461" t="s">
        <v>7634</v>
      </c>
      <c r="E1901" s="461" t="s">
        <v>10899</v>
      </c>
      <c r="F1901" s="461" t="s">
        <v>8919</v>
      </c>
      <c r="G1901" s="149"/>
      <c r="H1901" s="149"/>
      <c r="I1901" s="149"/>
      <c r="J1901" s="149"/>
      <c r="K1901" s="149"/>
      <c r="L1901" s="149"/>
      <c r="M1901" s="149"/>
    </row>
    <row r="1902" spans="1:13">
      <c r="A1902" s="551">
        <v>45295</v>
      </c>
      <c r="B1902" s="461" t="s">
        <v>10932</v>
      </c>
      <c r="C1902" s="461" t="s">
        <v>10534</v>
      </c>
      <c r="D1902" s="461" t="s">
        <v>7634</v>
      </c>
      <c r="E1902" s="461" t="s">
        <v>10007</v>
      </c>
      <c r="F1902" s="461" t="s">
        <v>8919</v>
      </c>
      <c r="G1902" s="149"/>
      <c r="H1902" s="149"/>
      <c r="I1902" s="149"/>
      <c r="J1902" s="149"/>
      <c r="K1902" s="149"/>
      <c r="L1902" s="149"/>
      <c r="M1902" s="149"/>
    </row>
    <row r="1903" spans="1:13">
      <c r="A1903" s="503">
        <v>45295</v>
      </c>
      <c r="B1903" s="192" t="s">
        <v>10933</v>
      </c>
      <c r="C1903" s="149" t="s">
        <v>10534</v>
      </c>
      <c r="D1903" s="149" t="s">
        <v>7634</v>
      </c>
      <c r="E1903" s="149" t="s">
        <v>10314</v>
      </c>
      <c r="F1903" s="149" t="s">
        <v>10504</v>
      </c>
      <c r="G1903" s="149"/>
      <c r="H1903" s="149"/>
      <c r="I1903" s="149"/>
      <c r="J1903" s="149"/>
      <c r="K1903" s="149"/>
      <c r="L1903" s="149"/>
      <c r="M1903" s="149"/>
    </row>
    <row r="1904" spans="1:13">
      <c r="A1904" s="503">
        <v>45295</v>
      </c>
      <c r="B1904" s="269" t="s">
        <v>10934</v>
      </c>
      <c r="C1904" s="149" t="s">
        <v>10534</v>
      </c>
      <c r="D1904" s="149" t="s">
        <v>7634</v>
      </c>
      <c r="E1904" s="149" t="s">
        <v>10314</v>
      </c>
      <c r="F1904" s="149" t="s">
        <v>10494</v>
      </c>
      <c r="G1904" s="149"/>
      <c r="H1904" s="149"/>
      <c r="I1904" s="149"/>
      <c r="J1904" s="149"/>
      <c r="K1904" s="149"/>
      <c r="L1904" s="149"/>
      <c r="M1904" s="149"/>
    </row>
    <row r="1905" spans="1:13">
      <c r="A1905" s="503">
        <v>45296</v>
      </c>
      <c r="B1905" s="192" t="s">
        <v>6729</v>
      </c>
      <c r="C1905" s="149" t="s">
        <v>10534</v>
      </c>
      <c r="D1905" s="149" t="s">
        <v>7634</v>
      </c>
      <c r="E1905" s="149" t="s">
        <v>10935</v>
      </c>
      <c r="F1905" s="149" t="s">
        <v>10494</v>
      </c>
      <c r="G1905" s="149"/>
      <c r="H1905" s="149"/>
      <c r="I1905" s="149"/>
      <c r="J1905" s="149"/>
      <c r="K1905" s="149"/>
      <c r="L1905" s="149"/>
      <c r="M1905" s="149"/>
    </row>
    <row r="1906" spans="1:13">
      <c r="A1906" s="503">
        <v>45296</v>
      </c>
      <c r="B1906" s="192" t="s">
        <v>10936</v>
      </c>
      <c r="C1906" s="149" t="s">
        <v>10534</v>
      </c>
      <c r="D1906" s="149" t="s">
        <v>7634</v>
      </c>
      <c r="E1906" s="149" t="s">
        <v>10289</v>
      </c>
      <c r="F1906" s="149" t="s">
        <v>10494</v>
      </c>
      <c r="G1906" s="149"/>
      <c r="H1906" s="149"/>
      <c r="I1906" s="149"/>
      <c r="J1906" s="149"/>
      <c r="K1906" s="149"/>
      <c r="L1906" s="149"/>
      <c r="M1906" s="149"/>
    </row>
    <row r="1907" spans="1:13">
      <c r="A1907" s="503">
        <v>45299</v>
      </c>
      <c r="B1907" s="149" t="s">
        <v>6735</v>
      </c>
      <c r="C1907" s="149" t="s">
        <v>10534</v>
      </c>
      <c r="D1907" s="149" t="s">
        <v>7634</v>
      </c>
      <c r="E1907" s="149" t="s">
        <v>10289</v>
      </c>
      <c r="F1907" s="149" t="s">
        <v>10494</v>
      </c>
      <c r="G1907" s="149"/>
      <c r="H1907" s="149"/>
      <c r="I1907" s="149"/>
      <c r="J1907" s="149"/>
      <c r="K1907" s="149"/>
      <c r="L1907" s="149"/>
      <c r="M1907" s="149"/>
    </row>
    <row r="1908" spans="1:13">
      <c r="A1908" s="641">
        <v>45300</v>
      </c>
      <c r="B1908" s="505" t="s">
        <v>10937</v>
      </c>
      <c r="C1908" s="461" t="s">
        <v>10534</v>
      </c>
      <c r="D1908" s="461" t="s">
        <v>7634</v>
      </c>
      <c r="E1908" s="461" t="s">
        <v>10026</v>
      </c>
      <c r="F1908" s="461" t="s">
        <v>8919</v>
      </c>
      <c r="G1908" s="149"/>
      <c r="H1908" s="149"/>
      <c r="I1908" s="149"/>
      <c r="J1908" s="149"/>
      <c r="K1908" s="149"/>
      <c r="L1908" s="149"/>
      <c r="M1908" s="149"/>
    </row>
    <row r="1909" spans="1:13">
      <c r="A1909" s="503">
        <v>45301</v>
      </c>
      <c r="B1909" s="149" t="s">
        <v>6745</v>
      </c>
      <c r="C1909" s="185" t="s">
        <v>9777</v>
      </c>
      <c r="D1909" s="149" t="s">
        <v>7634</v>
      </c>
      <c r="E1909" s="149" t="s">
        <v>10026</v>
      </c>
      <c r="F1909" s="149" t="s">
        <v>10494</v>
      </c>
      <c r="G1909" s="149"/>
      <c r="H1909" s="149"/>
      <c r="I1909" s="149"/>
      <c r="J1909" s="149"/>
      <c r="K1909" s="149"/>
      <c r="L1909" s="149"/>
      <c r="M1909" s="149"/>
    </row>
    <row r="1910" spans="1:13">
      <c r="A1910" s="503">
        <v>45301</v>
      </c>
      <c r="B1910" s="149" t="s">
        <v>6743</v>
      </c>
      <c r="C1910" s="185" t="s">
        <v>10534</v>
      </c>
      <c r="D1910" s="149" t="s">
        <v>7634</v>
      </c>
      <c r="E1910" s="149" t="s">
        <v>10026</v>
      </c>
      <c r="F1910" s="149" t="s">
        <v>10494</v>
      </c>
      <c r="G1910" s="149"/>
      <c r="H1910" s="149"/>
      <c r="I1910" s="149"/>
      <c r="J1910" s="149"/>
      <c r="K1910" s="149"/>
      <c r="L1910" s="149"/>
      <c r="M1910" s="149"/>
    </row>
    <row r="1911" spans="1:13" ht="18">
      <c r="A1911" s="503">
        <v>45301</v>
      </c>
      <c r="B1911" s="575" t="s">
        <v>6748</v>
      </c>
      <c r="C1911" s="185" t="s">
        <v>10534</v>
      </c>
      <c r="D1911" s="149" t="s">
        <v>7634</v>
      </c>
      <c r="E1911" s="149" t="s">
        <v>10899</v>
      </c>
      <c r="F1911" s="149" t="s">
        <v>10494</v>
      </c>
      <c r="G1911" s="149"/>
      <c r="H1911" s="149"/>
      <c r="I1911" s="149"/>
      <c r="J1911" s="149"/>
      <c r="K1911" s="149"/>
      <c r="L1911" s="149"/>
      <c r="M1911" s="149"/>
    </row>
    <row r="1912" spans="1:13" ht="18">
      <c r="A1912" s="503">
        <v>45301</v>
      </c>
      <c r="B1912" s="575" t="s">
        <v>3413</v>
      </c>
      <c r="C1912" s="185" t="s">
        <v>10534</v>
      </c>
      <c r="D1912" s="149" t="s">
        <v>7634</v>
      </c>
      <c r="E1912" s="149" t="s">
        <v>10007</v>
      </c>
      <c r="F1912" s="149" t="s">
        <v>10494</v>
      </c>
      <c r="G1912" s="149"/>
      <c r="H1912" s="149"/>
      <c r="I1912" s="149"/>
      <c r="J1912" s="149"/>
      <c r="K1912" s="149"/>
      <c r="L1912" s="149"/>
      <c r="M1912" s="149"/>
    </row>
    <row r="1913" spans="1:13">
      <c r="A1913" s="551">
        <v>45303</v>
      </c>
      <c r="B1913" s="461" t="s">
        <v>3995</v>
      </c>
      <c r="C1913" s="461" t="s">
        <v>10534</v>
      </c>
      <c r="D1913" s="461" t="s">
        <v>7634</v>
      </c>
      <c r="E1913" s="461" t="s">
        <v>10314</v>
      </c>
      <c r="F1913" s="461" t="s">
        <v>8919</v>
      </c>
      <c r="G1913" s="149"/>
      <c r="H1913" s="149"/>
      <c r="I1913" s="149"/>
      <c r="J1913" s="149"/>
      <c r="K1913" s="149"/>
      <c r="L1913" s="149"/>
      <c r="M1913" s="149"/>
    </row>
    <row r="1914" spans="1:13" ht="18">
      <c r="A1914" s="503">
        <v>45304</v>
      </c>
      <c r="B1914" s="573" t="s">
        <v>10938</v>
      </c>
      <c r="C1914" s="149" t="s">
        <v>10534</v>
      </c>
      <c r="D1914" s="149" t="s">
        <v>7634</v>
      </c>
      <c r="E1914" s="149" t="s">
        <v>10289</v>
      </c>
      <c r="F1914" s="149" t="s">
        <v>10494</v>
      </c>
      <c r="G1914" s="149"/>
      <c r="H1914" s="149"/>
      <c r="I1914" s="149"/>
      <c r="J1914" s="149"/>
      <c r="K1914" s="149"/>
      <c r="L1914" s="149"/>
      <c r="M1914" s="149"/>
    </row>
    <row r="1915" spans="1:13">
      <c r="A1915" s="478">
        <v>45306</v>
      </c>
      <c r="B1915" s="149" t="s">
        <v>10938</v>
      </c>
      <c r="C1915" s="185" t="s">
        <v>10534</v>
      </c>
      <c r="D1915" s="149" t="s">
        <v>7634</v>
      </c>
      <c r="E1915" s="149" t="s">
        <v>10289</v>
      </c>
      <c r="F1915" s="149" t="s">
        <v>10494</v>
      </c>
      <c r="G1915" s="149"/>
      <c r="H1915" s="149"/>
      <c r="I1915" s="149"/>
      <c r="J1915" s="149"/>
      <c r="K1915" s="149"/>
      <c r="L1915" s="149"/>
      <c r="M1915" s="149"/>
    </row>
    <row r="1916" spans="1:13">
      <c r="A1916" s="478">
        <v>45306</v>
      </c>
      <c r="B1916" s="149" t="s">
        <v>3348</v>
      </c>
      <c r="C1916" s="185" t="s">
        <v>10534</v>
      </c>
      <c r="D1916" s="149" t="s">
        <v>7634</v>
      </c>
      <c r="E1916" s="149" t="s">
        <v>9996</v>
      </c>
      <c r="F1916" s="149" t="s">
        <v>10939</v>
      </c>
      <c r="G1916" s="149"/>
      <c r="H1916" s="149"/>
      <c r="I1916" s="149"/>
      <c r="J1916" s="149"/>
      <c r="K1916" s="149"/>
      <c r="L1916" s="149"/>
      <c r="M1916" s="149"/>
    </row>
    <row r="1917" spans="1:13">
      <c r="A1917" s="478">
        <v>45307</v>
      </c>
      <c r="B1917" s="149" t="s">
        <v>6756</v>
      </c>
      <c r="C1917" s="185" t="s">
        <v>10534</v>
      </c>
      <c r="D1917" s="149" t="s">
        <v>7634</v>
      </c>
      <c r="E1917" s="149" t="s">
        <v>10899</v>
      </c>
      <c r="F1917" s="149" t="s">
        <v>10494</v>
      </c>
      <c r="G1917" s="149"/>
      <c r="H1917" s="149"/>
      <c r="I1917" s="149"/>
      <c r="J1917" s="149"/>
      <c r="K1917" s="149"/>
      <c r="L1917" s="149"/>
      <c r="M1917" s="149"/>
    </row>
    <row r="1918" spans="1:13">
      <c r="A1918" s="594" t="s">
        <v>10940</v>
      </c>
      <c r="B1918" s="108" t="s">
        <v>10941</v>
      </c>
      <c r="C1918" s="287" t="s">
        <v>10534</v>
      </c>
      <c r="D1918" s="108" t="s">
        <v>7634</v>
      </c>
      <c r="E1918" s="108" t="s">
        <v>10916</v>
      </c>
      <c r="F1918" s="108" t="s">
        <v>278</v>
      </c>
      <c r="G1918" s="149"/>
      <c r="H1918" s="149"/>
      <c r="I1918" s="149"/>
      <c r="J1918" s="149"/>
      <c r="K1918" s="149"/>
      <c r="L1918" s="149"/>
      <c r="M1918" s="149"/>
    </row>
    <row r="1919" spans="1:13">
      <c r="A1919" s="550">
        <v>45308</v>
      </c>
      <c r="B1919" s="476" t="s">
        <v>6762</v>
      </c>
      <c r="C1919" s="108" t="s">
        <v>10534</v>
      </c>
      <c r="D1919" s="108" t="s">
        <v>7634</v>
      </c>
      <c r="E1919" s="108" t="s">
        <v>10916</v>
      </c>
      <c r="F1919" s="108" t="s">
        <v>278</v>
      </c>
      <c r="G1919" s="149"/>
      <c r="H1919" s="149"/>
      <c r="I1919" s="149"/>
      <c r="J1919" s="149"/>
      <c r="K1919" s="149"/>
      <c r="L1919" s="149"/>
      <c r="M1919" s="149"/>
    </row>
    <row r="1920" spans="1:13" ht="18">
      <c r="A1920" s="503">
        <v>45309</v>
      </c>
      <c r="B1920" s="573" t="s">
        <v>6764</v>
      </c>
      <c r="C1920" s="149" t="s">
        <v>10534</v>
      </c>
      <c r="D1920" s="149" t="s">
        <v>7634</v>
      </c>
      <c r="E1920" s="149" t="s">
        <v>10314</v>
      </c>
      <c r="F1920" s="149" t="s">
        <v>10494</v>
      </c>
      <c r="G1920" s="149"/>
      <c r="H1920" s="149"/>
      <c r="I1920" s="149"/>
      <c r="J1920" s="149"/>
      <c r="K1920" s="149"/>
      <c r="L1920" s="149"/>
      <c r="M1920" s="149"/>
    </row>
    <row r="1921" spans="1:13">
      <c r="A1921" s="551">
        <v>45310</v>
      </c>
      <c r="B1921" s="461" t="s">
        <v>3332</v>
      </c>
      <c r="C1921" s="461" t="s">
        <v>10534</v>
      </c>
      <c r="D1921" s="461" t="s">
        <v>7634</v>
      </c>
      <c r="E1921" s="461" t="s">
        <v>10314</v>
      </c>
      <c r="F1921" s="461" t="s">
        <v>8919</v>
      </c>
      <c r="G1921" s="149"/>
      <c r="H1921" s="149"/>
      <c r="I1921" s="149"/>
      <c r="J1921" s="149"/>
      <c r="K1921" s="149"/>
      <c r="L1921" s="149"/>
      <c r="M1921" s="149"/>
    </row>
    <row r="1922" spans="1:13">
      <c r="A1922" s="503">
        <v>45310</v>
      </c>
      <c r="B1922" s="149" t="s">
        <v>6768</v>
      </c>
      <c r="C1922" s="149" t="s">
        <v>10534</v>
      </c>
      <c r="D1922" s="149" t="s">
        <v>7634</v>
      </c>
      <c r="E1922" s="149" t="s">
        <v>10289</v>
      </c>
      <c r="F1922" s="149" t="s">
        <v>10494</v>
      </c>
      <c r="G1922" s="149"/>
      <c r="H1922" s="149"/>
      <c r="I1922" s="149"/>
      <c r="J1922" s="149"/>
      <c r="K1922" s="149"/>
      <c r="L1922" s="149"/>
      <c r="M1922" s="149"/>
    </row>
    <row r="1923" spans="1:13" ht="18">
      <c r="A1923" s="503">
        <v>45314</v>
      </c>
      <c r="B1923" s="573" t="s">
        <v>6774</v>
      </c>
      <c r="C1923" s="149" t="s">
        <v>10534</v>
      </c>
      <c r="D1923" s="149" t="s">
        <v>7634</v>
      </c>
      <c r="E1923" s="149" t="s">
        <v>10026</v>
      </c>
      <c r="F1923" s="149" t="s">
        <v>10494</v>
      </c>
      <c r="G1923" s="149"/>
      <c r="H1923" s="149"/>
      <c r="I1923" s="149"/>
      <c r="J1923" s="149"/>
      <c r="K1923" s="149"/>
      <c r="L1923" s="149"/>
      <c r="M1923" s="149"/>
    </row>
    <row r="1924" spans="1:13">
      <c r="A1924" s="503">
        <v>45314</v>
      </c>
      <c r="B1924" s="149" t="s">
        <v>6776</v>
      </c>
      <c r="C1924" s="149" t="s">
        <v>10534</v>
      </c>
      <c r="D1924" s="149" t="s">
        <v>7634</v>
      </c>
      <c r="E1924" s="149" t="s">
        <v>10899</v>
      </c>
      <c r="F1924" s="149" t="s">
        <v>10942</v>
      </c>
      <c r="G1924" s="149"/>
      <c r="H1924" s="149"/>
      <c r="I1924" s="149"/>
      <c r="J1924" s="149"/>
      <c r="K1924" s="149"/>
      <c r="L1924" s="149"/>
      <c r="M1924" s="149"/>
    </row>
    <row r="1925" spans="1:13">
      <c r="A1925" s="503">
        <v>45315</v>
      </c>
      <c r="B1925" s="149" t="s">
        <v>10943</v>
      </c>
      <c r="C1925" s="149" t="s">
        <v>10534</v>
      </c>
      <c r="D1925" s="149" t="s">
        <v>7634</v>
      </c>
      <c r="E1925" s="149" t="s">
        <v>10944</v>
      </c>
      <c r="F1925" s="149" t="s">
        <v>10825</v>
      </c>
      <c r="G1925" s="149"/>
      <c r="H1925" s="149"/>
      <c r="I1925" s="149"/>
      <c r="J1925" s="149"/>
      <c r="K1925" s="149"/>
      <c r="L1925" s="149"/>
      <c r="M1925" s="149"/>
    </row>
    <row r="1926" spans="1:13">
      <c r="A1926" s="503">
        <v>45316</v>
      </c>
      <c r="B1926" s="149" t="s">
        <v>6788</v>
      </c>
      <c r="C1926" s="149" t="s">
        <v>10534</v>
      </c>
      <c r="D1926" s="149" t="s">
        <v>7634</v>
      </c>
      <c r="E1926" s="149" t="s">
        <v>10314</v>
      </c>
      <c r="F1926" s="149" t="s">
        <v>10494</v>
      </c>
      <c r="G1926" s="149"/>
      <c r="H1926" s="149"/>
      <c r="I1926" s="149"/>
      <c r="J1926" s="149"/>
      <c r="K1926" s="149"/>
      <c r="L1926" s="149"/>
      <c r="M1926" s="149"/>
    </row>
    <row r="1927" spans="1:13" ht="18">
      <c r="A1927" s="503">
        <v>45317</v>
      </c>
      <c r="B1927" s="573" t="s">
        <v>3398</v>
      </c>
      <c r="C1927" s="149" t="s">
        <v>10534</v>
      </c>
      <c r="D1927" s="149" t="s">
        <v>7634</v>
      </c>
      <c r="E1927" s="149" t="s">
        <v>10314</v>
      </c>
      <c r="F1927" s="149" t="s">
        <v>10494</v>
      </c>
      <c r="G1927" s="149"/>
      <c r="H1927" s="149"/>
      <c r="I1927" s="149"/>
      <c r="J1927" s="149"/>
      <c r="K1927" s="149"/>
      <c r="L1927" s="149"/>
      <c r="M1927" s="149"/>
    </row>
    <row r="1928" spans="1:13">
      <c r="A1928" s="551">
        <v>45320</v>
      </c>
      <c r="B1928" s="461" t="s">
        <v>3761</v>
      </c>
      <c r="C1928" s="461" t="s">
        <v>10534</v>
      </c>
      <c r="D1928" s="461" t="s">
        <v>7634</v>
      </c>
      <c r="E1928" s="461" t="s">
        <v>10877</v>
      </c>
      <c r="F1928" s="461" t="s">
        <v>8919</v>
      </c>
      <c r="G1928" s="149"/>
      <c r="H1928" s="149"/>
      <c r="I1928" s="149"/>
      <c r="J1928" s="149"/>
      <c r="K1928" s="149"/>
      <c r="L1928" s="149"/>
      <c r="M1928" s="149"/>
    </row>
    <row r="1929" spans="1:13">
      <c r="A1929" s="503">
        <v>45320</v>
      </c>
      <c r="B1929" s="149" t="s">
        <v>6796</v>
      </c>
      <c r="C1929" s="149" t="s">
        <v>10534</v>
      </c>
      <c r="D1929" s="149" t="s">
        <v>7634</v>
      </c>
      <c r="E1929" s="149" t="s">
        <v>10289</v>
      </c>
      <c r="F1929" s="149" t="s">
        <v>10494</v>
      </c>
      <c r="G1929" s="149"/>
      <c r="H1929" s="149"/>
      <c r="I1929" s="149"/>
      <c r="J1929" s="149"/>
      <c r="K1929" s="149"/>
      <c r="L1929" s="149"/>
      <c r="M1929" s="149"/>
    </row>
    <row r="1930" spans="1:13" ht="18">
      <c r="A1930" s="503">
        <v>45321</v>
      </c>
      <c r="B1930" s="573" t="s">
        <v>8655</v>
      </c>
      <c r="C1930" s="149" t="s">
        <v>10534</v>
      </c>
      <c r="D1930" s="149" t="s">
        <v>7634</v>
      </c>
      <c r="E1930" s="149" t="s">
        <v>9996</v>
      </c>
      <c r="F1930" s="149" t="s">
        <v>10494</v>
      </c>
      <c r="G1930" s="149"/>
      <c r="H1930" s="149"/>
      <c r="I1930" s="149"/>
      <c r="J1930" s="149"/>
      <c r="K1930" s="149"/>
      <c r="L1930" s="149"/>
      <c r="M1930" s="149"/>
    </row>
    <row r="1931" spans="1:13">
      <c r="A1931" s="503">
        <v>45321</v>
      </c>
      <c r="B1931" s="149" t="s">
        <v>6799</v>
      </c>
      <c r="C1931" s="149" t="s">
        <v>10534</v>
      </c>
      <c r="D1931" s="149" t="s">
        <v>7634</v>
      </c>
      <c r="E1931" s="149" t="s">
        <v>10899</v>
      </c>
      <c r="F1931" s="149" t="s">
        <v>10494</v>
      </c>
      <c r="G1931" s="149"/>
      <c r="H1931" s="149"/>
      <c r="I1931" s="149"/>
      <c r="J1931" s="149"/>
      <c r="K1931" s="149"/>
      <c r="L1931" s="149"/>
      <c r="M1931" s="149"/>
    </row>
    <row r="1932" spans="1:13">
      <c r="A1932" s="503">
        <v>45322</v>
      </c>
      <c r="B1932" s="149" t="s">
        <v>6801</v>
      </c>
      <c r="C1932" s="149" t="s">
        <v>10534</v>
      </c>
      <c r="D1932" s="149" t="s">
        <v>7634</v>
      </c>
      <c r="E1932" s="149" t="s">
        <v>10899</v>
      </c>
      <c r="F1932" s="149" t="s">
        <v>10494</v>
      </c>
      <c r="G1932" s="149"/>
      <c r="H1932" s="149"/>
      <c r="I1932" s="149"/>
      <c r="J1932" s="149"/>
      <c r="K1932" s="149"/>
      <c r="L1932" s="149"/>
      <c r="M1932" s="149"/>
    </row>
    <row r="1933" spans="1:13">
      <c r="A1933" s="807">
        <v>45323</v>
      </c>
      <c r="B1933" s="808"/>
      <c r="C1933" s="808"/>
      <c r="D1933" s="808"/>
      <c r="E1933" s="808"/>
      <c r="F1933" s="809"/>
      <c r="G1933" s="149"/>
      <c r="H1933" s="149"/>
      <c r="I1933" s="149"/>
      <c r="J1933" s="149"/>
      <c r="K1933" s="149"/>
      <c r="L1933" s="149"/>
      <c r="M1933" s="149"/>
    </row>
    <row r="1934" spans="1:13">
      <c r="A1934" s="503">
        <v>45323</v>
      </c>
      <c r="B1934" s="149" t="s">
        <v>10945</v>
      </c>
      <c r="C1934" s="149" t="s">
        <v>10534</v>
      </c>
      <c r="D1934" s="149" t="s">
        <v>7656</v>
      </c>
      <c r="E1934" s="149" t="s">
        <v>10314</v>
      </c>
      <c r="F1934" s="149" t="s">
        <v>10494</v>
      </c>
      <c r="G1934" s="149"/>
      <c r="H1934" s="149"/>
      <c r="I1934" s="149"/>
      <c r="J1934" s="149"/>
      <c r="K1934" s="149"/>
      <c r="L1934" s="149"/>
      <c r="M1934" s="149"/>
    </row>
    <row r="1935" spans="1:13">
      <c r="A1935" s="503">
        <v>45323</v>
      </c>
      <c r="B1935" s="149" t="s">
        <v>10946</v>
      </c>
      <c r="C1935" s="149" t="s">
        <v>10534</v>
      </c>
      <c r="D1935" s="149" t="s">
        <v>7656</v>
      </c>
      <c r="E1935" s="149" t="s">
        <v>10314</v>
      </c>
      <c r="F1935" s="149" t="s">
        <v>10494</v>
      </c>
      <c r="G1935" s="149"/>
      <c r="H1935" s="149"/>
      <c r="I1935" s="149"/>
      <c r="J1935" s="149"/>
      <c r="K1935" s="149"/>
      <c r="L1935" s="149"/>
      <c r="M1935" s="149"/>
    </row>
    <row r="1936" spans="1:13">
      <c r="A1936" s="503">
        <v>45324</v>
      </c>
      <c r="B1936" s="149" t="s">
        <v>3328</v>
      </c>
      <c r="C1936" s="149" t="s">
        <v>10534</v>
      </c>
      <c r="D1936" s="149" t="s">
        <v>7656</v>
      </c>
      <c r="E1936" s="149" t="s">
        <v>10314</v>
      </c>
      <c r="F1936" s="149" t="s">
        <v>10494</v>
      </c>
      <c r="G1936" s="149"/>
      <c r="H1936" s="149"/>
      <c r="I1936" s="149"/>
      <c r="J1936" s="149"/>
      <c r="K1936" s="149"/>
      <c r="L1936" s="149"/>
      <c r="M1936" s="149"/>
    </row>
    <row r="1937" spans="1:13">
      <c r="A1937" s="503">
        <v>45327</v>
      </c>
      <c r="B1937" s="149" t="s">
        <v>10947</v>
      </c>
      <c r="C1937" s="149" t="s">
        <v>10534</v>
      </c>
      <c r="D1937" s="149" t="s">
        <v>7656</v>
      </c>
      <c r="E1937" s="149" t="s">
        <v>10877</v>
      </c>
      <c r="F1937" s="149" t="s">
        <v>10494</v>
      </c>
      <c r="G1937" s="149"/>
      <c r="H1937" s="149"/>
      <c r="I1937" s="149"/>
      <c r="J1937" s="149"/>
      <c r="K1937" s="149"/>
      <c r="L1937" s="149"/>
      <c r="M1937" s="149"/>
    </row>
    <row r="1938" spans="1:13">
      <c r="A1938" s="551">
        <v>45328</v>
      </c>
      <c r="B1938" s="461" t="s">
        <v>10948</v>
      </c>
      <c r="C1938" s="461" t="s">
        <v>10534</v>
      </c>
      <c r="D1938" s="461" t="s">
        <v>7656</v>
      </c>
      <c r="E1938" s="461" t="s">
        <v>10877</v>
      </c>
      <c r="F1938" s="461" t="s">
        <v>8919</v>
      </c>
      <c r="G1938" s="149"/>
      <c r="H1938" s="149"/>
      <c r="I1938" s="149"/>
      <c r="J1938" s="149"/>
      <c r="K1938" s="149"/>
      <c r="L1938" s="149"/>
      <c r="M1938" s="149"/>
    </row>
    <row r="1939" spans="1:13" ht="18">
      <c r="A1939" s="503">
        <v>45331</v>
      </c>
      <c r="B1939" s="573" t="s">
        <v>10949</v>
      </c>
      <c r="C1939" s="149" t="s">
        <v>10534</v>
      </c>
      <c r="D1939" s="149" t="s">
        <v>7656</v>
      </c>
      <c r="E1939" s="149" t="s">
        <v>10314</v>
      </c>
      <c r="F1939" s="149" t="s">
        <v>10494</v>
      </c>
      <c r="G1939" s="149"/>
      <c r="H1939" s="149"/>
      <c r="I1939" s="149"/>
      <c r="J1939" s="149"/>
      <c r="K1939" s="149"/>
      <c r="L1939" s="149"/>
      <c r="M1939" s="149"/>
    </row>
    <row r="1940" spans="1:13">
      <c r="A1940" s="503">
        <v>45331</v>
      </c>
      <c r="B1940" s="149" t="s">
        <v>2797</v>
      </c>
      <c r="C1940" s="149" t="s">
        <v>10534</v>
      </c>
      <c r="D1940" s="149" t="s">
        <v>7656</v>
      </c>
      <c r="E1940" s="149" t="s">
        <v>10314</v>
      </c>
      <c r="F1940" s="149" t="s">
        <v>10494</v>
      </c>
      <c r="G1940" s="149"/>
      <c r="H1940" s="149"/>
      <c r="I1940" s="149"/>
      <c r="J1940" s="149"/>
      <c r="K1940" s="149"/>
      <c r="L1940" s="149"/>
      <c r="M1940" s="149"/>
    </row>
    <row r="1941" spans="1:13">
      <c r="A1941" s="503">
        <v>45331</v>
      </c>
      <c r="B1941" s="149" t="s">
        <v>6829</v>
      </c>
      <c r="C1941" s="149" t="s">
        <v>10534</v>
      </c>
      <c r="D1941" s="149" t="s">
        <v>7656</v>
      </c>
      <c r="E1941" s="149" t="s">
        <v>10314</v>
      </c>
      <c r="F1941" s="149" t="s">
        <v>10494</v>
      </c>
      <c r="G1941" s="149"/>
      <c r="H1941" s="149"/>
      <c r="I1941" s="149"/>
      <c r="J1941" s="149"/>
      <c r="K1941" s="149"/>
      <c r="L1941" s="149"/>
      <c r="M1941" s="149"/>
    </row>
    <row r="1942" spans="1:13">
      <c r="A1942" s="550">
        <v>45336</v>
      </c>
      <c r="B1942" s="108" t="s">
        <v>3393</v>
      </c>
      <c r="C1942" s="108" t="s">
        <v>10534</v>
      </c>
      <c r="D1942" s="108" t="s">
        <v>7656</v>
      </c>
      <c r="E1942" s="108" t="s">
        <v>10899</v>
      </c>
      <c r="F1942" s="108" t="s">
        <v>10950</v>
      </c>
      <c r="G1942" s="149"/>
      <c r="H1942" s="149"/>
      <c r="I1942" s="149"/>
      <c r="J1942" s="149"/>
      <c r="K1942" s="149"/>
      <c r="L1942" s="149"/>
      <c r="M1942" s="149"/>
    </row>
    <row r="1943" spans="1:13">
      <c r="A1943" s="503">
        <v>45336</v>
      </c>
      <c r="B1943" s="149" t="s">
        <v>3504</v>
      </c>
      <c r="C1943" s="149" t="s">
        <v>10534</v>
      </c>
      <c r="D1943" s="149" t="s">
        <v>7656</v>
      </c>
      <c r="E1943" s="149" t="s">
        <v>10916</v>
      </c>
      <c r="F1943" s="149" t="s">
        <v>10951</v>
      </c>
      <c r="G1943" s="149"/>
      <c r="H1943" s="149"/>
      <c r="I1943" s="149"/>
      <c r="J1943" s="149"/>
      <c r="K1943" s="149"/>
      <c r="L1943" s="149"/>
      <c r="M1943" s="149"/>
    </row>
    <row r="1944" spans="1:13">
      <c r="A1944" s="503">
        <v>45336</v>
      </c>
      <c r="B1944" s="149" t="s">
        <v>3542</v>
      </c>
      <c r="C1944" s="149" t="s">
        <v>10534</v>
      </c>
      <c r="D1944" s="149" t="s">
        <v>7656</v>
      </c>
      <c r="E1944" s="149" t="s">
        <v>10916</v>
      </c>
      <c r="F1944" s="149" t="s">
        <v>10951</v>
      </c>
      <c r="G1944" s="149"/>
      <c r="H1944" s="149"/>
      <c r="I1944" s="149"/>
      <c r="J1944" s="149"/>
      <c r="K1944" s="149"/>
      <c r="L1944" s="149"/>
      <c r="M1944" s="149"/>
    </row>
    <row r="1945" spans="1:13">
      <c r="A1945" s="503">
        <v>45336</v>
      </c>
      <c r="B1945" s="149" t="s">
        <v>10952</v>
      </c>
      <c r="C1945" s="149" t="s">
        <v>10534</v>
      </c>
      <c r="D1945" s="149" t="s">
        <v>7656</v>
      </c>
      <c r="E1945" s="149" t="s">
        <v>10007</v>
      </c>
      <c r="F1945" s="149" t="s">
        <v>10494</v>
      </c>
      <c r="G1945" s="149"/>
      <c r="H1945" s="149"/>
      <c r="I1945" s="149"/>
      <c r="J1945" s="149"/>
      <c r="K1945" s="149"/>
      <c r="L1945" s="149"/>
      <c r="M1945" s="149"/>
    </row>
    <row r="1946" spans="1:13" ht="18">
      <c r="A1946" s="503">
        <v>45337</v>
      </c>
      <c r="B1946" s="573" t="s">
        <v>6834</v>
      </c>
      <c r="C1946" s="149" t="s">
        <v>10534</v>
      </c>
      <c r="D1946" s="149" t="s">
        <v>7656</v>
      </c>
      <c r="E1946" s="149" t="s">
        <v>10314</v>
      </c>
      <c r="F1946" s="149" t="s">
        <v>10494</v>
      </c>
      <c r="G1946" s="149"/>
      <c r="H1946" s="149"/>
      <c r="I1946" s="149"/>
      <c r="J1946" s="149"/>
      <c r="K1946" s="149"/>
      <c r="L1946" s="149"/>
      <c r="M1946" s="149"/>
    </row>
    <row r="1947" spans="1:13">
      <c r="A1947" s="503">
        <v>45337</v>
      </c>
      <c r="B1947" s="149" t="s">
        <v>10953</v>
      </c>
      <c r="C1947" s="149" t="s">
        <v>10534</v>
      </c>
      <c r="D1947" s="149" t="s">
        <v>7656</v>
      </c>
      <c r="E1947" s="149" t="s">
        <v>10314</v>
      </c>
      <c r="F1947" s="149" t="s">
        <v>10494</v>
      </c>
      <c r="G1947" s="149"/>
      <c r="H1947" s="149"/>
      <c r="I1947" s="149"/>
      <c r="J1947" s="149"/>
      <c r="K1947" s="149"/>
      <c r="L1947" s="149"/>
      <c r="M1947" s="149"/>
    </row>
    <row r="1948" spans="1:13">
      <c r="A1948" s="503">
        <v>45338</v>
      </c>
      <c r="B1948" s="149" t="s">
        <v>10954</v>
      </c>
      <c r="C1948" s="149" t="s">
        <v>10534</v>
      </c>
      <c r="D1948" s="149" t="s">
        <v>7656</v>
      </c>
      <c r="E1948" s="149" t="s">
        <v>10877</v>
      </c>
      <c r="F1948" s="149" t="s">
        <v>10494</v>
      </c>
      <c r="G1948" s="149"/>
      <c r="H1948" s="149"/>
      <c r="I1948" s="149"/>
      <c r="J1948" s="149"/>
      <c r="K1948" s="149"/>
      <c r="L1948" s="149"/>
      <c r="M1948" s="149"/>
    </row>
    <row r="1949" spans="1:13">
      <c r="A1949" s="503">
        <v>45338</v>
      </c>
      <c r="B1949" s="149" t="s">
        <v>6081</v>
      </c>
      <c r="C1949" s="149" t="s">
        <v>10534</v>
      </c>
      <c r="D1949" s="149" t="s">
        <v>7656</v>
      </c>
      <c r="E1949" s="149" t="s">
        <v>9996</v>
      </c>
      <c r="F1949" s="149" t="s">
        <v>10296</v>
      </c>
      <c r="G1949" s="149"/>
      <c r="H1949" s="149"/>
      <c r="I1949" s="149"/>
      <c r="J1949" s="149"/>
      <c r="K1949" s="149"/>
      <c r="L1949" s="149"/>
      <c r="M1949" s="149"/>
    </row>
    <row r="1950" spans="1:13">
      <c r="A1950" s="503">
        <v>45341</v>
      </c>
      <c r="B1950" s="149" t="s">
        <v>7351</v>
      </c>
      <c r="C1950" s="149" t="s">
        <v>10534</v>
      </c>
      <c r="D1950" s="149" t="s">
        <v>7656</v>
      </c>
      <c r="E1950" s="149" t="s">
        <v>10877</v>
      </c>
      <c r="F1950" s="149" t="s">
        <v>10494</v>
      </c>
      <c r="G1950" s="149"/>
      <c r="H1950" s="149"/>
      <c r="I1950" s="149"/>
      <c r="J1950" s="149"/>
      <c r="K1950" s="149"/>
      <c r="L1950" s="149"/>
      <c r="M1950" s="149"/>
    </row>
    <row r="1951" spans="1:13">
      <c r="A1951" s="551">
        <v>45341</v>
      </c>
      <c r="B1951" s="461" t="s">
        <v>10955</v>
      </c>
      <c r="C1951" s="461" t="s">
        <v>10534</v>
      </c>
      <c r="D1951" s="461" t="s">
        <v>7656</v>
      </c>
      <c r="E1951" s="461" t="s">
        <v>10899</v>
      </c>
      <c r="F1951" s="461" t="s">
        <v>10956</v>
      </c>
      <c r="G1951" s="149"/>
      <c r="H1951" s="149"/>
      <c r="I1951" s="149"/>
      <c r="J1951" s="149"/>
      <c r="K1951" s="149"/>
      <c r="L1951" s="149"/>
      <c r="M1951" s="149"/>
    </row>
    <row r="1952" spans="1:13">
      <c r="A1952" s="503">
        <v>45342</v>
      </c>
      <c r="B1952" s="149" t="s">
        <v>6846</v>
      </c>
      <c r="C1952" s="149" t="s">
        <v>10534</v>
      </c>
      <c r="D1952" s="149" t="s">
        <v>7656</v>
      </c>
      <c r="E1952" s="149" t="s">
        <v>10899</v>
      </c>
      <c r="F1952" s="149" t="s">
        <v>10494</v>
      </c>
      <c r="G1952" s="149"/>
      <c r="H1952" s="149"/>
      <c r="I1952" s="149"/>
      <c r="J1952" s="149"/>
      <c r="K1952" s="149"/>
      <c r="L1952" s="149"/>
      <c r="M1952" s="149"/>
    </row>
    <row r="1953" spans="1:13">
      <c r="A1953" s="652">
        <v>45342</v>
      </c>
      <c r="B1953" s="653" t="s">
        <v>10957</v>
      </c>
      <c r="C1953" s="653" t="s">
        <v>10534</v>
      </c>
      <c r="D1953" s="653" t="s">
        <v>7656</v>
      </c>
      <c r="E1953" s="653" t="s">
        <v>10899</v>
      </c>
      <c r="F1953" s="653" t="s">
        <v>8918</v>
      </c>
      <c r="G1953" s="149"/>
      <c r="H1953" s="149"/>
      <c r="I1953" s="149"/>
      <c r="J1953" s="149"/>
      <c r="K1953" s="149"/>
      <c r="L1953" s="149"/>
      <c r="M1953" s="149"/>
    </row>
    <row r="1954" spans="1:13">
      <c r="A1954" s="503">
        <v>45342</v>
      </c>
      <c r="B1954" s="149" t="s">
        <v>6852</v>
      </c>
      <c r="C1954" s="149" t="s">
        <v>10534</v>
      </c>
      <c r="D1954" s="149" t="s">
        <v>7656</v>
      </c>
      <c r="E1954" s="149" t="s">
        <v>10899</v>
      </c>
      <c r="F1954" s="149" t="s">
        <v>10494</v>
      </c>
      <c r="G1954" s="149"/>
      <c r="H1954" s="149"/>
      <c r="I1954" s="149"/>
      <c r="J1954" s="149"/>
      <c r="K1954" s="149"/>
      <c r="L1954" s="149"/>
      <c r="M1954" s="149"/>
    </row>
    <row r="1955" spans="1:13">
      <c r="A1955" s="503">
        <v>45344</v>
      </c>
      <c r="B1955" s="149" t="s">
        <v>6854</v>
      </c>
      <c r="C1955" s="149" t="s">
        <v>10534</v>
      </c>
      <c r="D1955" s="149" t="s">
        <v>7656</v>
      </c>
      <c r="E1955" s="149" t="s">
        <v>10916</v>
      </c>
      <c r="F1955" s="149" t="s">
        <v>10494</v>
      </c>
      <c r="G1955" s="149"/>
      <c r="H1955" s="149"/>
      <c r="I1955" s="149"/>
      <c r="J1955" s="149"/>
      <c r="K1955" s="149"/>
      <c r="L1955" s="149"/>
      <c r="M1955" s="149"/>
    </row>
    <row r="1956" spans="1:13">
      <c r="A1956" s="503">
        <v>45344</v>
      </c>
      <c r="B1956" s="149" t="s">
        <v>6858</v>
      </c>
      <c r="C1956" s="149" t="s">
        <v>10534</v>
      </c>
      <c r="D1956" s="149" t="s">
        <v>7656</v>
      </c>
      <c r="E1956" s="149" t="s">
        <v>10314</v>
      </c>
      <c r="F1956" s="149" t="s">
        <v>10494</v>
      </c>
      <c r="G1956" s="149"/>
      <c r="H1956" s="149"/>
      <c r="I1956" s="149"/>
      <c r="J1956" s="149"/>
      <c r="K1956" s="149"/>
      <c r="L1956" s="149"/>
      <c r="M1956" s="149"/>
    </row>
    <row r="1957" spans="1:13">
      <c r="A1957" s="503">
        <v>45344</v>
      </c>
      <c r="B1957" s="149" t="s">
        <v>6860</v>
      </c>
      <c r="C1957" s="149" t="s">
        <v>10534</v>
      </c>
      <c r="D1957" s="149" t="s">
        <v>7656</v>
      </c>
      <c r="E1957" s="149" t="s">
        <v>10314</v>
      </c>
      <c r="F1957" s="149" t="s">
        <v>10494</v>
      </c>
      <c r="G1957" s="149"/>
      <c r="H1957" s="149"/>
      <c r="I1957" s="149"/>
      <c r="J1957" s="149"/>
      <c r="K1957" s="149"/>
      <c r="L1957" s="149"/>
      <c r="M1957" s="149"/>
    </row>
    <row r="1958" spans="1:13">
      <c r="A1958" s="503">
        <v>45348</v>
      </c>
      <c r="B1958" s="149" t="s">
        <v>2289</v>
      </c>
      <c r="C1958" s="149" t="s">
        <v>10534</v>
      </c>
      <c r="D1958" s="149" t="s">
        <v>7656</v>
      </c>
      <c r="E1958" s="149" t="s">
        <v>10877</v>
      </c>
      <c r="F1958" s="149" t="s">
        <v>10766</v>
      </c>
      <c r="G1958" s="149"/>
      <c r="H1958" s="149"/>
      <c r="I1958" s="149"/>
      <c r="J1958" s="149"/>
      <c r="K1958" s="149"/>
      <c r="L1958" s="149"/>
      <c r="M1958" s="149"/>
    </row>
    <row r="1959" spans="1:13" ht="18">
      <c r="A1959" s="503">
        <v>45348</v>
      </c>
      <c r="B1959" s="573" t="s">
        <v>10958</v>
      </c>
      <c r="C1959" s="149" t="s">
        <v>10534</v>
      </c>
      <c r="D1959" s="149" t="s">
        <v>7656</v>
      </c>
      <c r="E1959" s="149" t="s">
        <v>9998</v>
      </c>
      <c r="F1959" s="149" t="s">
        <v>10494</v>
      </c>
      <c r="G1959" s="149"/>
      <c r="H1959" s="149"/>
      <c r="I1959" s="149"/>
      <c r="J1959" s="149"/>
      <c r="K1959" s="149"/>
      <c r="L1959" s="149"/>
      <c r="M1959" s="149"/>
    </row>
    <row r="1960" spans="1:13">
      <c r="A1960" s="503">
        <v>45348</v>
      </c>
      <c r="B1960" s="149" t="s">
        <v>6865</v>
      </c>
      <c r="C1960" s="149" t="s">
        <v>10534</v>
      </c>
      <c r="D1960" s="149" t="s">
        <v>7656</v>
      </c>
      <c r="E1960" s="149" t="s">
        <v>10314</v>
      </c>
      <c r="F1960" s="149" t="s">
        <v>10494</v>
      </c>
      <c r="G1960" s="149"/>
      <c r="H1960" s="149"/>
      <c r="I1960" s="149"/>
      <c r="J1960" s="149"/>
      <c r="K1960" s="149"/>
      <c r="L1960" s="149"/>
      <c r="M1960" s="149"/>
    </row>
    <row r="1961" spans="1:13">
      <c r="A1961" s="503">
        <v>45348</v>
      </c>
      <c r="B1961" s="149" t="s">
        <v>6867</v>
      </c>
      <c r="C1961" s="149" t="s">
        <v>10534</v>
      </c>
      <c r="D1961" s="149" t="s">
        <v>7656</v>
      </c>
      <c r="E1961" s="149" t="s">
        <v>10877</v>
      </c>
      <c r="F1961" s="149" t="s">
        <v>10494</v>
      </c>
      <c r="G1961" s="149"/>
      <c r="H1961" s="149"/>
      <c r="I1961" s="149"/>
      <c r="J1961" s="149"/>
      <c r="K1961" s="149"/>
      <c r="L1961" s="149"/>
      <c r="M1961" s="149"/>
    </row>
    <row r="1962" spans="1:13">
      <c r="A1962" s="503">
        <v>45349</v>
      </c>
      <c r="B1962" t="s">
        <v>10959</v>
      </c>
      <c r="C1962" t="s">
        <v>10534</v>
      </c>
      <c r="D1962" s="149" t="s">
        <v>7656</v>
      </c>
      <c r="E1962" s="149" t="s">
        <v>10899</v>
      </c>
      <c r="F1962" s="149" t="s">
        <v>10494</v>
      </c>
      <c r="G1962" s="149"/>
      <c r="H1962" s="149"/>
      <c r="I1962" s="149"/>
      <c r="J1962" s="149"/>
      <c r="K1962" s="149"/>
      <c r="L1962" s="149"/>
      <c r="M1962" s="149"/>
    </row>
    <row r="1963" spans="1:13">
      <c r="A1963" s="503">
        <v>45350</v>
      </c>
      <c r="B1963" t="s">
        <v>6852</v>
      </c>
      <c r="C1963" s="149" t="s">
        <v>10534</v>
      </c>
      <c r="D1963" s="149" t="s">
        <v>7656</v>
      </c>
      <c r="E1963" s="149" t="s">
        <v>10916</v>
      </c>
      <c r="F1963" s="149" t="s">
        <v>10293</v>
      </c>
      <c r="G1963" s="149"/>
      <c r="H1963" s="149"/>
      <c r="I1963" s="149"/>
      <c r="J1963" s="149"/>
      <c r="K1963" s="149"/>
      <c r="L1963" s="149"/>
      <c r="M1963" s="149"/>
    </row>
    <row r="1964" spans="1:13">
      <c r="A1964" s="503">
        <v>45350</v>
      </c>
      <c r="B1964" s="149" t="s">
        <v>6873</v>
      </c>
      <c r="C1964" s="149" t="s">
        <v>10534</v>
      </c>
      <c r="D1964" s="149" t="s">
        <v>7656</v>
      </c>
      <c r="E1964" s="149" t="s">
        <v>10877</v>
      </c>
      <c r="F1964" s="149" t="s">
        <v>10494</v>
      </c>
      <c r="G1964" s="149"/>
      <c r="H1964" s="149"/>
      <c r="I1964" s="149"/>
      <c r="J1964" s="149"/>
      <c r="K1964" s="149"/>
      <c r="L1964" s="149"/>
      <c r="M1964" s="149"/>
    </row>
    <row r="1965" spans="1:13">
      <c r="A1965" s="503">
        <v>45351</v>
      </c>
      <c r="B1965" s="149" t="s">
        <v>6877</v>
      </c>
      <c r="C1965" s="149" t="s">
        <v>10534</v>
      </c>
      <c r="D1965" s="149" t="s">
        <v>7656</v>
      </c>
      <c r="E1965" s="149" t="s">
        <v>10314</v>
      </c>
      <c r="F1965" s="149" t="s">
        <v>10494</v>
      </c>
      <c r="G1965" s="149"/>
      <c r="H1965" s="149"/>
      <c r="I1965" s="149"/>
      <c r="J1965" s="149"/>
      <c r="K1965" s="149"/>
      <c r="L1965" s="149"/>
      <c r="M1965" s="149"/>
    </row>
    <row r="1966" spans="1:13">
      <c r="A1966" s="503">
        <v>45351</v>
      </c>
      <c r="B1966" s="149" t="s">
        <v>6879</v>
      </c>
      <c r="C1966" s="149" t="s">
        <v>10534</v>
      </c>
      <c r="D1966" s="149" t="s">
        <v>7656</v>
      </c>
      <c r="E1966" s="149" t="s">
        <v>10916</v>
      </c>
      <c r="F1966" s="149" t="s">
        <v>10785</v>
      </c>
      <c r="G1966" s="149"/>
      <c r="H1966" s="149"/>
      <c r="I1966" s="149"/>
      <c r="J1966" s="149"/>
      <c r="K1966" s="149"/>
      <c r="L1966" s="149"/>
      <c r="M1966" s="149"/>
    </row>
    <row r="1967" spans="1:13">
      <c r="A1967" s="594">
        <v>45351</v>
      </c>
      <c r="B1967" s="108" t="s">
        <v>6881</v>
      </c>
      <c r="C1967" s="649" t="s">
        <v>9777</v>
      </c>
      <c r="D1967" s="649" t="s">
        <v>7656</v>
      </c>
      <c r="E1967" s="649" t="s">
        <v>10314</v>
      </c>
      <c r="F1967" s="287" t="s">
        <v>278</v>
      </c>
      <c r="G1967" s="149"/>
      <c r="H1967" s="149"/>
      <c r="I1967" s="149"/>
      <c r="J1967" s="149"/>
      <c r="K1967" s="149"/>
      <c r="L1967" s="149"/>
      <c r="M1967" s="149"/>
    </row>
    <row r="1968" spans="1:13">
      <c r="A1968" s="807">
        <v>45352</v>
      </c>
      <c r="B1968" s="808"/>
      <c r="C1968" s="808"/>
      <c r="D1968" s="808"/>
      <c r="E1968" s="808"/>
      <c r="F1968" s="809"/>
      <c r="G1968" s="149"/>
      <c r="H1968" s="149"/>
      <c r="I1968" s="149"/>
      <c r="J1968" s="149"/>
      <c r="K1968" s="149"/>
      <c r="L1968" s="149"/>
      <c r="M1968" s="149"/>
    </row>
    <row r="1969" spans="1:13">
      <c r="A1969" s="551">
        <v>45352</v>
      </c>
      <c r="B1969" s="3" t="s">
        <v>10960</v>
      </c>
      <c r="C1969" s="461" t="s">
        <v>10534</v>
      </c>
      <c r="D1969" s="461" t="s">
        <v>7672</v>
      </c>
      <c r="E1969" s="461" t="s">
        <v>9998</v>
      </c>
      <c r="F1969" s="461" t="s">
        <v>8919</v>
      </c>
      <c r="G1969" s="149"/>
      <c r="H1969" s="149"/>
      <c r="I1969" s="149"/>
      <c r="J1969" s="149"/>
      <c r="K1969" s="149"/>
      <c r="L1969" s="149"/>
      <c r="M1969" s="149"/>
    </row>
    <row r="1970" spans="1:13">
      <c r="A1970" s="503">
        <v>45352</v>
      </c>
      <c r="B1970" s="149" t="s">
        <v>6883</v>
      </c>
      <c r="C1970" s="149" t="s">
        <v>10534</v>
      </c>
      <c r="D1970" s="149" t="s">
        <v>7672</v>
      </c>
      <c r="E1970" s="149" t="s">
        <v>10961</v>
      </c>
      <c r="F1970" s="149" t="s">
        <v>10494</v>
      </c>
      <c r="G1970" s="149"/>
      <c r="H1970" s="149"/>
      <c r="I1970" s="149"/>
      <c r="J1970" s="149"/>
      <c r="K1970" s="149"/>
      <c r="L1970" s="149"/>
      <c r="M1970" s="149"/>
    </row>
    <row r="1971" spans="1:13">
      <c r="A1971" s="503">
        <v>45355</v>
      </c>
      <c r="B1971" s="149" t="s">
        <v>6887</v>
      </c>
      <c r="C1971" s="149" t="s">
        <v>10534</v>
      </c>
      <c r="D1971" s="149" t="s">
        <v>7672</v>
      </c>
      <c r="E1971" s="149" t="s">
        <v>9998</v>
      </c>
      <c r="F1971" s="149" t="s">
        <v>10494</v>
      </c>
      <c r="G1971" s="149"/>
      <c r="H1971" s="149"/>
      <c r="I1971" s="149"/>
      <c r="J1971" s="149"/>
      <c r="K1971" s="149"/>
      <c r="L1971" s="149"/>
      <c r="M1971" s="149"/>
    </row>
    <row r="1972" spans="1:13">
      <c r="A1972" s="503">
        <v>45356</v>
      </c>
      <c r="B1972" s="149" t="s">
        <v>10962</v>
      </c>
      <c r="C1972" s="149" t="s">
        <v>10534</v>
      </c>
      <c r="D1972" s="149" t="s">
        <v>7672</v>
      </c>
      <c r="E1972" s="149" t="s">
        <v>10963</v>
      </c>
      <c r="F1972" s="149" t="s">
        <v>10494</v>
      </c>
      <c r="G1972" s="149"/>
      <c r="H1972" s="149"/>
      <c r="I1972" s="149"/>
      <c r="J1972" s="149"/>
      <c r="K1972" s="149"/>
      <c r="L1972" s="149"/>
      <c r="M1972" s="149"/>
    </row>
    <row r="1973" spans="1:13">
      <c r="A1973" s="503">
        <v>45356</v>
      </c>
      <c r="B1973" s="149" t="s">
        <v>6899</v>
      </c>
      <c r="C1973" s="149" t="s">
        <v>10534</v>
      </c>
      <c r="D1973" s="149" t="s">
        <v>7672</v>
      </c>
      <c r="E1973" s="149" t="s">
        <v>10899</v>
      </c>
      <c r="F1973" s="149" t="s">
        <v>10494</v>
      </c>
      <c r="G1973" s="149"/>
      <c r="H1973" s="149"/>
      <c r="I1973" s="149"/>
      <c r="J1973" s="149"/>
      <c r="K1973" s="149"/>
      <c r="L1973" s="149"/>
      <c r="M1973" s="149"/>
    </row>
    <row r="1974" spans="1:13" ht="15.75">
      <c r="A1974" s="503">
        <v>45357</v>
      </c>
      <c r="B1974" s="577" t="s">
        <v>3463</v>
      </c>
      <c r="C1974" s="149" t="s">
        <v>10534</v>
      </c>
      <c r="D1974" s="149" t="s">
        <v>7672</v>
      </c>
      <c r="E1974" s="149" t="s">
        <v>10899</v>
      </c>
      <c r="F1974" s="149" t="s">
        <v>10785</v>
      </c>
      <c r="G1974" s="149"/>
      <c r="H1974" s="149"/>
      <c r="I1974" s="149"/>
      <c r="J1974" s="149"/>
      <c r="K1974" s="149"/>
      <c r="L1974" s="149"/>
      <c r="M1974" s="149"/>
    </row>
    <row r="1975" spans="1:13">
      <c r="A1975" s="503">
        <v>45357</v>
      </c>
      <c r="B1975" s="149" t="s">
        <v>10964</v>
      </c>
      <c r="C1975" s="149" t="s">
        <v>10534</v>
      </c>
      <c r="D1975" s="149" t="s">
        <v>7672</v>
      </c>
      <c r="E1975" s="149" t="s">
        <v>10916</v>
      </c>
      <c r="F1975" s="149" t="s">
        <v>10494</v>
      </c>
      <c r="G1975" s="149"/>
      <c r="H1975" s="149"/>
      <c r="I1975" s="149"/>
      <c r="J1975" s="149"/>
      <c r="K1975" s="149"/>
      <c r="L1975" s="149"/>
      <c r="M1975" s="149"/>
    </row>
    <row r="1976" spans="1:13" ht="15.75">
      <c r="A1976" s="503">
        <v>45358</v>
      </c>
      <c r="B1976" s="577" t="s">
        <v>3845</v>
      </c>
      <c r="C1976" s="149" t="s">
        <v>10534</v>
      </c>
      <c r="D1976" s="149" t="s">
        <v>7672</v>
      </c>
      <c r="E1976" s="149" t="s">
        <v>10314</v>
      </c>
      <c r="F1976" s="149" t="s">
        <v>10296</v>
      </c>
      <c r="G1976" s="149"/>
      <c r="H1976" s="149"/>
      <c r="I1976" s="149"/>
      <c r="J1976" s="149"/>
      <c r="K1976" s="149"/>
      <c r="L1976" s="149"/>
      <c r="M1976" s="149"/>
    </row>
    <row r="1977" spans="1:13">
      <c r="A1977" s="503">
        <v>45358</v>
      </c>
      <c r="B1977" s="149" t="s">
        <v>5369</v>
      </c>
      <c r="C1977" s="149" t="s">
        <v>10534</v>
      </c>
      <c r="D1977" s="149" t="s">
        <v>7672</v>
      </c>
      <c r="E1977" s="149" t="s">
        <v>10289</v>
      </c>
      <c r="F1977" s="149" t="s">
        <v>10494</v>
      </c>
      <c r="G1977" s="149"/>
      <c r="H1977" s="149"/>
      <c r="I1977" s="149"/>
      <c r="J1977" s="149"/>
      <c r="K1977" s="149"/>
      <c r="L1977" s="149"/>
      <c r="M1977" s="149"/>
    </row>
    <row r="1978" spans="1:13">
      <c r="A1978" s="503">
        <v>45358</v>
      </c>
      <c r="B1978" s="149" t="s">
        <v>10965</v>
      </c>
      <c r="C1978" s="149" t="s">
        <v>10534</v>
      </c>
      <c r="D1978" s="149" t="s">
        <v>7672</v>
      </c>
      <c r="E1978" s="149" t="s">
        <v>10233</v>
      </c>
      <c r="F1978" s="149" t="s">
        <v>10494</v>
      </c>
      <c r="G1978" s="149"/>
      <c r="H1978" s="149"/>
      <c r="I1978" s="149"/>
      <c r="J1978" s="149"/>
      <c r="K1978" s="149"/>
      <c r="L1978" s="149"/>
      <c r="M1978" s="149"/>
    </row>
    <row r="1979" spans="1:13">
      <c r="A1979" s="503">
        <v>45359</v>
      </c>
      <c r="B1979" s="149" t="s">
        <v>10966</v>
      </c>
      <c r="C1979" s="149" t="s">
        <v>10534</v>
      </c>
      <c r="D1979" s="149" t="s">
        <v>7672</v>
      </c>
      <c r="E1979" s="149" t="s">
        <v>10289</v>
      </c>
      <c r="F1979" s="149" t="s">
        <v>10494</v>
      </c>
      <c r="G1979" s="149"/>
      <c r="H1979" s="149"/>
      <c r="I1979" s="149"/>
      <c r="J1979" s="149"/>
      <c r="K1979" s="149"/>
      <c r="L1979" s="149"/>
      <c r="M1979" s="149"/>
    </row>
    <row r="1980" spans="1:13">
      <c r="A1980" s="550">
        <v>45359</v>
      </c>
      <c r="B1980" s="108" t="s">
        <v>6911</v>
      </c>
      <c r="C1980" s="108" t="s">
        <v>10534</v>
      </c>
      <c r="D1980" s="108" t="s">
        <v>7672</v>
      </c>
      <c r="E1980" s="108" t="s">
        <v>9998</v>
      </c>
      <c r="F1980" s="108" t="s">
        <v>10967</v>
      </c>
      <c r="G1980" s="149"/>
      <c r="H1980" s="149"/>
      <c r="I1980" s="149"/>
      <c r="J1980" s="149"/>
      <c r="K1980" s="149"/>
      <c r="L1980" s="149"/>
      <c r="M1980" s="149"/>
    </row>
    <row r="1981" spans="1:13" ht="15.75">
      <c r="A1981" s="503">
        <v>45362</v>
      </c>
      <c r="B1981" s="565" t="s">
        <v>10968</v>
      </c>
      <c r="C1981" s="149" t="s">
        <v>10534</v>
      </c>
      <c r="D1981" s="149" t="s">
        <v>7672</v>
      </c>
      <c r="E1981" s="149" t="s">
        <v>10877</v>
      </c>
      <c r="F1981" s="149" t="s">
        <v>10494</v>
      </c>
      <c r="G1981" s="149"/>
      <c r="H1981" s="149"/>
      <c r="I1981" s="149"/>
      <c r="J1981" s="149"/>
      <c r="K1981" s="149"/>
      <c r="L1981" s="149"/>
      <c r="M1981" s="149"/>
    </row>
    <row r="1982" spans="1:13">
      <c r="A1982" s="503">
        <v>45362</v>
      </c>
      <c r="B1982" s="149" t="s">
        <v>10969</v>
      </c>
      <c r="C1982" s="149" t="s">
        <v>10534</v>
      </c>
      <c r="D1982" s="149" t="s">
        <v>7672</v>
      </c>
      <c r="E1982" s="149" t="s">
        <v>10877</v>
      </c>
      <c r="F1982" s="149" t="s">
        <v>10970</v>
      </c>
      <c r="G1982" s="149"/>
      <c r="H1982" s="149"/>
      <c r="I1982" s="149"/>
      <c r="J1982" s="149"/>
      <c r="K1982" s="149"/>
      <c r="L1982" s="149"/>
      <c r="M1982" s="149"/>
    </row>
    <row r="1983" spans="1:13">
      <c r="A1983" s="503">
        <v>45362</v>
      </c>
      <c r="B1983" s="149" t="s">
        <v>10971</v>
      </c>
      <c r="C1983" s="149" t="s">
        <v>10534</v>
      </c>
      <c r="D1983" s="149" t="s">
        <v>7672</v>
      </c>
      <c r="E1983" s="149" t="s">
        <v>10289</v>
      </c>
      <c r="F1983" s="149" t="s">
        <v>10494</v>
      </c>
      <c r="G1983" s="149"/>
      <c r="H1983" s="149"/>
      <c r="I1983" s="149"/>
      <c r="J1983" s="149"/>
      <c r="K1983" s="149"/>
      <c r="L1983" s="149"/>
      <c r="M1983" s="149"/>
    </row>
    <row r="1984" spans="1:13">
      <c r="A1984" s="503">
        <v>45362</v>
      </c>
      <c r="B1984" s="149" t="s">
        <v>6913</v>
      </c>
      <c r="C1984" s="149" t="s">
        <v>10534</v>
      </c>
      <c r="D1984" s="149" t="s">
        <v>7672</v>
      </c>
      <c r="E1984" s="149" t="s">
        <v>10877</v>
      </c>
      <c r="F1984" s="149" t="s">
        <v>10494</v>
      </c>
      <c r="G1984" s="149"/>
      <c r="H1984" s="149"/>
      <c r="I1984" s="149"/>
      <c r="J1984" s="149"/>
      <c r="K1984" s="149"/>
      <c r="L1984" s="149"/>
      <c r="M1984" s="149"/>
    </row>
    <row r="1985" spans="1:13">
      <c r="A1985" s="503">
        <v>45362</v>
      </c>
      <c r="B1985" s="149" t="s">
        <v>10972</v>
      </c>
      <c r="C1985" s="149" t="s">
        <v>10534</v>
      </c>
      <c r="D1985" s="149" t="s">
        <v>7672</v>
      </c>
      <c r="E1985" s="149" t="s">
        <v>10899</v>
      </c>
      <c r="F1985" s="149" t="s">
        <v>10494</v>
      </c>
      <c r="G1985" s="149"/>
      <c r="H1985" s="149"/>
      <c r="I1985" s="149"/>
      <c r="J1985" s="149"/>
      <c r="K1985" s="149"/>
      <c r="L1985" s="149"/>
      <c r="M1985" s="149"/>
    </row>
    <row r="1986" spans="1:13">
      <c r="A1986" s="503">
        <v>45362</v>
      </c>
      <c r="B1986" s="149" t="s">
        <v>10973</v>
      </c>
      <c r="C1986" s="149" t="s">
        <v>10534</v>
      </c>
      <c r="D1986" s="149" t="s">
        <v>7672</v>
      </c>
      <c r="E1986" s="149" t="s">
        <v>10899</v>
      </c>
      <c r="F1986" s="149" t="s">
        <v>10974</v>
      </c>
      <c r="G1986" s="149"/>
      <c r="H1986" s="149"/>
      <c r="I1986" s="149"/>
      <c r="J1986" s="149"/>
      <c r="K1986" s="149"/>
      <c r="L1986" s="149"/>
      <c r="M1986" s="149"/>
    </row>
    <row r="1987" spans="1:13">
      <c r="A1987" s="503">
        <v>45362</v>
      </c>
      <c r="B1987" s="149" t="s">
        <v>10975</v>
      </c>
      <c r="C1987" s="149" t="s">
        <v>10534</v>
      </c>
      <c r="D1987" s="149" t="s">
        <v>7672</v>
      </c>
      <c r="E1987" s="149" t="s">
        <v>10877</v>
      </c>
      <c r="F1987" s="149" t="s">
        <v>10494</v>
      </c>
      <c r="G1987" s="149"/>
      <c r="H1987" s="149"/>
      <c r="I1987" s="149"/>
      <c r="J1987" s="149"/>
      <c r="K1987" s="149"/>
      <c r="L1987" s="149"/>
      <c r="M1987" s="149"/>
    </row>
    <row r="1988" spans="1:13">
      <c r="A1988" s="503">
        <v>45363</v>
      </c>
      <c r="B1988" s="149" t="s">
        <v>10976</v>
      </c>
      <c r="C1988" s="149" t="s">
        <v>10534</v>
      </c>
      <c r="D1988" s="149"/>
      <c r="E1988" s="149" t="s">
        <v>10877</v>
      </c>
      <c r="F1988" s="149" t="s">
        <v>10977</v>
      </c>
      <c r="G1988" s="149"/>
      <c r="H1988" s="149"/>
      <c r="I1988" s="149"/>
      <c r="J1988" s="149"/>
      <c r="K1988" s="149"/>
      <c r="L1988" s="149"/>
      <c r="M1988" s="149"/>
    </row>
    <row r="1989" spans="1:13">
      <c r="A1989" s="503">
        <v>45363</v>
      </c>
      <c r="B1989" s="149" t="s">
        <v>10978</v>
      </c>
      <c r="C1989" s="149" t="s">
        <v>10534</v>
      </c>
      <c r="D1989" s="149" t="s">
        <v>7672</v>
      </c>
      <c r="E1989" s="149" t="s">
        <v>10877</v>
      </c>
      <c r="F1989" s="149" t="s">
        <v>10494</v>
      </c>
      <c r="G1989" s="149"/>
      <c r="H1989" s="149"/>
      <c r="I1989" s="149"/>
      <c r="J1989" s="149"/>
      <c r="K1989" s="149"/>
      <c r="L1989" s="149"/>
      <c r="M1989" s="149"/>
    </row>
    <row r="1990" spans="1:13">
      <c r="A1990" s="503">
        <v>45363</v>
      </c>
      <c r="B1990" s="149" t="s">
        <v>10979</v>
      </c>
      <c r="C1990" s="149" t="s">
        <v>10534</v>
      </c>
      <c r="D1990" s="149" t="s">
        <v>7672</v>
      </c>
      <c r="E1990" s="149" t="s">
        <v>10237</v>
      </c>
      <c r="F1990" s="149" t="s">
        <v>10494</v>
      </c>
      <c r="G1990" s="149"/>
      <c r="H1990" s="149"/>
      <c r="I1990" s="149"/>
      <c r="J1990" s="149"/>
      <c r="K1990" s="149"/>
      <c r="L1990" s="149"/>
      <c r="M1990" s="149"/>
    </row>
    <row r="1991" spans="1:13">
      <c r="A1991" s="503">
        <v>45363</v>
      </c>
      <c r="B1991" s="149" t="s">
        <v>10980</v>
      </c>
      <c r="C1991" s="149" t="s">
        <v>10534</v>
      </c>
      <c r="D1991" s="149" t="s">
        <v>7672</v>
      </c>
      <c r="E1991" s="149" t="s">
        <v>10899</v>
      </c>
      <c r="F1991" s="149" t="s">
        <v>10494</v>
      </c>
      <c r="G1991" s="149"/>
      <c r="H1991" s="149"/>
      <c r="I1991" s="149"/>
      <c r="J1991" s="149"/>
      <c r="K1991" s="149"/>
      <c r="L1991" s="149"/>
      <c r="M1991" s="149"/>
    </row>
    <row r="1992" spans="1:13">
      <c r="A1992" s="503">
        <v>45364</v>
      </c>
      <c r="B1992" s="149" t="s">
        <v>6366</v>
      </c>
      <c r="C1992" s="149" t="s">
        <v>10534</v>
      </c>
      <c r="D1992" s="149" t="s">
        <v>7672</v>
      </c>
      <c r="E1992" s="149" t="s">
        <v>10899</v>
      </c>
      <c r="F1992" s="149" t="s">
        <v>10981</v>
      </c>
      <c r="G1992" s="149"/>
      <c r="H1992" s="149"/>
      <c r="I1992" s="149"/>
      <c r="J1992" s="149"/>
      <c r="K1992" s="149"/>
      <c r="L1992" s="149"/>
      <c r="M1992" s="149"/>
    </row>
    <row r="1993" spans="1:13">
      <c r="A1993" s="503">
        <v>45364</v>
      </c>
      <c r="B1993" s="149" t="s">
        <v>6956</v>
      </c>
      <c r="C1993" s="149" t="s">
        <v>10534</v>
      </c>
      <c r="D1993" s="149" t="s">
        <v>7672</v>
      </c>
      <c r="E1993" s="149" t="s">
        <v>10237</v>
      </c>
      <c r="F1993" s="149" t="s">
        <v>10494</v>
      </c>
      <c r="G1993" s="149"/>
      <c r="H1993" s="149"/>
      <c r="I1993" s="149"/>
      <c r="J1993" s="149"/>
      <c r="K1993" s="149"/>
      <c r="L1993" s="149"/>
      <c r="M1993" s="149"/>
    </row>
    <row r="1994" spans="1:13">
      <c r="A1994" s="503">
        <v>45365</v>
      </c>
      <c r="B1994" s="149" t="s">
        <v>10982</v>
      </c>
      <c r="C1994" s="149" t="s">
        <v>10534</v>
      </c>
      <c r="D1994" s="149" t="s">
        <v>7672</v>
      </c>
      <c r="E1994" s="149" t="s">
        <v>10233</v>
      </c>
      <c r="F1994" s="149" t="s">
        <v>10494</v>
      </c>
      <c r="G1994" s="149"/>
      <c r="H1994" s="149"/>
      <c r="I1994" s="149"/>
      <c r="J1994" s="149"/>
      <c r="K1994" s="149"/>
      <c r="L1994" s="149"/>
      <c r="M1994" s="149"/>
    </row>
    <row r="1995" spans="1:13">
      <c r="A1995" s="503">
        <v>45365</v>
      </c>
      <c r="B1995" s="149" t="s">
        <v>10983</v>
      </c>
      <c r="C1995" s="149" t="s">
        <v>10534</v>
      </c>
      <c r="D1995" s="149" t="s">
        <v>7672</v>
      </c>
      <c r="E1995" s="149" t="s">
        <v>10233</v>
      </c>
      <c r="F1995" s="149" t="s">
        <v>10981</v>
      </c>
      <c r="G1995" s="149"/>
      <c r="H1995" s="149"/>
      <c r="I1995" s="149"/>
      <c r="J1995" s="149"/>
      <c r="K1995" s="149"/>
      <c r="L1995" s="149"/>
      <c r="M1995" s="149"/>
    </row>
    <row r="1996" spans="1:13">
      <c r="A1996" s="670">
        <v>45365</v>
      </c>
      <c r="B1996" s="671" t="s">
        <v>10984</v>
      </c>
      <c r="C1996" s="671" t="s">
        <v>10534</v>
      </c>
      <c r="D1996" s="671" t="s">
        <v>7672</v>
      </c>
      <c r="E1996" s="671" t="s">
        <v>10233</v>
      </c>
      <c r="F1996" s="671" t="s">
        <v>8918</v>
      </c>
      <c r="G1996" s="149"/>
      <c r="H1996" s="149"/>
      <c r="I1996" s="149"/>
      <c r="J1996" s="149"/>
      <c r="K1996" s="149"/>
      <c r="L1996" s="149"/>
      <c r="M1996" s="149"/>
    </row>
    <row r="1997" spans="1:13">
      <c r="A1997" s="503">
        <v>45366</v>
      </c>
      <c r="B1997" s="149" t="s">
        <v>10985</v>
      </c>
      <c r="C1997" s="149" t="s">
        <v>10534</v>
      </c>
      <c r="D1997" s="149" t="s">
        <v>7672</v>
      </c>
      <c r="E1997" s="149" t="s">
        <v>10944</v>
      </c>
      <c r="F1997" s="149" t="s">
        <v>10494</v>
      </c>
      <c r="G1997" s="149"/>
      <c r="H1997" s="149"/>
      <c r="I1997" s="149"/>
      <c r="J1997" s="149"/>
      <c r="K1997" s="149"/>
      <c r="L1997" s="149"/>
      <c r="M1997" s="149"/>
    </row>
    <row r="1998" spans="1:13">
      <c r="A1998" s="503">
        <v>45369</v>
      </c>
      <c r="B1998" s="149" t="s">
        <v>3411</v>
      </c>
      <c r="C1998" s="149" t="s">
        <v>10534</v>
      </c>
      <c r="D1998" s="149" t="s">
        <v>7672</v>
      </c>
      <c r="E1998" s="149" t="s">
        <v>10877</v>
      </c>
      <c r="F1998" s="149" t="s">
        <v>10494</v>
      </c>
      <c r="G1998" s="149"/>
      <c r="H1998" s="149"/>
      <c r="I1998" s="149"/>
      <c r="J1998" s="149"/>
      <c r="K1998" s="149"/>
      <c r="L1998" s="149"/>
      <c r="M1998" s="149"/>
    </row>
    <row r="1999" spans="1:13">
      <c r="A1999" s="503">
        <v>45369</v>
      </c>
      <c r="B1999" s="149" t="s">
        <v>10986</v>
      </c>
      <c r="C1999" s="149" t="s">
        <v>10534</v>
      </c>
      <c r="D1999" s="149" t="s">
        <v>7672</v>
      </c>
      <c r="E1999" s="149" t="s">
        <v>10289</v>
      </c>
      <c r="F1999" s="149" t="s">
        <v>10974</v>
      </c>
      <c r="G1999" s="149"/>
      <c r="H1999" s="149"/>
      <c r="I1999" s="149"/>
      <c r="J1999" s="149"/>
      <c r="K1999" s="149"/>
      <c r="L1999" s="149"/>
      <c r="M1999" s="149"/>
    </row>
    <row r="2000" spans="1:13">
      <c r="A2000" s="503">
        <v>45369</v>
      </c>
      <c r="B2000" s="149" t="s">
        <v>10987</v>
      </c>
      <c r="C2000" s="149" t="s">
        <v>10534</v>
      </c>
      <c r="D2000" s="149" t="s">
        <v>7672</v>
      </c>
      <c r="E2000" s="149" t="s">
        <v>10877</v>
      </c>
      <c r="F2000" s="149" t="s">
        <v>10494</v>
      </c>
      <c r="G2000" s="149"/>
      <c r="H2000" s="149"/>
      <c r="I2000" s="149"/>
      <c r="J2000" s="149"/>
      <c r="K2000" s="149"/>
      <c r="L2000" s="149"/>
      <c r="M2000" s="149"/>
    </row>
    <row r="2001" spans="1:13">
      <c r="A2001" s="503">
        <v>45370</v>
      </c>
      <c r="B2001" s="149" t="s">
        <v>10988</v>
      </c>
      <c r="C2001" s="149" t="s">
        <v>10534</v>
      </c>
      <c r="D2001" s="149" t="s">
        <v>7672</v>
      </c>
      <c r="E2001" s="149" t="s">
        <v>10877</v>
      </c>
      <c r="F2001" s="149" t="s">
        <v>10494</v>
      </c>
      <c r="G2001" s="149"/>
      <c r="H2001" s="149"/>
      <c r="I2001" s="149"/>
      <c r="J2001" s="149"/>
      <c r="K2001" s="149"/>
      <c r="L2001" s="149"/>
      <c r="M2001" s="149"/>
    </row>
    <row r="2002" spans="1:13">
      <c r="A2002" s="503">
        <v>45370</v>
      </c>
      <c r="B2002" s="149" t="s">
        <v>10989</v>
      </c>
      <c r="C2002" s="149" t="s">
        <v>10534</v>
      </c>
      <c r="D2002" s="149" t="s">
        <v>7672</v>
      </c>
      <c r="E2002" s="149" t="s">
        <v>10877</v>
      </c>
      <c r="F2002" s="149" t="s">
        <v>10494</v>
      </c>
      <c r="G2002" s="149"/>
      <c r="H2002" s="149"/>
      <c r="I2002" s="149"/>
      <c r="J2002" s="149"/>
      <c r="K2002" s="149"/>
      <c r="L2002" s="149"/>
      <c r="M2002" s="149"/>
    </row>
    <row r="2003" spans="1:13">
      <c r="A2003" s="551">
        <v>45371</v>
      </c>
      <c r="B2003" s="461" t="s">
        <v>10990</v>
      </c>
      <c r="C2003" s="461" t="s">
        <v>10534</v>
      </c>
      <c r="D2003" s="461" t="s">
        <v>7672</v>
      </c>
      <c r="E2003" s="461" t="s">
        <v>10899</v>
      </c>
      <c r="F2003" s="461" t="s">
        <v>8919</v>
      </c>
      <c r="G2003" s="149"/>
      <c r="H2003" s="149"/>
      <c r="I2003" s="149"/>
      <c r="J2003" s="149"/>
      <c r="K2003" s="149"/>
      <c r="L2003" s="149"/>
      <c r="M2003" s="149"/>
    </row>
    <row r="2004" spans="1:13">
      <c r="A2004" s="503">
        <v>45372</v>
      </c>
      <c r="B2004" s="149" t="s">
        <v>10991</v>
      </c>
      <c r="C2004" s="149" t="s">
        <v>10534</v>
      </c>
      <c r="D2004" s="149" t="s">
        <v>7672</v>
      </c>
      <c r="E2004" s="149" t="s">
        <v>10237</v>
      </c>
      <c r="F2004" s="149" t="s">
        <v>10494</v>
      </c>
      <c r="G2004" s="149"/>
      <c r="H2004" s="149"/>
      <c r="I2004" s="149"/>
      <c r="J2004" s="149"/>
      <c r="K2004" s="149"/>
      <c r="L2004" s="149"/>
      <c r="M2004" s="149"/>
    </row>
    <row r="2005" spans="1:13">
      <c r="A2005" s="503">
        <v>45372</v>
      </c>
      <c r="B2005" s="149" t="s">
        <v>10992</v>
      </c>
      <c r="C2005" s="149" t="s">
        <v>10534</v>
      </c>
      <c r="D2005" s="149" t="s">
        <v>7672</v>
      </c>
      <c r="E2005" s="149" t="s">
        <v>10233</v>
      </c>
      <c r="F2005" s="149" t="s">
        <v>10974</v>
      </c>
      <c r="G2005" s="149"/>
      <c r="H2005" s="149"/>
      <c r="I2005" s="149"/>
      <c r="J2005" s="149"/>
      <c r="K2005" s="149"/>
      <c r="L2005" s="149"/>
      <c r="M2005" s="149"/>
    </row>
    <row r="2006" spans="1:13">
      <c r="A2006" s="503">
        <v>45372</v>
      </c>
      <c r="B2006" s="149" t="s">
        <v>3653</v>
      </c>
      <c r="C2006" s="149" t="s">
        <v>10534</v>
      </c>
      <c r="D2006" s="149" t="s">
        <v>7672</v>
      </c>
      <c r="E2006" s="149" t="s">
        <v>10289</v>
      </c>
      <c r="F2006" s="149" t="s">
        <v>10974</v>
      </c>
      <c r="G2006" s="149"/>
      <c r="H2006" s="149"/>
      <c r="I2006" s="149"/>
      <c r="J2006" s="149"/>
      <c r="K2006" s="149"/>
      <c r="L2006" s="149"/>
      <c r="M2006" s="149"/>
    </row>
    <row r="2007" spans="1:13">
      <c r="A2007" s="693">
        <v>45373</v>
      </c>
      <c r="B2007" s="694" t="s">
        <v>7361</v>
      </c>
      <c r="C2007" s="694" t="s">
        <v>10534</v>
      </c>
      <c r="D2007" s="694" t="s">
        <v>7672</v>
      </c>
      <c r="E2007" s="694" t="s">
        <v>10289</v>
      </c>
      <c r="F2007" s="694" t="s">
        <v>8918</v>
      </c>
      <c r="G2007" s="149"/>
      <c r="H2007" s="149"/>
      <c r="I2007" s="149"/>
      <c r="J2007" s="149"/>
      <c r="K2007" s="149"/>
      <c r="L2007" s="149"/>
      <c r="M2007" s="149"/>
    </row>
    <row r="2008" spans="1:13">
      <c r="A2008" s="693">
        <v>45376</v>
      </c>
      <c r="B2008" s="694" t="s">
        <v>10993</v>
      </c>
      <c r="C2008" s="694" t="s">
        <v>10534</v>
      </c>
      <c r="D2008" s="694" t="s">
        <v>7672</v>
      </c>
      <c r="E2008" s="694" t="s">
        <v>10877</v>
      </c>
      <c r="F2008" s="694" t="s">
        <v>8918</v>
      </c>
      <c r="G2008" s="149"/>
      <c r="H2008" s="149"/>
      <c r="I2008" s="149"/>
      <c r="J2008" s="149"/>
      <c r="K2008" s="149"/>
      <c r="L2008" s="149"/>
      <c r="M2008" s="149"/>
    </row>
    <row r="2009" spans="1:13">
      <c r="A2009" s="550">
        <v>45376</v>
      </c>
      <c r="B2009" s="108" t="s">
        <v>10994</v>
      </c>
      <c r="C2009" s="108" t="s">
        <v>10534</v>
      </c>
      <c r="D2009" s="108" t="s">
        <v>7672</v>
      </c>
      <c r="E2009" s="108" t="s">
        <v>10899</v>
      </c>
      <c r="F2009" s="108" t="s">
        <v>10995</v>
      </c>
      <c r="G2009" s="149"/>
      <c r="H2009" s="149"/>
      <c r="I2009" s="149"/>
      <c r="J2009" s="149"/>
      <c r="K2009" s="149"/>
      <c r="L2009" s="149"/>
      <c r="M2009" s="149"/>
    </row>
    <row r="2010" spans="1:13">
      <c r="A2010" s="550">
        <v>45376</v>
      </c>
      <c r="B2010" s="108" t="s">
        <v>10994</v>
      </c>
      <c r="C2010" s="108" t="s">
        <v>10534</v>
      </c>
      <c r="D2010" s="108" t="s">
        <v>7672</v>
      </c>
      <c r="E2010" s="108" t="s">
        <v>10899</v>
      </c>
      <c r="F2010" s="108" t="s">
        <v>10995</v>
      </c>
      <c r="G2010" s="149"/>
      <c r="H2010" s="149"/>
      <c r="I2010" s="149"/>
      <c r="J2010" s="149"/>
      <c r="K2010" s="149"/>
      <c r="L2010" s="149"/>
      <c r="M2010" s="149"/>
    </row>
    <row r="2011" spans="1:13">
      <c r="A2011" s="503">
        <v>45376</v>
      </c>
      <c r="B2011" s="149" t="s">
        <v>10996</v>
      </c>
      <c r="C2011" s="192" t="s">
        <v>10534</v>
      </c>
      <c r="D2011" s="149" t="s">
        <v>7672</v>
      </c>
      <c r="E2011" s="149" t="s">
        <v>10877</v>
      </c>
      <c r="F2011" s="149" t="s">
        <v>10494</v>
      </c>
      <c r="G2011" s="149"/>
      <c r="H2011" s="149"/>
      <c r="I2011" s="149"/>
      <c r="J2011" s="149"/>
      <c r="K2011" s="149"/>
      <c r="L2011" s="149"/>
      <c r="M2011" s="149"/>
    </row>
    <row r="2012" spans="1:13">
      <c r="A2012" s="503">
        <v>45376</v>
      </c>
      <c r="B2012" s="149" t="s">
        <v>6972</v>
      </c>
      <c r="C2012" s="192" t="s">
        <v>10534</v>
      </c>
      <c r="D2012" s="149" t="s">
        <v>7672</v>
      </c>
      <c r="E2012" s="149" t="s">
        <v>10899</v>
      </c>
      <c r="F2012" s="149" t="s">
        <v>10494</v>
      </c>
      <c r="G2012" s="149"/>
      <c r="H2012" s="149"/>
      <c r="I2012" s="149"/>
      <c r="J2012" s="149"/>
      <c r="K2012" s="149"/>
      <c r="L2012" s="149"/>
      <c r="M2012" s="149"/>
    </row>
    <row r="2013" spans="1:13">
      <c r="A2013" s="551">
        <v>45377</v>
      </c>
      <c r="B2013" s="461" t="s">
        <v>10997</v>
      </c>
      <c r="C2013" s="461" t="s">
        <v>10534</v>
      </c>
      <c r="D2013" s="461" t="s">
        <v>7672</v>
      </c>
      <c r="E2013" s="461" t="s">
        <v>10237</v>
      </c>
      <c r="F2013" s="461" t="s">
        <v>10998</v>
      </c>
      <c r="G2013" s="149"/>
      <c r="H2013" s="149"/>
      <c r="I2013" s="149"/>
      <c r="J2013" s="149"/>
      <c r="K2013" s="149"/>
      <c r="L2013" s="149"/>
      <c r="M2013" s="149"/>
    </row>
    <row r="2014" spans="1:13">
      <c r="A2014" s="503">
        <v>45378</v>
      </c>
      <c r="B2014" s="149" t="s">
        <v>10999</v>
      </c>
      <c r="C2014" s="192" t="s">
        <v>10534</v>
      </c>
      <c r="D2014" s="149" t="s">
        <v>7672</v>
      </c>
      <c r="E2014" s="149" t="s">
        <v>10877</v>
      </c>
      <c r="F2014" s="149" t="s">
        <v>10494</v>
      </c>
      <c r="G2014" s="149"/>
      <c r="H2014" s="149"/>
      <c r="I2014" s="149"/>
      <c r="J2014" s="149"/>
      <c r="K2014" s="149"/>
      <c r="L2014" s="149"/>
      <c r="M2014" s="149"/>
    </row>
    <row r="2015" spans="1:13">
      <c r="A2015" s="807">
        <v>45383</v>
      </c>
      <c r="B2015" s="808"/>
      <c r="C2015" s="808"/>
      <c r="D2015" s="808"/>
      <c r="E2015" s="808"/>
      <c r="F2015" s="809"/>
      <c r="G2015" s="149"/>
      <c r="H2015" s="149"/>
      <c r="I2015" s="149"/>
      <c r="J2015" s="149"/>
      <c r="K2015" s="149"/>
      <c r="L2015" s="149"/>
      <c r="M2015" s="149"/>
    </row>
    <row r="2016" spans="1:13">
      <c r="A2016" s="699">
        <v>45384</v>
      </c>
      <c r="B2016" s="149" t="s">
        <v>11000</v>
      </c>
      <c r="C2016" s="192" t="s">
        <v>10534</v>
      </c>
      <c r="D2016" s="149" t="s">
        <v>7684</v>
      </c>
      <c r="E2016" s="149" t="s">
        <v>10899</v>
      </c>
      <c r="F2016" s="149" t="s">
        <v>10494</v>
      </c>
      <c r="G2016" s="149"/>
      <c r="H2016" s="149"/>
      <c r="I2016" s="149"/>
      <c r="J2016" s="149"/>
      <c r="K2016" s="149"/>
      <c r="L2016" s="149"/>
      <c r="M2016" s="149"/>
    </row>
    <row r="2017" spans="1:13">
      <c r="A2017" s="699">
        <v>45385</v>
      </c>
      <c r="B2017" s="149" t="s">
        <v>11001</v>
      </c>
      <c r="C2017" s="192" t="s">
        <v>10534</v>
      </c>
      <c r="D2017" s="149" t="s">
        <v>7684</v>
      </c>
      <c r="E2017" s="149" t="s">
        <v>10899</v>
      </c>
      <c r="F2017" s="149" t="s">
        <v>10494</v>
      </c>
      <c r="G2017" s="149"/>
      <c r="H2017" s="149"/>
      <c r="I2017" s="149"/>
      <c r="J2017" s="149"/>
      <c r="K2017" s="149"/>
      <c r="L2017" s="149"/>
      <c r="M2017" s="149"/>
    </row>
    <row r="2018" spans="1:13" ht="18">
      <c r="A2018" s="699">
        <v>45355</v>
      </c>
      <c r="B2018" s="573" t="s">
        <v>6982</v>
      </c>
      <c r="C2018" s="149" t="s">
        <v>10534</v>
      </c>
      <c r="D2018" s="149" t="s">
        <v>7684</v>
      </c>
      <c r="E2018" s="149" t="s">
        <v>10237</v>
      </c>
      <c r="F2018" s="149" t="s">
        <v>10494</v>
      </c>
      <c r="G2018" s="149"/>
      <c r="H2018" s="149"/>
      <c r="I2018" s="149"/>
      <c r="J2018" s="149"/>
      <c r="K2018" s="149"/>
      <c r="L2018" s="149"/>
      <c r="M2018" s="149"/>
    </row>
    <row r="2019" spans="1:13">
      <c r="A2019" s="699">
        <v>45385</v>
      </c>
      <c r="B2019" s="149" t="s">
        <v>11002</v>
      </c>
      <c r="C2019" s="149" t="s">
        <v>10534</v>
      </c>
      <c r="D2019" s="149" t="s">
        <v>7684</v>
      </c>
      <c r="E2019" s="149" t="s">
        <v>9999</v>
      </c>
      <c r="F2019" s="149" t="s">
        <v>10494</v>
      </c>
      <c r="G2019" s="149"/>
      <c r="H2019" s="149"/>
      <c r="I2019" s="149"/>
      <c r="J2019" s="149"/>
      <c r="K2019" s="149"/>
      <c r="L2019" s="149"/>
      <c r="M2019" s="149"/>
    </row>
    <row r="2020" spans="1:13">
      <c r="A2020" s="699">
        <v>45386</v>
      </c>
      <c r="B2020" s="149" t="s">
        <v>6986</v>
      </c>
      <c r="C2020" s="149" t="s">
        <v>10534</v>
      </c>
      <c r="D2020" s="149" t="s">
        <v>7684</v>
      </c>
      <c r="E2020" s="149" t="s">
        <v>10233</v>
      </c>
      <c r="F2020" s="149" t="s">
        <v>10494</v>
      </c>
      <c r="G2020" s="149"/>
      <c r="H2020" s="149"/>
      <c r="I2020" s="149"/>
      <c r="J2020" s="149"/>
      <c r="K2020" s="149"/>
      <c r="L2020" s="149"/>
      <c r="M2020" s="149"/>
    </row>
    <row r="2021" spans="1:13">
      <c r="A2021" s="699">
        <v>45416</v>
      </c>
      <c r="B2021" s="149" t="s">
        <v>3420</v>
      </c>
      <c r="C2021" s="149" t="s">
        <v>10534</v>
      </c>
      <c r="D2021" s="149" t="s">
        <v>7684</v>
      </c>
      <c r="E2021" s="149" t="s">
        <v>10233</v>
      </c>
      <c r="F2021" s="149" t="s">
        <v>10494</v>
      </c>
      <c r="G2021" s="149"/>
      <c r="H2021" s="149"/>
      <c r="I2021" s="149"/>
      <c r="J2021" s="149"/>
      <c r="K2021" s="149"/>
      <c r="L2021" s="149"/>
      <c r="M2021" s="149"/>
    </row>
    <row r="2022" spans="1:13">
      <c r="A2022" s="700">
        <v>45387</v>
      </c>
      <c r="B2022" s="694" t="s">
        <v>6988</v>
      </c>
      <c r="C2022" s="694" t="s">
        <v>10534</v>
      </c>
      <c r="D2022" s="694" t="s">
        <v>7684</v>
      </c>
      <c r="E2022" s="694" t="s">
        <v>10233</v>
      </c>
      <c r="F2022" s="694" t="s">
        <v>11003</v>
      </c>
      <c r="G2022" s="149"/>
      <c r="H2022" s="149"/>
      <c r="I2022" s="149"/>
      <c r="J2022" s="149"/>
      <c r="K2022" s="149"/>
      <c r="L2022" s="149"/>
      <c r="M2022" s="149"/>
    </row>
    <row r="2023" spans="1:13">
      <c r="A2023" s="699">
        <v>45390</v>
      </c>
      <c r="B2023" s="149" t="s">
        <v>11004</v>
      </c>
      <c r="C2023" s="149" t="s">
        <v>10534</v>
      </c>
      <c r="D2023" s="149" t="s">
        <v>7684</v>
      </c>
      <c r="E2023" s="149" t="s">
        <v>10877</v>
      </c>
      <c r="F2023" s="149" t="s">
        <v>10494</v>
      </c>
      <c r="G2023" s="149"/>
      <c r="H2023" s="149"/>
      <c r="I2023" s="149"/>
      <c r="J2023" s="149"/>
      <c r="K2023" s="149"/>
      <c r="L2023" s="149"/>
      <c r="M2023" s="149"/>
    </row>
    <row r="2024" spans="1:13">
      <c r="A2024" s="699">
        <v>45390</v>
      </c>
      <c r="B2024" s="149" t="s">
        <v>6996</v>
      </c>
      <c r="C2024" s="149" t="s">
        <v>10534</v>
      </c>
      <c r="D2024" s="149" t="s">
        <v>7684</v>
      </c>
      <c r="E2024" s="149" t="s">
        <v>10877</v>
      </c>
      <c r="F2024" s="149" t="s">
        <v>10494</v>
      </c>
      <c r="G2024" s="149"/>
      <c r="H2024" s="149"/>
      <c r="I2024" s="149"/>
      <c r="J2024" s="149"/>
      <c r="K2024" s="149"/>
      <c r="L2024" s="149"/>
      <c r="M2024" s="149"/>
    </row>
    <row r="2025" spans="1:13">
      <c r="A2025" s="699">
        <v>45391</v>
      </c>
      <c r="B2025" s="149" t="s">
        <v>11005</v>
      </c>
      <c r="C2025" s="149" t="s">
        <v>10534</v>
      </c>
      <c r="D2025" s="149" t="s">
        <v>7684</v>
      </c>
      <c r="E2025" s="149" t="s">
        <v>10899</v>
      </c>
      <c r="F2025" s="149" t="s">
        <v>10494</v>
      </c>
      <c r="G2025" s="149"/>
      <c r="H2025" s="149"/>
      <c r="I2025" s="149"/>
      <c r="J2025" s="149"/>
      <c r="K2025" s="149"/>
      <c r="L2025" s="149"/>
      <c r="M2025" s="149"/>
    </row>
    <row r="2026" spans="1:13">
      <c r="A2026" s="699">
        <v>45392</v>
      </c>
      <c r="B2026" s="149" t="s">
        <v>11006</v>
      </c>
      <c r="C2026" s="149" t="s">
        <v>10534</v>
      </c>
      <c r="D2026" s="149" t="s">
        <v>7684</v>
      </c>
      <c r="E2026" s="149" t="s">
        <v>10237</v>
      </c>
      <c r="F2026" s="149" t="s">
        <v>10494</v>
      </c>
      <c r="G2026" s="149"/>
      <c r="H2026" s="149"/>
      <c r="I2026" s="149"/>
      <c r="J2026" s="149"/>
      <c r="K2026" s="149"/>
      <c r="L2026" s="149"/>
      <c r="M2026" s="149"/>
    </row>
    <row r="2027" spans="1:13">
      <c r="A2027" s="699">
        <v>45393</v>
      </c>
      <c r="B2027" s="149" t="s">
        <v>7006</v>
      </c>
      <c r="C2027" s="149" t="s">
        <v>8929</v>
      </c>
      <c r="D2027" s="149" t="s">
        <v>7684</v>
      </c>
      <c r="E2027" s="149" t="s">
        <v>10237</v>
      </c>
      <c r="F2027" s="149" t="s">
        <v>10494</v>
      </c>
      <c r="G2027" s="149"/>
      <c r="H2027" s="149"/>
      <c r="I2027" s="149"/>
      <c r="J2027" s="149"/>
      <c r="K2027" s="149"/>
      <c r="L2027" s="149"/>
      <c r="M2027" s="149"/>
    </row>
    <row r="2028" spans="1:13">
      <c r="A2028" s="699">
        <v>45394</v>
      </c>
      <c r="B2028" s="149" t="s">
        <v>11007</v>
      </c>
      <c r="C2028" s="149" t="s">
        <v>10534</v>
      </c>
      <c r="D2028" s="149" t="s">
        <v>7684</v>
      </c>
      <c r="E2028" s="149" t="s">
        <v>10237</v>
      </c>
      <c r="F2028" s="149" t="s">
        <v>10494</v>
      </c>
      <c r="G2028" s="149"/>
      <c r="H2028" s="149"/>
      <c r="I2028" s="149"/>
      <c r="J2028" s="149"/>
      <c r="K2028" s="149"/>
      <c r="L2028" s="149"/>
      <c r="M2028" s="149"/>
    </row>
    <row r="2029" spans="1:13">
      <c r="A2029" s="699">
        <v>45395</v>
      </c>
      <c r="B2029" s="149" t="s">
        <v>7012</v>
      </c>
      <c r="C2029" s="149" t="s">
        <v>10534</v>
      </c>
      <c r="D2029" s="149" t="s">
        <v>7684</v>
      </c>
      <c r="E2029" s="149" t="s">
        <v>10944</v>
      </c>
      <c r="F2029" s="149" t="s">
        <v>10785</v>
      </c>
      <c r="G2029" s="149"/>
      <c r="H2029" s="149"/>
      <c r="I2029" s="149"/>
      <c r="J2029" s="149"/>
      <c r="K2029" s="149"/>
      <c r="L2029" s="149"/>
      <c r="M2029" s="149"/>
    </row>
    <row r="2030" spans="1:13">
      <c r="A2030" s="699">
        <v>45398</v>
      </c>
      <c r="B2030" s="149" t="s">
        <v>7020</v>
      </c>
      <c r="C2030" s="149" t="s">
        <v>10534</v>
      </c>
      <c r="D2030" s="149" t="s">
        <v>7684</v>
      </c>
      <c r="E2030" s="149" t="s">
        <v>10944</v>
      </c>
      <c r="F2030" s="149" t="s">
        <v>10494</v>
      </c>
      <c r="G2030" s="149"/>
      <c r="H2030" s="149"/>
      <c r="I2030" s="149"/>
      <c r="J2030" s="149"/>
      <c r="K2030" s="149"/>
      <c r="L2030" s="149"/>
      <c r="M2030" s="149"/>
    </row>
    <row r="2031" spans="1:13">
      <c r="A2031" s="698" t="s">
        <v>11008</v>
      </c>
      <c r="B2031" s="149" t="s">
        <v>7022</v>
      </c>
      <c r="C2031" s="149" t="s">
        <v>10534</v>
      </c>
      <c r="D2031" s="149" t="s">
        <v>7684</v>
      </c>
      <c r="E2031" s="149" t="s">
        <v>10916</v>
      </c>
      <c r="F2031" s="149" t="s">
        <v>10494</v>
      </c>
      <c r="G2031" s="149"/>
      <c r="H2031" s="149"/>
      <c r="I2031" s="149"/>
      <c r="J2031" s="149"/>
      <c r="K2031" s="149"/>
      <c r="L2031" s="149"/>
      <c r="M2031" s="149"/>
    </row>
    <row r="2032" spans="1:13">
      <c r="A2032" s="702">
        <v>45404</v>
      </c>
      <c r="B2032" s="631" t="s">
        <v>7026</v>
      </c>
      <c r="C2032" s="631" t="s">
        <v>10534</v>
      </c>
      <c r="D2032" s="631" t="s">
        <v>7684</v>
      </c>
      <c r="E2032" s="631" t="s">
        <v>10944</v>
      </c>
      <c r="F2032" s="631" t="s">
        <v>11009</v>
      </c>
      <c r="G2032" s="149"/>
      <c r="H2032" s="149"/>
      <c r="I2032" s="149"/>
      <c r="J2032" s="149"/>
      <c r="K2032" s="149"/>
      <c r="L2032" s="149"/>
      <c r="M2032" s="149"/>
    </row>
    <row r="2033" spans="1:13">
      <c r="A2033" s="699">
        <v>45405</v>
      </c>
      <c r="B2033" s="149" t="s">
        <v>7030</v>
      </c>
      <c r="C2033" s="149" t="s">
        <v>10534</v>
      </c>
      <c r="D2033" s="149" t="s">
        <v>7684</v>
      </c>
      <c r="E2033" s="149" t="s">
        <v>10877</v>
      </c>
      <c r="F2033" s="149" t="s">
        <v>10494</v>
      </c>
      <c r="G2033" s="149"/>
      <c r="H2033" s="149"/>
      <c r="I2033" s="149"/>
      <c r="J2033" s="149"/>
      <c r="K2033" s="149"/>
      <c r="L2033" s="149"/>
      <c r="M2033" s="149"/>
    </row>
    <row r="2034" spans="1:13">
      <c r="A2034" s="699">
        <v>45407</v>
      </c>
      <c r="B2034" s="149" t="s">
        <v>7036</v>
      </c>
      <c r="C2034" s="149" t="s">
        <v>10534</v>
      </c>
      <c r="D2034" s="149" t="s">
        <v>7684</v>
      </c>
      <c r="E2034" s="149" t="s">
        <v>10237</v>
      </c>
      <c r="F2034" s="149" t="s">
        <v>10494</v>
      </c>
      <c r="G2034" s="149"/>
      <c r="H2034" s="149"/>
      <c r="I2034" s="149"/>
      <c r="J2034" s="149"/>
      <c r="K2034" s="149"/>
      <c r="L2034" s="149"/>
      <c r="M2034" s="149"/>
    </row>
    <row r="2035" spans="1:13">
      <c r="A2035" s="699">
        <v>45407</v>
      </c>
      <c r="B2035" s="149" t="s">
        <v>5683</v>
      </c>
      <c r="C2035" s="149" t="s">
        <v>10534</v>
      </c>
      <c r="D2035" s="149" t="s">
        <v>7684</v>
      </c>
      <c r="E2035" s="149" t="s">
        <v>10233</v>
      </c>
      <c r="F2035" s="149" t="s">
        <v>10981</v>
      </c>
      <c r="G2035" s="149"/>
      <c r="H2035" s="149"/>
      <c r="I2035" s="149"/>
      <c r="J2035" s="149"/>
      <c r="K2035" s="149"/>
      <c r="L2035" s="149"/>
      <c r="M2035" s="149"/>
    </row>
    <row r="2036" spans="1:13">
      <c r="A2036" s="699">
        <v>45407</v>
      </c>
      <c r="B2036" s="149" t="s">
        <v>7042</v>
      </c>
      <c r="C2036" s="149" t="s">
        <v>10534</v>
      </c>
      <c r="D2036" s="149" t="s">
        <v>7684</v>
      </c>
      <c r="E2036" s="149" t="s">
        <v>10316</v>
      </c>
      <c r="F2036" s="149" t="s">
        <v>10494</v>
      </c>
      <c r="G2036" s="149"/>
      <c r="H2036" s="149"/>
      <c r="I2036" s="149"/>
      <c r="J2036" s="149"/>
      <c r="K2036" s="149"/>
      <c r="L2036" s="149"/>
      <c r="M2036" s="149"/>
    </row>
    <row r="2037" spans="1:13">
      <c r="A2037" s="699">
        <v>45407</v>
      </c>
      <c r="B2037" s="149" t="s">
        <v>7038</v>
      </c>
      <c r="C2037" s="149" t="s">
        <v>10534</v>
      </c>
      <c r="D2037" s="149" t="s">
        <v>7684</v>
      </c>
      <c r="E2037" s="149" t="s">
        <v>11010</v>
      </c>
      <c r="F2037" s="149" t="s">
        <v>10494</v>
      </c>
      <c r="G2037" s="149"/>
      <c r="H2037" s="149"/>
      <c r="I2037" s="149"/>
      <c r="J2037" s="149"/>
      <c r="K2037" s="149"/>
      <c r="L2037" s="149"/>
      <c r="M2037" s="149"/>
    </row>
    <row r="2038" spans="1:13">
      <c r="A2038" s="704">
        <v>45407</v>
      </c>
      <c r="B2038" s="705" t="s">
        <v>11011</v>
      </c>
      <c r="C2038" s="705" t="s">
        <v>10534</v>
      </c>
      <c r="D2038" s="705" t="s">
        <v>11012</v>
      </c>
      <c r="E2038" s="705" t="s">
        <v>10935</v>
      </c>
      <c r="F2038" s="705" t="s">
        <v>11013</v>
      </c>
      <c r="G2038" s="149"/>
      <c r="H2038" s="149"/>
      <c r="I2038" s="149"/>
      <c r="J2038" s="149"/>
      <c r="K2038" s="149"/>
      <c r="L2038" s="149"/>
      <c r="M2038" s="149"/>
    </row>
    <row r="2039" spans="1:13">
      <c r="A2039" s="699">
        <v>45408</v>
      </c>
      <c r="B2039" s="149" t="s">
        <v>4957</v>
      </c>
      <c r="C2039" s="149" t="s">
        <v>10534</v>
      </c>
      <c r="D2039" s="149" t="s">
        <v>11012</v>
      </c>
      <c r="E2039" s="149" t="s">
        <v>10935</v>
      </c>
      <c r="F2039" s="149" t="s">
        <v>11014</v>
      </c>
      <c r="G2039" s="149"/>
      <c r="H2039" s="149"/>
      <c r="I2039" s="149"/>
      <c r="J2039" s="149"/>
      <c r="K2039" s="149"/>
      <c r="L2039" s="149"/>
      <c r="M2039" s="149"/>
    </row>
    <row r="2040" spans="1:13">
      <c r="A2040" s="699">
        <v>45411</v>
      </c>
      <c r="B2040" s="149" t="s">
        <v>11015</v>
      </c>
      <c r="C2040" s="149" t="s">
        <v>10534</v>
      </c>
      <c r="D2040" s="149" t="s">
        <v>11012</v>
      </c>
      <c r="E2040" s="149" t="s">
        <v>10244</v>
      </c>
      <c r="F2040" s="149" t="s">
        <v>10494</v>
      </c>
      <c r="G2040" s="149"/>
      <c r="H2040" s="149"/>
      <c r="I2040" s="149"/>
      <c r="J2040" s="149"/>
      <c r="K2040" s="149"/>
      <c r="L2040" s="149"/>
      <c r="M2040" s="149"/>
    </row>
    <row r="2041" spans="1:13">
      <c r="A2041" s="699">
        <v>45411</v>
      </c>
      <c r="B2041" s="149" t="s">
        <v>7049</v>
      </c>
      <c r="C2041" s="149" t="s">
        <v>10534</v>
      </c>
      <c r="D2041" s="149" t="s">
        <v>7684</v>
      </c>
      <c r="E2041" s="149" t="s">
        <v>10877</v>
      </c>
      <c r="F2041" s="149" t="s">
        <v>10494</v>
      </c>
      <c r="G2041" s="149"/>
      <c r="H2041" s="149"/>
      <c r="I2041" s="149"/>
      <c r="J2041" s="149"/>
      <c r="K2041" s="149"/>
      <c r="L2041" s="149"/>
      <c r="M2041" s="149"/>
    </row>
    <row r="2042" spans="1:13">
      <c r="A2042" s="704">
        <v>45411</v>
      </c>
      <c r="B2042" s="705" t="s">
        <v>11016</v>
      </c>
      <c r="C2042" s="705" t="s">
        <v>10534</v>
      </c>
      <c r="D2042" s="705" t="s">
        <v>7684</v>
      </c>
      <c r="E2042" s="705" t="s">
        <v>10877</v>
      </c>
      <c r="F2042" s="705" t="s">
        <v>11013</v>
      </c>
      <c r="G2042" s="149"/>
      <c r="H2042" s="149"/>
      <c r="I2042" s="149"/>
      <c r="J2042" s="149"/>
      <c r="K2042" s="149"/>
      <c r="L2042" s="149"/>
      <c r="M2042" s="149"/>
    </row>
    <row r="2043" spans="1:13">
      <c r="A2043" s="699">
        <v>45412</v>
      </c>
      <c r="B2043" s="149" t="s">
        <v>7051</v>
      </c>
      <c r="C2043" s="149" t="s">
        <v>10534</v>
      </c>
      <c r="D2043" s="149" t="s">
        <v>7684</v>
      </c>
      <c r="E2043" s="149" t="s">
        <v>10237</v>
      </c>
      <c r="F2043" s="149" t="s">
        <v>10494</v>
      </c>
      <c r="G2043" s="149"/>
      <c r="H2043" s="149"/>
      <c r="I2043" s="149"/>
      <c r="J2043" s="149"/>
      <c r="K2043" s="149"/>
      <c r="L2043" s="149"/>
      <c r="M2043" s="149"/>
    </row>
    <row r="2044" spans="1:13">
      <c r="A2044" s="699">
        <v>45412</v>
      </c>
      <c r="B2044" s="149" t="s">
        <v>7051</v>
      </c>
      <c r="C2044" s="149" t="s">
        <v>10534</v>
      </c>
      <c r="D2044" s="149" t="s">
        <v>7684</v>
      </c>
      <c r="E2044" s="149" t="s">
        <v>10237</v>
      </c>
      <c r="F2044" s="149" t="s">
        <v>10494</v>
      </c>
      <c r="G2044" s="149"/>
      <c r="H2044" s="149"/>
      <c r="I2044" s="149"/>
      <c r="J2044" s="149"/>
      <c r="K2044" s="149"/>
      <c r="L2044" s="149"/>
      <c r="M2044" s="149"/>
    </row>
    <row r="2045" spans="1:13">
      <c r="A2045" s="699">
        <v>45412</v>
      </c>
      <c r="B2045" s="149" t="s">
        <v>11017</v>
      </c>
      <c r="C2045" s="149" t="s">
        <v>10534</v>
      </c>
      <c r="D2045" s="149" t="s">
        <v>7684</v>
      </c>
      <c r="E2045" s="149" t="s">
        <v>10877</v>
      </c>
      <c r="F2045" s="149" t="s">
        <v>10494</v>
      </c>
      <c r="G2045" s="149"/>
      <c r="H2045" s="149"/>
      <c r="I2045" s="149"/>
      <c r="J2045" s="149"/>
      <c r="K2045" s="149"/>
      <c r="L2045" s="149"/>
      <c r="M2045" s="149"/>
    </row>
    <row r="2046" spans="1:13">
      <c r="A2046" s="807">
        <v>45413</v>
      </c>
      <c r="B2046" s="808"/>
      <c r="C2046" s="808"/>
      <c r="D2046" s="808"/>
      <c r="E2046" s="808"/>
      <c r="F2046" s="809"/>
      <c r="G2046" s="149"/>
      <c r="H2046" s="149"/>
      <c r="I2046" s="149"/>
      <c r="J2046" s="149"/>
      <c r="K2046" s="149"/>
      <c r="L2046" s="149"/>
      <c r="M2046" s="149"/>
    </row>
    <row r="2047" spans="1:13">
      <c r="A2047" s="699">
        <v>45414</v>
      </c>
      <c r="B2047" s="149" t="s">
        <v>11018</v>
      </c>
      <c r="C2047" s="149" t="s">
        <v>10534</v>
      </c>
      <c r="D2047" s="149" t="s">
        <v>2715</v>
      </c>
      <c r="E2047" s="149" t="s">
        <v>10916</v>
      </c>
      <c r="F2047" s="149" t="s">
        <v>10494</v>
      </c>
      <c r="G2047" s="149"/>
      <c r="H2047" s="149"/>
      <c r="I2047" s="149"/>
      <c r="J2047" s="149"/>
      <c r="K2047" s="149"/>
      <c r="L2047" s="149"/>
      <c r="M2047" s="149"/>
    </row>
    <row r="2048" spans="1:13">
      <c r="A2048" s="707">
        <v>45414</v>
      </c>
      <c r="B2048" s="708" t="s">
        <v>7370</v>
      </c>
      <c r="C2048" s="708" t="s">
        <v>10534</v>
      </c>
      <c r="D2048" s="708" t="s">
        <v>2715</v>
      </c>
      <c r="E2048" s="708" t="s">
        <v>10233</v>
      </c>
      <c r="F2048" s="708" t="s">
        <v>11019</v>
      </c>
      <c r="G2048" s="149"/>
      <c r="H2048" s="149"/>
      <c r="I2048" s="149"/>
      <c r="J2048" s="149"/>
      <c r="K2048" s="149"/>
      <c r="L2048" s="149"/>
      <c r="M2048" s="149"/>
    </row>
    <row r="2049" spans="1:13">
      <c r="A2049" s="699">
        <v>45415</v>
      </c>
      <c r="B2049" s="149" t="s">
        <v>11020</v>
      </c>
      <c r="C2049" s="149" t="s">
        <v>10534</v>
      </c>
      <c r="D2049" s="149" t="s">
        <v>2715</v>
      </c>
      <c r="E2049" s="149" t="s">
        <v>10244</v>
      </c>
      <c r="F2049" s="149" t="s">
        <v>10494</v>
      </c>
      <c r="G2049" s="149"/>
      <c r="H2049" s="149"/>
      <c r="I2049" s="149"/>
      <c r="J2049" s="149"/>
      <c r="K2049" s="149"/>
      <c r="L2049" s="149"/>
      <c r="M2049" s="149"/>
    </row>
    <row r="2050" spans="1:13">
      <c r="A2050" s="699">
        <v>45415</v>
      </c>
      <c r="B2050" s="149" t="s">
        <v>11021</v>
      </c>
      <c r="C2050" s="149" t="s">
        <v>10534</v>
      </c>
      <c r="D2050" s="149" t="s">
        <v>2715</v>
      </c>
      <c r="E2050" s="149" t="s">
        <v>11022</v>
      </c>
      <c r="F2050" s="149" t="s">
        <v>10494</v>
      </c>
      <c r="G2050" s="149"/>
      <c r="H2050" s="149"/>
      <c r="I2050" s="149"/>
      <c r="J2050" s="149"/>
      <c r="K2050" s="149"/>
      <c r="L2050" s="149"/>
      <c r="M2050" s="149"/>
    </row>
    <row r="2051" spans="1:13">
      <c r="A2051" s="699">
        <v>45416</v>
      </c>
      <c r="B2051" s="149" t="s">
        <v>11023</v>
      </c>
      <c r="C2051" s="149" t="s">
        <v>10534</v>
      </c>
      <c r="D2051" s="149" t="s">
        <v>2715</v>
      </c>
      <c r="E2051" s="149"/>
      <c r="F2051" s="149" t="s">
        <v>10494</v>
      </c>
      <c r="G2051" s="149"/>
      <c r="H2051" s="149"/>
      <c r="I2051" s="149"/>
      <c r="J2051" s="149"/>
      <c r="K2051" s="149"/>
      <c r="L2051" s="149"/>
      <c r="M2051" s="149"/>
    </row>
    <row r="2052" spans="1:13">
      <c r="A2052" s="699">
        <v>45418</v>
      </c>
      <c r="B2052" t="s">
        <v>7063</v>
      </c>
      <c r="C2052" s="149" t="s">
        <v>10534</v>
      </c>
      <c r="D2052" s="149" t="s">
        <v>2715</v>
      </c>
      <c r="E2052" s="149" t="s">
        <v>10899</v>
      </c>
      <c r="F2052" s="149" t="s">
        <v>10494</v>
      </c>
      <c r="G2052" s="149"/>
      <c r="H2052" s="149"/>
      <c r="I2052" s="149"/>
      <c r="J2052" s="149"/>
      <c r="K2052" s="149"/>
      <c r="L2052" s="149"/>
      <c r="M2052" s="149"/>
    </row>
    <row r="2053" spans="1:13">
      <c r="A2053" s="699">
        <v>45419</v>
      </c>
      <c r="B2053" s="149" t="s">
        <v>3273</v>
      </c>
      <c r="C2053" s="149" t="s">
        <v>10534</v>
      </c>
      <c r="D2053" s="149" t="s">
        <v>2715</v>
      </c>
      <c r="E2053" s="149" t="s">
        <v>10026</v>
      </c>
      <c r="F2053" s="149" t="s">
        <v>10839</v>
      </c>
      <c r="G2053" s="149"/>
      <c r="H2053" s="149"/>
      <c r="I2053" s="149"/>
      <c r="J2053" s="149"/>
      <c r="K2053" s="149"/>
      <c r="L2053" s="149"/>
      <c r="M2053" s="149"/>
    </row>
    <row r="2054" spans="1:13">
      <c r="A2054" s="699">
        <v>45419</v>
      </c>
      <c r="B2054" s="149" t="s">
        <v>7065</v>
      </c>
      <c r="C2054" s="149" t="s">
        <v>10534</v>
      </c>
      <c r="D2054" s="149" t="s">
        <v>2715</v>
      </c>
      <c r="E2054" s="149" t="s">
        <v>10237</v>
      </c>
      <c r="F2054" s="149" t="s">
        <v>10494</v>
      </c>
      <c r="G2054" s="149"/>
      <c r="H2054" s="149"/>
      <c r="I2054" s="149"/>
      <c r="J2054" s="149"/>
      <c r="K2054" s="149"/>
      <c r="L2054" s="149"/>
      <c r="M2054" s="149"/>
    </row>
    <row r="2055" spans="1:13">
      <c r="A2055" s="710">
        <v>45420</v>
      </c>
      <c r="B2055" s="461" t="s">
        <v>7069</v>
      </c>
      <c r="C2055" s="461" t="s">
        <v>10534</v>
      </c>
      <c r="D2055" s="461" t="s">
        <v>2715</v>
      </c>
      <c r="E2055" s="461" t="s">
        <v>10899</v>
      </c>
      <c r="F2055" s="461" t="s">
        <v>11009</v>
      </c>
      <c r="G2055" s="149"/>
      <c r="H2055" s="149"/>
      <c r="I2055" s="149"/>
      <c r="J2055" s="149"/>
      <c r="K2055" s="149"/>
      <c r="L2055" s="149"/>
      <c r="M2055" s="149"/>
    </row>
    <row r="2056" spans="1:13">
      <c r="A2056" s="699">
        <v>45420</v>
      </c>
      <c r="B2056" s="149" t="s">
        <v>7071</v>
      </c>
      <c r="C2056" s="149" t="s">
        <v>10534</v>
      </c>
      <c r="D2056" s="149" t="s">
        <v>2715</v>
      </c>
      <c r="E2056" s="149" t="s">
        <v>10899</v>
      </c>
      <c r="F2056" s="149" t="s">
        <v>10494</v>
      </c>
      <c r="G2056" s="149"/>
      <c r="H2056" s="149"/>
      <c r="I2056" s="149"/>
      <c r="J2056" s="149"/>
      <c r="K2056" s="149"/>
      <c r="L2056" s="149"/>
      <c r="M2056" s="149"/>
    </row>
    <row r="2057" spans="1:13">
      <c r="A2057" s="710">
        <v>45421</v>
      </c>
      <c r="B2057" s="461" t="s">
        <v>7076</v>
      </c>
      <c r="C2057" s="461" t="s">
        <v>10534</v>
      </c>
      <c r="D2057" s="461" t="s">
        <v>2715</v>
      </c>
      <c r="E2057" s="461" t="s">
        <v>10916</v>
      </c>
      <c r="F2057" s="461" t="s">
        <v>11009</v>
      </c>
      <c r="G2057" s="149"/>
      <c r="H2057" s="149"/>
      <c r="I2057" s="149"/>
      <c r="J2057" s="149"/>
      <c r="K2057" s="149"/>
      <c r="L2057" s="149"/>
      <c r="M2057" s="149"/>
    </row>
    <row r="2058" spans="1:13">
      <c r="A2058" s="551">
        <v>45421</v>
      </c>
      <c r="B2058" s="461" t="s">
        <v>11024</v>
      </c>
      <c r="C2058" s="461" t="s">
        <v>10534</v>
      </c>
      <c r="D2058" s="461" t="s">
        <v>2715</v>
      </c>
      <c r="E2058" s="461" t="s">
        <v>10935</v>
      </c>
      <c r="F2058" s="461" t="s">
        <v>11009</v>
      </c>
      <c r="G2058" s="149"/>
      <c r="H2058" s="149"/>
      <c r="I2058" s="149"/>
      <c r="J2058" s="149"/>
      <c r="K2058" s="149"/>
      <c r="L2058" s="149"/>
      <c r="M2058" s="149"/>
    </row>
    <row r="2059" spans="1:13" ht="18">
      <c r="A2059" s="503">
        <v>45421</v>
      </c>
      <c r="B2059" s="573" t="s">
        <v>7082</v>
      </c>
      <c r="C2059" s="149" t="s">
        <v>10534</v>
      </c>
      <c r="D2059" s="149" t="s">
        <v>2715</v>
      </c>
      <c r="E2059" s="149" t="s">
        <v>10233</v>
      </c>
      <c r="F2059" s="149" t="s">
        <v>10605</v>
      </c>
      <c r="G2059" s="149"/>
      <c r="H2059" s="149"/>
      <c r="I2059" s="149"/>
      <c r="J2059" s="149"/>
      <c r="K2059" s="149"/>
      <c r="L2059" s="149"/>
      <c r="M2059" s="149"/>
    </row>
    <row r="2060" spans="1:13">
      <c r="A2060" s="503">
        <v>45422</v>
      </c>
      <c r="B2060" s="149" t="s">
        <v>11025</v>
      </c>
      <c r="C2060" s="149" t="s">
        <v>10534</v>
      </c>
      <c r="D2060" s="149" t="s">
        <v>2715</v>
      </c>
      <c r="E2060" s="149" t="s">
        <v>11026</v>
      </c>
      <c r="F2060" s="149" t="s">
        <v>10494</v>
      </c>
      <c r="G2060" s="149"/>
      <c r="H2060" s="149"/>
      <c r="I2060" s="149"/>
      <c r="J2060" s="149"/>
      <c r="K2060" s="149"/>
      <c r="L2060" s="149"/>
      <c r="M2060" s="149"/>
    </row>
    <row r="2061" spans="1:13">
      <c r="A2061" s="503">
        <v>45422</v>
      </c>
      <c r="B2061" s="149" t="s">
        <v>11027</v>
      </c>
      <c r="C2061" s="149" t="s">
        <v>10534</v>
      </c>
      <c r="D2061" s="149" t="s">
        <v>2715</v>
      </c>
      <c r="E2061" s="149" t="s">
        <v>10244</v>
      </c>
      <c r="F2061" s="149" t="s">
        <v>10981</v>
      </c>
      <c r="G2061" s="149"/>
      <c r="H2061" s="149"/>
      <c r="I2061" s="149"/>
      <c r="J2061" s="149"/>
      <c r="K2061" s="149"/>
      <c r="L2061" s="149"/>
      <c r="M2061" s="149"/>
    </row>
    <row r="2062" spans="1:13" ht="18">
      <c r="A2062" s="503">
        <v>45426</v>
      </c>
      <c r="B2062" s="573" t="s">
        <v>7094</v>
      </c>
      <c r="C2062" s="149" t="s">
        <v>10534</v>
      </c>
      <c r="D2062" s="149" t="s">
        <v>2715</v>
      </c>
      <c r="E2062" s="149" t="s">
        <v>10899</v>
      </c>
      <c r="F2062" s="149" t="s">
        <v>10494</v>
      </c>
      <c r="G2062" s="149"/>
      <c r="H2062" s="149"/>
      <c r="I2062" s="149"/>
      <c r="J2062" s="149"/>
      <c r="K2062" s="149"/>
      <c r="L2062" s="149"/>
      <c r="M2062" s="149"/>
    </row>
    <row r="2063" spans="1:13">
      <c r="A2063" s="503">
        <v>45427</v>
      </c>
      <c r="B2063" s="149" t="s">
        <v>7096</v>
      </c>
      <c r="C2063" s="149" t="s">
        <v>10534</v>
      </c>
      <c r="D2063" s="149" t="s">
        <v>2715</v>
      </c>
      <c r="E2063" s="149" t="s">
        <v>10935</v>
      </c>
      <c r="F2063" s="149" t="s">
        <v>10494</v>
      </c>
      <c r="G2063" s="149"/>
      <c r="H2063" s="149"/>
      <c r="I2063" s="149"/>
      <c r="J2063" s="149"/>
      <c r="K2063" s="149"/>
      <c r="L2063" s="149"/>
      <c r="M2063" s="149"/>
    </row>
    <row r="2064" spans="1:13">
      <c r="A2064" s="503">
        <v>45427</v>
      </c>
      <c r="B2064" s="149" t="s">
        <v>7098</v>
      </c>
      <c r="C2064" s="149" t="s">
        <v>10534</v>
      </c>
      <c r="D2064" s="149" t="s">
        <v>2715</v>
      </c>
      <c r="E2064" s="149" t="s">
        <v>10935</v>
      </c>
      <c r="F2064" s="149" t="s">
        <v>10494</v>
      </c>
      <c r="G2064" s="149"/>
      <c r="H2064" s="149"/>
      <c r="I2064" s="149"/>
      <c r="J2064" s="149"/>
      <c r="K2064" s="149"/>
      <c r="L2064" s="149"/>
      <c r="M2064" s="149"/>
    </row>
    <row r="2065" spans="1:13">
      <c r="A2065" s="503">
        <v>45429</v>
      </c>
      <c r="B2065" s="149" t="s">
        <v>11028</v>
      </c>
      <c r="C2065" s="149" t="s">
        <v>10534</v>
      </c>
      <c r="D2065" s="149" t="s">
        <v>2715</v>
      </c>
      <c r="E2065" s="149" t="s">
        <v>10935</v>
      </c>
      <c r="F2065" s="149" t="s">
        <v>10494</v>
      </c>
      <c r="G2065" s="149"/>
      <c r="H2065" s="149"/>
      <c r="I2065" s="149"/>
      <c r="J2065" s="149"/>
      <c r="K2065" s="149"/>
      <c r="L2065" s="149"/>
      <c r="M2065" s="149"/>
    </row>
    <row r="2066" spans="1:13">
      <c r="A2066" s="503">
        <v>45429</v>
      </c>
      <c r="B2066" s="149" t="s">
        <v>7100</v>
      </c>
      <c r="C2066" s="149" t="s">
        <v>10534</v>
      </c>
      <c r="D2066" s="149" t="s">
        <v>2715</v>
      </c>
      <c r="E2066" s="149" t="s">
        <v>10316</v>
      </c>
      <c r="F2066" s="149" t="s">
        <v>10494</v>
      </c>
      <c r="G2066" s="149"/>
      <c r="H2066" s="149"/>
      <c r="I2066" s="149"/>
      <c r="J2066" s="149"/>
      <c r="K2066" s="149"/>
      <c r="L2066" s="149"/>
      <c r="M2066" s="149"/>
    </row>
    <row r="2067" spans="1:13">
      <c r="A2067" s="503">
        <v>45433</v>
      </c>
      <c r="B2067" s="149" t="s">
        <v>6061</v>
      </c>
      <c r="C2067" s="149" t="s">
        <v>10534</v>
      </c>
      <c r="D2067" s="149" t="s">
        <v>2715</v>
      </c>
      <c r="E2067" s="149" t="s">
        <v>10899</v>
      </c>
      <c r="F2067" s="149" t="s">
        <v>10981</v>
      </c>
      <c r="G2067" s="149"/>
      <c r="H2067" s="149"/>
      <c r="I2067" s="149"/>
      <c r="J2067" s="149"/>
      <c r="K2067" s="149"/>
      <c r="L2067" s="149"/>
      <c r="M2067" s="149"/>
    </row>
    <row r="2068" spans="1:13">
      <c r="A2068" s="551">
        <v>45433</v>
      </c>
      <c r="B2068" s="461" t="s">
        <v>7104</v>
      </c>
      <c r="C2068" s="461" t="s">
        <v>10534</v>
      </c>
      <c r="D2068" s="461" t="s">
        <v>2715</v>
      </c>
      <c r="E2068" s="461" t="s">
        <v>10877</v>
      </c>
      <c r="F2068" s="461" t="s">
        <v>11029</v>
      </c>
      <c r="G2068" s="149"/>
      <c r="H2068" s="149"/>
      <c r="I2068" s="149"/>
      <c r="J2068" s="149"/>
      <c r="K2068" s="149"/>
      <c r="L2068" s="149"/>
      <c r="M2068" s="149"/>
    </row>
    <row r="2069" spans="1:13">
      <c r="A2069" s="551">
        <v>45433</v>
      </c>
      <c r="B2069" s="461" t="s">
        <v>3995</v>
      </c>
      <c r="C2069" s="461" t="s">
        <v>10534</v>
      </c>
      <c r="D2069" s="461" t="s">
        <v>2715</v>
      </c>
      <c r="E2069" s="461" t="s">
        <v>10877</v>
      </c>
      <c r="F2069" s="461" t="s">
        <v>11030</v>
      </c>
      <c r="G2069" s="149"/>
      <c r="H2069" s="149"/>
      <c r="I2069" s="149"/>
      <c r="J2069" s="149"/>
      <c r="K2069" s="149"/>
      <c r="L2069" s="149"/>
      <c r="M2069" s="149"/>
    </row>
    <row r="2070" spans="1:13">
      <c r="A2070" s="503">
        <v>45433</v>
      </c>
      <c r="B2070" s="149" t="s">
        <v>5668</v>
      </c>
      <c r="C2070" s="149" t="s">
        <v>10534</v>
      </c>
      <c r="D2070" s="149" t="s">
        <v>2715</v>
      </c>
      <c r="E2070" s="149" t="s">
        <v>10899</v>
      </c>
      <c r="F2070" s="149" t="s">
        <v>10291</v>
      </c>
      <c r="G2070" s="149"/>
      <c r="H2070" s="149"/>
      <c r="I2070" s="149"/>
      <c r="J2070" s="149"/>
      <c r="K2070" s="149"/>
      <c r="L2070" s="149"/>
      <c r="M2070" s="149"/>
    </row>
    <row r="2071" spans="1:13">
      <c r="A2071" s="503">
        <v>45434</v>
      </c>
      <c r="B2071" s="149" t="s">
        <v>6055</v>
      </c>
      <c r="C2071" s="149" t="s">
        <v>10534</v>
      </c>
      <c r="D2071" s="149" t="s">
        <v>2715</v>
      </c>
      <c r="E2071" s="149" t="s">
        <v>10899</v>
      </c>
      <c r="F2071" s="149" t="s">
        <v>10981</v>
      </c>
      <c r="G2071" s="149"/>
      <c r="H2071" s="149"/>
      <c r="I2071" s="149"/>
      <c r="J2071" s="149"/>
      <c r="K2071" s="149"/>
      <c r="L2071" s="149"/>
      <c r="M2071" s="149"/>
    </row>
    <row r="2072" spans="1:13">
      <c r="A2072" s="503">
        <v>45434</v>
      </c>
      <c r="B2072" s="149" t="s">
        <v>11031</v>
      </c>
      <c r="C2072" s="149" t="s">
        <v>10534</v>
      </c>
      <c r="D2072" s="149" t="s">
        <v>2715</v>
      </c>
      <c r="E2072" s="149" t="s">
        <v>11032</v>
      </c>
      <c r="F2072" s="149" t="s">
        <v>10291</v>
      </c>
      <c r="G2072" s="149"/>
      <c r="H2072" s="149"/>
      <c r="I2072" s="149"/>
      <c r="J2072" s="149"/>
      <c r="K2072" s="149"/>
      <c r="L2072" s="149"/>
      <c r="M2072" s="149"/>
    </row>
    <row r="2073" spans="1:13">
      <c r="A2073" s="503">
        <v>45439</v>
      </c>
      <c r="B2073" s="149" t="s">
        <v>11033</v>
      </c>
      <c r="C2073" s="149" t="s">
        <v>10534</v>
      </c>
      <c r="D2073" s="149" t="s">
        <v>2715</v>
      </c>
      <c r="E2073" s="149" t="s">
        <v>10244</v>
      </c>
      <c r="F2073" s="149" t="s">
        <v>10494</v>
      </c>
      <c r="G2073" s="149"/>
      <c r="H2073" s="149"/>
      <c r="I2073" s="149"/>
      <c r="J2073" s="149"/>
      <c r="K2073" s="149"/>
      <c r="L2073" s="149"/>
      <c r="M2073" s="149"/>
    </row>
    <row r="2074" spans="1:13" ht="18">
      <c r="A2074" s="503">
        <v>45439</v>
      </c>
      <c r="B2074" s="573" t="s">
        <v>11034</v>
      </c>
      <c r="C2074" s="149" t="s">
        <v>10534</v>
      </c>
      <c r="D2074" s="149" t="s">
        <v>2715</v>
      </c>
      <c r="E2074" s="149" t="s">
        <v>10026</v>
      </c>
      <c r="F2074" s="149" t="s">
        <v>10494</v>
      </c>
      <c r="G2074" s="149"/>
      <c r="H2074" s="149"/>
      <c r="I2074" s="149"/>
      <c r="J2074" s="149"/>
      <c r="K2074" s="149"/>
      <c r="L2074" s="149"/>
      <c r="M2074" s="149"/>
    </row>
    <row r="2075" spans="1:13">
      <c r="A2075" s="551">
        <v>45439</v>
      </c>
      <c r="B2075" s="461" t="s">
        <v>7113</v>
      </c>
      <c r="C2075" s="461" t="s">
        <v>10534</v>
      </c>
      <c r="D2075" s="461" t="s">
        <v>2715</v>
      </c>
      <c r="E2075" s="461" t="s">
        <v>10899</v>
      </c>
      <c r="F2075" s="461" t="s">
        <v>11009</v>
      </c>
      <c r="G2075" s="149"/>
      <c r="H2075" s="149"/>
      <c r="I2075" s="149"/>
      <c r="J2075" s="149"/>
      <c r="K2075" s="149"/>
      <c r="L2075" s="149"/>
      <c r="M2075" s="149"/>
    </row>
    <row r="2076" spans="1:13">
      <c r="A2076" s="503">
        <v>45439</v>
      </c>
      <c r="B2076" s="149" t="s">
        <v>11035</v>
      </c>
      <c r="C2076" s="149" t="s">
        <v>10534</v>
      </c>
      <c r="D2076" s="149" t="s">
        <v>2715</v>
      </c>
      <c r="E2076" s="149" t="s">
        <v>11036</v>
      </c>
      <c r="F2076" s="149" t="s">
        <v>10494</v>
      </c>
      <c r="G2076" s="149"/>
      <c r="H2076" s="149"/>
      <c r="I2076" s="149"/>
      <c r="J2076" s="149"/>
      <c r="K2076" s="149"/>
      <c r="L2076" s="149"/>
      <c r="M2076" s="149"/>
    </row>
    <row r="2077" spans="1:13">
      <c r="A2077" s="503">
        <v>45439</v>
      </c>
      <c r="B2077" s="149" t="s">
        <v>11037</v>
      </c>
      <c r="C2077" s="149" t="s">
        <v>10534</v>
      </c>
      <c r="D2077" s="149" t="s">
        <v>2715</v>
      </c>
      <c r="E2077" s="149" t="s">
        <v>11036</v>
      </c>
      <c r="F2077" s="149" t="s">
        <v>10494</v>
      </c>
      <c r="G2077" s="149"/>
      <c r="H2077" s="149"/>
      <c r="I2077" s="149"/>
      <c r="J2077" s="149"/>
      <c r="K2077" s="149"/>
      <c r="L2077" s="149"/>
      <c r="M2077" s="149"/>
    </row>
    <row r="2078" spans="1:13">
      <c r="A2078" s="503">
        <v>45440</v>
      </c>
      <c r="B2078" s="149" t="s">
        <v>11038</v>
      </c>
      <c r="C2078" s="149" t="s">
        <v>10534</v>
      </c>
      <c r="D2078" s="149" t="s">
        <v>2715</v>
      </c>
      <c r="E2078" s="149" t="s">
        <v>10899</v>
      </c>
      <c r="F2078" s="149" t="s">
        <v>10494</v>
      </c>
      <c r="G2078" s="149"/>
      <c r="H2078" s="149"/>
      <c r="I2078" s="149"/>
      <c r="J2078" s="149"/>
      <c r="K2078" s="149"/>
      <c r="L2078" s="149"/>
      <c r="M2078" s="149"/>
    </row>
    <row r="2079" spans="1:13" ht="18">
      <c r="A2079" s="503">
        <v>45441</v>
      </c>
      <c r="B2079" s="573" t="s">
        <v>7121</v>
      </c>
      <c r="C2079" s="149" t="s">
        <v>10534</v>
      </c>
      <c r="D2079" s="149" t="s">
        <v>2715</v>
      </c>
      <c r="E2079" s="149" t="s">
        <v>10935</v>
      </c>
      <c r="F2079" s="149" t="s">
        <v>10494</v>
      </c>
      <c r="G2079" s="149"/>
      <c r="H2079" s="149"/>
      <c r="I2079" s="149"/>
      <c r="J2079" s="149"/>
      <c r="K2079" s="149"/>
      <c r="L2079" s="149"/>
      <c r="M2079" s="149"/>
    </row>
    <row r="2080" spans="1:13">
      <c r="A2080" s="715">
        <v>45443</v>
      </c>
      <c r="B2080" s="709" t="s">
        <v>11039</v>
      </c>
      <c r="C2080" s="709" t="s">
        <v>10534</v>
      </c>
      <c r="D2080" s="709" t="s">
        <v>2715</v>
      </c>
      <c r="E2080" s="709" t="s">
        <v>10289</v>
      </c>
      <c r="F2080" s="709" t="s">
        <v>10896</v>
      </c>
      <c r="G2080" s="149"/>
      <c r="H2080" s="149"/>
      <c r="I2080" s="149"/>
      <c r="J2080" s="149"/>
      <c r="K2080" s="149"/>
      <c r="L2080" s="149"/>
      <c r="M2080" s="149"/>
    </row>
    <row r="2081" spans="1:13">
      <c r="A2081" s="551">
        <v>45443</v>
      </c>
      <c r="B2081" s="461" t="s">
        <v>7127</v>
      </c>
      <c r="C2081" s="461" t="s">
        <v>10534</v>
      </c>
      <c r="D2081" s="461" t="s">
        <v>2715</v>
      </c>
      <c r="E2081" s="461" t="s">
        <v>10244</v>
      </c>
      <c r="F2081" s="461" t="s">
        <v>8919</v>
      </c>
      <c r="G2081" s="149"/>
      <c r="H2081" s="149"/>
      <c r="I2081" s="149"/>
      <c r="J2081" s="149"/>
      <c r="K2081" s="149"/>
      <c r="L2081" s="149"/>
      <c r="M2081" s="149"/>
    </row>
    <row r="2082" spans="1:13">
      <c r="A2082" s="503">
        <v>45443</v>
      </c>
      <c r="B2082" s="149" t="s">
        <v>7125</v>
      </c>
      <c r="C2082" s="149" t="s">
        <v>10534</v>
      </c>
      <c r="D2082" s="149" t="s">
        <v>2715</v>
      </c>
      <c r="E2082" s="149" t="s">
        <v>10289</v>
      </c>
      <c r="F2082" s="149" t="s">
        <v>10494</v>
      </c>
      <c r="G2082" s="149"/>
      <c r="H2082" s="149"/>
      <c r="I2082" s="149"/>
      <c r="J2082" s="149"/>
      <c r="K2082" s="149"/>
      <c r="L2082" s="149"/>
      <c r="M2082" s="149"/>
    </row>
    <row r="2083" spans="1:13">
      <c r="A2083" s="807">
        <v>45444</v>
      </c>
      <c r="B2083" s="808"/>
      <c r="C2083" s="808"/>
      <c r="D2083" s="808"/>
      <c r="E2083" s="808"/>
      <c r="F2083" s="809"/>
      <c r="G2083" s="149"/>
      <c r="H2083" s="149"/>
      <c r="I2083" s="149"/>
      <c r="J2083" s="149"/>
      <c r="K2083" s="149"/>
      <c r="L2083" s="149"/>
      <c r="M2083" s="149"/>
    </row>
    <row r="2084" spans="1:13">
      <c r="A2084" s="537">
        <v>45446</v>
      </c>
      <c r="B2084" s="717" t="s">
        <v>11040</v>
      </c>
      <c r="C2084" s="186" t="s">
        <v>10534</v>
      </c>
      <c r="D2084" s="186" t="s">
        <v>2738</v>
      </c>
      <c r="E2084" s="149" t="s">
        <v>10289</v>
      </c>
      <c r="F2084" s="149" t="s">
        <v>11041</v>
      </c>
      <c r="G2084" s="185"/>
      <c r="H2084" s="149"/>
      <c r="I2084" s="149"/>
      <c r="J2084" s="149"/>
      <c r="K2084" s="149"/>
      <c r="L2084" s="149"/>
      <c r="M2084" s="149"/>
    </row>
    <row r="2085" spans="1:13">
      <c r="A2085" s="478">
        <v>45446</v>
      </c>
      <c r="B2085" s="149" t="s">
        <v>7133</v>
      </c>
      <c r="C2085" s="186" t="s">
        <v>10534</v>
      </c>
      <c r="D2085" s="149" t="s">
        <v>2738</v>
      </c>
      <c r="E2085" s="149" t="s">
        <v>10244</v>
      </c>
      <c r="F2085" s="149" t="s">
        <v>10494</v>
      </c>
      <c r="G2085" s="185"/>
      <c r="H2085" s="149"/>
      <c r="I2085" s="149"/>
      <c r="J2085" s="149"/>
      <c r="K2085" s="149"/>
      <c r="L2085" s="149"/>
      <c r="M2085" s="149"/>
    </row>
    <row r="2086" spans="1:13">
      <c r="A2086" s="478">
        <v>45446</v>
      </c>
      <c r="B2086" s="295" t="s">
        <v>11042</v>
      </c>
      <c r="C2086" s="149" t="s">
        <v>10534</v>
      </c>
      <c r="D2086" s="185" t="s">
        <v>2738</v>
      </c>
      <c r="E2086" s="149" t="s">
        <v>11036</v>
      </c>
      <c r="F2086" s="149" t="s">
        <v>11041</v>
      </c>
      <c r="G2086" s="185"/>
      <c r="H2086" s="149"/>
      <c r="I2086" s="149"/>
      <c r="J2086" s="149"/>
      <c r="K2086" s="149"/>
      <c r="L2086" s="149"/>
      <c r="M2086" s="149"/>
    </row>
    <row r="2087" spans="1:13">
      <c r="A2087" s="503">
        <v>45446</v>
      </c>
      <c r="B2087" s="187" t="s">
        <v>7135</v>
      </c>
      <c r="C2087" s="149" t="s">
        <v>10534</v>
      </c>
      <c r="D2087" s="185" t="s">
        <v>2738</v>
      </c>
      <c r="E2087" s="149" t="s">
        <v>11036</v>
      </c>
      <c r="F2087" s="149" t="s">
        <v>10494</v>
      </c>
      <c r="G2087" s="149"/>
      <c r="H2087" s="149"/>
      <c r="I2087" s="149"/>
      <c r="J2087" s="149"/>
      <c r="K2087" s="149"/>
      <c r="L2087" s="149"/>
      <c r="M2087" s="149"/>
    </row>
    <row r="2088" spans="1:13">
      <c r="A2088" s="503">
        <v>45447</v>
      </c>
      <c r="B2088" s="149" t="s">
        <v>11043</v>
      </c>
      <c r="C2088" s="149" t="s">
        <v>10534</v>
      </c>
      <c r="D2088" s="149" t="s">
        <v>2738</v>
      </c>
      <c r="E2088" s="149" t="s">
        <v>11036</v>
      </c>
      <c r="F2088" s="149" t="s">
        <v>10494</v>
      </c>
      <c r="G2088" s="149"/>
      <c r="H2088" s="149"/>
      <c r="I2088" s="149"/>
      <c r="J2088" s="149"/>
      <c r="K2088" s="149"/>
      <c r="L2088" s="149"/>
      <c r="M2088" s="149"/>
    </row>
    <row r="2089" spans="1:13">
      <c r="A2089" s="503">
        <v>45447</v>
      </c>
      <c r="B2089" s="149" t="s">
        <v>4066</v>
      </c>
      <c r="C2089" s="149" t="s">
        <v>10534</v>
      </c>
      <c r="D2089" s="149" t="s">
        <v>2738</v>
      </c>
      <c r="E2089" s="149" t="s">
        <v>10899</v>
      </c>
      <c r="F2089" s="149" t="s">
        <v>10839</v>
      </c>
      <c r="G2089" s="149"/>
      <c r="H2089" s="149"/>
      <c r="I2089" s="149"/>
      <c r="J2089" s="149"/>
      <c r="K2089" s="149"/>
      <c r="L2089" s="149"/>
      <c r="M2089" s="149"/>
    </row>
    <row r="2090" spans="1:13" ht="18">
      <c r="A2090" s="503">
        <v>45447</v>
      </c>
      <c r="B2090" s="573" t="s">
        <v>11044</v>
      </c>
      <c r="C2090" s="149" t="s">
        <v>10534</v>
      </c>
      <c r="D2090" s="149" t="s">
        <v>2738</v>
      </c>
      <c r="E2090" s="149" t="s">
        <v>10899</v>
      </c>
      <c r="F2090" s="149" t="s">
        <v>10494</v>
      </c>
      <c r="G2090" s="149"/>
      <c r="H2090" s="149"/>
      <c r="I2090" s="149"/>
      <c r="J2090" s="149"/>
      <c r="K2090" s="149"/>
      <c r="L2090" s="149"/>
      <c r="M2090" s="149"/>
    </row>
    <row r="2091" spans="1:13">
      <c r="A2091" s="503">
        <v>45448</v>
      </c>
      <c r="B2091" s="149" t="s">
        <v>5229</v>
      </c>
      <c r="C2091" s="149" t="s">
        <v>10534</v>
      </c>
      <c r="D2091" s="149" t="s">
        <v>2738</v>
      </c>
      <c r="E2091" s="149" t="s">
        <v>10899</v>
      </c>
      <c r="F2091" s="149" t="s">
        <v>10291</v>
      </c>
      <c r="G2091" s="149"/>
      <c r="H2091" s="149"/>
      <c r="I2091" s="149"/>
      <c r="J2091" s="149"/>
      <c r="K2091" s="149"/>
      <c r="L2091" s="149"/>
      <c r="M2091" s="149"/>
    </row>
    <row r="2092" spans="1:13" ht="18">
      <c r="A2092" s="503">
        <v>45449</v>
      </c>
      <c r="B2092" s="573" t="s">
        <v>11045</v>
      </c>
      <c r="C2092" s="149" t="s">
        <v>10534</v>
      </c>
      <c r="D2092" s="149" t="s">
        <v>2738</v>
      </c>
      <c r="E2092" s="149" t="s">
        <v>10233</v>
      </c>
      <c r="F2092" s="149" t="s">
        <v>10494</v>
      </c>
      <c r="G2092" s="149"/>
      <c r="H2092" s="149"/>
      <c r="I2092" s="149"/>
      <c r="J2092" s="149"/>
      <c r="K2092" s="149"/>
      <c r="L2092" s="149"/>
      <c r="M2092" s="149"/>
    </row>
    <row r="2093" spans="1:13">
      <c r="A2093" s="670">
        <v>45450</v>
      </c>
      <c r="B2093" s="671" t="s">
        <v>7142</v>
      </c>
      <c r="C2093" s="671" t="s">
        <v>10534</v>
      </c>
      <c r="D2093" s="671" t="s">
        <v>2738</v>
      </c>
      <c r="E2093" s="671" t="s">
        <v>10233</v>
      </c>
      <c r="F2093" s="671" t="s">
        <v>11046</v>
      </c>
      <c r="G2093" s="149"/>
      <c r="H2093" s="149"/>
      <c r="I2093" s="149"/>
      <c r="J2093" s="149"/>
      <c r="K2093" s="149"/>
      <c r="L2093" s="149"/>
      <c r="M2093" s="149"/>
    </row>
    <row r="2094" spans="1:13">
      <c r="A2094" s="503">
        <v>45450</v>
      </c>
      <c r="B2094" s="149" t="s">
        <v>7144</v>
      </c>
      <c r="C2094" s="149" t="s">
        <v>8929</v>
      </c>
      <c r="D2094" s="149" t="s">
        <v>2738</v>
      </c>
      <c r="E2094" s="149" t="s">
        <v>10233</v>
      </c>
      <c r="F2094" s="149" t="s">
        <v>10494</v>
      </c>
      <c r="G2094" s="149"/>
      <c r="H2094" s="149"/>
      <c r="I2094" s="149"/>
      <c r="J2094" s="149"/>
      <c r="K2094" s="149"/>
      <c r="L2094" s="149"/>
      <c r="M2094" s="149"/>
    </row>
    <row r="2095" spans="1:13">
      <c r="A2095" s="503">
        <v>45450</v>
      </c>
      <c r="B2095" s="149" t="s">
        <v>7146</v>
      </c>
      <c r="C2095" s="149" t="s">
        <v>10534</v>
      </c>
      <c r="D2095" s="149" t="s">
        <v>2738</v>
      </c>
      <c r="E2095" s="149" t="s">
        <v>10233</v>
      </c>
      <c r="F2095" s="149" t="s">
        <v>10494</v>
      </c>
      <c r="G2095" s="149"/>
      <c r="H2095" s="149"/>
      <c r="I2095" s="149"/>
      <c r="J2095" s="149"/>
      <c r="K2095" s="149"/>
      <c r="L2095" s="149"/>
      <c r="M2095" s="149"/>
    </row>
    <row r="2096" spans="1:13">
      <c r="A2096" s="503">
        <v>45453</v>
      </c>
      <c r="B2096" s="149" t="s">
        <v>4561</v>
      </c>
      <c r="C2096" s="186" t="s">
        <v>10534</v>
      </c>
      <c r="D2096" s="149" t="s">
        <v>2738</v>
      </c>
      <c r="E2096" s="149" t="s">
        <v>10244</v>
      </c>
      <c r="F2096" s="149" t="s">
        <v>10291</v>
      </c>
      <c r="G2096" s="149"/>
      <c r="H2096" s="149"/>
      <c r="I2096" s="149"/>
      <c r="J2096" s="149"/>
      <c r="K2096" s="149"/>
      <c r="L2096" s="149"/>
      <c r="M2096" s="149"/>
    </row>
    <row r="2097" spans="1:13">
      <c r="A2097" s="551">
        <v>45453</v>
      </c>
      <c r="B2097" s="461" t="s">
        <v>11047</v>
      </c>
      <c r="C2097" s="505" t="s">
        <v>10534</v>
      </c>
      <c r="D2097" s="461" t="s">
        <v>2738</v>
      </c>
      <c r="E2097" s="461" t="s">
        <v>10244</v>
      </c>
      <c r="F2097" s="461" t="s">
        <v>8919</v>
      </c>
      <c r="G2097" s="149"/>
      <c r="H2097" s="149"/>
      <c r="I2097" s="149"/>
      <c r="J2097" s="149"/>
      <c r="K2097" s="149"/>
      <c r="L2097" s="149"/>
      <c r="M2097" s="149"/>
    </row>
    <row r="2098" spans="1:13">
      <c r="A2098" s="503">
        <v>45456</v>
      </c>
      <c r="B2098" s="149" t="s">
        <v>5577</v>
      </c>
      <c r="C2098" s="149" t="s">
        <v>10534</v>
      </c>
      <c r="D2098" s="149" t="s">
        <v>2738</v>
      </c>
      <c r="E2098" s="149" t="s">
        <v>10916</v>
      </c>
      <c r="F2098" s="149" t="s">
        <v>10293</v>
      </c>
      <c r="G2098" s="149"/>
      <c r="H2098" s="149"/>
      <c r="I2098" s="149"/>
      <c r="J2098" s="149"/>
      <c r="K2098" s="149"/>
      <c r="L2098" s="149"/>
      <c r="M2098" s="149"/>
    </row>
    <row r="2099" spans="1:13">
      <c r="A2099" s="503">
        <v>45457</v>
      </c>
      <c r="B2099" s="149" t="s">
        <v>7155</v>
      </c>
      <c r="C2099" s="149" t="s">
        <v>10534</v>
      </c>
      <c r="D2099" s="149" t="s">
        <v>2738</v>
      </c>
      <c r="E2099" s="149" t="s">
        <v>11048</v>
      </c>
      <c r="F2099" s="149" t="s">
        <v>10494</v>
      </c>
      <c r="G2099" s="149"/>
      <c r="H2099" s="149"/>
      <c r="I2099" s="149"/>
      <c r="J2099" s="149"/>
      <c r="K2099" s="149"/>
      <c r="L2099" s="149"/>
      <c r="M2099" s="149"/>
    </row>
    <row r="2100" spans="1:13">
      <c r="A2100" s="503">
        <v>45458</v>
      </c>
      <c r="B2100" s="149" t="s">
        <v>5521</v>
      </c>
      <c r="C2100" s="149" t="s">
        <v>10534</v>
      </c>
      <c r="D2100" s="149" t="s">
        <v>2738</v>
      </c>
      <c r="E2100" s="149" t="s">
        <v>11026</v>
      </c>
      <c r="F2100" s="149" t="s">
        <v>10293</v>
      </c>
      <c r="G2100" s="149"/>
      <c r="H2100" s="186"/>
      <c r="I2100" s="186"/>
      <c r="J2100" s="149"/>
      <c r="K2100" s="149"/>
      <c r="L2100" s="149"/>
      <c r="M2100" s="149"/>
    </row>
    <row r="2101" spans="1:13">
      <c r="A2101" s="503">
        <v>45458</v>
      </c>
      <c r="B2101" s="149" t="s">
        <v>7157</v>
      </c>
      <c r="C2101" s="149" t="s">
        <v>10534</v>
      </c>
      <c r="D2101" s="149" t="s">
        <v>2738</v>
      </c>
      <c r="E2101" s="149" t="s">
        <v>11049</v>
      </c>
      <c r="F2101" s="149" t="s">
        <v>10494</v>
      </c>
      <c r="G2101" s="295"/>
      <c r="H2101" s="149"/>
      <c r="I2101" s="149"/>
      <c r="J2101" s="185"/>
      <c r="K2101" s="149"/>
      <c r="L2101" s="149"/>
      <c r="M2101" s="149"/>
    </row>
    <row r="2102" spans="1:13">
      <c r="A2102" s="503">
        <v>45460</v>
      </c>
      <c r="B2102" s="149" t="s">
        <v>7159</v>
      </c>
      <c r="C2102" s="149" t="s">
        <v>10534</v>
      </c>
      <c r="D2102" s="149" t="s">
        <v>2738</v>
      </c>
      <c r="E2102" s="149" t="s">
        <v>10289</v>
      </c>
      <c r="F2102" s="149" t="s">
        <v>10494</v>
      </c>
      <c r="G2102" s="295"/>
      <c r="H2102" s="149"/>
      <c r="I2102" s="149"/>
      <c r="J2102" s="185"/>
      <c r="K2102" s="149"/>
      <c r="L2102" s="149"/>
      <c r="M2102" s="149"/>
    </row>
    <row r="2103" spans="1:13">
      <c r="A2103" s="725">
        <v>45461</v>
      </c>
      <c r="B2103" s="726" t="s">
        <v>7375</v>
      </c>
      <c r="C2103" s="726" t="s">
        <v>10534</v>
      </c>
      <c r="D2103" s="726" t="s">
        <v>2738</v>
      </c>
      <c r="E2103" s="726" t="s">
        <v>11050</v>
      </c>
      <c r="F2103" s="726" t="s">
        <v>11051</v>
      </c>
      <c r="G2103" s="295"/>
      <c r="H2103" s="149"/>
      <c r="I2103" s="149"/>
      <c r="J2103" s="185"/>
      <c r="K2103" s="149"/>
      <c r="L2103" s="149"/>
      <c r="M2103" s="149"/>
    </row>
    <row r="2104" spans="1:13">
      <c r="A2104" s="503">
        <v>45463</v>
      </c>
      <c r="B2104" s="149" t="s">
        <v>7169</v>
      </c>
      <c r="C2104" s="149" t="s">
        <v>10534</v>
      </c>
      <c r="D2104" s="149" t="s">
        <v>2738</v>
      </c>
      <c r="E2104" s="149" t="s">
        <v>10916</v>
      </c>
      <c r="F2104" s="149" t="s">
        <v>10494</v>
      </c>
      <c r="G2104" s="295"/>
      <c r="H2104" s="149"/>
      <c r="I2104" s="149"/>
      <c r="J2104" s="185"/>
      <c r="K2104" s="149"/>
      <c r="L2104" s="149"/>
      <c r="M2104" s="149"/>
    </row>
    <row r="2105" spans="1:13">
      <c r="A2105" s="670">
        <v>45464</v>
      </c>
      <c r="B2105" s="671" t="s">
        <v>11052</v>
      </c>
      <c r="C2105" s="671" t="s">
        <v>10534</v>
      </c>
      <c r="D2105" s="671" t="s">
        <v>2738</v>
      </c>
      <c r="E2105" s="671" t="s">
        <v>10935</v>
      </c>
      <c r="F2105" s="671" t="s">
        <v>8918</v>
      </c>
      <c r="G2105" s="295"/>
      <c r="H2105" s="149"/>
      <c r="I2105" s="149"/>
      <c r="J2105" s="185"/>
      <c r="K2105" s="149"/>
      <c r="L2105" s="149"/>
      <c r="M2105" s="149"/>
    </row>
    <row r="2106" spans="1:13">
      <c r="A2106" s="641">
        <v>45464</v>
      </c>
      <c r="B2106" s="505" t="s">
        <v>11053</v>
      </c>
      <c r="C2106" s="505" t="s">
        <v>10534</v>
      </c>
      <c r="D2106" s="505" t="s">
        <v>2738</v>
      </c>
      <c r="E2106" s="505" t="s">
        <v>10935</v>
      </c>
      <c r="F2106" s="505" t="s">
        <v>8919</v>
      </c>
      <c r="G2106" s="353"/>
      <c r="H2106" s="149"/>
      <c r="I2106" s="149"/>
      <c r="J2106" s="185"/>
      <c r="K2106" s="149"/>
      <c r="L2106" s="149"/>
      <c r="M2106" s="149"/>
    </row>
    <row r="2107" spans="1:13">
      <c r="A2107" s="503">
        <v>45464</v>
      </c>
      <c r="B2107" s="149" t="s">
        <v>2968</v>
      </c>
      <c r="C2107" s="149" t="s">
        <v>10534</v>
      </c>
      <c r="D2107" s="149" t="s">
        <v>2738</v>
      </c>
      <c r="E2107" s="149" t="s">
        <v>10935</v>
      </c>
      <c r="F2107" s="295" t="s">
        <v>10785</v>
      </c>
      <c r="G2107" s="295"/>
      <c r="H2107" s="149"/>
      <c r="I2107" s="149"/>
    </row>
    <row r="2108" spans="1:13">
      <c r="A2108" s="503">
        <v>45464</v>
      </c>
      <c r="B2108" s="149" t="s">
        <v>7174</v>
      </c>
      <c r="C2108" s="149" t="s">
        <v>8929</v>
      </c>
      <c r="D2108" s="149" t="s">
        <v>2738</v>
      </c>
      <c r="E2108" s="149" t="s">
        <v>10935</v>
      </c>
      <c r="F2108" s="149" t="s">
        <v>10494</v>
      </c>
      <c r="G2108" s="295"/>
      <c r="H2108" s="149"/>
      <c r="I2108" s="149"/>
    </row>
    <row r="2109" spans="1:13">
      <c r="A2109" s="503">
        <v>45464</v>
      </c>
      <c r="B2109" s="149" t="s">
        <v>11054</v>
      </c>
      <c r="C2109" s="149" t="s">
        <v>10534</v>
      </c>
      <c r="D2109" s="149" t="s">
        <v>2738</v>
      </c>
      <c r="E2109" s="149" t="s">
        <v>10935</v>
      </c>
      <c r="F2109" s="149" t="s">
        <v>10494</v>
      </c>
      <c r="G2109" s="295"/>
      <c r="H2109" s="149"/>
      <c r="I2109" s="149"/>
    </row>
    <row r="2110" spans="1:13">
      <c r="A2110" s="503">
        <v>45464</v>
      </c>
      <c r="B2110" s="149" t="s">
        <v>7176</v>
      </c>
      <c r="C2110" s="149" t="s">
        <v>10534</v>
      </c>
      <c r="D2110" s="149" t="s">
        <v>2738</v>
      </c>
      <c r="E2110" s="149" t="s">
        <v>10935</v>
      </c>
      <c r="F2110" s="149" t="s">
        <v>10494</v>
      </c>
      <c r="G2110" s="295"/>
      <c r="H2110" s="149"/>
      <c r="I2110" s="149"/>
    </row>
    <row r="2111" spans="1:13">
      <c r="A2111" s="670">
        <v>45464</v>
      </c>
      <c r="B2111" s="671" t="s">
        <v>11055</v>
      </c>
      <c r="C2111" s="671" t="s">
        <v>10534</v>
      </c>
      <c r="D2111" s="671" t="s">
        <v>2738</v>
      </c>
      <c r="E2111" s="671" t="s">
        <v>10935</v>
      </c>
      <c r="F2111" s="671" t="s">
        <v>8918</v>
      </c>
      <c r="G2111" s="295"/>
      <c r="H2111" s="149"/>
      <c r="I2111" s="149"/>
    </row>
    <row r="2112" spans="1:13">
      <c r="A2112" s="503" t="s">
        <v>11056</v>
      </c>
      <c r="B2112" s="149" t="s">
        <v>7185</v>
      </c>
      <c r="C2112" s="149" t="s">
        <v>10534</v>
      </c>
      <c r="D2112" s="149" t="s">
        <v>2738</v>
      </c>
      <c r="E2112" s="149" t="s">
        <v>10289</v>
      </c>
      <c r="F2112" s="295" t="s">
        <v>10494</v>
      </c>
      <c r="G2112" s="295"/>
      <c r="H2112" s="149"/>
      <c r="I2112" s="149"/>
    </row>
    <row r="2113" spans="1:9">
      <c r="A2113" s="503" t="s">
        <v>11056</v>
      </c>
      <c r="B2113" t="s">
        <v>11057</v>
      </c>
      <c r="C2113" s="186" t="s">
        <v>10534</v>
      </c>
      <c r="D2113" s="186" t="s">
        <v>2738</v>
      </c>
      <c r="E2113" s="186" t="s">
        <v>10026</v>
      </c>
      <c r="F2113" s="353" t="s">
        <v>10494</v>
      </c>
      <c r="G2113" s="295"/>
      <c r="H2113" s="149"/>
      <c r="I2113" s="149"/>
    </row>
    <row r="2114" spans="1:9">
      <c r="A2114" s="478" t="s">
        <v>11056</v>
      </c>
      <c r="B2114" s="149" t="s">
        <v>7187</v>
      </c>
      <c r="C2114" s="149" t="s">
        <v>10534</v>
      </c>
      <c r="D2114" s="149" t="s">
        <v>2738</v>
      </c>
      <c r="E2114" s="149" t="s">
        <v>10289</v>
      </c>
      <c r="F2114" s="149" t="s">
        <v>10494</v>
      </c>
      <c r="G2114" s="616"/>
      <c r="H2114" s="149"/>
      <c r="I2114" s="149"/>
    </row>
    <row r="2115" spans="1:9">
      <c r="A2115" s="727">
        <v>45469</v>
      </c>
      <c r="B2115" s="461" t="s">
        <v>11058</v>
      </c>
      <c r="C2115" s="461" t="s">
        <v>10534</v>
      </c>
      <c r="D2115" s="461" t="s">
        <v>2738</v>
      </c>
      <c r="E2115" s="461" t="s">
        <v>10899</v>
      </c>
      <c r="F2115" s="461" t="s">
        <v>8919</v>
      </c>
      <c r="G2115" s="604"/>
      <c r="H2115" s="149"/>
      <c r="I2115" s="149"/>
    </row>
    <row r="2116" spans="1:9">
      <c r="A2116" s="728">
        <v>45469</v>
      </c>
      <c r="B2116" s="461" t="s">
        <v>11059</v>
      </c>
      <c r="C2116" s="461" t="s">
        <v>10534</v>
      </c>
      <c r="D2116" s="461" t="s">
        <v>2738</v>
      </c>
      <c r="E2116" s="461" t="s">
        <v>10899</v>
      </c>
      <c r="F2116" s="461" t="s">
        <v>8919</v>
      </c>
      <c r="G2116" s="616"/>
      <c r="H2116" s="149"/>
      <c r="I2116" s="149"/>
    </row>
    <row r="2117" spans="1:9">
      <c r="A2117" s="728">
        <v>45469</v>
      </c>
      <c r="B2117" s="461" t="s">
        <v>7195</v>
      </c>
      <c r="C2117" s="461" t="s">
        <v>10534</v>
      </c>
      <c r="D2117" s="461" t="s">
        <v>2738</v>
      </c>
      <c r="E2117" s="461" t="s">
        <v>10007</v>
      </c>
      <c r="F2117" s="461" t="s">
        <v>8919</v>
      </c>
      <c r="G2117" s="616"/>
      <c r="H2117" s="149"/>
      <c r="I2117" s="149"/>
    </row>
    <row r="2118" spans="1:9">
      <c r="A2118" s="478">
        <v>45470</v>
      </c>
      <c r="B2118" s="149" t="s">
        <v>11060</v>
      </c>
      <c r="C2118" s="149" t="s">
        <v>10534</v>
      </c>
      <c r="D2118" s="149" t="s">
        <v>2738</v>
      </c>
      <c r="E2118" s="149" t="s">
        <v>10916</v>
      </c>
      <c r="F2118" s="149" t="s">
        <v>10291</v>
      </c>
      <c r="G2118" s="185"/>
      <c r="H2118" s="187"/>
      <c r="I2118" s="187"/>
    </row>
    <row r="2119" spans="1:9">
      <c r="A2119" s="807">
        <v>45474</v>
      </c>
      <c r="B2119" s="808"/>
      <c r="C2119" s="808"/>
      <c r="D2119" s="808"/>
      <c r="E2119" s="808"/>
      <c r="F2119" s="809"/>
      <c r="G2119" s="185"/>
      <c r="H2119" s="149"/>
      <c r="I2119" s="149"/>
    </row>
    <row r="2120" spans="1:9">
      <c r="A2120" s="730" t="s">
        <v>11061</v>
      </c>
      <c r="B2120" s="731" t="s">
        <v>7201</v>
      </c>
      <c r="C2120" s="731" t="s">
        <v>10534</v>
      </c>
      <c r="D2120" s="732" t="s">
        <v>2755</v>
      </c>
      <c r="E2120" s="731" t="s">
        <v>10289</v>
      </c>
      <c r="F2120" s="731" t="s">
        <v>11019</v>
      </c>
      <c r="G2120" s="149"/>
      <c r="H2120" s="149"/>
      <c r="I2120" s="149"/>
    </row>
    <row r="2121" spans="1:9">
      <c r="A2121" s="503">
        <v>45475</v>
      </c>
      <c r="B2121" s="108" t="s">
        <v>11062</v>
      </c>
      <c r="C2121" s="149" t="s">
        <v>10534</v>
      </c>
      <c r="D2121" s="149" t="s">
        <v>2755</v>
      </c>
      <c r="E2121" s="149" t="s">
        <v>10244</v>
      </c>
      <c r="F2121" s="149" t="s">
        <v>10494</v>
      </c>
      <c r="G2121" s="149"/>
      <c r="H2121" s="149"/>
      <c r="I2121" s="149"/>
    </row>
    <row r="2122" spans="1:9">
      <c r="A2122" s="503">
        <v>45476</v>
      </c>
      <c r="B2122" s="149" t="s">
        <v>11063</v>
      </c>
      <c r="C2122" s="149" t="s">
        <v>10534</v>
      </c>
      <c r="D2122" s="186" t="s">
        <v>2755</v>
      </c>
      <c r="E2122" s="149" t="s">
        <v>10899</v>
      </c>
      <c r="F2122" s="186" t="s">
        <v>10494</v>
      </c>
      <c r="G2122" s="149"/>
      <c r="H2122" s="149"/>
      <c r="I2122" s="149"/>
    </row>
    <row r="2123" spans="1:9">
      <c r="A2123" s="503">
        <v>45476</v>
      </c>
      <c r="B2123" s="108" t="s">
        <v>11064</v>
      </c>
      <c r="C2123" s="149" t="s">
        <v>10534</v>
      </c>
      <c r="D2123" s="149" t="s">
        <v>2755</v>
      </c>
      <c r="E2123" s="149" t="s">
        <v>10007</v>
      </c>
      <c r="F2123" s="149" t="s">
        <v>10494</v>
      </c>
      <c r="G2123" s="149"/>
    </row>
    <row r="2124" spans="1:9">
      <c r="A2124" s="503">
        <v>45476</v>
      </c>
      <c r="B2124" s="108" t="s">
        <v>3653</v>
      </c>
      <c r="C2124" s="149" t="s">
        <v>10534</v>
      </c>
      <c r="D2124" s="149" t="s">
        <v>2755</v>
      </c>
      <c r="E2124" s="149" t="s">
        <v>10899</v>
      </c>
      <c r="F2124" s="149" t="s">
        <v>10796</v>
      </c>
      <c r="G2124" s="149"/>
    </row>
    <row r="2125" spans="1:9">
      <c r="A2125" s="503">
        <v>45476</v>
      </c>
      <c r="B2125" s="108" t="s">
        <v>3653</v>
      </c>
      <c r="C2125" s="149" t="s">
        <v>10534</v>
      </c>
      <c r="D2125" s="149" t="s">
        <v>2755</v>
      </c>
      <c r="E2125" s="149" t="s">
        <v>10899</v>
      </c>
      <c r="F2125" t="s">
        <v>11065</v>
      </c>
      <c r="G2125" s="149"/>
    </row>
    <row r="2126" spans="1:9">
      <c r="A2126" s="503">
        <v>45477</v>
      </c>
      <c r="B2126" s="149" t="s">
        <v>6877</v>
      </c>
      <c r="C2126" s="149" t="s">
        <v>10534</v>
      </c>
      <c r="D2126" s="149" t="s">
        <v>2755</v>
      </c>
      <c r="E2126" s="149" t="s">
        <v>10007</v>
      </c>
      <c r="F2126" s="149" t="s">
        <v>10296</v>
      </c>
      <c r="G2126" s="149"/>
    </row>
    <row r="2127" spans="1:9">
      <c r="A2127" s="733">
        <v>45477</v>
      </c>
      <c r="B2127" s="734" t="s">
        <v>11066</v>
      </c>
      <c r="C2127" s="734" t="s">
        <v>10534</v>
      </c>
      <c r="D2127" s="734" t="s">
        <v>2755</v>
      </c>
      <c r="E2127" s="734" t="s">
        <v>10935</v>
      </c>
      <c r="F2127" s="734" t="s">
        <v>11019</v>
      </c>
      <c r="G2127" s="149"/>
    </row>
    <row r="2128" spans="1:9">
      <c r="A2128" s="503">
        <v>45478</v>
      </c>
      <c r="B2128" s="149" t="s">
        <v>11067</v>
      </c>
      <c r="C2128" s="149" t="s">
        <v>10534</v>
      </c>
      <c r="D2128" s="149" t="s">
        <v>2755</v>
      </c>
      <c r="E2128" s="149" t="s">
        <v>10935</v>
      </c>
      <c r="F2128" s="149" t="s">
        <v>10494</v>
      </c>
      <c r="G2128" s="149"/>
    </row>
    <row r="2129" spans="1:9">
      <c r="A2129" s="503">
        <v>45478</v>
      </c>
      <c r="B2129" s="149" t="s">
        <v>4057</v>
      </c>
      <c r="C2129" s="186" t="s">
        <v>10534</v>
      </c>
      <c r="D2129" s="149" t="s">
        <v>2755</v>
      </c>
      <c r="E2129" s="149" t="s">
        <v>10935</v>
      </c>
      <c r="F2129" s="186" t="s">
        <v>11068</v>
      </c>
      <c r="G2129" s="149"/>
    </row>
    <row r="2130" spans="1:9">
      <c r="A2130" s="503">
        <v>45481</v>
      </c>
      <c r="B2130" s="149" t="s">
        <v>11069</v>
      </c>
      <c r="C2130" s="186" t="s">
        <v>10534</v>
      </c>
      <c r="D2130" s="149" t="s">
        <v>2755</v>
      </c>
      <c r="E2130" s="295" t="s">
        <v>10289</v>
      </c>
      <c r="F2130" s="149" t="s">
        <v>10494</v>
      </c>
    </row>
    <row r="2131" spans="1:9">
      <c r="A2131" s="503">
        <v>45511</v>
      </c>
      <c r="B2131" s="149" t="s">
        <v>7036</v>
      </c>
      <c r="C2131" s="149" t="s">
        <v>10534</v>
      </c>
      <c r="D2131" s="149" t="s">
        <v>2755</v>
      </c>
      <c r="E2131" s="149" t="s">
        <v>10026</v>
      </c>
      <c r="F2131" s="149" t="s">
        <v>11068</v>
      </c>
    </row>
    <row r="2132" spans="1:9" ht="18">
      <c r="A2132" s="503">
        <v>45481</v>
      </c>
      <c r="B2132" s="573" t="s">
        <v>11070</v>
      </c>
      <c r="C2132" s="149" t="s">
        <v>10534</v>
      </c>
      <c r="D2132" s="149" t="s">
        <v>2755</v>
      </c>
      <c r="E2132" s="149" t="s">
        <v>10244</v>
      </c>
      <c r="F2132" s="149" t="s">
        <v>10494</v>
      </c>
    </row>
    <row r="2133" spans="1:9">
      <c r="A2133" s="503">
        <v>45482</v>
      </c>
      <c r="B2133" s="149" t="s">
        <v>11071</v>
      </c>
      <c r="C2133" s="149" t="s">
        <v>10534</v>
      </c>
      <c r="D2133" s="149" t="s">
        <v>2755</v>
      </c>
      <c r="E2133" s="149" t="s">
        <v>11036</v>
      </c>
      <c r="F2133" s="149" t="s">
        <v>10494</v>
      </c>
    </row>
    <row r="2134" spans="1:9">
      <c r="A2134" s="503">
        <v>45483</v>
      </c>
      <c r="B2134" s="149" t="s">
        <v>7240</v>
      </c>
      <c r="C2134" s="149" t="s">
        <v>10534</v>
      </c>
      <c r="D2134" s="149" t="s">
        <v>2755</v>
      </c>
      <c r="E2134" s="149" t="s">
        <v>10899</v>
      </c>
      <c r="F2134" s="149" t="s">
        <v>10494</v>
      </c>
    </row>
    <row r="2135" spans="1:9">
      <c r="A2135" s="503">
        <v>45483</v>
      </c>
      <c r="B2135" s="149" t="s">
        <v>7170</v>
      </c>
      <c r="C2135" s="149" t="s">
        <v>10534</v>
      </c>
      <c r="D2135" s="149" t="s">
        <v>2755</v>
      </c>
      <c r="E2135" s="149" t="s">
        <v>10916</v>
      </c>
      <c r="F2135" s="149" t="s">
        <v>10494</v>
      </c>
      <c r="G2135" s="185"/>
      <c r="H2135" s="187"/>
      <c r="I2135" s="187"/>
    </row>
    <row r="2136" spans="1:9">
      <c r="A2136" s="503">
        <v>45485</v>
      </c>
      <c r="B2136" s="149" t="s">
        <v>11072</v>
      </c>
      <c r="C2136" s="149" t="s">
        <v>10534</v>
      </c>
      <c r="D2136" s="149" t="s">
        <v>2755</v>
      </c>
      <c r="E2136" s="149" t="s">
        <v>10233</v>
      </c>
      <c r="F2136" s="149" t="s">
        <v>10494</v>
      </c>
    </row>
    <row r="2137" spans="1:9">
      <c r="A2137" s="503">
        <v>45490</v>
      </c>
      <c r="B2137" s="149" t="s">
        <v>5357</v>
      </c>
      <c r="C2137" s="149" t="s">
        <v>10534</v>
      </c>
      <c r="D2137" s="149" t="s">
        <v>10019</v>
      </c>
      <c r="E2137" s="149" t="s">
        <v>10899</v>
      </c>
      <c r="F2137" s="149" t="s">
        <v>11068</v>
      </c>
    </row>
    <row r="2138" spans="1:9" ht="18">
      <c r="A2138" s="503">
        <v>45490</v>
      </c>
      <c r="B2138" s="575" t="s">
        <v>7246</v>
      </c>
      <c r="C2138" s="149" t="s">
        <v>10534</v>
      </c>
      <c r="D2138" s="149" t="s">
        <v>2755</v>
      </c>
      <c r="E2138" s="149" t="s">
        <v>10899</v>
      </c>
      <c r="F2138" s="149" t="s">
        <v>10494</v>
      </c>
    </row>
    <row r="2139" spans="1:9">
      <c r="A2139" s="503" t="s">
        <v>11073</v>
      </c>
      <c r="B2139" s="149" t="s">
        <v>2830</v>
      </c>
      <c r="C2139" s="149" t="s">
        <v>10534</v>
      </c>
      <c r="D2139" s="149" t="s">
        <v>2755</v>
      </c>
      <c r="E2139" s="149" t="s">
        <v>10233</v>
      </c>
      <c r="F2139" s="149" t="s">
        <v>10291</v>
      </c>
    </row>
    <row r="2140" spans="1:9" ht="18">
      <c r="A2140" s="503">
        <v>45492</v>
      </c>
      <c r="B2140" s="575" t="s">
        <v>11074</v>
      </c>
      <c r="C2140" s="149" t="s">
        <v>10534</v>
      </c>
      <c r="D2140" s="149" t="s">
        <v>2755</v>
      </c>
      <c r="E2140" s="149" t="s">
        <v>10244</v>
      </c>
      <c r="F2140" s="149" t="s">
        <v>10494</v>
      </c>
    </row>
    <row r="2141" spans="1:9">
      <c r="A2141" s="566">
        <v>45493</v>
      </c>
      <c r="B2141" t="s">
        <v>11075</v>
      </c>
      <c r="C2141" s="186" t="s">
        <v>10534</v>
      </c>
      <c r="D2141" s="149" t="s">
        <v>2755</v>
      </c>
      <c r="E2141" s="149" t="s">
        <v>10289</v>
      </c>
      <c r="F2141" s="149" t="s">
        <v>10494</v>
      </c>
    </row>
    <row r="2142" spans="1:9">
      <c r="A2142" s="503">
        <v>45496</v>
      </c>
      <c r="B2142" s="149" t="s">
        <v>11076</v>
      </c>
      <c r="C2142" s="149" t="s">
        <v>10534</v>
      </c>
      <c r="D2142" s="185" t="s">
        <v>2755</v>
      </c>
      <c r="E2142" s="149" t="s">
        <v>11036</v>
      </c>
      <c r="F2142" s="149" t="s">
        <v>10494</v>
      </c>
    </row>
    <row r="2143" spans="1:9" ht="18">
      <c r="A2143" s="503">
        <v>45496</v>
      </c>
      <c r="B2143" s="575" t="s">
        <v>7256</v>
      </c>
      <c r="C2143" s="149" t="s">
        <v>10534</v>
      </c>
      <c r="D2143" s="185" t="s">
        <v>10019</v>
      </c>
      <c r="E2143" s="149" t="s">
        <v>11036</v>
      </c>
      <c r="F2143" s="149" t="s">
        <v>10494</v>
      </c>
    </row>
    <row r="2144" spans="1:9">
      <c r="A2144" s="567">
        <v>45496</v>
      </c>
      <c r="B2144" s="187" t="s">
        <v>7159</v>
      </c>
      <c r="C2144" s="187" t="s">
        <v>10534</v>
      </c>
      <c r="D2144" s="149" t="s">
        <v>10019</v>
      </c>
      <c r="E2144" s="149" t="s">
        <v>11036</v>
      </c>
      <c r="F2144" s="149" t="s">
        <v>11068</v>
      </c>
    </row>
    <row r="2145" spans="1:6">
      <c r="A2145" s="503">
        <v>45498</v>
      </c>
      <c r="B2145" s="149" t="s">
        <v>5516</v>
      </c>
      <c r="C2145" s="149" t="s">
        <v>10534</v>
      </c>
      <c r="D2145" s="149" t="s">
        <v>10019</v>
      </c>
      <c r="E2145" s="149" t="s">
        <v>10007</v>
      </c>
      <c r="F2145" s="149" t="s">
        <v>10291</v>
      </c>
    </row>
    <row r="2146" spans="1:6">
      <c r="A2146" s="635">
        <v>45499</v>
      </c>
      <c r="B2146" s="636" t="s">
        <v>7263</v>
      </c>
      <c r="C2146" s="636" t="s">
        <v>10534</v>
      </c>
      <c r="D2146" s="636" t="s">
        <v>2755</v>
      </c>
      <c r="E2146" s="636" t="s">
        <v>10244</v>
      </c>
      <c r="F2146" s="636" t="s">
        <v>11077</v>
      </c>
    </row>
    <row r="2147" spans="1:6">
      <c r="A2147" s="503">
        <v>45500</v>
      </c>
      <c r="B2147" s="149" t="s">
        <v>6531</v>
      </c>
      <c r="C2147" s="149" t="s">
        <v>10534</v>
      </c>
      <c r="D2147" s="149" t="s">
        <v>2755</v>
      </c>
      <c r="E2147" s="149" t="s">
        <v>10244</v>
      </c>
      <c r="F2147" s="149" t="s">
        <v>10532</v>
      </c>
    </row>
    <row r="2148" spans="1:6">
      <c r="A2148" s="551">
        <v>45503</v>
      </c>
      <c r="B2148" s="461" t="s">
        <v>3995</v>
      </c>
      <c r="C2148" s="461" t="s">
        <v>10534</v>
      </c>
      <c r="D2148" s="461" t="s">
        <v>2755</v>
      </c>
      <c r="E2148" s="461" t="s">
        <v>11036</v>
      </c>
      <c r="F2148" s="461" t="s">
        <v>10923</v>
      </c>
    </row>
    <row r="2149" spans="1:6">
      <c r="A2149" s="503">
        <v>45504</v>
      </c>
      <c r="B2149" s="192" t="s">
        <v>11078</v>
      </c>
      <c r="C2149" s="149" t="s">
        <v>10534</v>
      </c>
      <c r="D2149" s="149" t="s">
        <v>2755</v>
      </c>
      <c r="E2149" s="149" t="s">
        <v>10026</v>
      </c>
      <c r="F2149" s="149" t="s">
        <v>10494</v>
      </c>
    </row>
    <row r="2150" spans="1:6">
      <c r="A2150" s="503">
        <v>45504</v>
      </c>
      <c r="B2150" s="149" t="s">
        <v>7267</v>
      </c>
      <c r="C2150" s="149" t="s">
        <v>10534</v>
      </c>
      <c r="D2150" s="149" t="s">
        <v>2755</v>
      </c>
      <c r="E2150" s="149" t="s">
        <v>10899</v>
      </c>
      <c r="F2150" s="149" t="s">
        <v>10494</v>
      </c>
    </row>
    <row r="2151" spans="1:6">
      <c r="A2151" s="807">
        <v>45505</v>
      </c>
      <c r="B2151" s="808"/>
      <c r="C2151" s="808"/>
      <c r="D2151" s="808"/>
      <c r="E2151" s="808"/>
      <c r="F2151" s="809"/>
    </row>
    <row r="2152" spans="1:6">
      <c r="A2152" s="503">
        <v>45505</v>
      </c>
      <c r="B2152" s="149" t="s">
        <v>11079</v>
      </c>
      <c r="C2152" s="149" t="s">
        <v>10534</v>
      </c>
      <c r="D2152" s="149" t="s">
        <v>7720</v>
      </c>
      <c r="E2152" s="149" t="s">
        <v>10007</v>
      </c>
      <c r="F2152" s="149" t="s">
        <v>10494</v>
      </c>
    </row>
    <row r="2153" spans="1:6">
      <c r="A2153" s="715">
        <v>45505</v>
      </c>
      <c r="B2153" s="709" t="s">
        <v>7271</v>
      </c>
      <c r="C2153" s="709" t="s">
        <v>10534</v>
      </c>
      <c r="D2153" s="709" t="s">
        <v>7720</v>
      </c>
      <c r="E2153" s="709" t="s">
        <v>10916</v>
      </c>
      <c r="F2153" s="709" t="s">
        <v>11051</v>
      </c>
    </row>
    <row r="2154" spans="1:6">
      <c r="A2154" s="537">
        <v>45505</v>
      </c>
      <c r="B2154" s="269" t="s">
        <v>11080</v>
      </c>
      <c r="C2154" s="186" t="s">
        <v>8929</v>
      </c>
      <c r="D2154" s="186" t="s">
        <v>7720</v>
      </c>
      <c r="E2154" s="186" t="s">
        <v>10233</v>
      </c>
      <c r="F2154" s="149" t="s">
        <v>10494</v>
      </c>
    </row>
    <row r="2155" spans="1:6">
      <c r="A2155" s="503">
        <v>45506</v>
      </c>
      <c r="B2155" s="192" t="s">
        <v>7260</v>
      </c>
      <c r="C2155" s="149" t="s">
        <v>8929</v>
      </c>
      <c r="D2155" s="149" t="s">
        <v>7720</v>
      </c>
      <c r="E2155" s="149" t="s">
        <v>10233</v>
      </c>
      <c r="F2155" s="149" t="s">
        <v>10494</v>
      </c>
    </row>
    <row r="2156" spans="1:6">
      <c r="A2156" s="503">
        <v>45506</v>
      </c>
      <c r="B2156" s="192" t="s">
        <v>11081</v>
      </c>
      <c r="C2156" s="149" t="s">
        <v>10534</v>
      </c>
      <c r="D2156" s="149" t="s">
        <v>7720</v>
      </c>
      <c r="E2156" s="149" t="s">
        <v>10233</v>
      </c>
      <c r="F2156" s="149" t="s">
        <v>10494</v>
      </c>
    </row>
    <row r="2157" spans="1:6">
      <c r="A2157" s="503">
        <v>45507</v>
      </c>
      <c r="B2157" s="192" t="s">
        <v>7277</v>
      </c>
      <c r="C2157" s="149" t="s">
        <v>10534</v>
      </c>
      <c r="D2157" s="149" t="s">
        <v>7720</v>
      </c>
      <c r="E2157" s="149" t="s">
        <v>10316</v>
      </c>
      <c r="F2157" s="149" t="s">
        <v>11082</v>
      </c>
    </row>
    <row r="2158" spans="1:6">
      <c r="A2158" s="503">
        <v>45509</v>
      </c>
      <c r="B2158" s="192" t="s">
        <v>7279</v>
      </c>
      <c r="C2158" s="149" t="s">
        <v>10534</v>
      </c>
      <c r="D2158" s="149" t="s">
        <v>7720</v>
      </c>
      <c r="E2158" s="149" t="s">
        <v>10289</v>
      </c>
      <c r="F2158" s="149" t="s">
        <v>10494</v>
      </c>
    </row>
    <row r="2159" spans="1:6">
      <c r="A2159" s="503">
        <v>45510</v>
      </c>
      <c r="B2159" s="192" t="s">
        <v>7281</v>
      </c>
      <c r="C2159" s="149" t="s">
        <v>10534</v>
      </c>
      <c r="D2159" s="149" t="s">
        <v>7720</v>
      </c>
      <c r="E2159" s="149" t="s">
        <v>11036</v>
      </c>
      <c r="F2159" s="149" t="s">
        <v>10494</v>
      </c>
    </row>
    <row r="2160" spans="1:6">
      <c r="A2160" s="503">
        <v>45510</v>
      </c>
      <c r="B2160" s="192" t="s">
        <v>11083</v>
      </c>
      <c r="C2160" s="149" t="s">
        <v>10534</v>
      </c>
      <c r="D2160" s="149" t="s">
        <v>7720</v>
      </c>
      <c r="E2160" s="149" t="s">
        <v>11036</v>
      </c>
      <c r="F2160" s="149" t="s">
        <v>10494</v>
      </c>
    </row>
    <row r="2161" spans="1:6" ht="15.75">
      <c r="A2161" s="503">
        <v>45512</v>
      </c>
      <c r="B2161" s="743" t="s">
        <v>6695</v>
      </c>
      <c r="C2161" s="149" t="s">
        <v>10534</v>
      </c>
      <c r="D2161" s="149" t="s">
        <v>7720</v>
      </c>
      <c r="E2161" s="149" t="s">
        <v>9999</v>
      </c>
      <c r="F2161" s="149" t="s">
        <v>10494</v>
      </c>
    </row>
    <row r="2162" spans="1:6">
      <c r="A2162" s="503">
        <v>45513</v>
      </c>
      <c r="B2162" s="149" t="s">
        <v>4033</v>
      </c>
      <c r="C2162" s="149" t="s">
        <v>10534</v>
      </c>
      <c r="D2162" s="149" t="s">
        <v>7720</v>
      </c>
      <c r="E2162" s="149" t="s">
        <v>10899</v>
      </c>
      <c r="F2162" s="149" t="s">
        <v>11068</v>
      </c>
    </row>
    <row r="2163" spans="1:6">
      <c r="A2163" s="503">
        <v>45513</v>
      </c>
      <c r="B2163" s="192" t="s">
        <v>11084</v>
      </c>
      <c r="C2163" s="149" t="s">
        <v>10534</v>
      </c>
      <c r="D2163" s="149" t="s">
        <v>7720</v>
      </c>
      <c r="E2163" s="149" t="s">
        <v>10007</v>
      </c>
      <c r="F2163" s="149" t="s">
        <v>10494</v>
      </c>
    </row>
    <row r="2164" spans="1:6">
      <c r="A2164" s="503">
        <v>45513</v>
      </c>
      <c r="B2164" s="149" t="s">
        <v>6450</v>
      </c>
      <c r="C2164" s="149" t="s">
        <v>10534</v>
      </c>
      <c r="D2164" s="149" t="s">
        <v>7720</v>
      </c>
      <c r="E2164" s="149" t="s">
        <v>9999</v>
      </c>
      <c r="F2164" s="149" t="s">
        <v>10291</v>
      </c>
    </row>
    <row r="2165" spans="1:6">
      <c r="A2165" s="715">
        <v>45513</v>
      </c>
      <c r="B2165" s="709" t="s">
        <v>7291</v>
      </c>
      <c r="C2165" s="709" t="s">
        <v>10534</v>
      </c>
      <c r="D2165" s="709" t="s">
        <v>7720</v>
      </c>
      <c r="E2165" s="709" t="s">
        <v>10244</v>
      </c>
      <c r="F2165" s="709" t="s">
        <v>11051</v>
      </c>
    </row>
    <row r="2166" spans="1:6">
      <c r="A2166" s="503">
        <v>45516</v>
      </c>
      <c r="B2166" s="149" t="s">
        <v>6756</v>
      </c>
      <c r="C2166" s="149" t="s">
        <v>10534</v>
      </c>
      <c r="D2166" s="149" t="s">
        <v>7720</v>
      </c>
      <c r="E2166" s="149" t="s">
        <v>10026</v>
      </c>
      <c r="F2166" s="149" t="s">
        <v>10291</v>
      </c>
    </row>
    <row r="2167" spans="1:6">
      <c r="A2167" s="503">
        <v>45520</v>
      </c>
      <c r="B2167" s="192" t="s">
        <v>7301</v>
      </c>
      <c r="C2167" s="149" t="s">
        <v>10534</v>
      </c>
      <c r="D2167" s="149" t="s">
        <v>7720</v>
      </c>
      <c r="E2167" s="149" t="s">
        <v>10233</v>
      </c>
      <c r="F2167" s="149" t="s">
        <v>10494</v>
      </c>
    </row>
    <row r="2168" spans="1:6" ht="18">
      <c r="A2168" s="537">
        <v>45523</v>
      </c>
      <c r="B2168" s="749" t="s">
        <v>7307</v>
      </c>
      <c r="C2168" s="149" t="s">
        <v>10534</v>
      </c>
      <c r="D2168" s="149" t="s">
        <v>7720</v>
      </c>
      <c r="E2168" s="149" t="s">
        <v>10026</v>
      </c>
      <c r="F2168" s="149" t="s">
        <v>10494</v>
      </c>
    </row>
    <row r="2169" spans="1:6">
      <c r="A2169" s="503">
        <v>45523</v>
      </c>
      <c r="B2169" s="192" t="s">
        <v>11085</v>
      </c>
      <c r="C2169" s="149" t="s">
        <v>10534</v>
      </c>
      <c r="D2169" s="149" t="s">
        <v>7720</v>
      </c>
      <c r="E2169" s="149" t="s">
        <v>10244</v>
      </c>
      <c r="F2169" s="149" t="s">
        <v>10494</v>
      </c>
    </row>
    <row r="2170" spans="1:6">
      <c r="A2170" s="715">
        <v>45523</v>
      </c>
      <c r="B2170" s="709" t="s">
        <v>7303</v>
      </c>
      <c r="C2170" s="709" t="s">
        <v>10534</v>
      </c>
      <c r="D2170" s="709" t="s">
        <v>7720</v>
      </c>
      <c r="E2170" s="709" t="s">
        <v>10899</v>
      </c>
      <c r="F2170" s="709" t="s">
        <v>11051</v>
      </c>
    </row>
    <row r="2171" spans="1:6">
      <c r="A2171" s="693">
        <v>45524</v>
      </c>
      <c r="B2171" s="694" t="s">
        <v>7311</v>
      </c>
      <c r="C2171" s="694" t="s">
        <v>10534</v>
      </c>
      <c r="D2171" s="694" t="s">
        <v>7720</v>
      </c>
      <c r="E2171" s="694" t="s">
        <v>10233</v>
      </c>
      <c r="F2171" s="694" t="s">
        <v>8918</v>
      </c>
    </row>
    <row r="2172" spans="1:6">
      <c r="A2172" s="503">
        <v>45524</v>
      </c>
      <c r="B2172" s="149" t="s">
        <v>11086</v>
      </c>
      <c r="C2172" s="149" t="s">
        <v>8929</v>
      </c>
      <c r="D2172" s="149" t="s">
        <v>7720</v>
      </c>
      <c r="E2172" s="149" t="s">
        <v>11036</v>
      </c>
      <c r="F2172" s="149" t="s">
        <v>10291</v>
      </c>
    </row>
    <row r="2173" spans="1:6">
      <c r="A2173" s="503">
        <v>45525</v>
      </c>
      <c r="B2173" s="149" t="s">
        <v>5825</v>
      </c>
      <c r="C2173" s="149" t="s">
        <v>10534</v>
      </c>
      <c r="D2173" s="149" t="s">
        <v>7720</v>
      </c>
      <c r="E2173" s="149" t="s">
        <v>10899</v>
      </c>
      <c r="F2173" s="149" t="s">
        <v>10291</v>
      </c>
    </row>
    <row r="2174" spans="1:6">
      <c r="A2174" s="503">
        <v>45525</v>
      </c>
      <c r="B2174" s="149" t="s">
        <v>11087</v>
      </c>
      <c r="C2174" s="149" t="s">
        <v>10534</v>
      </c>
      <c r="D2174" s="149" t="s">
        <v>7720</v>
      </c>
      <c r="E2174" s="149" t="s">
        <v>10916</v>
      </c>
      <c r="F2174" s="149" t="s">
        <v>10494</v>
      </c>
    </row>
    <row r="2175" spans="1:6">
      <c r="A2175" s="503">
        <v>45527</v>
      </c>
      <c r="B2175" s="149" t="s">
        <v>4021</v>
      </c>
      <c r="C2175" s="149" t="s">
        <v>10534</v>
      </c>
      <c r="D2175" s="149" t="s">
        <v>7720</v>
      </c>
      <c r="E2175" s="149" t="s">
        <v>10244</v>
      </c>
      <c r="F2175" s="149" t="s">
        <v>10293</v>
      </c>
    </row>
    <row r="2176" spans="1:6">
      <c r="A2176" s="503">
        <v>45527</v>
      </c>
      <c r="B2176" s="149" t="s">
        <v>78</v>
      </c>
      <c r="C2176" s="149" t="s">
        <v>10534</v>
      </c>
      <c r="D2176" s="149" t="s">
        <v>7720</v>
      </c>
      <c r="E2176" s="149" t="s">
        <v>10289</v>
      </c>
      <c r="F2176" s="149" t="s">
        <v>10796</v>
      </c>
    </row>
    <row r="2177" spans="1:6">
      <c r="A2177" s="550" t="s">
        <v>7726</v>
      </c>
      <c r="B2177" s="108" t="s">
        <v>11088</v>
      </c>
      <c r="C2177" s="108" t="s">
        <v>10534</v>
      </c>
      <c r="D2177" s="108" t="s">
        <v>7720</v>
      </c>
      <c r="E2177" s="108" t="s">
        <v>11036</v>
      </c>
      <c r="F2177" s="108" t="s">
        <v>11019</v>
      </c>
    </row>
    <row r="2178" spans="1:6">
      <c r="A2178" s="503">
        <v>45530</v>
      </c>
      <c r="B2178" s="149" t="s">
        <v>11089</v>
      </c>
      <c r="C2178" s="149" t="s">
        <v>10534</v>
      </c>
      <c r="D2178" s="149" t="s">
        <v>7720</v>
      </c>
      <c r="E2178" s="149" t="s">
        <v>11036</v>
      </c>
      <c r="F2178" s="149" t="s">
        <v>10494</v>
      </c>
    </row>
    <row r="2179" spans="1:6">
      <c r="A2179" s="551">
        <v>45534</v>
      </c>
      <c r="B2179" s="461" t="s">
        <v>2392</v>
      </c>
      <c r="C2179" s="461" t="s">
        <v>10534</v>
      </c>
      <c r="D2179" s="461" t="s">
        <v>7720</v>
      </c>
      <c r="E2179" s="461" t="s">
        <v>10289</v>
      </c>
      <c r="F2179" s="461" t="s">
        <v>278</v>
      </c>
    </row>
    <row r="2180" spans="1:6">
      <c r="A2180" s="807">
        <v>45536</v>
      </c>
      <c r="B2180" s="808"/>
      <c r="C2180" s="808"/>
      <c r="D2180" s="808"/>
      <c r="E2180" s="808"/>
      <c r="F2180" s="809"/>
    </row>
    <row r="2181" spans="1:6">
      <c r="A2181" s="503">
        <v>45537</v>
      </c>
      <c r="B2181" s="149" t="s">
        <v>7320</v>
      </c>
      <c r="C2181" s="149" t="s">
        <v>10534</v>
      </c>
      <c r="D2181" s="149" t="s">
        <v>7543</v>
      </c>
      <c r="E2181" s="149" t="s">
        <v>10289</v>
      </c>
      <c r="F2181" s="149" t="s">
        <v>10494</v>
      </c>
    </row>
    <row r="2182" spans="1:6">
      <c r="A2182" s="503">
        <v>45541</v>
      </c>
      <c r="B2182" s="760" t="s">
        <v>7324</v>
      </c>
      <c r="C2182" s="149" t="s">
        <v>10534</v>
      </c>
      <c r="D2182" s="149" t="s">
        <v>7543</v>
      </c>
      <c r="E2182" s="149" t="s">
        <v>10233</v>
      </c>
      <c r="F2182" s="149" t="s">
        <v>10494</v>
      </c>
    </row>
    <row r="2183" spans="1:6">
      <c r="A2183" s="503">
        <v>45541</v>
      </c>
      <c r="B2183" s="149" t="s">
        <v>7326</v>
      </c>
      <c r="C2183" s="149" t="s">
        <v>10534</v>
      </c>
      <c r="D2183" s="149" t="s">
        <v>7543</v>
      </c>
      <c r="E2183" s="149" t="s">
        <v>10233</v>
      </c>
      <c r="F2183" s="149" t="s">
        <v>10494</v>
      </c>
    </row>
    <row r="2184" spans="1:6">
      <c r="A2184" s="503">
        <v>45544</v>
      </c>
      <c r="B2184" s="149" t="s">
        <v>3044</v>
      </c>
      <c r="C2184" s="149" t="s">
        <v>10534</v>
      </c>
      <c r="D2184" s="149" t="s">
        <v>7543</v>
      </c>
      <c r="E2184" s="149" t="s">
        <v>10289</v>
      </c>
      <c r="F2184" s="149" t="s">
        <v>10291</v>
      </c>
    </row>
    <row r="2185" spans="1:6">
      <c r="A2185" s="503">
        <v>45546</v>
      </c>
      <c r="B2185" s="149" t="s">
        <v>11090</v>
      </c>
      <c r="C2185" s="149" t="s">
        <v>10534</v>
      </c>
      <c r="D2185" s="149" t="s">
        <v>7543</v>
      </c>
      <c r="E2185" s="149" t="s">
        <v>11036</v>
      </c>
      <c r="F2185" s="149" t="s">
        <v>11068</v>
      </c>
    </row>
    <row r="2186" spans="1:6">
      <c r="A2186" s="566">
        <v>45546</v>
      </c>
      <c r="B2186" s="186" t="s">
        <v>11091</v>
      </c>
      <c r="C2186" s="149" t="s">
        <v>8929</v>
      </c>
      <c r="D2186" s="149" t="s">
        <v>7543</v>
      </c>
      <c r="E2186" s="186" t="s">
        <v>10899</v>
      </c>
      <c r="F2186" s="149" t="s">
        <v>10291</v>
      </c>
    </row>
    <row r="2187" spans="1:6">
      <c r="A2187" s="503">
        <v>45548</v>
      </c>
      <c r="B2187" s="149" t="s">
        <v>11092</v>
      </c>
      <c r="C2187" s="149" t="s">
        <v>10534</v>
      </c>
      <c r="D2187" s="149" t="s">
        <v>7543</v>
      </c>
      <c r="E2187" s="149" t="s">
        <v>10233</v>
      </c>
      <c r="F2187" s="149" t="s">
        <v>11065</v>
      </c>
    </row>
    <row r="2188" spans="1:6" ht="18">
      <c r="A2188" s="503" t="s">
        <v>11093</v>
      </c>
      <c r="B2188" s="573" t="s">
        <v>7336</v>
      </c>
      <c r="C2188" s="149" t="s">
        <v>10534</v>
      </c>
      <c r="D2188" s="149" t="s">
        <v>7543</v>
      </c>
      <c r="E2188" s="149" t="s">
        <v>11036</v>
      </c>
      <c r="F2188" s="149" t="s">
        <v>10494</v>
      </c>
    </row>
    <row r="2189" spans="1:6">
      <c r="A2189" s="503" t="s">
        <v>11093</v>
      </c>
      <c r="B2189" s="149" t="s">
        <v>5740</v>
      </c>
      <c r="C2189" s="149" t="s">
        <v>10534</v>
      </c>
      <c r="D2189" s="149" t="s">
        <v>7543</v>
      </c>
      <c r="E2189" s="149" t="s">
        <v>10899</v>
      </c>
      <c r="F2189" s="149" t="s">
        <v>11068</v>
      </c>
    </row>
    <row r="2190" spans="1:6">
      <c r="A2190" s="550" t="s">
        <v>11094</v>
      </c>
      <c r="B2190" s="108" t="s">
        <v>11095</v>
      </c>
      <c r="C2190" s="108" t="s">
        <v>10534</v>
      </c>
      <c r="D2190" s="108" t="s">
        <v>7543</v>
      </c>
      <c r="E2190" s="108" t="s">
        <v>10899</v>
      </c>
      <c r="F2190" s="108" t="s">
        <v>10956</v>
      </c>
    </row>
    <row r="2191" spans="1:6">
      <c r="A2191" s="550" t="s">
        <v>11094</v>
      </c>
      <c r="B2191" s="108" t="s">
        <v>11095</v>
      </c>
      <c r="C2191" s="108" t="s">
        <v>10534</v>
      </c>
      <c r="D2191" s="108" t="s">
        <v>7543</v>
      </c>
      <c r="E2191" s="108" t="s">
        <v>10011</v>
      </c>
      <c r="F2191" s="108" t="s">
        <v>10956</v>
      </c>
    </row>
    <row r="2192" spans="1:6">
      <c r="A2192" s="503">
        <v>45553</v>
      </c>
      <c r="B2192" s="149" t="s">
        <v>989</v>
      </c>
      <c r="C2192" s="149" t="s">
        <v>8929</v>
      </c>
      <c r="D2192" s="149" t="s">
        <v>7543</v>
      </c>
      <c r="E2192" s="149" t="s">
        <v>10899</v>
      </c>
      <c r="F2192" s="149" t="s">
        <v>11096</v>
      </c>
    </row>
    <row r="2193" spans="1:6">
      <c r="A2193" s="503">
        <v>45553</v>
      </c>
      <c r="B2193" s="149" t="s">
        <v>11097</v>
      </c>
      <c r="C2193" s="149" t="s">
        <v>10534</v>
      </c>
      <c r="D2193" s="149" t="s">
        <v>7543</v>
      </c>
      <c r="E2193" s="149" t="s">
        <v>10899</v>
      </c>
      <c r="F2193" s="149" t="s">
        <v>10494</v>
      </c>
    </row>
    <row r="2194" spans="1:6">
      <c r="A2194" s="503">
        <v>45554</v>
      </c>
      <c r="B2194" s="149" t="s">
        <v>11098</v>
      </c>
      <c r="C2194" s="149" t="s">
        <v>10534</v>
      </c>
      <c r="D2194" s="149" t="s">
        <v>7543</v>
      </c>
      <c r="E2194" s="149" t="s">
        <v>10916</v>
      </c>
      <c r="F2194" s="149" t="s">
        <v>10494</v>
      </c>
    </row>
    <row r="2195" spans="1:6">
      <c r="A2195" s="503" t="s">
        <v>11099</v>
      </c>
      <c r="B2195" s="149" t="s">
        <v>11100</v>
      </c>
      <c r="C2195" s="149" t="s">
        <v>10534</v>
      </c>
      <c r="D2195" s="149" t="s">
        <v>7543</v>
      </c>
      <c r="E2195" s="149" t="s">
        <v>10316</v>
      </c>
      <c r="F2195" s="149" t="s">
        <v>10494</v>
      </c>
    </row>
    <row r="2196" spans="1:6">
      <c r="A2196" s="503">
        <v>45558</v>
      </c>
      <c r="B2196" s="149" t="s">
        <v>11101</v>
      </c>
      <c r="C2196" s="149" t="s">
        <v>10534</v>
      </c>
      <c r="D2196" s="149" t="s">
        <v>7543</v>
      </c>
      <c r="E2196" s="149" t="s">
        <v>10289</v>
      </c>
      <c r="F2196" s="149" t="s">
        <v>10494</v>
      </c>
    </row>
    <row r="2197" spans="1:6">
      <c r="A2197" s="503">
        <v>45558</v>
      </c>
      <c r="B2197" s="149" t="s">
        <v>11102</v>
      </c>
      <c r="C2197" s="149" t="s">
        <v>10534</v>
      </c>
      <c r="D2197" s="149" t="s">
        <v>7543</v>
      </c>
      <c r="E2197" s="149" t="s">
        <v>10289</v>
      </c>
      <c r="F2197" s="149" t="s">
        <v>10494</v>
      </c>
    </row>
    <row r="2198" spans="1:6">
      <c r="A2198" s="503">
        <v>45559</v>
      </c>
      <c r="B2198" s="149" t="s">
        <v>5243</v>
      </c>
      <c r="C2198" s="149" t="s">
        <v>10534</v>
      </c>
      <c r="D2198" s="149" t="s">
        <v>7543</v>
      </c>
      <c r="E2198" s="149" t="s">
        <v>11036</v>
      </c>
      <c r="F2198" s="149" t="s">
        <v>10293</v>
      </c>
    </row>
    <row r="2199" spans="1:6">
      <c r="A2199" s="566">
        <v>45561</v>
      </c>
      <c r="B2199" s="186" t="s">
        <v>11103</v>
      </c>
      <c r="C2199" s="186" t="s">
        <v>10534</v>
      </c>
      <c r="D2199" s="149" t="s">
        <v>7543</v>
      </c>
      <c r="E2199" s="186" t="s">
        <v>10916</v>
      </c>
      <c r="F2199" s="149" t="s">
        <v>10494</v>
      </c>
    </row>
    <row r="2200" spans="1:6">
      <c r="A2200" s="503">
        <v>45561</v>
      </c>
      <c r="B2200" s="149" t="s">
        <v>11104</v>
      </c>
      <c r="C2200" s="149" t="s">
        <v>10534</v>
      </c>
      <c r="D2200" s="149" t="s">
        <v>7543</v>
      </c>
      <c r="E2200" s="149" t="s">
        <v>9999</v>
      </c>
      <c r="F2200" s="149" t="s">
        <v>10494</v>
      </c>
    </row>
    <row r="2201" spans="1:6">
      <c r="A2201" s="503">
        <v>45563</v>
      </c>
      <c r="B2201" s="149" t="s">
        <v>7385</v>
      </c>
      <c r="C2201" s="149" t="s">
        <v>10534</v>
      </c>
      <c r="D2201" s="149" t="s">
        <v>7543</v>
      </c>
      <c r="E2201" s="149" t="s">
        <v>11026</v>
      </c>
      <c r="F2201" s="149" t="s">
        <v>10494</v>
      </c>
    </row>
    <row r="2202" spans="1:6">
      <c r="A2202" s="503">
        <v>45563</v>
      </c>
      <c r="B2202" s="149" t="s">
        <v>11105</v>
      </c>
      <c r="C2202" s="149" t="s">
        <v>10534</v>
      </c>
      <c r="D2202" s="149" t="s">
        <v>7543</v>
      </c>
      <c r="E2202" s="149" t="s">
        <v>10316</v>
      </c>
      <c r="F2202" s="149" t="s">
        <v>10494</v>
      </c>
    </row>
    <row r="2203" spans="1:6">
      <c r="A2203" s="503">
        <v>45565</v>
      </c>
      <c r="B2203" s="149" t="s">
        <v>11106</v>
      </c>
      <c r="C2203" s="149" t="s">
        <v>10534</v>
      </c>
      <c r="D2203" s="149" t="s">
        <v>7543</v>
      </c>
      <c r="E2203" s="149" t="s">
        <v>10316</v>
      </c>
      <c r="F2203" s="149" t="s">
        <v>10494</v>
      </c>
    </row>
    <row r="2204" spans="1:6">
      <c r="A2204" s="503">
        <v>45565</v>
      </c>
      <c r="B2204" s="149" t="s">
        <v>11107</v>
      </c>
      <c r="C2204" s="149" t="s">
        <v>10534</v>
      </c>
      <c r="D2204" s="149" t="s">
        <v>7543</v>
      </c>
      <c r="E2204" s="149" t="s">
        <v>10316</v>
      </c>
      <c r="F2204" s="149" t="s">
        <v>10494</v>
      </c>
    </row>
    <row r="2205" spans="1:6" ht="18">
      <c r="A2205" s="503">
        <v>45565</v>
      </c>
      <c r="B2205" s="573" t="s">
        <v>11108</v>
      </c>
      <c r="C2205" s="149" t="s">
        <v>10534</v>
      </c>
      <c r="D2205" s="149" t="s">
        <v>7543</v>
      </c>
      <c r="E2205" s="149" t="s">
        <v>10289</v>
      </c>
      <c r="F2205" s="149" t="s">
        <v>10494</v>
      </c>
    </row>
    <row r="2206" spans="1:6">
      <c r="A2206" s="807">
        <v>45566</v>
      </c>
      <c r="B2206" s="808"/>
      <c r="C2206" s="808"/>
      <c r="D2206" s="808"/>
      <c r="E2206" s="808"/>
      <c r="F2206" s="809"/>
    </row>
    <row r="2207" spans="1:6">
      <c r="A2207" s="715">
        <v>45566</v>
      </c>
      <c r="B2207" s="709" t="s">
        <v>11109</v>
      </c>
      <c r="C2207" s="709" t="s">
        <v>10534</v>
      </c>
      <c r="D2207" s="709" t="s">
        <v>4357</v>
      </c>
      <c r="E2207" s="709" t="s">
        <v>10026</v>
      </c>
      <c r="F2207" s="709" t="s">
        <v>10896</v>
      </c>
    </row>
    <row r="2208" spans="1:6">
      <c r="A2208" s="503">
        <v>45566</v>
      </c>
      <c r="B2208" s="149" t="s">
        <v>11110</v>
      </c>
      <c r="C2208" s="149" t="s">
        <v>10534</v>
      </c>
      <c r="D2208" s="149" t="s">
        <v>4357</v>
      </c>
      <c r="E2208" s="149" t="s">
        <v>11036</v>
      </c>
      <c r="F2208" s="149" t="s">
        <v>10494</v>
      </c>
    </row>
    <row r="2209" spans="1:6">
      <c r="A2209" s="503">
        <v>45566</v>
      </c>
      <c r="B2209" s="307" t="s">
        <v>11111</v>
      </c>
      <c r="C2209" s="149" t="s">
        <v>10534</v>
      </c>
      <c r="D2209" s="149" t="s">
        <v>4357</v>
      </c>
      <c r="E2209" s="149" t="s">
        <v>11036</v>
      </c>
      <c r="F2209" s="149" t="s">
        <v>10494</v>
      </c>
    </row>
    <row r="2210" spans="1:6">
      <c r="A2210" s="503">
        <v>45566</v>
      </c>
      <c r="B2210" s="149" t="s">
        <v>11112</v>
      </c>
      <c r="C2210" s="149" t="s">
        <v>10534</v>
      </c>
      <c r="D2210" s="149" t="s">
        <v>4357</v>
      </c>
      <c r="E2210" s="149" t="s">
        <v>10899</v>
      </c>
      <c r="F2210" s="149" t="s">
        <v>10494</v>
      </c>
    </row>
    <row r="2211" spans="1:6">
      <c r="A2211" s="503">
        <v>45568</v>
      </c>
      <c r="B2211" s="149" t="s">
        <v>11113</v>
      </c>
      <c r="C2211" s="149" t="s">
        <v>10534</v>
      </c>
      <c r="D2211" s="149" t="s">
        <v>11114</v>
      </c>
      <c r="E2211" s="149" t="s">
        <v>10916</v>
      </c>
      <c r="F2211" s="149" t="s">
        <v>10291</v>
      </c>
    </row>
    <row r="2212" spans="1:6">
      <c r="A2212" s="503">
        <v>45568</v>
      </c>
      <c r="B2212" s="149" t="s">
        <v>11115</v>
      </c>
      <c r="C2212" s="149" t="s">
        <v>10534</v>
      </c>
      <c r="D2212" s="149" t="s">
        <v>11114</v>
      </c>
      <c r="E2212" s="149" t="s">
        <v>10916</v>
      </c>
      <c r="F2212" s="149" t="s">
        <v>10494</v>
      </c>
    </row>
    <row r="2213" spans="1:6">
      <c r="A2213" s="503">
        <v>45568</v>
      </c>
      <c r="B2213" s="149" t="s">
        <v>11116</v>
      </c>
      <c r="C2213" s="149" t="s">
        <v>10534</v>
      </c>
      <c r="D2213" s="149" t="s">
        <v>4357</v>
      </c>
      <c r="E2213" s="149" t="s">
        <v>10007</v>
      </c>
      <c r="F2213" s="149" t="s">
        <v>10494</v>
      </c>
    </row>
    <row r="2214" spans="1:6">
      <c r="A2214" s="503">
        <v>45568</v>
      </c>
      <c r="B2214" s="149" t="s">
        <v>11117</v>
      </c>
      <c r="C2214" s="149" t="s">
        <v>10534</v>
      </c>
      <c r="D2214" s="149" t="s">
        <v>4357</v>
      </c>
      <c r="E2214" s="149" t="s">
        <v>9999</v>
      </c>
      <c r="F2214" s="149" t="s">
        <v>11096</v>
      </c>
    </row>
    <row r="2215" spans="1:6">
      <c r="A2215" s="503">
        <v>45568</v>
      </c>
      <c r="B2215" s="149" t="s">
        <v>11118</v>
      </c>
      <c r="C2215" s="149" t="s">
        <v>10534</v>
      </c>
      <c r="D2215" s="149" t="s">
        <v>4357</v>
      </c>
      <c r="E2215" s="149" t="s">
        <v>10233</v>
      </c>
      <c r="F2215" s="149" t="s">
        <v>11096</v>
      </c>
    </row>
    <row r="2216" spans="1:6">
      <c r="A2216" s="503">
        <v>45569</v>
      </c>
      <c r="B2216" s="697" t="s">
        <v>7022</v>
      </c>
      <c r="C2216" s="149" t="s">
        <v>10534</v>
      </c>
      <c r="D2216" s="149" t="s">
        <v>4357</v>
      </c>
      <c r="E2216" s="149" t="s">
        <v>10316</v>
      </c>
      <c r="F2216" s="149" t="s">
        <v>11096</v>
      </c>
    </row>
    <row r="2217" spans="1:6">
      <c r="A2217" s="503">
        <v>45572</v>
      </c>
      <c r="B2217" s="149" t="s">
        <v>4359</v>
      </c>
      <c r="C2217" s="149" t="s">
        <v>10534</v>
      </c>
      <c r="D2217" s="149" t="s">
        <v>4357</v>
      </c>
      <c r="E2217" s="149" t="s">
        <v>10289</v>
      </c>
      <c r="F2217" s="149" t="s">
        <v>11096</v>
      </c>
    </row>
    <row r="2218" spans="1:6">
      <c r="A2218" s="781">
        <v>45572</v>
      </c>
      <c r="B2218" s="708" t="s">
        <v>11119</v>
      </c>
      <c r="C2218" s="708" t="s">
        <v>10534</v>
      </c>
      <c r="D2218" s="708" t="s">
        <v>11114</v>
      </c>
      <c r="E2218" s="708" t="s">
        <v>10289</v>
      </c>
      <c r="F2218" s="708" t="s">
        <v>8918</v>
      </c>
    </row>
    <row r="2219" spans="1:6">
      <c r="A2219" s="503">
        <v>45574</v>
      </c>
      <c r="B2219" s="149" t="s">
        <v>7389</v>
      </c>
      <c r="C2219" s="149" t="s">
        <v>10534</v>
      </c>
      <c r="D2219" s="149" t="s">
        <v>11114</v>
      </c>
      <c r="E2219" s="149" t="s">
        <v>10899</v>
      </c>
      <c r="F2219" s="149" t="s">
        <v>10494</v>
      </c>
    </row>
    <row r="2220" spans="1:6">
      <c r="A2220" s="503">
        <v>45579</v>
      </c>
      <c r="B2220" s="149" t="s">
        <v>4057</v>
      </c>
      <c r="C2220" s="149" t="s">
        <v>10534</v>
      </c>
      <c r="D2220" s="149" t="s">
        <v>4357</v>
      </c>
      <c r="E2220" s="149" t="s">
        <v>10899</v>
      </c>
      <c r="F2220" s="149" t="s">
        <v>10796</v>
      </c>
    </row>
    <row r="2221" spans="1:6">
      <c r="A2221" s="503">
        <v>45579</v>
      </c>
      <c r="B2221" s="149" t="s">
        <v>7400</v>
      </c>
      <c r="C2221" s="149" t="s">
        <v>10534</v>
      </c>
      <c r="D2221" s="149" t="s">
        <v>4357</v>
      </c>
      <c r="E2221" s="149" t="s">
        <v>10289</v>
      </c>
      <c r="F2221" s="149" t="s">
        <v>10494</v>
      </c>
    </row>
    <row r="2222" spans="1:6">
      <c r="A2222" s="503">
        <v>45579</v>
      </c>
      <c r="B2222" s="149" t="s">
        <v>3341</v>
      </c>
      <c r="C2222" s="149" t="s">
        <v>10534</v>
      </c>
      <c r="D2222" s="149" t="s">
        <v>4357</v>
      </c>
      <c r="E2222" s="149" t="s">
        <v>10289</v>
      </c>
      <c r="F2222" s="149" t="s">
        <v>10766</v>
      </c>
    </row>
    <row r="2223" spans="1:6">
      <c r="A2223" s="503">
        <v>45579</v>
      </c>
      <c r="B2223" s="149" t="s">
        <v>11120</v>
      </c>
      <c r="C2223" s="149" t="s">
        <v>10534</v>
      </c>
      <c r="D2223" s="149" t="s">
        <v>4357</v>
      </c>
      <c r="E2223" s="149" t="s">
        <v>10944</v>
      </c>
      <c r="F2223" s="149" t="s">
        <v>10494</v>
      </c>
    </row>
    <row r="2224" spans="1:6">
      <c r="A2224" s="503">
        <v>45579</v>
      </c>
      <c r="B2224" s="149" t="s">
        <v>11121</v>
      </c>
      <c r="C2224" s="149" t="s">
        <v>10534</v>
      </c>
      <c r="D2224" s="149" t="s">
        <v>4357</v>
      </c>
      <c r="E2224" s="149" t="s">
        <v>11036</v>
      </c>
      <c r="F2224" s="149" t="s">
        <v>10494</v>
      </c>
    </row>
    <row r="2225" spans="1:6">
      <c r="A2225" s="503">
        <v>45580</v>
      </c>
      <c r="B2225" s="149" t="s">
        <v>7390</v>
      </c>
      <c r="C2225" s="149" t="s">
        <v>10534</v>
      </c>
      <c r="D2225" s="149" t="s">
        <v>4357</v>
      </c>
      <c r="E2225" s="149" t="s">
        <v>10899</v>
      </c>
      <c r="F2225" s="149" t="s">
        <v>11096</v>
      </c>
    </row>
    <row r="2226" spans="1:6">
      <c r="A2226" s="503">
        <v>45582</v>
      </c>
      <c r="B2226" s="149" t="s">
        <v>7398</v>
      </c>
      <c r="C2226" s="149" t="s">
        <v>10534</v>
      </c>
      <c r="D2226" s="149" t="s">
        <v>4357</v>
      </c>
      <c r="E2226" s="149" t="s">
        <v>10916</v>
      </c>
      <c r="F2226" s="149" t="s">
        <v>11096</v>
      </c>
    </row>
    <row r="2227" spans="1:6">
      <c r="A2227" s="503">
        <v>45583</v>
      </c>
      <c r="B2227" s="149" t="s">
        <v>6079</v>
      </c>
      <c r="C2227" s="149" t="s">
        <v>10534</v>
      </c>
      <c r="D2227" s="149" t="s">
        <v>4357</v>
      </c>
      <c r="E2227" s="149" t="s">
        <v>10289</v>
      </c>
      <c r="F2227" s="149" t="s">
        <v>10293</v>
      </c>
    </row>
    <row r="2228" spans="1:6">
      <c r="A2228" s="503">
        <v>45583</v>
      </c>
      <c r="B2228" s="149" t="s">
        <v>11122</v>
      </c>
      <c r="C2228" s="149" t="s">
        <v>10534</v>
      </c>
      <c r="D2228" s="149" t="s">
        <v>11114</v>
      </c>
      <c r="E2228" s="149" t="s">
        <v>10233</v>
      </c>
      <c r="F2228" s="149" t="s">
        <v>11096</v>
      </c>
    </row>
    <row r="2229" spans="1:6">
      <c r="A2229" s="503" t="s">
        <v>11123</v>
      </c>
      <c r="B2229" s="149" t="s">
        <v>7393</v>
      </c>
      <c r="C2229" s="149" t="s">
        <v>10534</v>
      </c>
      <c r="D2229" s="149" t="s">
        <v>4357</v>
      </c>
      <c r="E2229" s="149" t="s">
        <v>10899</v>
      </c>
      <c r="F2229" s="149" t="s">
        <v>11096</v>
      </c>
    </row>
    <row r="2230" spans="1:6">
      <c r="A2230" s="503">
        <v>45586</v>
      </c>
      <c r="B2230" s="149" t="s">
        <v>3318</v>
      </c>
      <c r="C2230" s="149" t="s">
        <v>10534</v>
      </c>
      <c r="D2230" s="149" t="s">
        <v>11114</v>
      </c>
      <c r="E2230" s="149" t="s">
        <v>10899</v>
      </c>
      <c r="F2230" s="149" t="s">
        <v>10291</v>
      </c>
    </row>
    <row r="2231" spans="1:6">
      <c r="A2231" s="503">
        <v>45586</v>
      </c>
      <c r="B2231" s="149" t="s">
        <v>11124</v>
      </c>
      <c r="C2231" s="149" t="s">
        <v>10534</v>
      </c>
      <c r="D2231" s="149" t="s">
        <v>11114</v>
      </c>
      <c r="E2231" s="149" t="s">
        <v>11036</v>
      </c>
      <c r="F2231" s="149" t="s">
        <v>11096</v>
      </c>
    </row>
    <row r="2232" spans="1:6">
      <c r="A2232" s="503">
        <v>45587</v>
      </c>
      <c r="B2232" s="149" t="s">
        <v>7399</v>
      </c>
      <c r="C2232" s="149" t="s">
        <v>10534</v>
      </c>
      <c r="D2232" s="149" t="s">
        <v>11114</v>
      </c>
      <c r="E2232" s="149" t="s">
        <v>11036</v>
      </c>
      <c r="F2232" s="149" t="s">
        <v>11096</v>
      </c>
    </row>
    <row r="2233" spans="1:6">
      <c r="A2233" s="503">
        <v>45588</v>
      </c>
      <c r="B2233" s="149" t="s">
        <v>11125</v>
      </c>
      <c r="C2233" s="149" t="s">
        <v>10534</v>
      </c>
      <c r="D2233" s="149" t="s">
        <v>4357</v>
      </c>
      <c r="E2233" s="149" t="s">
        <v>9999</v>
      </c>
      <c r="F2233" s="149" t="s">
        <v>11096</v>
      </c>
    </row>
    <row r="2234" spans="1:6">
      <c r="A2234" s="503">
        <v>45588</v>
      </c>
      <c r="B2234" s="149" t="s">
        <v>11126</v>
      </c>
      <c r="C2234" s="149" t="s">
        <v>10534</v>
      </c>
      <c r="D2234" s="149" t="s">
        <v>4357</v>
      </c>
      <c r="E2234" s="149" t="s">
        <v>10289</v>
      </c>
      <c r="F2234" s="149" t="s">
        <v>11096</v>
      </c>
    </row>
    <row r="2235" spans="1:6">
      <c r="A2235" s="781">
        <v>45589</v>
      </c>
      <c r="B2235" s="782" t="s">
        <v>11127</v>
      </c>
      <c r="C2235" s="708" t="s">
        <v>10534</v>
      </c>
      <c r="D2235" s="708" t="s">
        <v>11114</v>
      </c>
      <c r="E2235" s="708" t="s">
        <v>10233</v>
      </c>
      <c r="F2235" s="708" t="s">
        <v>8918</v>
      </c>
    </row>
    <row r="2236" spans="1:6">
      <c r="A2236" s="478">
        <v>45589</v>
      </c>
      <c r="B2236" s="149" t="s">
        <v>11128</v>
      </c>
      <c r="C2236" s="185" t="s">
        <v>10534</v>
      </c>
      <c r="D2236" s="149" t="s">
        <v>4357</v>
      </c>
      <c r="E2236" s="149" t="s">
        <v>10233</v>
      </c>
      <c r="F2236" s="149" t="s">
        <v>11096</v>
      </c>
    </row>
    <row r="2237" spans="1:6">
      <c r="A2237" s="503">
        <v>45590</v>
      </c>
      <c r="B2237" t="s">
        <v>11129</v>
      </c>
      <c r="C2237" s="185" t="s">
        <v>10534</v>
      </c>
      <c r="D2237" s="149" t="s">
        <v>11114</v>
      </c>
      <c r="E2237" s="149" t="s">
        <v>10916</v>
      </c>
      <c r="F2237" s="149" t="s">
        <v>10293</v>
      </c>
    </row>
    <row r="2238" spans="1:6">
      <c r="A2238" s="551">
        <v>45590</v>
      </c>
      <c r="B2238" s="461" t="s">
        <v>7397</v>
      </c>
      <c r="C2238" s="532" t="s">
        <v>10534</v>
      </c>
      <c r="D2238" s="461" t="s">
        <v>11114</v>
      </c>
      <c r="E2238" s="461" t="s">
        <v>10233</v>
      </c>
      <c r="F2238" s="461" t="s">
        <v>278</v>
      </c>
    </row>
    <row r="2239" spans="1:6">
      <c r="A2239" s="503">
        <v>45590</v>
      </c>
      <c r="B2239" s="149" t="s">
        <v>11130</v>
      </c>
      <c r="C2239" s="185" t="s">
        <v>10534</v>
      </c>
      <c r="D2239" s="149" t="s">
        <v>11114</v>
      </c>
      <c r="E2239" s="149" t="s">
        <v>10233</v>
      </c>
      <c r="F2239" s="149" t="s">
        <v>11096</v>
      </c>
    </row>
    <row r="2240" spans="1:6">
      <c r="A2240" s="503">
        <v>45590</v>
      </c>
      <c r="B2240" s="149" t="s">
        <v>11131</v>
      </c>
      <c r="C2240" s="185" t="s">
        <v>10534</v>
      </c>
      <c r="D2240" s="149" t="s">
        <v>11114</v>
      </c>
      <c r="E2240" s="149" t="s">
        <v>10233</v>
      </c>
      <c r="F2240" s="149" t="s">
        <v>11096</v>
      </c>
    </row>
    <row r="2241" spans="1:6">
      <c r="A2241" s="503">
        <v>45590</v>
      </c>
      <c r="B2241" s="149" t="s">
        <v>3273</v>
      </c>
      <c r="C2241" s="185" t="s">
        <v>10534</v>
      </c>
      <c r="D2241" s="149" t="s">
        <v>11114</v>
      </c>
      <c r="E2241" s="149" t="s">
        <v>9999</v>
      </c>
      <c r="F2241" s="149" t="s">
        <v>10291</v>
      </c>
    </row>
    <row r="2242" spans="1:6">
      <c r="A2242" s="503">
        <v>45595</v>
      </c>
      <c r="B2242" s="149" t="s">
        <v>4579</v>
      </c>
      <c r="C2242" s="149" t="s">
        <v>10534</v>
      </c>
      <c r="D2242" s="149" t="s">
        <v>11114</v>
      </c>
      <c r="E2242" s="149" t="s">
        <v>9999</v>
      </c>
      <c r="F2242" s="149" t="s">
        <v>11132</v>
      </c>
    </row>
    <row r="2243" spans="1:6">
      <c r="A2243" s="550">
        <v>45595</v>
      </c>
      <c r="B2243" s="108" t="s">
        <v>3502</v>
      </c>
      <c r="C2243" s="108" t="s">
        <v>10534</v>
      </c>
      <c r="D2243" s="108" t="s">
        <v>4357</v>
      </c>
      <c r="E2243" s="108" t="s">
        <v>10007</v>
      </c>
      <c r="F2243" s="108" t="s">
        <v>10956</v>
      </c>
    </row>
    <row r="2244" spans="1:6">
      <c r="A2244" s="503">
        <v>45596</v>
      </c>
      <c r="B2244" s="149" t="s">
        <v>6037</v>
      </c>
      <c r="C2244" s="149" t="s">
        <v>10534</v>
      </c>
      <c r="D2244" s="149" t="s">
        <v>11114</v>
      </c>
      <c r="E2244" s="149" t="s">
        <v>10233</v>
      </c>
      <c r="F2244" s="149" t="s">
        <v>11133</v>
      </c>
    </row>
    <row r="2245" spans="1:6">
      <c r="A2245" s="503">
        <v>45596</v>
      </c>
      <c r="B2245" s="149" t="s">
        <v>11134</v>
      </c>
      <c r="C2245" s="149" t="s">
        <v>10534</v>
      </c>
      <c r="D2245" s="149" t="s">
        <v>11114</v>
      </c>
      <c r="E2245" s="149" t="s">
        <v>10233</v>
      </c>
      <c r="F2245" s="149" t="s">
        <v>11096</v>
      </c>
    </row>
    <row r="2246" spans="1:6">
      <c r="A2246" s="503">
        <v>45596</v>
      </c>
      <c r="B2246" s="149" t="s">
        <v>11135</v>
      </c>
      <c r="C2246" s="149" t="s">
        <v>10534</v>
      </c>
      <c r="D2246" s="149" t="s">
        <v>4357</v>
      </c>
      <c r="E2246" s="149" t="s">
        <v>10289</v>
      </c>
      <c r="F2246" s="149" t="s">
        <v>11096</v>
      </c>
    </row>
    <row r="2247" spans="1:6">
      <c r="A2247" s="807">
        <v>45597</v>
      </c>
      <c r="B2247" s="808"/>
      <c r="C2247" s="808"/>
      <c r="D2247" s="808"/>
      <c r="E2247" s="808"/>
      <c r="F2247" s="809"/>
    </row>
    <row r="2248" spans="1:6">
      <c r="A2248" s="503">
        <v>45600</v>
      </c>
      <c r="B2248" s="149" t="s">
        <v>11136</v>
      </c>
      <c r="C2248" s="149" t="s">
        <v>10534</v>
      </c>
      <c r="D2248" s="149" t="s">
        <v>8910</v>
      </c>
      <c r="E2248" s="149" t="s">
        <v>10289</v>
      </c>
      <c r="F2248" s="149" t="s">
        <v>11096</v>
      </c>
    </row>
    <row r="2249" spans="1:6">
      <c r="A2249" s="503">
        <v>45600</v>
      </c>
      <c r="B2249" s="149" t="s">
        <v>11137</v>
      </c>
      <c r="C2249" s="149" t="s">
        <v>10534</v>
      </c>
      <c r="D2249" s="149" t="s">
        <v>8910</v>
      </c>
      <c r="E2249" s="149" t="s">
        <v>10289</v>
      </c>
      <c r="F2249" s="149" t="s">
        <v>11096</v>
      </c>
    </row>
    <row r="2250" spans="1:6">
      <c r="A2250" s="503">
        <v>45601</v>
      </c>
      <c r="B2250" s="149" t="s">
        <v>11138</v>
      </c>
      <c r="C2250" s="149" t="s">
        <v>10534</v>
      </c>
      <c r="D2250" s="149" t="s">
        <v>8910</v>
      </c>
      <c r="E2250" s="149" t="s">
        <v>10899</v>
      </c>
      <c r="F2250" s="149" t="s">
        <v>11096</v>
      </c>
    </row>
    <row r="2251" spans="1:6">
      <c r="A2251" s="503">
        <v>45601</v>
      </c>
      <c r="B2251" s="149" t="s">
        <v>6274</v>
      </c>
      <c r="C2251" s="149" t="s">
        <v>10534</v>
      </c>
      <c r="D2251" s="149" t="s">
        <v>8910</v>
      </c>
      <c r="E2251" s="149" t="s">
        <v>10899</v>
      </c>
      <c r="F2251" s="149" t="s">
        <v>11096</v>
      </c>
    </row>
    <row r="2252" spans="1:6">
      <c r="A2252" s="503">
        <v>45602</v>
      </c>
      <c r="B2252" s="149" t="s">
        <v>11139</v>
      </c>
      <c r="C2252" s="149" t="s">
        <v>10534</v>
      </c>
      <c r="D2252" s="149" t="s">
        <v>8910</v>
      </c>
      <c r="E2252" s="149" t="s">
        <v>10899</v>
      </c>
      <c r="F2252" s="149" t="s">
        <v>11096</v>
      </c>
    </row>
    <row r="2253" spans="1:6">
      <c r="A2253" s="503">
        <v>45607</v>
      </c>
      <c r="B2253" s="149" t="s">
        <v>11140</v>
      </c>
      <c r="C2253" s="149" t="s">
        <v>10534</v>
      </c>
      <c r="D2253" s="149" t="s">
        <v>8910</v>
      </c>
      <c r="E2253" s="149" t="s">
        <v>10944</v>
      </c>
      <c r="F2253" s="149" t="s">
        <v>11096</v>
      </c>
    </row>
    <row r="2254" spans="1:6">
      <c r="A2254" s="503">
        <v>45607</v>
      </c>
      <c r="B2254" s="149" t="s">
        <v>11141</v>
      </c>
      <c r="C2254" s="149" t="s">
        <v>10534</v>
      </c>
      <c r="D2254" s="149" t="s">
        <v>8910</v>
      </c>
      <c r="E2254" s="149" t="s">
        <v>10944</v>
      </c>
      <c r="F2254" s="149" t="s">
        <v>11096</v>
      </c>
    </row>
    <row r="2255" spans="1:6">
      <c r="A2255" s="503">
        <v>45608</v>
      </c>
      <c r="B2255" s="149" t="s">
        <v>11142</v>
      </c>
      <c r="C2255" s="149" t="s">
        <v>10534</v>
      </c>
      <c r="D2255" s="149" t="s">
        <v>8910</v>
      </c>
      <c r="E2255" s="149" t="s">
        <v>11036</v>
      </c>
      <c r="F2255" s="149" t="s">
        <v>11096</v>
      </c>
    </row>
    <row r="2256" spans="1:6">
      <c r="A2256" s="670">
        <v>45608</v>
      </c>
      <c r="B2256" s="671" t="s">
        <v>11143</v>
      </c>
      <c r="C2256" s="671" t="s">
        <v>10534</v>
      </c>
      <c r="D2256" s="671" t="s">
        <v>8910</v>
      </c>
      <c r="E2256" s="671" t="s">
        <v>11036</v>
      </c>
      <c r="F2256" s="671" t="s">
        <v>11051</v>
      </c>
    </row>
    <row r="2257" spans="1:6">
      <c r="A2257" s="503">
        <v>45608</v>
      </c>
      <c r="B2257" s="149" t="s">
        <v>11144</v>
      </c>
      <c r="C2257" s="149" t="s">
        <v>10534</v>
      </c>
      <c r="D2257" s="149" t="s">
        <v>8910</v>
      </c>
      <c r="E2257" s="149" t="s">
        <v>11036</v>
      </c>
      <c r="F2257" s="149" t="s">
        <v>11096</v>
      </c>
    </row>
    <row r="2258" spans="1:6">
      <c r="A2258" s="503">
        <v>45609</v>
      </c>
      <c r="B2258" s="149" t="s">
        <v>11145</v>
      </c>
      <c r="C2258" s="149" t="s">
        <v>10534</v>
      </c>
      <c r="D2258" s="149" t="s">
        <v>8910</v>
      </c>
      <c r="E2258" s="149" t="s">
        <v>10007</v>
      </c>
      <c r="F2258" s="149" t="s">
        <v>11096</v>
      </c>
    </row>
    <row r="2259" spans="1:6">
      <c r="A2259" s="503">
        <v>45610</v>
      </c>
      <c r="B2259" s="149" t="s">
        <v>11146</v>
      </c>
      <c r="C2259" s="149" t="s">
        <v>10534</v>
      </c>
      <c r="D2259" s="149" t="s">
        <v>8910</v>
      </c>
      <c r="E2259" s="149" t="s">
        <v>10916</v>
      </c>
      <c r="F2259" s="149" t="s">
        <v>10293</v>
      </c>
    </row>
    <row r="2260" spans="1:6">
      <c r="A2260" s="503">
        <v>45614</v>
      </c>
      <c r="B2260" s="149" t="s">
        <v>5355</v>
      </c>
      <c r="C2260" s="149" t="s">
        <v>10534</v>
      </c>
      <c r="D2260" s="149" t="s">
        <v>8910</v>
      </c>
      <c r="E2260" s="149" t="s">
        <v>10289</v>
      </c>
      <c r="F2260" s="149" t="s">
        <v>10293</v>
      </c>
    </row>
    <row r="2261" spans="1:6">
      <c r="A2261" s="670">
        <v>45614</v>
      </c>
      <c r="B2261" s="671" t="s">
        <v>11147</v>
      </c>
      <c r="C2261" s="671" t="s">
        <v>10534</v>
      </c>
      <c r="D2261" s="671" t="s">
        <v>8910</v>
      </c>
      <c r="E2261" s="671" t="s">
        <v>10289</v>
      </c>
      <c r="F2261" s="671" t="s">
        <v>11051</v>
      </c>
    </row>
    <row r="2262" spans="1:6">
      <c r="A2262" s="503">
        <v>45615</v>
      </c>
      <c r="B2262" s="149" t="s">
        <v>11148</v>
      </c>
      <c r="C2262" s="149" t="s">
        <v>10534</v>
      </c>
      <c r="D2262" s="149" t="s">
        <v>8910</v>
      </c>
      <c r="E2262" s="149" t="s">
        <v>11036</v>
      </c>
      <c r="F2262" s="149" t="s">
        <v>11096</v>
      </c>
    </row>
    <row r="2263" spans="1:6">
      <c r="A2263" s="503">
        <v>45615</v>
      </c>
      <c r="B2263" s="149" t="s">
        <v>2796</v>
      </c>
      <c r="C2263" s="149" t="s">
        <v>8929</v>
      </c>
      <c r="D2263" s="149" t="s">
        <v>8910</v>
      </c>
      <c r="E2263" s="149" t="s">
        <v>11036</v>
      </c>
      <c r="F2263" s="149" t="s">
        <v>11096</v>
      </c>
    </row>
    <row r="2264" spans="1:6">
      <c r="A2264" s="503">
        <v>45617</v>
      </c>
      <c r="B2264" s="149" t="s">
        <v>11149</v>
      </c>
      <c r="C2264" s="149" t="s">
        <v>11150</v>
      </c>
      <c r="D2264" s="149" t="s">
        <v>8910</v>
      </c>
      <c r="E2264" s="149" t="s">
        <v>10916</v>
      </c>
      <c r="F2264" s="149" t="s">
        <v>11096</v>
      </c>
    </row>
    <row r="2265" spans="1:6">
      <c r="A2265" s="503">
        <v>45617</v>
      </c>
      <c r="B2265" s="149" t="s">
        <v>5524</v>
      </c>
      <c r="C2265" s="149" t="s">
        <v>11150</v>
      </c>
      <c r="D2265" s="149" t="s">
        <v>8910</v>
      </c>
      <c r="E2265" s="149" t="s">
        <v>10916</v>
      </c>
      <c r="F2265" s="149" t="s">
        <v>11096</v>
      </c>
    </row>
    <row r="2266" spans="1:6" ht="18">
      <c r="A2266" s="503">
        <v>45618</v>
      </c>
      <c r="B2266" s="573" t="s">
        <v>11151</v>
      </c>
      <c r="C2266" s="149" t="s">
        <v>11152</v>
      </c>
      <c r="D2266" s="149" t="s">
        <v>8910</v>
      </c>
      <c r="E2266" s="149" t="s">
        <v>10289</v>
      </c>
      <c r="F2266" s="729" t="s">
        <v>10785</v>
      </c>
    </row>
    <row r="2267" spans="1:6">
      <c r="A2267" s="503"/>
      <c r="B2267" s="149"/>
      <c r="C2267" s="149"/>
      <c r="D2267" s="149"/>
      <c r="E2267" s="149"/>
      <c r="F2267" s="149"/>
    </row>
    <row r="2268" spans="1:6">
      <c r="A2268" s="503"/>
      <c r="B2268" s="149"/>
      <c r="C2268" s="149"/>
      <c r="D2268" s="149"/>
      <c r="E2268" s="149"/>
      <c r="F2268" s="149"/>
    </row>
    <row r="2269" spans="1:6">
      <c r="A2269" s="503"/>
      <c r="B2269" s="149"/>
      <c r="C2269" s="149"/>
      <c r="D2269" s="149"/>
      <c r="E2269" s="149"/>
      <c r="F2269" s="149"/>
    </row>
    <row r="2270" spans="1:6">
      <c r="A2270" s="503"/>
      <c r="B2270" s="149"/>
      <c r="C2270" s="149"/>
      <c r="D2270" s="149"/>
      <c r="E2270" s="149"/>
      <c r="F2270" s="149"/>
    </row>
    <row r="2271" spans="1:6">
      <c r="A2271" s="503"/>
      <c r="B2271" s="149"/>
      <c r="C2271" s="149"/>
      <c r="D2271" s="149"/>
      <c r="E2271" s="149"/>
      <c r="F2271" s="149"/>
    </row>
    <row r="2272" spans="1:6">
      <c r="A2272" s="503"/>
      <c r="B2272" s="149"/>
      <c r="C2272" s="149"/>
      <c r="D2272" s="149"/>
      <c r="E2272" s="149"/>
      <c r="F2272" s="149"/>
    </row>
    <row r="2273" spans="1:6">
      <c r="A2273" s="503"/>
      <c r="B2273" s="149"/>
      <c r="C2273" s="149"/>
      <c r="D2273" s="149"/>
      <c r="E2273" s="149"/>
      <c r="F2273" s="149"/>
    </row>
    <row r="2274" spans="1:6">
      <c r="A2274" s="503"/>
      <c r="B2274" s="149"/>
      <c r="C2274" s="149"/>
      <c r="D2274" s="149"/>
      <c r="E2274" s="149"/>
      <c r="F2274" s="149"/>
    </row>
    <row r="2275" spans="1:6">
      <c r="A2275" s="503"/>
      <c r="B2275" s="149"/>
      <c r="C2275" s="149"/>
      <c r="D2275" s="149"/>
      <c r="E2275" s="149"/>
      <c r="F2275" s="149"/>
    </row>
    <row r="2276" spans="1:6">
      <c r="A2276" s="503"/>
      <c r="B2276" s="149"/>
      <c r="C2276" s="149"/>
      <c r="D2276" s="149"/>
      <c r="E2276" s="149"/>
      <c r="F2276" s="149"/>
    </row>
    <row r="2277" spans="1:6">
      <c r="A2277" s="503"/>
      <c r="B2277" s="149"/>
      <c r="C2277" s="149"/>
      <c r="D2277" s="149"/>
      <c r="E2277" s="149"/>
      <c r="F2277" s="149"/>
    </row>
    <row r="2278" spans="1:6">
      <c r="A2278" s="503"/>
      <c r="B2278" s="149"/>
      <c r="C2278" s="149"/>
      <c r="D2278" s="149"/>
      <c r="E2278" s="149"/>
      <c r="F2278" s="149"/>
    </row>
    <row r="2279" spans="1:6">
      <c r="A2279" s="503"/>
      <c r="B2279" s="149"/>
      <c r="C2279" s="149"/>
      <c r="D2279" s="149"/>
      <c r="E2279" s="149"/>
      <c r="F2279" s="149"/>
    </row>
    <row r="2280" spans="1:6">
      <c r="A2280" s="503"/>
      <c r="B2280" s="149"/>
      <c r="C2280" s="149"/>
      <c r="D2280" s="149"/>
      <c r="E2280" s="149"/>
      <c r="F2280" s="149"/>
    </row>
    <row r="2281" spans="1:6">
      <c r="A2281" s="503"/>
      <c r="B2281" s="149"/>
      <c r="C2281" s="149"/>
      <c r="D2281" s="149"/>
      <c r="E2281" s="149"/>
      <c r="F2281" s="149"/>
    </row>
    <row r="2282" spans="1:6">
      <c r="A2282" s="503"/>
      <c r="B2282" s="149"/>
      <c r="C2282" s="149"/>
      <c r="D2282" s="149"/>
      <c r="E2282" s="149"/>
      <c r="F2282" s="149"/>
    </row>
    <row r="2283" spans="1:6">
      <c r="A2283" s="503"/>
      <c r="B2283" s="149"/>
      <c r="C2283" s="149"/>
      <c r="D2283" s="149"/>
      <c r="E2283" s="149"/>
      <c r="F2283" s="149"/>
    </row>
    <row r="2284" spans="1:6">
      <c r="A2284" s="503"/>
      <c r="B2284" s="149"/>
      <c r="C2284" s="149"/>
      <c r="D2284" s="149"/>
      <c r="E2284" s="149"/>
      <c r="F2284" s="149"/>
    </row>
    <row r="2285" spans="1:6">
      <c r="A2285" s="503"/>
      <c r="B2285" s="149"/>
      <c r="C2285" s="149"/>
      <c r="D2285" s="149"/>
      <c r="E2285" s="149"/>
      <c r="F2285" s="149"/>
    </row>
    <row r="2286" spans="1:6">
      <c r="A2286" s="503"/>
      <c r="B2286" s="149"/>
      <c r="C2286" s="149"/>
      <c r="D2286" s="149"/>
      <c r="E2286" s="149"/>
      <c r="F2286" s="149"/>
    </row>
    <row r="2287" spans="1:6">
      <c r="A2287" s="503"/>
      <c r="B2287" s="149"/>
      <c r="C2287" s="149"/>
      <c r="D2287" s="149"/>
      <c r="E2287" s="149"/>
      <c r="F2287" s="149"/>
    </row>
    <row r="2288" spans="1:6">
      <c r="A2288" s="503"/>
      <c r="B2288" s="149"/>
      <c r="C2288" s="149"/>
      <c r="D2288" s="149"/>
      <c r="E2288" s="149"/>
      <c r="F2288" s="149"/>
    </row>
    <row r="2289" spans="1:6">
      <c r="A2289" s="503"/>
      <c r="B2289" s="149"/>
      <c r="C2289" s="149"/>
      <c r="D2289" s="149"/>
      <c r="E2289" s="149"/>
      <c r="F2289" s="149"/>
    </row>
    <row r="2290" spans="1:6">
      <c r="A2290" s="503"/>
      <c r="B2290" s="149"/>
      <c r="C2290" s="149"/>
      <c r="D2290" s="149"/>
      <c r="E2290" s="149"/>
      <c r="F2290" s="149"/>
    </row>
    <row r="2291" spans="1:6">
      <c r="A2291" s="503"/>
      <c r="B2291" s="149"/>
      <c r="C2291" s="149"/>
      <c r="D2291" s="149"/>
      <c r="E2291" s="149"/>
      <c r="F2291" s="149"/>
    </row>
    <row r="2292" spans="1:6">
      <c r="A2292" s="503"/>
      <c r="B2292" s="149"/>
      <c r="C2292" s="149"/>
      <c r="D2292" s="149"/>
      <c r="E2292" s="149"/>
      <c r="F2292" s="149"/>
    </row>
    <row r="2293" spans="1:6">
      <c r="A2293" s="503"/>
      <c r="B2293" s="149"/>
      <c r="C2293" s="149"/>
      <c r="D2293" s="149"/>
      <c r="E2293" s="149"/>
      <c r="F2293" s="149"/>
    </row>
    <row r="2294" spans="1:6">
      <c r="A2294" s="503"/>
      <c r="B2294" s="149"/>
      <c r="C2294" s="149"/>
      <c r="D2294" s="149"/>
      <c r="E2294" s="149"/>
      <c r="F2294" s="149"/>
    </row>
    <row r="2295" spans="1:6">
      <c r="A2295" s="503"/>
      <c r="B2295" s="149"/>
      <c r="C2295" s="149"/>
      <c r="D2295" s="149"/>
      <c r="E2295" s="149"/>
      <c r="F2295" s="149"/>
    </row>
    <row r="2296" spans="1:6">
      <c r="A2296" s="503"/>
      <c r="B2296" s="149"/>
      <c r="C2296" s="149"/>
      <c r="D2296" s="149"/>
      <c r="E2296" s="149"/>
      <c r="F2296" s="149"/>
    </row>
    <row r="2297" spans="1:6">
      <c r="A2297" s="503"/>
      <c r="B2297" s="149"/>
      <c r="C2297" s="149"/>
      <c r="D2297" s="149"/>
      <c r="E2297" s="149"/>
      <c r="F2297" s="149"/>
    </row>
    <row r="2298" spans="1:6">
      <c r="A2298" s="503"/>
      <c r="B2298" s="149"/>
      <c r="C2298" s="149"/>
      <c r="D2298" s="149"/>
      <c r="E2298" s="149"/>
      <c r="F2298" s="149"/>
    </row>
    <row r="2299" spans="1:6">
      <c r="A2299" s="503"/>
      <c r="B2299" s="149"/>
      <c r="C2299" s="149"/>
      <c r="D2299" s="149"/>
      <c r="E2299" s="149"/>
      <c r="F2299" s="149"/>
    </row>
    <row r="2300" spans="1:6">
      <c r="A2300" s="503"/>
      <c r="B2300" s="149"/>
      <c r="C2300" s="149"/>
      <c r="D2300" s="149"/>
      <c r="E2300" s="149"/>
      <c r="F2300" s="149"/>
    </row>
    <row r="2301" spans="1:6">
      <c r="A2301" s="503"/>
      <c r="B2301" s="149"/>
      <c r="C2301" s="149"/>
      <c r="D2301" s="149"/>
      <c r="E2301" s="149"/>
      <c r="F2301" s="149"/>
    </row>
    <row r="2302" spans="1:6">
      <c r="A2302" s="503"/>
      <c r="B2302" s="149"/>
      <c r="C2302" s="149"/>
      <c r="D2302" s="149"/>
      <c r="E2302" s="149"/>
      <c r="F2302" s="149"/>
    </row>
    <row r="2303" spans="1:6">
      <c r="A2303" s="503"/>
      <c r="B2303" s="149"/>
      <c r="C2303" s="149"/>
      <c r="D2303" s="149"/>
      <c r="E2303" s="149"/>
      <c r="F2303" s="149"/>
    </row>
    <row r="2304" spans="1:6">
      <c r="A2304" s="503"/>
      <c r="B2304" s="149"/>
      <c r="C2304" s="149"/>
      <c r="D2304" s="149"/>
      <c r="E2304" s="149"/>
      <c r="F2304" s="149"/>
    </row>
    <row r="2305" spans="1:2">
      <c r="A2305" s="537"/>
      <c r="B2305" s="108" t="s">
        <v>3502</v>
      </c>
    </row>
    <row r="2306" spans="1:2">
      <c r="A2306" s="537"/>
      <c r="B2306" s="461" t="s">
        <v>7397</v>
      </c>
    </row>
    <row r="2307" spans="1:2">
      <c r="A2307" s="537"/>
      <c r="B2307" s="708" t="s">
        <v>11119</v>
      </c>
    </row>
    <row r="2308" spans="1:2">
      <c r="A2308" s="537"/>
      <c r="B2308" s="782" t="s">
        <v>11127</v>
      </c>
    </row>
    <row r="2309" spans="1:2">
      <c r="A2309" s="537"/>
      <c r="B2309" s="709" t="s">
        <v>11109</v>
      </c>
    </row>
    <row r="2310" spans="1:2">
      <c r="A2310" s="537"/>
      <c r="B2310" s="149" t="s">
        <v>11110</v>
      </c>
    </row>
    <row r="2311" spans="1:2">
      <c r="A2311" s="537"/>
      <c r="B2311" s="307" t="s">
        <v>11111</v>
      </c>
    </row>
    <row r="2312" spans="1:2">
      <c r="A2312" s="537"/>
      <c r="B2312" s="149" t="s">
        <v>11112</v>
      </c>
    </row>
    <row r="2313" spans="1:2">
      <c r="A2313" s="537"/>
      <c r="B2313" s="149" t="s">
        <v>11113</v>
      </c>
    </row>
    <row r="2314" spans="1:2">
      <c r="A2314" s="537"/>
      <c r="B2314" s="149" t="s">
        <v>11115</v>
      </c>
    </row>
    <row r="2315" spans="1:2">
      <c r="A2315" s="537"/>
      <c r="B2315" s="149" t="s">
        <v>11116</v>
      </c>
    </row>
    <row r="2316" spans="1:2">
      <c r="A2316" s="537"/>
      <c r="B2316" s="149" t="s">
        <v>11117</v>
      </c>
    </row>
    <row r="2317" spans="1:2">
      <c r="A2317" s="537"/>
      <c r="B2317" s="149" t="s">
        <v>11118</v>
      </c>
    </row>
    <row r="2318" spans="1:2">
      <c r="A2318" s="537"/>
      <c r="B2318" s="697" t="s">
        <v>7022</v>
      </c>
    </row>
    <row r="2319" spans="1:2">
      <c r="A2319" s="537"/>
      <c r="B2319" s="149" t="s">
        <v>4359</v>
      </c>
    </row>
    <row r="2320" spans="1:2">
      <c r="A2320" s="537"/>
      <c r="B2320" s="149" t="s">
        <v>7389</v>
      </c>
    </row>
    <row r="2321" spans="1:2">
      <c r="A2321" s="537"/>
      <c r="B2321" s="149" t="s">
        <v>4057</v>
      </c>
    </row>
    <row r="2322" spans="1:2">
      <c r="A2322" s="537"/>
      <c r="B2322" s="149" t="s">
        <v>7400</v>
      </c>
    </row>
    <row r="2323" spans="1:2">
      <c r="A2323" s="537"/>
      <c r="B2323" s="149" t="s">
        <v>3341</v>
      </c>
    </row>
    <row r="2324" spans="1:2">
      <c r="A2324" s="537"/>
      <c r="B2324" s="149" t="s">
        <v>11120</v>
      </c>
    </row>
    <row r="2325" spans="1:2">
      <c r="A2325" s="537"/>
      <c r="B2325" s="149" t="s">
        <v>11121</v>
      </c>
    </row>
    <row r="2326" spans="1:2">
      <c r="A2326" s="537"/>
      <c r="B2326" s="149" t="s">
        <v>7390</v>
      </c>
    </row>
    <row r="2327" spans="1:2">
      <c r="A2327" s="537"/>
      <c r="B2327" s="149" t="s">
        <v>7398</v>
      </c>
    </row>
    <row r="2328" spans="1:2">
      <c r="A2328" s="537"/>
      <c r="B2328" s="149" t="s">
        <v>6079</v>
      </c>
    </row>
    <row r="2329" spans="1:2">
      <c r="A2329" s="537"/>
      <c r="B2329" s="149" t="s">
        <v>11122</v>
      </c>
    </row>
    <row r="2330" spans="1:2">
      <c r="A2330" s="537"/>
      <c r="B2330" s="149" t="s">
        <v>7393</v>
      </c>
    </row>
    <row r="2331" spans="1:2">
      <c r="A2331" s="537"/>
      <c r="B2331" s="149" t="s">
        <v>3318</v>
      </c>
    </row>
    <row r="2332" spans="1:2">
      <c r="A2332" s="537"/>
      <c r="B2332" s="149" t="s">
        <v>11124</v>
      </c>
    </row>
    <row r="2333" spans="1:2">
      <c r="A2333" s="537"/>
      <c r="B2333" s="149" t="s">
        <v>7399</v>
      </c>
    </row>
    <row r="2334" spans="1:2">
      <c r="A2334" s="537"/>
      <c r="B2334" s="149" t="s">
        <v>11125</v>
      </c>
    </row>
    <row r="2335" spans="1:2">
      <c r="A2335" s="537"/>
      <c r="B2335" s="149" t="s">
        <v>11126</v>
      </c>
    </row>
    <row r="2336" spans="1:2">
      <c r="A2336" s="537"/>
      <c r="B2336" s="149" t="s">
        <v>11128</v>
      </c>
    </row>
    <row r="2337" spans="1:2">
      <c r="A2337" s="537"/>
      <c r="B2337" t="s">
        <v>11129</v>
      </c>
    </row>
    <row r="2338" spans="1:2">
      <c r="A2338" s="537"/>
      <c r="B2338" s="149" t="s">
        <v>11130</v>
      </c>
    </row>
    <row r="2339" spans="1:2">
      <c r="A2339" s="537"/>
      <c r="B2339" s="149" t="s">
        <v>11131</v>
      </c>
    </row>
    <row r="2340" spans="1:2">
      <c r="A2340" s="537"/>
      <c r="B2340" s="149" t="s">
        <v>3273</v>
      </c>
    </row>
    <row r="2341" spans="1:2">
      <c r="A2341" s="537"/>
      <c r="B2341" s="149" t="s">
        <v>4579</v>
      </c>
    </row>
    <row r="2342" spans="1:2">
      <c r="A2342" s="537"/>
      <c r="B2342" s="149" t="s">
        <v>6037</v>
      </c>
    </row>
    <row r="2343" spans="1:2">
      <c r="A2343" s="537"/>
      <c r="B2343" s="149" t="s">
        <v>11134</v>
      </c>
    </row>
    <row r="2344" spans="1:2">
      <c r="A2344" s="537"/>
      <c r="B2344" s="149" t="s">
        <v>11135</v>
      </c>
    </row>
    <row r="2345" spans="1:2">
      <c r="A2345" s="537"/>
    </row>
    <row r="2346" spans="1:2">
      <c r="A2346" s="537"/>
    </row>
    <row r="2347" spans="1:2">
      <c r="A2347" s="537"/>
    </row>
    <row r="2348" spans="1:2">
      <c r="A2348" s="537"/>
    </row>
    <row r="2349" spans="1:2">
      <c r="A2349" s="537"/>
    </row>
    <row r="2350" spans="1:2">
      <c r="A2350" s="537"/>
    </row>
  </sheetData>
  <mergeCells count="10">
    <mergeCell ref="A2247:F2247"/>
    <mergeCell ref="A1933:F1933"/>
    <mergeCell ref="A2015:F2015"/>
    <mergeCell ref="A2046:F2046"/>
    <mergeCell ref="A2083:F2083"/>
    <mergeCell ref="A2206:F2206"/>
    <mergeCell ref="A2180:F2180"/>
    <mergeCell ref="A2151:F2151"/>
    <mergeCell ref="A2119:F2119"/>
    <mergeCell ref="A1968:F1968"/>
  </mergeCells>
  <hyperlinks>
    <hyperlink ref="I2" r:id="rId1" display="mailto:dalbranndao12@gmail.com" xr:uid="{B7F6DECE-FCA4-4F42-9E85-BD2066B9C4B9}"/>
    <hyperlink ref="I3" r:id="rId2" display="mailto:daniellajuliidori@hotmail.com" xr:uid="{0E302A7D-926B-4E37-87C4-A1083796B62C}"/>
    <hyperlink ref="I4" r:id="rId3" display="mailto:fabiotito2020@gmail.com" xr:uid="{5101D29C-031C-4483-9617-0BBB9A1ABABE}"/>
    <hyperlink ref="I5" r:id="rId4" display="mailto:helitonbm@hotmail.com" xr:uid="{F39D1FBD-566D-4C99-998A-26DBD1E8F745}"/>
    <hyperlink ref="I8" r:id="rId5" display="mailto:carlagabrielyy@gmail.com" xr:uid="{DE3C3869-989C-41F1-B0FF-25626F0B063D}"/>
    <hyperlink ref="I9" r:id="rId6" display="mailto:glauciabguilherme@hotmail.com" xr:uid="{B6EC9C05-0022-4C5A-8BE1-E5FB8904CA15}"/>
    <hyperlink ref="I10" r:id="rId7" display="mailto:fatimaabreu@live.com" xr:uid="{5DFA6E63-144F-4F87-BC40-ACCCA3DFB729}"/>
    <hyperlink ref="I11" r:id="rId8" display="mailto:carolbrandaoof@gmail.com" xr:uid="{2354AF43-7D8B-4242-ACF2-8477FB5E6F5C}"/>
    <hyperlink ref="I12" r:id="rId9" display="mailto:tha_padua@hotmail.com" xr:uid="{A2C195CF-231B-448F-B20A-A02F2F410EEB}"/>
    <hyperlink ref="I13" r:id="rId10" display="mailto:carlos.umberto1906@gmail.com" xr:uid="{379F9221-AFBF-490E-ABB5-75D15F421580}"/>
    <hyperlink ref="I14" r:id="rId11" display="mailto:carlos.moura@via01.com.br" xr:uid="{EEA82B6E-8A16-4AFD-9E98-20B1CA0169BD}"/>
    <hyperlink ref="I15" r:id="rId12" display="mailto:luiz.cobra@via01.com.br" xr:uid="{DD87002F-2BA7-4CD8-B463-6385F206F5E7}"/>
    <hyperlink ref="I16" r:id="rId13" display="mailto:alessandrajanerine@gmail.com" xr:uid="{43312A19-2398-4825-9A42-E07DCB7BB31B}"/>
    <hyperlink ref="I17" r:id="rId14" display="mailto:silsouzamarques@hotmail.com" xr:uid="{C8A7587D-0E22-4A8A-B974-7AC42E5C607E}"/>
    <hyperlink ref="I21" r:id="rId15" display="mailto:artesanal@artesanateares.com.br" xr:uid="{081800AE-77FD-454B-A204-B01F4AB461B2}"/>
    <hyperlink ref="I23" r:id="rId16" display="mailto:joaomachado215@yahoo.com.br" xr:uid="{CD73F36F-7FF2-4B41-B72A-892353A3CA1F}"/>
    <hyperlink ref="I25" r:id="rId17" display="mailto:pedro@haraszel.com.br" xr:uid="{3CA24C35-2F21-4F90-8BDD-924C63619057}"/>
    <hyperlink ref="I26" r:id="rId18" display="mailto:resantos19@hotmail.com" xr:uid="{B13D20BD-0FEF-4233-AA04-5B43ABDDFA32}"/>
    <hyperlink ref="I27" r:id="rId19" display="mailto:resantos19@hotmail.com" xr:uid="{11408467-F13E-45B8-8FC1-FE137038ECCF}"/>
    <hyperlink ref="I28" r:id="rId20" display="mailto:resantos19@hotmail.com" xr:uid="{055C613F-4981-4B9F-AFA9-3A9C1AB7D298}"/>
    <hyperlink ref="I29" r:id="rId21" display="mailto:resantos19@hotmail.com" xr:uid="{D5BE877B-06E9-4216-BAE7-31CBD27291D7}"/>
    <hyperlink ref="I30" r:id="rId22" display="mailto:amandagmpedagoga@gmail.com" xr:uid="{4085F50C-2C15-42A8-BEB5-95A2048170C8}"/>
    <hyperlink ref="I31" r:id="rId23" display="mailto:Cristiantbruno@gmail.com" xr:uid="{00575AAC-2CD6-4D89-9881-8A236353DF54}"/>
    <hyperlink ref="I33" r:id="rId24" display="mailto:elieteapdias@yahoo.com.br" xr:uid="{A2AFDBE3-532D-45DB-8AC9-2E3B71A937A5}"/>
    <hyperlink ref="I34" r:id="rId25" display="mailto:giovanaborda@yahoo.com.br" xr:uid="{0D4FFE30-1DD8-47C6-BCCF-2A4101767C73}"/>
    <hyperlink ref="I35" r:id="rId26" display="mailto:thiagoribeiro19@gmail.com" xr:uid="{34B39BDA-3849-4014-BD21-55254A323979}"/>
    <hyperlink ref="I36" r:id="rId27" display="mailto:professoracristinasilva@hotmail.com" xr:uid="{8AF11320-6493-474F-B755-2FBDC71387AE}"/>
    <hyperlink ref="I37" r:id="rId28" display="mailto:edivaldoadm10@gmail.com" xr:uid="{7852BF1C-2810-4D5B-A7F2-35B7579B4512}"/>
    <hyperlink ref="I39" r:id="rId29" xr:uid="{1DD35C46-E1D1-4121-8AE8-4427C3B29A80}"/>
    <hyperlink ref="I41" r:id="rId30" xr:uid="{8F24A8C0-FED3-4397-974B-CBD159A5265C}"/>
    <hyperlink ref="I42" r:id="rId31" xr:uid="{2E8E248C-50C5-44CF-9C5A-B5E71E55BA92}"/>
    <hyperlink ref="I43" r:id="rId32" xr:uid="{3ACA6804-F57B-43ED-B442-D58DFF7A7441}"/>
    <hyperlink ref="I44" r:id="rId33" xr:uid="{46DEB20F-E61A-4F8F-A903-31C905F80098}"/>
    <hyperlink ref="I45" r:id="rId34" xr:uid="{E68EF2EF-0991-44D3-99AF-9173B66921D1}"/>
    <hyperlink ref="I46" r:id="rId35" xr:uid="{8CA0E4ED-84B1-4C46-8D3A-898376A81E33}"/>
    <hyperlink ref="I47" r:id="rId36" xr:uid="{A6864553-9D36-43F3-B8C5-8FC1E23F9146}"/>
    <hyperlink ref="I49" r:id="rId37" xr:uid="{FCE1E8D8-26F6-49CB-97D2-75686FD264BE}"/>
    <hyperlink ref="I48" r:id="rId38" xr:uid="{AD2C81F2-5818-4A1B-97DE-AE3C916ED04C}"/>
    <hyperlink ref="I51" r:id="rId39" xr:uid="{C722A922-7E7E-4D6D-8B29-42C2092009DE}"/>
    <hyperlink ref="I52" r:id="rId40" xr:uid="{25CF8594-BA6F-4782-806F-BF6ADC6E2BAC}"/>
    <hyperlink ref="I54" r:id="rId41" xr:uid="{B9506143-2844-4C44-AB55-B4E36A9893EA}"/>
    <hyperlink ref="I55" r:id="rId42" xr:uid="{3C4CBEAE-7240-4C88-A473-86FBD3BE5BFF}"/>
    <hyperlink ref="I56" r:id="rId43" xr:uid="{C7D44E70-47D5-44F5-91F1-71EE233C2798}"/>
    <hyperlink ref="I57" r:id="rId44" xr:uid="{E59A9EC5-4930-4626-A9C1-DF37F96FE1FC}"/>
    <hyperlink ref="I58" r:id="rId45" xr:uid="{26DF6999-FD08-445D-A988-62E791ADA34E}"/>
    <hyperlink ref="I61" r:id="rId46" xr:uid="{B46962BF-8A32-45CB-92AA-DAA1D847CC16}"/>
    <hyperlink ref="I62" r:id="rId47" xr:uid="{C7AE2B47-AE7B-402D-8F09-8225B9841D03}"/>
    <hyperlink ref="I63" r:id="rId48" xr:uid="{A84D3DE3-FC86-402B-ABF1-40025ADF5F2E}"/>
    <hyperlink ref="I64" r:id="rId49" xr:uid="{D455D6BB-D6C6-4A3E-A55F-D22410BF8186}"/>
    <hyperlink ref="I65" r:id="rId50" xr:uid="{AEA1980D-EC52-44D9-9EDA-A2D4C0A4CE83}"/>
    <hyperlink ref="I67" r:id="rId51" xr:uid="{AAECB84D-8805-47F3-B499-6B8AF1048F2E}"/>
    <hyperlink ref="I69" r:id="rId52" xr:uid="{26BF30AD-87C5-4DD7-81AD-CA65B9B14882}"/>
    <hyperlink ref="I70" r:id="rId53" xr:uid="{4C5A5F07-2E20-4E3B-9BA7-85BD5D93E34E}"/>
    <hyperlink ref="I72" r:id="rId54" xr:uid="{3BB04672-05A8-4412-8838-A4F9C22E8281}"/>
    <hyperlink ref="I73" r:id="rId55" xr:uid="{31A3B6D9-5A55-43B9-9683-0D34841F7021}"/>
    <hyperlink ref="I74:I75" r:id="rId56" display="als_letter@hotmail.com" xr:uid="{DCD544D5-0A48-4CB5-8549-CECAFE4A69E4}"/>
    <hyperlink ref="I76" r:id="rId57" xr:uid="{2A193B55-D3B5-4A32-8B9B-53F5057483F8}"/>
    <hyperlink ref="I77" r:id="rId58" xr:uid="{D69EE401-65AB-4852-8325-28EF113635B1}"/>
    <hyperlink ref="I80" r:id="rId59" xr:uid="{1EF28E35-BEDF-42CA-B3DE-EDB8C5BA55CB}"/>
    <hyperlink ref="I81" r:id="rId60" xr:uid="{EF457AB8-B874-4011-9656-9CCEC4303F75}"/>
    <hyperlink ref="I83" r:id="rId61" xr:uid="{CDBC2213-A398-49CB-8194-C64142E5582D}"/>
    <hyperlink ref="I89" r:id="rId62" xr:uid="{CCDD54FA-9C9F-4D02-8D0A-780D7A0C18F7}"/>
    <hyperlink ref="I96" r:id="rId63" xr:uid="{5D965578-6532-46AE-9204-832DC2B921FF}"/>
    <hyperlink ref="I97" r:id="rId64" xr:uid="{A74C72D8-7DF4-4693-AEFF-4662E3AC808B}"/>
    <hyperlink ref="I99" r:id="rId65" xr:uid="{B32B23F9-545A-4936-B6A1-501ACEA432B5}"/>
    <hyperlink ref="I102" r:id="rId66" xr:uid="{3305C87B-9522-4B42-B078-BB2D621F9608}"/>
    <hyperlink ref="I104" r:id="rId67" xr:uid="{2562A3F3-7109-407C-97AD-CEFA8BFC1395}"/>
    <hyperlink ref="I110" r:id="rId68" xr:uid="{59643E45-C5D5-459C-8E3E-35626E9CD879}"/>
    <hyperlink ref="I111" r:id="rId69" xr:uid="{147BD790-DB28-4546-8D4D-07549D143ABE}"/>
    <hyperlink ref="I116" r:id="rId70" xr:uid="{824C9495-2EE4-4407-ABA4-EEB9ABC84352}"/>
    <hyperlink ref="I117" r:id="rId71" xr:uid="{C61DA36B-6BBC-4249-A6A5-43C3F95A8A09}"/>
    <hyperlink ref="I118" r:id="rId72" xr:uid="{F359FED9-9635-47BC-AC59-35419F5FC023}"/>
    <hyperlink ref="I120" r:id="rId73" xr:uid="{21D706A3-B197-4BF7-B5B6-E32BBB4D5C03}"/>
    <hyperlink ref="I126" r:id="rId74" xr:uid="{57E637D0-7BB9-41B0-AC58-604BDF405D08}"/>
    <hyperlink ref="I128" r:id="rId75" xr:uid="{0159E597-EC23-4018-8775-C37141C2A36C}"/>
    <hyperlink ref="I130" r:id="rId76" xr:uid="{6653D38F-55DB-4658-9106-91F31651B4C3}"/>
    <hyperlink ref="I131" r:id="rId77" xr:uid="{40551DBC-8315-4166-A92A-A30C7103185D}"/>
    <hyperlink ref="I132" r:id="rId78" xr:uid="{A795C8A6-51BF-405D-9C4E-B7E2502ABB6D}"/>
    <hyperlink ref="I133" r:id="rId79" xr:uid="{5D61BE26-3FC2-42EA-B1EB-764708E0973B}"/>
    <hyperlink ref="I137" r:id="rId80" xr:uid="{60AEA53B-5A26-453F-BC1E-5F2C499672E8}"/>
    <hyperlink ref="I144" r:id="rId81" xr:uid="{F280BD03-734C-4BAD-A11F-68D5F958C5E0}"/>
    <hyperlink ref="I145" r:id="rId82" xr:uid="{D41CC622-0EC2-4718-BF52-02EDBB2E5614}"/>
    <hyperlink ref="I148" r:id="rId83" xr:uid="{6721C884-A88D-4808-8DD5-4F1A66A5ADDE}"/>
    <hyperlink ref="I149" r:id="rId84" xr:uid="{F37A9216-FE73-4292-9574-D7A2B55C7E1C}"/>
    <hyperlink ref="I150" r:id="rId85" xr:uid="{0E6512A9-5FB7-450F-8203-5D8A088F9CFB}"/>
    <hyperlink ref="I151" r:id="rId86" xr:uid="{D26C4840-DB1C-4A07-8F7F-EE61B9545689}"/>
    <hyperlink ref="I159" r:id="rId87" xr:uid="{62A5180E-A4C2-4177-9A8D-E80AE148390F}"/>
    <hyperlink ref="I162" r:id="rId88" xr:uid="{43A82231-30A3-4F84-AC05-9BDAE9228D65}"/>
    <hyperlink ref="I163" r:id="rId89" xr:uid="{EB6F3F6C-B46C-44F6-84F6-AA697BB9B04C}"/>
    <hyperlink ref="I155" r:id="rId90" xr:uid="{DE867B69-26BB-4E27-97FF-649D26EE4425}"/>
    <hyperlink ref="I165" r:id="rId91" xr:uid="{BE3A88AD-B0F3-4D85-8695-9C60272BC4EB}"/>
    <hyperlink ref="I167" r:id="rId92" xr:uid="{4F104C90-130C-4A9D-A7A2-8FC7A3C2C0D6}"/>
    <hyperlink ref="I170" r:id="rId93" display="mailto:fabianohenriquedossantos@hotmail.com" xr:uid="{C60435A8-BAC6-4212-8131-F5CEB9225BC9}"/>
    <hyperlink ref="I171" r:id="rId94" xr:uid="{5609FF45-E6D3-480A-A43E-BC38AECA828E}"/>
    <hyperlink ref="I178" r:id="rId95" xr:uid="{25B2100A-EA67-4E03-9D33-144097D50A3A}"/>
    <hyperlink ref="I168" r:id="rId96" xr:uid="{9FF9D652-EF2D-41C9-A2C9-A5B5B344E2EA}"/>
    <hyperlink ref="I179" r:id="rId97" xr:uid="{01D7D5A4-84BB-44E6-9B34-B93A43453B2C}"/>
    <hyperlink ref="I180" r:id="rId98" xr:uid="{AF0F7B25-F7FA-4F33-A485-C7E33F9F23B3}"/>
    <hyperlink ref="I181" r:id="rId99" xr:uid="{105EE1B5-1A3A-447F-89E1-748908149568}"/>
    <hyperlink ref="I182" r:id="rId100" xr:uid="{D3E2A72F-2652-4AE3-B003-74040026AF3B}"/>
    <hyperlink ref="I188" r:id="rId101" xr:uid="{74769F4D-8FDA-4F6D-9CA1-3AEEAE1C00D1}"/>
    <hyperlink ref="I190" r:id="rId102" xr:uid="{B1D7E1BC-4E22-4A63-B69E-7FD953370920}"/>
    <hyperlink ref="I197" r:id="rId103" xr:uid="{0E65316C-1743-4238-B210-BD67638D4996}"/>
    <hyperlink ref="I204" r:id="rId104" display="mailto:giovanaborda@yahoo.com.br" xr:uid="{7B655B18-307A-457E-9F63-F6E996764B77}"/>
    <hyperlink ref="I206" r:id="rId105" xr:uid="{ACF772B9-562E-4319-8F32-250182CA6AA9}"/>
    <hyperlink ref="I207" r:id="rId106" xr:uid="{2D571976-2C99-481A-99BA-6E1BB84F8124}"/>
    <hyperlink ref="I208" r:id="rId107" xr:uid="{6394290E-51A8-4CD4-B56E-7796666FB6B1}"/>
    <hyperlink ref="I209" r:id="rId108" xr:uid="{3C7DE801-3FCD-45A0-8B82-A35BCAA23073}"/>
    <hyperlink ref="I215" r:id="rId109" xr:uid="{5F1E178F-EBF3-4A09-9A90-A050D2D125A7}"/>
    <hyperlink ref="I224" r:id="rId110" xr:uid="{21C0FECE-A49C-454B-995F-A57CAEF3B75E}"/>
    <hyperlink ref="I230" r:id="rId111" xr:uid="{E522848F-5097-416F-99ED-C8FFA52FA4C3}"/>
    <hyperlink ref="I231" r:id="rId112" xr:uid="{40C1C0A8-612A-4F3C-AC0F-CB9F08963586}"/>
    <hyperlink ref="I232" r:id="rId113" xr:uid="{46085137-A522-40F6-B21B-A9583520BE7F}"/>
    <hyperlink ref="I233" r:id="rId114" xr:uid="{D57706B2-2FF3-433A-B43E-DB9FCCE26FBF}"/>
    <hyperlink ref="I234" r:id="rId115" xr:uid="{EBCBAE77-EE20-4BC6-ADBA-7A280415A618}"/>
    <hyperlink ref="I235" r:id="rId116" xr:uid="{9A3B168A-2109-400D-AF82-5783117CE49A}"/>
    <hyperlink ref="I236" r:id="rId117" xr:uid="{5FD8C397-40D5-488E-AB36-28403948BF30}"/>
    <hyperlink ref="I237" r:id="rId118" xr:uid="{242F68C9-6FF5-4BBD-A261-132A2EF07F1E}"/>
    <hyperlink ref="I239" r:id="rId119" xr:uid="{4B8D680D-A381-435E-B83A-6FC67694B21D}"/>
    <hyperlink ref="I241" r:id="rId120" xr:uid="{52037154-4501-427D-95E9-44D24CE255C6}"/>
    <hyperlink ref="I242" r:id="rId121" xr:uid="{02E0BB8D-1599-4385-9AF9-0EC16F5A08F0}"/>
    <hyperlink ref="I249" r:id="rId122" xr:uid="{46F51EBB-DC78-44A7-B077-B4C795ECEF94}"/>
    <hyperlink ref="I248" r:id="rId123" xr:uid="{45E0C0B8-58BF-44D5-A459-1F08AF7D5F77}"/>
    <hyperlink ref="I247" r:id="rId124" xr:uid="{7443D956-7DE6-42D6-A3C5-8DF10C7417A8}"/>
    <hyperlink ref="I250" r:id="rId125" xr:uid="{B182EF51-D120-4006-9AC2-F918A41E8030}"/>
  </hyperlinks>
  <pageMargins left="0.511811024" right="0.511811024" top="0.78740157499999996" bottom="0.78740157499999996" header="0.31496062000000002" footer="0.31496062000000002"/>
  <pageSetup paperSize="9" orientation="portrait" verticalDpi="300" r:id="rId12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A4AF9-53BA-4D57-A31A-6FF718246383}">
  <dimension ref="A1"/>
  <sheetViews>
    <sheetView topLeftCell="A10" workbookViewId="0"/>
  </sheetViews>
  <sheetFormatPr defaultRowHeight="15"/>
  <sheetData/>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15870-AEF7-448F-963E-1143A53169A1}">
  <sheetPr codeName="Planilha4"/>
  <dimension ref="A1:L933"/>
  <sheetViews>
    <sheetView topLeftCell="A903" zoomScaleNormal="100" workbookViewId="0">
      <selection activeCell="B920" sqref="B920"/>
    </sheetView>
  </sheetViews>
  <sheetFormatPr defaultRowHeight="15"/>
  <cols>
    <col min="1" max="1" width="65.7109375" customWidth="1"/>
    <col min="2" max="2" width="71.28515625" customWidth="1"/>
    <col min="3" max="3" width="47.7109375" customWidth="1"/>
    <col min="4" max="4" width="17.5703125" style="26" customWidth="1"/>
    <col min="5" max="5" width="79.5703125" style="270" bestFit="1" customWidth="1"/>
    <col min="6" max="6" width="14.140625" style="270" customWidth="1"/>
    <col min="9" max="9" width="11.42578125" customWidth="1"/>
    <col min="10" max="10" width="11.7109375" customWidth="1"/>
    <col min="11" max="11" width="25.28515625" customWidth="1"/>
    <col min="12" max="12" width="10.140625" bestFit="1" customWidth="1"/>
  </cols>
  <sheetData>
    <row r="1" spans="1:12">
      <c r="A1" s="812" t="s">
        <v>11153</v>
      </c>
      <c r="B1" s="812"/>
      <c r="C1" s="812"/>
      <c r="D1" s="812"/>
      <c r="E1" s="812"/>
      <c r="F1" s="294"/>
    </row>
    <row r="2" spans="1:12">
      <c r="A2" s="20" t="s">
        <v>2839</v>
      </c>
      <c r="B2" s="20" t="s">
        <v>11154</v>
      </c>
      <c r="C2" s="20"/>
      <c r="D2" s="113" t="s">
        <v>11155</v>
      </c>
      <c r="E2" s="335" t="s">
        <v>11156</v>
      </c>
      <c r="F2" s="271" t="s">
        <v>11157</v>
      </c>
    </row>
    <row r="3" spans="1:12">
      <c r="A3" s="108" t="s">
        <v>2841</v>
      </c>
      <c r="B3" s="149" t="s">
        <v>11158</v>
      </c>
      <c r="C3" s="149" t="s">
        <v>8920</v>
      </c>
      <c r="D3" s="113"/>
      <c r="E3" s="336">
        <v>66</v>
      </c>
      <c r="F3" s="339"/>
      <c r="J3" t="s">
        <v>11159</v>
      </c>
      <c r="K3" t="s">
        <v>11160</v>
      </c>
      <c r="L3" t="s">
        <v>11161</v>
      </c>
    </row>
    <row r="4" spans="1:12">
      <c r="A4" s="192" t="s">
        <v>2843</v>
      </c>
      <c r="B4" s="149" t="s">
        <v>11162</v>
      </c>
      <c r="C4" s="149" t="s">
        <v>11159</v>
      </c>
      <c r="D4" s="113"/>
      <c r="E4" s="336">
        <v>162.6</v>
      </c>
      <c r="F4" s="339"/>
      <c r="G4" t="s">
        <v>11163</v>
      </c>
      <c r="I4" t="s">
        <v>2738</v>
      </c>
      <c r="J4">
        <f>COUNTIF($C$2:$C$8,"Mudança")</f>
        <v>2</v>
      </c>
      <c r="K4">
        <f>COUNTIF(C2:C8,"Não Gostou")</f>
        <v>0</v>
      </c>
      <c r="L4">
        <f>COUNTIF($C$2:$C$8,"Diego/TV")</f>
        <v>0</v>
      </c>
    </row>
    <row r="5" spans="1:12">
      <c r="A5" s="108" t="s">
        <v>2845</v>
      </c>
      <c r="B5" s="149" t="s">
        <v>11164</v>
      </c>
      <c r="C5" s="31" t="s">
        <v>11165</v>
      </c>
      <c r="E5" s="336" t="s">
        <v>11166</v>
      </c>
      <c r="F5" s="339"/>
      <c r="I5" t="s">
        <v>2755</v>
      </c>
      <c r="J5">
        <f>COUNTIF($C$10:$C$16,"Mudança")</f>
        <v>4</v>
      </c>
      <c r="K5">
        <f>COUNTIF($C$10:$C$16,"Não Gostou")</f>
        <v>1</v>
      </c>
      <c r="L5">
        <f>COUNTIF($C$10:$C$16,"Diego/TV")</f>
        <v>0</v>
      </c>
    </row>
    <row r="6" spans="1:12">
      <c r="A6" s="186" t="s">
        <v>2846</v>
      </c>
      <c r="B6" s="186" t="s">
        <v>11167</v>
      </c>
      <c r="C6" s="149" t="s">
        <v>8920</v>
      </c>
      <c r="D6" s="529"/>
      <c r="E6" s="337">
        <v>166</v>
      </c>
      <c r="F6" s="150"/>
      <c r="G6" t="s">
        <v>11168</v>
      </c>
      <c r="I6" t="s">
        <v>7720</v>
      </c>
      <c r="J6">
        <f>COUNTIF($C$18:$C$23,"Mudança")</f>
        <v>1</v>
      </c>
      <c r="K6">
        <f>COUNTIF($C$18:$C$23,"Não Gostou")</f>
        <v>0</v>
      </c>
      <c r="L6">
        <f>COUNTIF($C$18:$C$23,"Diego/TV")</f>
        <v>0</v>
      </c>
    </row>
    <row r="7" spans="1:12">
      <c r="A7" s="108" t="s">
        <v>2847</v>
      </c>
      <c r="B7" s="149" t="s">
        <v>11169</v>
      </c>
      <c r="C7" s="149" t="s">
        <v>11159</v>
      </c>
      <c r="D7" s="113"/>
      <c r="E7" s="335">
        <v>133</v>
      </c>
      <c r="F7" s="150"/>
      <c r="G7" t="s">
        <v>11170</v>
      </c>
      <c r="I7" t="s">
        <v>7543</v>
      </c>
      <c r="J7">
        <f>COUNTIF($C$25:$C$28,"Mudança")</f>
        <v>3</v>
      </c>
      <c r="K7">
        <f>COUNTIF($C$25:$C$28,"Não Gostou")</f>
        <v>1</v>
      </c>
      <c r="L7">
        <f>COUNTIF($C$25:$C$28,"Diego/TV")</f>
        <v>0</v>
      </c>
    </row>
    <row r="8" spans="1:12">
      <c r="A8" s="249" t="s">
        <v>9907</v>
      </c>
      <c r="B8" s="149" t="s">
        <v>11171</v>
      </c>
      <c r="C8" s="31" t="s">
        <v>11165</v>
      </c>
      <c r="E8" s="335">
        <v>0</v>
      </c>
      <c r="F8" s="150"/>
      <c r="G8" t="s">
        <v>11172</v>
      </c>
      <c r="I8" t="s">
        <v>4357</v>
      </c>
      <c r="J8">
        <f>COUNTIF($C$30:$C$37,"Mudança")</f>
        <v>0</v>
      </c>
      <c r="K8">
        <f>COUNTIF($C$30:$C$37,"Não Gostou")</f>
        <v>0</v>
      </c>
      <c r="L8">
        <f>COUNTIF($C$30:$C$37,"Diego/TV")</f>
        <v>0</v>
      </c>
    </row>
    <row r="9" spans="1:12">
      <c r="A9" s="810" t="s">
        <v>11173</v>
      </c>
      <c r="B9" s="810"/>
      <c r="C9" s="810"/>
      <c r="D9" s="810"/>
      <c r="E9" s="810"/>
      <c r="F9" s="92"/>
      <c r="I9" t="s">
        <v>8910</v>
      </c>
      <c r="J9">
        <f>COUNTIF($C$39:$C$58,"Mudança")</f>
        <v>3</v>
      </c>
      <c r="K9">
        <f>COUNTIF($C$39:$C$58,"Não Gostou")</f>
        <v>0</v>
      </c>
      <c r="L9">
        <f>COUNTIF($C$39:$C$58,"Diego / TV")</f>
        <v>4</v>
      </c>
    </row>
    <row r="10" spans="1:12">
      <c r="A10" s="283" t="s">
        <v>2848</v>
      </c>
      <c r="B10" s="149" t="s">
        <v>11174</v>
      </c>
      <c r="C10" s="149" t="s">
        <v>8920</v>
      </c>
      <c r="D10" s="113"/>
      <c r="E10" s="335">
        <v>150</v>
      </c>
      <c r="F10" s="150"/>
      <c r="G10" t="s">
        <v>11168</v>
      </c>
      <c r="I10" t="s">
        <v>7628</v>
      </c>
      <c r="J10">
        <f>COUNTIF($C$60:$C$82,"Mudança")</f>
        <v>4</v>
      </c>
      <c r="K10">
        <f>COUNTIF($C$60:$C$82,"Não Gostou")</f>
        <v>1</v>
      </c>
      <c r="L10">
        <f>COUNTIF($C$60:$C$82,"Diego / TV")</f>
        <v>4</v>
      </c>
    </row>
    <row r="11" spans="1:12">
      <c r="A11" s="149" t="s">
        <v>4273</v>
      </c>
      <c r="B11" s="149" t="s">
        <v>11175</v>
      </c>
      <c r="C11" s="149" t="s">
        <v>11176</v>
      </c>
      <c r="D11" s="113"/>
      <c r="E11" s="335" t="s">
        <v>11166</v>
      </c>
      <c r="F11" s="150"/>
      <c r="I11" s="16" t="s">
        <v>7634</v>
      </c>
      <c r="J11">
        <f>COUNTIF($C$76:$C$88,"Mudança")</f>
        <v>1</v>
      </c>
      <c r="K11">
        <f>COUNTIF($C$76:$C$88,"Não Gostou")</f>
        <v>1</v>
      </c>
      <c r="L11">
        <f>COUNTIF($C$76:$C$88,"Diego / TV")</f>
        <v>0</v>
      </c>
    </row>
    <row r="12" spans="1:12">
      <c r="A12" s="149" t="s">
        <v>2850</v>
      </c>
      <c r="B12" s="149" t="s">
        <v>11177</v>
      </c>
      <c r="C12" s="149" t="s">
        <v>11159</v>
      </c>
      <c r="D12" s="113"/>
      <c r="E12" s="335">
        <v>183</v>
      </c>
      <c r="F12" s="150"/>
      <c r="G12" t="s">
        <v>11170</v>
      </c>
      <c r="I12" s="16" t="s">
        <v>7656</v>
      </c>
      <c r="J12">
        <f>COUNTIF($C$90:$C$129,"Mudança")</f>
        <v>7</v>
      </c>
      <c r="K12">
        <f>COUNTIF($C$90:$C$129,"Não Gostou")</f>
        <v>0</v>
      </c>
      <c r="L12">
        <f>COUNTIF($C$90:$C$129,"Diego / TV")</f>
        <v>3</v>
      </c>
    </row>
    <row r="13" spans="1:12">
      <c r="A13" s="149" t="s">
        <v>2852</v>
      </c>
      <c r="B13" s="149" t="s">
        <v>11178</v>
      </c>
      <c r="C13" s="149" t="s">
        <v>11159</v>
      </c>
      <c r="D13" s="113"/>
      <c r="E13" s="335" t="s">
        <v>11166</v>
      </c>
      <c r="F13" s="150"/>
      <c r="I13" s="16" t="s">
        <v>7672</v>
      </c>
      <c r="J13">
        <f>COUNTIF($C$129:$C$154,"Mudança")</f>
        <v>3</v>
      </c>
      <c r="K13">
        <f>COUNTIF($C$131:$C$154,"Não Gostou")</f>
        <v>0</v>
      </c>
      <c r="L13">
        <f>COUNTIF($C$131:$C$154,"Diego / TV")</f>
        <v>5</v>
      </c>
    </row>
    <row r="14" spans="1:12">
      <c r="A14" s="149" t="s">
        <v>1939</v>
      </c>
      <c r="B14" s="149" t="s">
        <v>11179</v>
      </c>
      <c r="C14" s="149" t="s">
        <v>8920</v>
      </c>
      <c r="D14" s="113"/>
      <c r="E14" s="335" t="s">
        <v>9065</v>
      </c>
      <c r="F14" s="150"/>
      <c r="I14" s="16" t="s">
        <v>7684</v>
      </c>
      <c r="J14">
        <f>COUNTIF($C$156:$C$199,"Mudança")</f>
        <v>9</v>
      </c>
      <c r="K14">
        <f>COUNTIF($C$156:$C$199,"Não Gostou")</f>
        <v>0</v>
      </c>
      <c r="L14">
        <f>COUNTIF($C$156:$C$199,"Diego / TV")</f>
        <v>8</v>
      </c>
    </row>
    <row r="15" spans="1:12">
      <c r="A15" s="149" t="s">
        <v>2854</v>
      </c>
      <c r="B15" s="149" t="s">
        <v>11180</v>
      </c>
      <c r="C15" s="149" t="s">
        <v>11159</v>
      </c>
      <c r="D15" s="113"/>
      <c r="E15" s="335" t="s">
        <v>11166</v>
      </c>
      <c r="F15" s="150"/>
      <c r="I15" s="16" t="s">
        <v>2715</v>
      </c>
      <c r="J15">
        <f>COUNTIF($C$174:$C$181,"Mudança")</f>
        <v>1</v>
      </c>
      <c r="K15">
        <f>COUNTIF($C$174:$C$181,"Não Gostou")</f>
        <v>0</v>
      </c>
      <c r="L15">
        <f>COUNTIF($C$174:$C$181,"Diego / TV")</f>
        <v>2</v>
      </c>
    </row>
    <row r="16" spans="1:12">
      <c r="A16" s="186" t="s">
        <v>2115</v>
      </c>
      <c r="B16" s="186" t="s">
        <v>11181</v>
      </c>
      <c r="C16" s="149" t="s">
        <v>11159</v>
      </c>
      <c r="D16" s="529"/>
      <c r="E16" s="337" t="s">
        <v>9706</v>
      </c>
      <c r="F16" s="150"/>
      <c r="I16" s="16" t="s">
        <v>2738</v>
      </c>
      <c r="J16">
        <f>COUNTIF($C$183:$C$230,"Mudança")</f>
        <v>5</v>
      </c>
      <c r="K16">
        <f>COUNTIF($C$183:$C$230,"Não Gostou")</f>
        <v>0</v>
      </c>
      <c r="L16">
        <f>COUNTIF($C$174:$C$181,"Diego / TV")</f>
        <v>2</v>
      </c>
    </row>
    <row r="17" spans="1:6">
      <c r="A17" s="810" t="s">
        <v>11182</v>
      </c>
      <c r="B17" s="810"/>
      <c r="C17" s="810"/>
      <c r="D17" s="810"/>
      <c r="E17" s="810"/>
      <c r="F17" s="92"/>
    </row>
    <row r="18" spans="1:6">
      <c r="A18" s="149" t="s">
        <v>2856</v>
      </c>
      <c r="B18" s="149" t="s">
        <v>11183</v>
      </c>
      <c r="C18" s="31" t="s">
        <v>11165</v>
      </c>
      <c r="E18" s="335" t="s">
        <v>9706</v>
      </c>
      <c r="F18" s="150"/>
    </row>
    <row r="19" spans="1:6">
      <c r="A19" s="149" t="s">
        <v>2857</v>
      </c>
      <c r="B19" s="149" t="s">
        <v>11184</v>
      </c>
      <c r="C19" s="31" t="s">
        <v>11165</v>
      </c>
      <c r="E19" s="335" t="s">
        <v>11166</v>
      </c>
      <c r="F19" s="150"/>
    </row>
    <row r="20" spans="1:6">
      <c r="A20" s="186" t="s">
        <v>2858</v>
      </c>
      <c r="B20" s="186" t="s">
        <v>11184</v>
      </c>
      <c r="C20" s="31" t="s">
        <v>11165</v>
      </c>
      <c r="E20" s="337" t="s">
        <v>11166</v>
      </c>
      <c r="F20" s="150"/>
    </row>
    <row r="21" spans="1:6">
      <c r="A21" s="31" t="s">
        <v>2859</v>
      </c>
      <c r="B21" s="31" t="s">
        <v>11185</v>
      </c>
      <c r="C21" s="31" t="s">
        <v>8920</v>
      </c>
      <c r="D21" s="530"/>
      <c r="E21" s="338" t="s">
        <v>9706</v>
      </c>
      <c r="F21" s="150"/>
    </row>
    <row r="22" spans="1:6">
      <c r="A22" s="31" t="s">
        <v>2256</v>
      </c>
      <c r="B22" s="31" t="s">
        <v>11186</v>
      </c>
      <c r="C22" s="149" t="s">
        <v>11159</v>
      </c>
      <c r="E22" s="338" t="s">
        <v>11187</v>
      </c>
      <c r="F22" s="150"/>
    </row>
    <row r="23" spans="1:6">
      <c r="A23" s="31" t="s">
        <v>2861</v>
      </c>
      <c r="B23" s="31" t="s">
        <v>11188</v>
      </c>
      <c r="C23" s="31" t="s">
        <v>11165</v>
      </c>
      <c r="D23" s="530"/>
      <c r="E23" s="338" t="s">
        <v>9706</v>
      </c>
      <c r="F23" s="150"/>
    </row>
    <row r="24" spans="1:6">
      <c r="A24" s="813" t="s">
        <v>11189</v>
      </c>
      <c r="B24" s="813"/>
      <c r="C24" s="813"/>
      <c r="D24" s="813"/>
      <c r="E24" s="813"/>
      <c r="F24" s="92"/>
    </row>
    <row r="25" spans="1:6">
      <c r="A25" s="31" t="s">
        <v>2862</v>
      </c>
      <c r="B25" s="31" t="s">
        <v>11190</v>
      </c>
      <c r="C25" s="149" t="s">
        <v>11159</v>
      </c>
      <c r="E25" s="338" t="s">
        <v>9706</v>
      </c>
      <c r="F25" s="150"/>
    </row>
    <row r="26" spans="1:6">
      <c r="A26" s="31" t="s">
        <v>1466</v>
      </c>
      <c r="B26" s="31" t="s">
        <v>11190</v>
      </c>
      <c r="C26" s="149" t="s">
        <v>11159</v>
      </c>
      <c r="E26" s="338" t="s">
        <v>9706</v>
      </c>
      <c r="F26" s="150"/>
    </row>
    <row r="27" spans="1:6">
      <c r="A27" s="31" t="s">
        <v>2863</v>
      </c>
      <c r="B27" s="31" t="s">
        <v>11191</v>
      </c>
      <c r="C27" s="149" t="s">
        <v>11176</v>
      </c>
      <c r="E27" s="338" t="s">
        <v>9706</v>
      </c>
      <c r="F27" s="150"/>
    </row>
    <row r="28" spans="1:6">
      <c r="A28" s="31" t="s">
        <v>2864</v>
      </c>
      <c r="B28" s="31" t="s">
        <v>11192</v>
      </c>
      <c r="C28" s="149" t="s">
        <v>11159</v>
      </c>
      <c r="E28" s="338" t="s">
        <v>9706</v>
      </c>
      <c r="F28" s="150"/>
    </row>
    <row r="29" spans="1:6">
      <c r="A29" s="814" t="s">
        <v>11193</v>
      </c>
      <c r="B29" s="814"/>
      <c r="C29" s="814"/>
      <c r="D29" s="814"/>
      <c r="E29" s="814"/>
      <c r="F29" s="92"/>
    </row>
    <row r="30" spans="1:6">
      <c r="A30" s="84" t="s">
        <v>4061</v>
      </c>
      <c r="B30" s="31" t="s">
        <v>11194</v>
      </c>
      <c r="C30" s="31" t="s">
        <v>11165</v>
      </c>
      <c r="D30" s="530"/>
      <c r="E30" s="338"/>
      <c r="F30" s="150"/>
    </row>
    <row r="31" spans="1:6">
      <c r="A31" s="84" t="s">
        <v>2865</v>
      </c>
      <c r="B31" s="31" t="s">
        <v>11195</v>
      </c>
      <c r="C31" s="31" t="s">
        <v>8914</v>
      </c>
      <c r="D31" s="530"/>
      <c r="E31" s="338"/>
      <c r="F31" s="150"/>
    </row>
    <row r="32" spans="1:6">
      <c r="A32" s="84" t="s">
        <v>2866</v>
      </c>
      <c r="B32" s="31" t="s">
        <v>11196</v>
      </c>
      <c r="C32" s="31" t="s">
        <v>8914</v>
      </c>
      <c r="D32" s="530"/>
      <c r="E32" s="338"/>
      <c r="F32" s="150"/>
    </row>
    <row r="33" spans="1:6">
      <c r="A33" s="84" t="s">
        <v>2867</v>
      </c>
      <c r="B33" s="31" t="s">
        <v>11196</v>
      </c>
      <c r="C33" s="31" t="s">
        <v>8914</v>
      </c>
      <c r="D33" s="530"/>
      <c r="E33" s="338"/>
      <c r="F33" s="150"/>
    </row>
    <row r="34" spans="1:6">
      <c r="A34" s="84" t="s">
        <v>2868</v>
      </c>
      <c r="B34" s="31" t="s">
        <v>11196</v>
      </c>
      <c r="C34" s="31"/>
      <c r="D34" s="530"/>
      <c r="E34" s="338"/>
      <c r="F34" s="150"/>
    </row>
    <row r="35" spans="1:6">
      <c r="A35" s="84" t="s">
        <v>11197</v>
      </c>
      <c r="B35" s="31" t="s">
        <v>11196</v>
      </c>
      <c r="C35" s="31" t="s">
        <v>8914</v>
      </c>
      <c r="D35" s="530"/>
      <c r="E35" s="338"/>
      <c r="F35" s="150"/>
    </row>
    <row r="36" spans="1:6">
      <c r="A36" s="84" t="s">
        <v>2869</v>
      </c>
      <c r="B36" s="31" t="s">
        <v>11196</v>
      </c>
      <c r="C36" s="31" t="s">
        <v>8914</v>
      </c>
      <c r="D36" s="530"/>
      <c r="E36" s="338"/>
      <c r="F36" s="150"/>
    </row>
    <row r="37" spans="1:6">
      <c r="A37" s="84" t="s">
        <v>2871</v>
      </c>
      <c r="B37" s="31" t="s">
        <v>11196</v>
      </c>
      <c r="C37" s="31" t="s">
        <v>8914</v>
      </c>
      <c r="D37" s="530"/>
      <c r="E37" s="338"/>
      <c r="F37" s="150"/>
    </row>
    <row r="38" spans="1:6" s="289" customFormat="1" hidden="1">
      <c r="A38" s="811" t="s">
        <v>2872</v>
      </c>
      <c r="B38" s="811"/>
      <c r="C38" s="811"/>
      <c r="D38" s="811"/>
      <c r="E38" s="811"/>
      <c r="F38" s="92"/>
    </row>
    <row r="39" spans="1:6" hidden="1">
      <c r="A39" s="31" t="s">
        <v>2873</v>
      </c>
      <c r="B39" s="302" t="s">
        <v>11198</v>
      </c>
      <c r="C39" s="31" t="s">
        <v>8914</v>
      </c>
      <c r="D39" s="530"/>
      <c r="E39" s="338"/>
      <c r="F39" s="150"/>
    </row>
    <row r="40" spans="1:6" hidden="1">
      <c r="A40" s="31" t="s">
        <v>2874</v>
      </c>
      <c r="B40" s="302" t="s">
        <v>11198</v>
      </c>
      <c r="C40" s="31" t="s">
        <v>8914</v>
      </c>
      <c r="D40" s="530"/>
      <c r="E40" s="338"/>
      <c r="F40" s="150"/>
    </row>
    <row r="41" spans="1:6" ht="30" hidden="1">
      <c r="A41" s="31" t="s">
        <v>2875</v>
      </c>
      <c r="B41" s="302" t="s">
        <v>11199</v>
      </c>
      <c r="C41" s="31" t="s">
        <v>8914</v>
      </c>
      <c r="D41" s="530"/>
      <c r="E41" s="338"/>
      <c r="F41" s="150"/>
    </row>
    <row r="42" spans="1:6" hidden="1">
      <c r="A42" s="31" t="s">
        <v>2876</v>
      </c>
      <c r="B42" s="302" t="s">
        <v>11200</v>
      </c>
      <c r="C42" s="31" t="s">
        <v>8920</v>
      </c>
      <c r="D42" s="530"/>
      <c r="E42" s="338"/>
      <c r="F42" s="150"/>
    </row>
    <row r="43" spans="1:6" hidden="1">
      <c r="A43" s="31" t="s">
        <v>491</v>
      </c>
      <c r="B43" s="302" t="s">
        <v>11201</v>
      </c>
      <c r="C43" s="149" t="s">
        <v>11159</v>
      </c>
      <c r="E43" s="338"/>
      <c r="F43" s="150"/>
    </row>
    <row r="44" spans="1:6" hidden="1">
      <c r="A44" s="31" t="s">
        <v>2877</v>
      </c>
      <c r="B44" s="302" t="s">
        <v>11202</v>
      </c>
      <c r="C44" s="31" t="s">
        <v>8920</v>
      </c>
      <c r="D44" s="530"/>
      <c r="E44" s="338"/>
      <c r="F44" s="150"/>
    </row>
    <row r="45" spans="1:6" hidden="1">
      <c r="A45" t="s">
        <v>2878</v>
      </c>
      <c r="B45" s="302" t="s">
        <v>11203</v>
      </c>
      <c r="C45" t="s">
        <v>11204</v>
      </c>
      <c r="E45" s="338"/>
      <c r="F45" s="150"/>
    </row>
    <row r="46" spans="1:6" hidden="1">
      <c r="A46" s="31" t="s">
        <v>2879</v>
      </c>
      <c r="B46" s="302" t="s">
        <v>11205</v>
      </c>
      <c r="C46" s="149" t="s">
        <v>11159</v>
      </c>
      <c r="E46" s="338"/>
      <c r="F46" s="150"/>
    </row>
    <row r="47" spans="1:6" hidden="1">
      <c r="A47" s="31" t="s">
        <v>929</v>
      </c>
      <c r="B47" s="302" t="s">
        <v>11206</v>
      </c>
      <c r="C47" s="149" t="s">
        <v>11159</v>
      </c>
      <c r="E47" s="338"/>
      <c r="F47" s="150"/>
    </row>
    <row r="48" spans="1:6" hidden="1">
      <c r="A48" s="31" t="s">
        <v>2864</v>
      </c>
      <c r="B48" s="302" t="s">
        <v>11207</v>
      </c>
      <c r="C48" t="s">
        <v>11204</v>
      </c>
      <c r="E48" s="338"/>
      <c r="F48" s="150"/>
    </row>
    <row r="49" spans="1:6" hidden="1">
      <c r="A49" s="31" t="s">
        <v>2880</v>
      </c>
      <c r="B49" s="302" t="s">
        <v>11208</v>
      </c>
      <c r="C49" t="s">
        <v>11204</v>
      </c>
      <c r="E49" s="338"/>
      <c r="F49" s="150"/>
    </row>
    <row r="50" spans="1:6" hidden="1">
      <c r="A50" s="31" t="s">
        <v>2881</v>
      </c>
      <c r="B50" s="302" t="s">
        <v>11196</v>
      </c>
      <c r="C50" s="31" t="s">
        <v>8914</v>
      </c>
      <c r="D50" s="530"/>
      <c r="E50" s="338"/>
      <c r="F50" s="150"/>
    </row>
    <row r="51" spans="1:6" hidden="1">
      <c r="A51" s="31" t="s">
        <v>2882</v>
      </c>
      <c r="B51" s="302" t="s">
        <v>11195</v>
      </c>
      <c r="C51" s="31" t="s">
        <v>8914</v>
      </c>
      <c r="D51" s="530"/>
      <c r="E51" s="338"/>
      <c r="F51" s="150"/>
    </row>
    <row r="52" spans="1:6" ht="30" hidden="1">
      <c r="A52" s="31" t="s">
        <v>2883</v>
      </c>
      <c r="B52" s="302" t="s">
        <v>11209</v>
      </c>
      <c r="C52" s="31" t="s">
        <v>11165</v>
      </c>
      <c r="D52" s="530"/>
      <c r="E52" s="338"/>
      <c r="F52" s="150"/>
    </row>
    <row r="53" spans="1:6" ht="30" hidden="1">
      <c r="A53" s="31" t="s">
        <v>2883</v>
      </c>
      <c r="B53" s="202" t="s">
        <v>11210</v>
      </c>
      <c r="C53" s="31" t="s">
        <v>11165</v>
      </c>
      <c r="D53" s="530"/>
      <c r="E53" s="338"/>
      <c r="F53" s="150"/>
    </row>
    <row r="54" spans="1:6" hidden="1">
      <c r="A54" s="31" t="s">
        <v>2884</v>
      </c>
      <c r="B54" s="302" t="s">
        <v>11195</v>
      </c>
      <c r="C54" s="31" t="s">
        <v>8914</v>
      </c>
      <c r="D54" s="530"/>
      <c r="E54" s="338"/>
      <c r="F54" s="150"/>
    </row>
    <row r="55" spans="1:6" hidden="1">
      <c r="A55" s="31" t="s">
        <v>2885</v>
      </c>
      <c r="B55" s="302" t="s">
        <v>11195</v>
      </c>
      <c r="C55" s="31" t="s">
        <v>8914</v>
      </c>
      <c r="D55" s="530"/>
      <c r="E55" s="338"/>
      <c r="F55" s="150"/>
    </row>
    <row r="56" spans="1:6" hidden="1">
      <c r="A56" s="31" t="s">
        <v>93</v>
      </c>
      <c r="B56" s="31" t="s">
        <v>11211</v>
      </c>
      <c r="C56" s="31" t="s">
        <v>8920</v>
      </c>
      <c r="D56" s="530"/>
      <c r="E56" s="338"/>
      <c r="F56" s="150"/>
    </row>
    <row r="57" spans="1:6" ht="45" hidden="1">
      <c r="A57" s="31" t="s">
        <v>218</v>
      </c>
      <c r="B57" s="302" t="s">
        <v>11212</v>
      </c>
      <c r="C57" s="31" t="s">
        <v>11204</v>
      </c>
      <c r="D57" s="530"/>
      <c r="E57" s="338"/>
      <c r="F57" s="150"/>
    </row>
    <row r="58" spans="1:6" ht="60" hidden="1">
      <c r="A58" s="31" t="s">
        <v>2886</v>
      </c>
      <c r="B58" s="302" t="s">
        <v>11213</v>
      </c>
      <c r="C58" s="31" t="s">
        <v>11214</v>
      </c>
      <c r="D58" s="530"/>
      <c r="E58" s="338"/>
      <c r="F58" s="150"/>
    </row>
    <row r="59" spans="1:6" hidden="1">
      <c r="A59" s="811" t="s">
        <v>2887</v>
      </c>
      <c r="B59" s="811"/>
      <c r="C59" s="811"/>
      <c r="D59" s="811"/>
      <c r="E59" s="811"/>
      <c r="F59" s="92"/>
    </row>
    <row r="60" spans="1:6" ht="45" hidden="1">
      <c r="A60" s="31" t="s">
        <v>2888</v>
      </c>
      <c r="B60" s="302" t="s">
        <v>11215</v>
      </c>
      <c r="C60" s="31" t="s">
        <v>11214</v>
      </c>
      <c r="D60" s="530"/>
      <c r="E60" s="338"/>
      <c r="F60" s="150"/>
    </row>
    <row r="61" spans="1:6" ht="45" hidden="1">
      <c r="A61" s="31" t="s">
        <v>2889</v>
      </c>
      <c r="B61" s="302" t="s">
        <v>11216</v>
      </c>
      <c r="C61" t="s">
        <v>11204</v>
      </c>
      <c r="E61" s="338"/>
      <c r="F61" s="150"/>
    </row>
    <row r="62" spans="1:6" ht="75" hidden="1">
      <c r="A62" s="31" t="s">
        <v>2890</v>
      </c>
      <c r="B62" s="302" t="s">
        <v>11217</v>
      </c>
      <c r="C62" s="31" t="s">
        <v>8915</v>
      </c>
      <c r="D62" s="530"/>
      <c r="E62" s="338"/>
      <c r="F62" s="150"/>
    </row>
    <row r="63" spans="1:6" hidden="1">
      <c r="A63" s="31" t="s">
        <v>2891</v>
      </c>
      <c r="B63" s="31" t="s">
        <v>11218</v>
      </c>
      <c r="C63" s="31" t="s">
        <v>11159</v>
      </c>
      <c r="D63" s="530"/>
      <c r="E63" s="338"/>
      <c r="F63" s="150"/>
    </row>
    <row r="64" spans="1:6" ht="30" hidden="1">
      <c r="A64" s="31" t="s">
        <v>2892</v>
      </c>
      <c r="B64" s="302" t="s">
        <v>11219</v>
      </c>
      <c r="C64" s="31" t="s">
        <v>11159</v>
      </c>
      <c r="D64" s="530"/>
      <c r="E64" s="338"/>
      <c r="F64" s="150"/>
    </row>
    <row r="65" spans="1:6" ht="45" hidden="1">
      <c r="A65" s="31" t="s">
        <v>2825</v>
      </c>
      <c r="B65" s="302" t="s">
        <v>11220</v>
      </c>
      <c r="C65" s="31" t="s">
        <v>11204</v>
      </c>
      <c r="D65" s="530"/>
      <c r="E65" s="338"/>
      <c r="F65" s="150"/>
    </row>
    <row r="66" spans="1:6" ht="45" hidden="1">
      <c r="A66" s="31" t="s">
        <v>2893</v>
      </c>
      <c r="B66" s="302" t="s">
        <v>11221</v>
      </c>
      <c r="C66" s="31" t="s">
        <v>11204</v>
      </c>
      <c r="D66" s="530"/>
      <c r="E66" s="338"/>
      <c r="F66" s="150"/>
    </row>
    <row r="67" spans="1:6" hidden="1">
      <c r="A67" s="31" t="s">
        <v>2894</v>
      </c>
      <c r="B67" s="31" t="s">
        <v>3297</v>
      </c>
      <c r="C67" s="31" t="s">
        <v>11222</v>
      </c>
      <c r="D67" s="530"/>
      <c r="E67" s="338"/>
      <c r="F67" s="150"/>
    </row>
    <row r="68" spans="1:6" ht="30" hidden="1">
      <c r="A68" s="31" t="s">
        <v>2895</v>
      </c>
      <c r="B68" s="302" t="s">
        <v>11223</v>
      </c>
      <c r="C68" s="31" t="s">
        <v>11159</v>
      </c>
      <c r="D68" s="530"/>
      <c r="E68" s="338"/>
      <c r="F68" s="150"/>
    </row>
    <row r="69" spans="1:6" ht="45" hidden="1">
      <c r="A69" s="31" t="s">
        <v>2896</v>
      </c>
      <c r="B69" s="302" t="s">
        <v>11224</v>
      </c>
      <c r="C69" s="31" t="s">
        <v>11204</v>
      </c>
      <c r="D69" s="530"/>
      <c r="E69" s="338"/>
      <c r="F69" s="150">
        <v>44550</v>
      </c>
    </row>
    <row r="70" spans="1:6" hidden="1">
      <c r="A70" s="31" t="s">
        <v>2897</v>
      </c>
      <c r="B70" s="302" t="s">
        <v>11225</v>
      </c>
      <c r="C70" s="31" t="s">
        <v>11159</v>
      </c>
      <c r="D70" s="530"/>
      <c r="E70" s="338"/>
      <c r="F70" s="150">
        <v>44550</v>
      </c>
    </row>
    <row r="71" spans="1:6" ht="30" hidden="1">
      <c r="A71" s="31" t="s">
        <v>2898</v>
      </c>
      <c r="B71" s="302" t="s">
        <v>11226</v>
      </c>
      <c r="C71" s="31" t="s">
        <v>11165</v>
      </c>
      <c r="D71" s="530"/>
      <c r="E71" s="338"/>
      <c r="F71" s="150">
        <v>44550</v>
      </c>
    </row>
    <row r="72" spans="1:6" hidden="1">
      <c r="A72" s="31" t="s">
        <v>2899</v>
      </c>
      <c r="B72" s="302" t="s">
        <v>11227</v>
      </c>
      <c r="C72" s="31" t="s">
        <v>11165</v>
      </c>
      <c r="D72" s="530"/>
      <c r="E72" s="338" t="s">
        <v>8929</v>
      </c>
      <c r="F72" s="150">
        <v>44551</v>
      </c>
    </row>
    <row r="73" spans="1:6" ht="30" hidden="1">
      <c r="A73" s="31" t="s">
        <v>2900</v>
      </c>
      <c r="B73" s="302" t="s">
        <v>11228</v>
      </c>
      <c r="C73" s="31" t="s">
        <v>8920</v>
      </c>
      <c r="D73" s="530"/>
      <c r="E73" s="338" t="s">
        <v>8929</v>
      </c>
      <c r="F73" s="150">
        <v>44557</v>
      </c>
    </row>
    <row r="74" spans="1:6" ht="45" hidden="1">
      <c r="A74" s="31" t="s">
        <v>2901</v>
      </c>
      <c r="B74" s="302" t="s">
        <v>11229</v>
      </c>
      <c r="C74" s="31" t="s">
        <v>11230</v>
      </c>
      <c r="D74" s="530"/>
      <c r="E74" s="338" t="s">
        <v>8929</v>
      </c>
      <c r="F74" s="150">
        <v>44557</v>
      </c>
    </row>
    <row r="75" spans="1:6" hidden="1">
      <c r="A75" s="797" t="s">
        <v>2902</v>
      </c>
      <c r="B75" s="797"/>
      <c r="C75" s="797"/>
      <c r="D75" s="797"/>
      <c r="E75" s="797"/>
      <c r="F75" s="797"/>
    </row>
    <row r="76" spans="1:6" hidden="1">
      <c r="A76" s="31" t="s">
        <v>2903</v>
      </c>
      <c r="B76" s="302" t="s">
        <v>11231</v>
      </c>
      <c r="C76" t="s">
        <v>8914</v>
      </c>
      <c r="E76" s="338" t="s">
        <v>8929</v>
      </c>
      <c r="F76" s="150">
        <v>44567</v>
      </c>
    </row>
    <row r="77" spans="1:6" hidden="1">
      <c r="A77" s="31" t="s">
        <v>2904</v>
      </c>
      <c r="B77" s="302" t="s">
        <v>11231</v>
      </c>
      <c r="C77" t="s">
        <v>8914</v>
      </c>
      <c r="E77" s="338" t="s">
        <v>8929</v>
      </c>
      <c r="F77" s="150">
        <v>44567</v>
      </c>
    </row>
    <row r="78" spans="1:6" hidden="1">
      <c r="A78" s="31" t="s">
        <v>1470</v>
      </c>
      <c r="B78" s="302" t="s">
        <v>11231</v>
      </c>
      <c r="C78" t="s">
        <v>8914</v>
      </c>
      <c r="E78" s="338" t="s">
        <v>8929</v>
      </c>
      <c r="F78" s="150">
        <v>44567</v>
      </c>
    </row>
    <row r="79" spans="1:6" hidden="1">
      <c r="A79" s="31" t="s">
        <v>1583</v>
      </c>
      <c r="B79" s="302" t="s">
        <v>11232</v>
      </c>
      <c r="C79" s="149" t="s">
        <v>11176</v>
      </c>
      <c r="E79" s="338" t="s">
        <v>8929</v>
      </c>
      <c r="F79" s="150">
        <v>44571</v>
      </c>
    </row>
    <row r="80" spans="1:6" hidden="1">
      <c r="A80" s="31" t="s">
        <v>2905</v>
      </c>
      <c r="B80" s="302" t="s">
        <v>11233</v>
      </c>
      <c r="C80" t="s">
        <v>8914</v>
      </c>
      <c r="E80" s="338" t="s">
        <v>8929</v>
      </c>
      <c r="F80" s="150">
        <v>44571</v>
      </c>
    </row>
    <row r="81" spans="1:6" hidden="1">
      <c r="A81" s="31" t="s">
        <v>2905</v>
      </c>
      <c r="B81" s="302" t="s">
        <v>11233</v>
      </c>
      <c r="C81" t="s">
        <v>8914</v>
      </c>
      <c r="E81" s="338" t="s">
        <v>8929</v>
      </c>
      <c r="F81" s="150">
        <v>44571</v>
      </c>
    </row>
    <row r="82" spans="1:6" hidden="1">
      <c r="A82" s="31" t="s">
        <v>2906</v>
      </c>
      <c r="B82" s="302" t="s">
        <v>11234</v>
      </c>
      <c r="C82" s="39" t="s">
        <v>11165</v>
      </c>
      <c r="D82" s="531"/>
      <c r="E82" s="338" t="s">
        <v>8929</v>
      </c>
      <c r="F82" s="150">
        <v>44575</v>
      </c>
    </row>
    <row r="83" spans="1:6" hidden="1">
      <c r="A83" s="31" t="s">
        <v>1038</v>
      </c>
      <c r="B83" s="302" t="s">
        <v>11235</v>
      </c>
      <c r="C83" s="31" t="s">
        <v>8920</v>
      </c>
      <c r="D83" s="530"/>
      <c r="E83" s="338" t="s">
        <v>8929</v>
      </c>
      <c r="F83" s="150">
        <v>44579</v>
      </c>
    </row>
    <row r="84" spans="1:6" hidden="1">
      <c r="A84" s="31" t="s">
        <v>2907</v>
      </c>
      <c r="B84" s="302" t="s">
        <v>11236</v>
      </c>
      <c r="C84" t="s">
        <v>11159</v>
      </c>
      <c r="E84" s="338" t="s">
        <v>8929</v>
      </c>
      <c r="F84" s="150">
        <v>44582</v>
      </c>
    </row>
    <row r="85" spans="1:6" hidden="1">
      <c r="A85" s="31" t="s">
        <v>23</v>
      </c>
      <c r="B85" s="302" t="s">
        <v>11237</v>
      </c>
      <c r="C85" s="31" t="s">
        <v>8920</v>
      </c>
      <c r="D85" s="530"/>
      <c r="E85" s="338" t="s">
        <v>8929</v>
      </c>
      <c r="F85" s="150">
        <v>44585</v>
      </c>
    </row>
    <row r="86" spans="1:6" hidden="1">
      <c r="A86" s="31" t="s">
        <v>2908</v>
      </c>
      <c r="B86" s="302" t="s">
        <v>11238</v>
      </c>
      <c r="C86" t="s">
        <v>8914</v>
      </c>
      <c r="E86" s="338" t="s">
        <v>8929</v>
      </c>
      <c r="F86" s="150">
        <v>44585</v>
      </c>
    </row>
    <row r="87" spans="1:6" hidden="1">
      <c r="A87" s="31" t="s">
        <v>2908</v>
      </c>
      <c r="B87" s="340" t="s">
        <v>11238</v>
      </c>
      <c r="C87" t="s">
        <v>8914</v>
      </c>
      <c r="E87" s="338" t="s">
        <v>8929</v>
      </c>
      <c r="F87" s="150">
        <v>44585</v>
      </c>
    </row>
    <row r="88" spans="1:6" hidden="1">
      <c r="A88" s="31" t="s">
        <v>2909</v>
      </c>
      <c r="B88" s="302" t="s">
        <v>11239</v>
      </c>
      <c r="C88" s="31" t="s">
        <v>8920</v>
      </c>
      <c r="D88" s="530"/>
      <c r="E88" s="338" t="s">
        <v>8929</v>
      </c>
      <c r="F88" s="150">
        <v>44580</v>
      </c>
    </row>
    <row r="89" spans="1:6" hidden="1">
      <c r="A89" s="797" t="s">
        <v>2910</v>
      </c>
      <c r="B89" s="797"/>
      <c r="C89" s="797"/>
      <c r="D89" s="797"/>
      <c r="E89" s="797"/>
      <c r="F89" s="797"/>
    </row>
    <row r="90" spans="1:6" hidden="1">
      <c r="A90" s="31" t="s">
        <v>2911</v>
      </c>
      <c r="B90" s="302" t="s">
        <v>11240</v>
      </c>
      <c r="C90" s="31" t="s">
        <v>8914</v>
      </c>
      <c r="D90" s="530"/>
      <c r="E90" s="338" t="s">
        <v>8929</v>
      </c>
      <c r="F90" s="150">
        <v>44594</v>
      </c>
    </row>
    <row r="91" spans="1:6" ht="30" hidden="1">
      <c r="A91" s="31" t="s">
        <v>2912</v>
      </c>
      <c r="B91" s="302" t="s">
        <v>11241</v>
      </c>
      <c r="C91" s="31" t="s">
        <v>8920</v>
      </c>
      <c r="D91" s="530"/>
      <c r="E91" s="338" t="s">
        <v>8929</v>
      </c>
      <c r="F91" s="150">
        <v>44594</v>
      </c>
    </row>
    <row r="92" spans="1:6" hidden="1">
      <c r="A92" s="84" t="s">
        <v>1649</v>
      </c>
      <c r="B92" s="302" t="s">
        <v>11242</v>
      </c>
      <c r="C92" s="31" t="s">
        <v>8920</v>
      </c>
      <c r="D92" s="530"/>
      <c r="E92" s="338" t="s">
        <v>8929</v>
      </c>
      <c r="F92" s="150">
        <v>44594</v>
      </c>
    </row>
    <row r="93" spans="1:6" hidden="1">
      <c r="A93" s="31" t="s">
        <v>2913</v>
      </c>
      <c r="B93" s="302" t="s">
        <v>11218</v>
      </c>
      <c r="C93" s="31" t="s">
        <v>11159</v>
      </c>
      <c r="D93" s="530"/>
      <c r="E93" s="338" t="s">
        <v>8929</v>
      </c>
      <c r="F93" s="150"/>
    </row>
    <row r="94" spans="1:6" hidden="1">
      <c r="A94" s="31" t="s">
        <v>501</v>
      </c>
      <c r="B94" s="302" t="s">
        <v>11218</v>
      </c>
      <c r="C94" s="31" t="s">
        <v>11159</v>
      </c>
      <c r="D94" s="530"/>
      <c r="E94" s="338" t="s">
        <v>8929</v>
      </c>
      <c r="F94" s="150"/>
    </row>
    <row r="95" spans="1:6" hidden="1">
      <c r="A95" s="31" t="s">
        <v>2914</v>
      </c>
      <c r="B95" s="302" t="s">
        <v>11243</v>
      </c>
      <c r="C95" s="31" t="s">
        <v>8920</v>
      </c>
      <c r="D95" s="530"/>
      <c r="E95" s="338" t="s">
        <v>8929</v>
      </c>
      <c r="F95" s="150">
        <v>44597</v>
      </c>
    </row>
    <row r="96" spans="1:6" hidden="1">
      <c r="A96" s="31" t="s">
        <v>2915</v>
      </c>
      <c r="B96" s="302" t="s">
        <v>11244</v>
      </c>
      <c r="C96" s="31" t="s">
        <v>8920</v>
      </c>
      <c r="D96" s="530"/>
      <c r="E96" s="338" t="s">
        <v>8929</v>
      </c>
      <c r="F96" s="150"/>
    </row>
    <row r="97" spans="1:6" hidden="1">
      <c r="A97" s="31" t="s">
        <v>2916</v>
      </c>
      <c r="B97" s="302" t="s">
        <v>11180</v>
      </c>
      <c r="C97" s="31" t="s">
        <v>11159</v>
      </c>
      <c r="D97" s="530"/>
      <c r="E97" s="338" t="s">
        <v>8929</v>
      </c>
      <c r="F97" s="150"/>
    </row>
    <row r="98" spans="1:6" hidden="1">
      <c r="A98" s="31" t="s">
        <v>2052</v>
      </c>
      <c r="B98" s="31" t="s">
        <v>11180</v>
      </c>
      <c r="C98" s="31" t="s">
        <v>11159</v>
      </c>
      <c r="D98" s="530"/>
      <c r="E98" s="338" t="s">
        <v>8929</v>
      </c>
      <c r="F98" s="150"/>
    </row>
    <row r="99" spans="1:6" hidden="1">
      <c r="A99" s="31" t="s">
        <v>2917</v>
      </c>
      <c r="B99" s="302" t="s">
        <v>11231</v>
      </c>
      <c r="C99" s="31" t="s">
        <v>8914</v>
      </c>
      <c r="D99" s="530"/>
      <c r="E99" s="338" t="s">
        <v>8929</v>
      </c>
      <c r="F99" s="150"/>
    </row>
    <row r="100" spans="1:6" hidden="1">
      <c r="A100" s="31" t="s">
        <v>2918</v>
      </c>
      <c r="B100" s="31" t="s">
        <v>11245</v>
      </c>
      <c r="C100" s="31" t="s">
        <v>11159</v>
      </c>
      <c r="D100" s="530"/>
      <c r="E100" s="338" t="s">
        <v>8929</v>
      </c>
      <c r="F100" s="150"/>
    </row>
    <row r="101" spans="1:6" hidden="1">
      <c r="A101" s="31" t="s">
        <v>2919</v>
      </c>
      <c r="B101" s="31" t="s">
        <v>11246</v>
      </c>
      <c r="C101" s="31" t="s">
        <v>8920</v>
      </c>
      <c r="D101" s="530"/>
      <c r="E101" s="338" t="s">
        <v>8929</v>
      </c>
      <c r="F101" s="150"/>
    </row>
    <row r="102" spans="1:6" hidden="1">
      <c r="A102" s="31" t="s">
        <v>2920</v>
      </c>
      <c r="B102" s="31" t="s">
        <v>11247</v>
      </c>
      <c r="C102" s="31" t="s">
        <v>8914</v>
      </c>
      <c r="D102" s="530"/>
      <c r="E102" s="338" t="s">
        <v>8929</v>
      </c>
      <c r="F102" s="150"/>
    </row>
    <row r="103" spans="1:6" hidden="1">
      <c r="A103" s="31" t="s">
        <v>2654</v>
      </c>
      <c r="B103" s="31" t="s">
        <v>11248</v>
      </c>
      <c r="C103" s="31" t="s">
        <v>8914</v>
      </c>
      <c r="D103" s="530"/>
      <c r="E103" s="338"/>
      <c r="F103" s="150"/>
    </row>
    <row r="104" spans="1:6" hidden="1">
      <c r="A104" s="31" t="s">
        <v>2921</v>
      </c>
      <c r="B104" s="31" t="s">
        <v>11249</v>
      </c>
      <c r="C104" s="31" t="s">
        <v>11165</v>
      </c>
      <c r="D104" s="530"/>
      <c r="E104" s="338" t="s">
        <v>8929</v>
      </c>
      <c r="F104" s="150"/>
    </row>
    <row r="105" spans="1:6" hidden="1">
      <c r="A105" s="31" t="s">
        <v>2922</v>
      </c>
      <c r="B105" s="31" t="s">
        <v>11250</v>
      </c>
      <c r="C105" s="31" t="s">
        <v>8920</v>
      </c>
      <c r="D105" s="530"/>
      <c r="E105" s="338" t="s">
        <v>8929</v>
      </c>
      <c r="F105" s="150"/>
    </row>
    <row r="106" spans="1:6" hidden="1">
      <c r="A106" s="31" t="s">
        <v>2762</v>
      </c>
      <c r="B106" s="31" t="s">
        <v>11251</v>
      </c>
      <c r="C106" s="31" t="s">
        <v>8920</v>
      </c>
      <c r="D106" s="530"/>
      <c r="E106" s="338" t="s">
        <v>8929</v>
      </c>
      <c r="F106" s="150"/>
    </row>
    <row r="107" spans="1:6" hidden="1">
      <c r="A107" s="31" t="s">
        <v>2923</v>
      </c>
      <c r="B107" s="31" t="s">
        <v>11252</v>
      </c>
      <c r="C107" s="31" t="s">
        <v>11159</v>
      </c>
      <c r="D107" s="530"/>
      <c r="E107" s="338" t="s">
        <v>8929</v>
      </c>
      <c r="F107" s="150"/>
    </row>
    <row r="108" spans="1:6" hidden="1">
      <c r="A108" s="31" t="s">
        <v>669</v>
      </c>
      <c r="B108" s="31" t="s">
        <v>11248</v>
      </c>
      <c r="C108" s="31" t="s">
        <v>8914</v>
      </c>
      <c r="D108" s="530"/>
      <c r="E108" s="338" t="s">
        <v>8929</v>
      </c>
      <c r="F108" s="150"/>
    </row>
    <row r="109" spans="1:6" hidden="1">
      <c r="A109" s="31" t="s">
        <v>679</v>
      </c>
      <c r="B109" s="31" t="s">
        <v>11248</v>
      </c>
      <c r="C109" s="31" t="s">
        <v>8914</v>
      </c>
      <c r="D109" s="530"/>
      <c r="E109" s="338"/>
      <c r="F109" s="150"/>
    </row>
    <row r="110" spans="1:6" hidden="1">
      <c r="A110" s="31" t="s">
        <v>2924</v>
      </c>
      <c r="B110" s="31" t="s">
        <v>11248</v>
      </c>
      <c r="C110" s="31" t="s">
        <v>8914</v>
      </c>
      <c r="D110" s="530"/>
      <c r="E110" s="338" t="s">
        <v>8929</v>
      </c>
      <c r="F110" s="150"/>
    </row>
    <row r="111" spans="1:6" hidden="1">
      <c r="A111" s="31" t="s">
        <v>2925</v>
      </c>
      <c r="B111" s="31" t="s">
        <v>11248</v>
      </c>
      <c r="C111" s="31" t="s">
        <v>8914</v>
      </c>
      <c r="D111" s="530"/>
      <c r="E111" s="338"/>
      <c r="F111" s="150"/>
    </row>
    <row r="112" spans="1:6" hidden="1">
      <c r="A112" s="31" t="s">
        <v>2926</v>
      </c>
      <c r="B112" s="31" t="s">
        <v>11248</v>
      </c>
      <c r="C112" s="31" t="s">
        <v>8914</v>
      </c>
      <c r="D112" s="530"/>
      <c r="E112" s="338" t="s">
        <v>8929</v>
      </c>
      <c r="F112" s="150"/>
    </row>
    <row r="113" spans="1:6" hidden="1">
      <c r="A113" s="31" t="s">
        <v>2927</v>
      </c>
      <c r="B113" s="31" t="s">
        <v>11248</v>
      </c>
      <c r="C113" s="31" t="s">
        <v>8914</v>
      </c>
      <c r="D113" s="530"/>
      <c r="E113" s="338" t="s">
        <v>8929</v>
      </c>
      <c r="F113" s="150"/>
    </row>
    <row r="114" spans="1:6" hidden="1">
      <c r="A114" s="31" t="s">
        <v>2765</v>
      </c>
      <c r="B114" s="31" t="s">
        <v>11248</v>
      </c>
      <c r="C114" s="31" t="s">
        <v>8914</v>
      </c>
      <c r="D114" s="530"/>
      <c r="E114" s="338"/>
      <c r="F114" s="150"/>
    </row>
    <row r="115" spans="1:6" hidden="1">
      <c r="A115" s="31" t="s">
        <v>2928</v>
      </c>
      <c r="B115" s="31" t="s">
        <v>11248</v>
      </c>
      <c r="C115" s="31" t="s">
        <v>8914</v>
      </c>
      <c r="D115" s="530"/>
      <c r="E115" s="338" t="s">
        <v>8929</v>
      </c>
      <c r="F115" s="150"/>
    </row>
    <row r="116" spans="1:6" hidden="1">
      <c r="A116" s="31" t="s">
        <v>2929</v>
      </c>
      <c r="B116" s="31" t="s">
        <v>11248</v>
      </c>
      <c r="C116" s="31" t="s">
        <v>8914</v>
      </c>
      <c r="D116" s="530"/>
      <c r="E116" s="338" t="s">
        <v>11253</v>
      </c>
      <c r="F116" s="150"/>
    </row>
    <row r="117" spans="1:6" hidden="1">
      <c r="A117" s="31" t="s">
        <v>2930</v>
      </c>
      <c r="B117" s="31" t="s">
        <v>11248</v>
      </c>
      <c r="C117" s="31" t="s">
        <v>8914</v>
      </c>
      <c r="D117" s="530"/>
      <c r="E117" s="338" t="s">
        <v>8929</v>
      </c>
      <c r="F117" s="150"/>
    </row>
    <row r="118" spans="1:6" hidden="1">
      <c r="A118" s="31" t="s">
        <v>2931</v>
      </c>
      <c r="B118" s="31" t="s">
        <v>11248</v>
      </c>
      <c r="C118" s="31" t="s">
        <v>8914</v>
      </c>
      <c r="D118" s="530"/>
      <c r="E118" s="338"/>
      <c r="F118" s="150"/>
    </row>
    <row r="119" spans="1:6" hidden="1">
      <c r="A119" s="31" t="s">
        <v>2776</v>
      </c>
      <c r="B119" s="31" t="s">
        <v>11248</v>
      </c>
      <c r="C119" s="31" t="s">
        <v>8914</v>
      </c>
      <c r="D119" s="530"/>
      <c r="E119" s="338"/>
      <c r="F119" s="150"/>
    </row>
    <row r="120" spans="1:6" hidden="1">
      <c r="A120" s="31" t="s">
        <v>2932</v>
      </c>
      <c r="B120" s="31" t="s">
        <v>11248</v>
      </c>
      <c r="C120" s="31" t="s">
        <v>8914</v>
      </c>
      <c r="D120" s="530"/>
      <c r="E120" s="338" t="s">
        <v>8929</v>
      </c>
      <c r="F120" s="150"/>
    </row>
    <row r="121" spans="1:6" hidden="1">
      <c r="A121" s="31" t="s">
        <v>2933</v>
      </c>
      <c r="B121" s="31" t="s">
        <v>11248</v>
      </c>
      <c r="C121" s="31" t="s">
        <v>8914</v>
      </c>
      <c r="D121" s="530"/>
      <c r="E121" s="338" t="s">
        <v>8929</v>
      </c>
      <c r="F121" s="150"/>
    </row>
    <row r="122" spans="1:6" hidden="1">
      <c r="A122" s="31" t="s">
        <v>2934</v>
      </c>
      <c r="B122" s="31" t="s">
        <v>11248</v>
      </c>
      <c r="C122" s="31" t="s">
        <v>8914</v>
      </c>
      <c r="D122" s="530"/>
      <c r="E122" s="338" t="s">
        <v>11253</v>
      </c>
      <c r="F122" s="150"/>
    </row>
    <row r="123" spans="1:6" hidden="1">
      <c r="A123" s="149" t="s">
        <v>2935</v>
      </c>
      <c r="B123" s="149" t="s">
        <v>11248</v>
      </c>
      <c r="C123" s="31" t="s">
        <v>8914</v>
      </c>
      <c r="D123" s="530"/>
      <c r="E123" s="338" t="s">
        <v>11253</v>
      </c>
      <c r="F123" s="150"/>
    </row>
    <row r="124" spans="1:6" hidden="1">
      <c r="A124" s="149" t="s">
        <v>1998</v>
      </c>
      <c r="B124" s="149" t="s">
        <v>11254</v>
      </c>
      <c r="C124" s="31" t="s">
        <v>8914</v>
      </c>
      <c r="D124" s="530"/>
      <c r="E124" s="338" t="s">
        <v>8929</v>
      </c>
      <c r="F124" s="150"/>
    </row>
    <row r="125" spans="1:6" ht="30" hidden="1">
      <c r="A125" s="149" t="s">
        <v>2936</v>
      </c>
      <c r="B125" s="307" t="s">
        <v>11255</v>
      </c>
      <c r="C125" s="143" t="s">
        <v>8920</v>
      </c>
      <c r="D125" s="516"/>
      <c r="E125" s="338" t="s">
        <v>8929</v>
      </c>
      <c r="F125" s="150"/>
    </row>
    <row r="126" spans="1:6" hidden="1">
      <c r="A126" s="152" t="s">
        <v>2937</v>
      </c>
      <c r="B126" s="152" t="s">
        <v>11256</v>
      </c>
      <c r="C126" s="31" t="s">
        <v>11159</v>
      </c>
      <c r="D126" s="530"/>
      <c r="E126" s="338" t="s">
        <v>8929</v>
      </c>
      <c r="F126" s="150"/>
    </row>
    <row r="127" spans="1:6" hidden="1">
      <c r="A127" s="31" t="s">
        <v>2938</v>
      </c>
      <c r="B127" s="31" t="s">
        <v>11257</v>
      </c>
      <c r="C127" s="31" t="s">
        <v>11204</v>
      </c>
      <c r="D127" s="530"/>
      <c r="E127" s="338" t="s">
        <v>8929</v>
      </c>
      <c r="F127" s="150"/>
    </row>
    <row r="128" spans="1:6" hidden="1">
      <c r="A128" s="31" t="s">
        <v>2939</v>
      </c>
      <c r="B128" s="31" t="s">
        <v>11257</v>
      </c>
      <c r="C128" s="31" t="s">
        <v>11204</v>
      </c>
      <c r="D128" s="530"/>
      <c r="E128" s="338" t="s">
        <v>8929</v>
      </c>
      <c r="F128" s="150"/>
    </row>
    <row r="129" spans="1:6" hidden="1">
      <c r="A129" s="340" t="s">
        <v>2940</v>
      </c>
      <c r="B129" s="31" t="s">
        <v>11257</v>
      </c>
      <c r="C129" s="31" t="s">
        <v>11204</v>
      </c>
      <c r="D129" s="530"/>
      <c r="E129" s="338" t="s">
        <v>8929</v>
      </c>
      <c r="F129" s="150"/>
    </row>
    <row r="130" spans="1:6" hidden="1">
      <c r="A130" s="797" t="s">
        <v>2941</v>
      </c>
      <c r="B130" s="797"/>
      <c r="C130" s="797"/>
      <c r="D130" s="797"/>
      <c r="E130" s="797"/>
      <c r="F130" s="797"/>
    </row>
    <row r="131" spans="1:6" ht="30" hidden="1">
      <c r="A131" t="s">
        <v>2942</v>
      </c>
      <c r="B131" s="368" t="s">
        <v>11258</v>
      </c>
      <c r="C131" s="31" t="s">
        <v>11204</v>
      </c>
      <c r="D131" s="530"/>
      <c r="E131" s="338" t="s">
        <v>8929</v>
      </c>
      <c r="F131" s="150"/>
    </row>
    <row r="132" spans="1:6" hidden="1">
      <c r="A132" s="31" t="s">
        <v>2943</v>
      </c>
      <c r="B132" s="31" t="s">
        <v>11259</v>
      </c>
      <c r="C132" s="31" t="s">
        <v>11159</v>
      </c>
      <c r="D132" s="530"/>
      <c r="E132" s="338" t="s">
        <v>8929</v>
      </c>
      <c r="F132" s="150"/>
    </row>
    <row r="133" spans="1:6" hidden="1">
      <c r="A133" s="31" t="s">
        <v>2944</v>
      </c>
      <c r="B133" s="31" t="s">
        <v>11260</v>
      </c>
      <c r="C133" s="31" t="s">
        <v>11165</v>
      </c>
      <c r="D133" s="530"/>
      <c r="E133" s="338" t="s">
        <v>8929</v>
      </c>
      <c r="F133" s="150"/>
    </row>
    <row r="134" spans="1:6" hidden="1">
      <c r="A134" s="31" t="s">
        <v>2945</v>
      </c>
      <c r="B134" s="31" t="s">
        <v>11261</v>
      </c>
      <c r="C134" s="31" t="s">
        <v>11165</v>
      </c>
      <c r="D134" s="530"/>
      <c r="E134" s="338" t="s">
        <v>8929</v>
      </c>
      <c r="F134" s="150"/>
    </row>
    <row r="135" spans="1:6" hidden="1">
      <c r="A135" s="31" t="s">
        <v>2946</v>
      </c>
      <c r="B135" s="140" t="s">
        <v>11248</v>
      </c>
      <c r="C135" s="31" t="s">
        <v>8914</v>
      </c>
      <c r="D135" s="530"/>
      <c r="E135" s="338"/>
      <c r="F135" s="150"/>
    </row>
    <row r="136" spans="1:6" hidden="1">
      <c r="A136" s="31" t="s">
        <v>2947</v>
      </c>
      <c r="B136" s="140" t="s">
        <v>11248</v>
      </c>
      <c r="C136" s="31" t="s">
        <v>8914</v>
      </c>
      <c r="D136" s="530"/>
      <c r="E136" s="338"/>
      <c r="F136" s="150"/>
    </row>
    <row r="137" spans="1:6" hidden="1">
      <c r="A137" s="31" t="s">
        <v>2948</v>
      </c>
      <c r="B137" s="140" t="s">
        <v>11248</v>
      </c>
      <c r="C137" s="31" t="s">
        <v>8914</v>
      </c>
      <c r="D137" s="530"/>
      <c r="E137" s="338"/>
      <c r="F137" s="150"/>
    </row>
    <row r="138" spans="1:6" hidden="1">
      <c r="A138" s="31" t="s">
        <v>2924</v>
      </c>
      <c r="B138" s="31" t="s">
        <v>11262</v>
      </c>
      <c r="C138" s="31" t="s">
        <v>11165</v>
      </c>
      <c r="D138" s="530"/>
      <c r="E138" s="338" t="s">
        <v>8929</v>
      </c>
      <c r="F138" s="150"/>
    </row>
    <row r="139" spans="1:6" hidden="1">
      <c r="A139" s="31" t="s">
        <v>2949</v>
      </c>
      <c r="B139" s="31" t="s">
        <v>11263</v>
      </c>
      <c r="C139" s="31" t="s">
        <v>11204</v>
      </c>
      <c r="D139" s="530"/>
      <c r="E139" s="338" t="s">
        <v>8929</v>
      </c>
      <c r="F139" s="150"/>
    </row>
    <row r="140" spans="1:6" hidden="1">
      <c r="A140" s="31" t="s">
        <v>2950</v>
      </c>
      <c r="B140" s="31" t="s">
        <v>11263</v>
      </c>
      <c r="C140" s="31" t="s">
        <v>11204</v>
      </c>
      <c r="D140" s="530"/>
      <c r="E140" s="338" t="s">
        <v>8929</v>
      </c>
      <c r="F140" s="150"/>
    </row>
    <row r="141" spans="1:6" hidden="1">
      <c r="A141" s="31" t="s">
        <v>2951</v>
      </c>
      <c r="B141" s="31" t="s">
        <v>11264</v>
      </c>
      <c r="C141" s="31" t="s">
        <v>11165</v>
      </c>
      <c r="D141" s="530"/>
      <c r="E141" s="338" t="s">
        <v>8929</v>
      </c>
      <c r="F141" s="150"/>
    </row>
    <row r="142" spans="1:6" hidden="1">
      <c r="A142" s="31" t="s">
        <v>2952</v>
      </c>
      <c r="B142" s="31" t="s">
        <v>11265</v>
      </c>
      <c r="C142" s="31" t="s">
        <v>11204</v>
      </c>
      <c r="D142" s="530"/>
      <c r="E142" s="338" t="s">
        <v>8929</v>
      </c>
      <c r="F142" s="150">
        <v>44637</v>
      </c>
    </row>
    <row r="143" spans="1:6" hidden="1">
      <c r="A143" s="31" t="s">
        <v>2953</v>
      </c>
      <c r="B143" s="31" t="s">
        <v>11266</v>
      </c>
      <c r="C143" s="31" t="s">
        <v>8920</v>
      </c>
      <c r="D143" s="530"/>
      <c r="E143" s="338" t="s">
        <v>8929</v>
      </c>
      <c r="F143" s="150">
        <v>44638</v>
      </c>
    </row>
    <row r="144" spans="1:6" hidden="1">
      <c r="A144" s="31" t="s">
        <v>2953</v>
      </c>
      <c r="B144" s="31" t="s">
        <v>11266</v>
      </c>
      <c r="C144" s="31" t="s">
        <v>8920</v>
      </c>
      <c r="D144" s="530"/>
      <c r="E144" s="338" t="s">
        <v>8929</v>
      </c>
      <c r="F144" s="150">
        <v>44638</v>
      </c>
    </row>
    <row r="145" spans="1:6" hidden="1">
      <c r="A145" s="31" t="s">
        <v>2953</v>
      </c>
      <c r="B145" s="31" t="s">
        <v>11266</v>
      </c>
      <c r="C145" s="31" t="s">
        <v>8920</v>
      </c>
      <c r="D145" s="530"/>
      <c r="E145" s="338"/>
      <c r="F145" s="150">
        <v>44638</v>
      </c>
    </row>
    <row r="146" spans="1:6" hidden="1">
      <c r="A146" s="31" t="s">
        <v>2954</v>
      </c>
      <c r="B146" s="31" t="s">
        <v>11266</v>
      </c>
      <c r="C146" s="31" t="s">
        <v>8920</v>
      </c>
      <c r="D146" s="530"/>
      <c r="E146" s="338" t="s">
        <v>8929</v>
      </c>
      <c r="F146" s="150">
        <v>44638</v>
      </c>
    </row>
    <row r="147" spans="1:6" hidden="1">
      <c r="A147" s="31" t="s">
        <v>2955</v>
      </c>
      <c r="B147" s="31" t="s">
        <v>11267</v>
      </c>
      <c r="C147" s="31" t="s">
        <v>11204</v>
      </c>
      <c r="D147" s="530"/>
      <c r="E147" s="338" t="s">
        <v>8929</v>
      </c>
      <c r="F147" s="150">
        <v>44638</v>
      </c>
    </row>
    <row r="148" spans="1:6" hidden="1">
      <c r="A148" s="31" t="s">
        <v>2956</v>
      </c>
      <c r="B148" s="31" t="s">
        <v>11268</v>
      </c>
      <c r="C148" s="31" t="s">
        <v>8920</v>
      </c>
      <c r="D148" s="530"/>
      <c r="E148" s="338" t="s">
        <v>8929</v>
      </c>
      <c r="F148" s="150">
        <v>44644</v>
      </c>
    </row>
    <row r="149" spans="1:6" ht="30" hidden="1">
      <c r="A149" s="31" t="s">
        <v>2957</v>
      </c>
      <c r="B149" s="302" t="s">
        <v>11269</v>
      </c>
      <c r="C149" s="31" t="s">
        <v>8920</v>
      </c>
      <c r="D149" s="530"/>
      <c r="E149" s="338" t="s">
        <v>8929</v>
      </c>
      <c r="F149" s="150">
        <v>44649</v>
      </c>
    </row>
    <row r="150" spans="1:6" ht="30" hidden="1">
      <c r="A150" s="31" t="s">
        <v>2957</v>
      </c>
      <c r="B150" s="302" t="s">
        <v>11269</v>
      </c>
      <c r="C150" s="31" t="s">
        <v>8920</v>
      </c>
      <c r="D150" s="530"/>
      <c r="E150" s="338" t="s">
        <v>8929</v>
      </c>
      <c r="F150" s="150"/>
    </row>
    <row r="151" spans="1:6" hidden="1">
      <c r="A151" s="31" t="s">
        <v>2958</v>
      </c>
      <c r="B151" s="31" t="s">
        <v>11270</v>
      </c>
      <c r="C151" s="31" t="s">
        <v>8920</v>
      </c>
      <c r="D151" s="530"/>
      <c r="E151" s="338" t="s">
        <v>8929</v>
      </c>
      <c r="F151" s="150"/>
    </row>
    <row r="152" spans="1:6" hidden="1">
      <c r="A152" s="31" t="s">
        <v>2959</v>
      </c>
      <c r="B152" s="31" t="s">
        <v>11271</v>
      </c>
      <c r="C152" s="31" t="s">
        <v>11159</v>
      </c>
      <c r="D152" s="530"/>
      <c r="E152" s="338" t="s">
        <v>8929</v>
      </c>
      <c r="F152" s="150"/>
    </row>
    <row r="153" spans="1:6" hidden="1">
      <c r="A153" s="31" t="s">
        <v>2960</v>
      </c>
      <c r="B153" s="31" t="s">
        <v>11271</v>
      </c>
      <c r="C153" s="31" t="s">
        <v>11159</v>
      </c>
      <c r="D153" s="530"/>
      <c r="E153" s="338" t="s">
        <v>8929</v>
      </c>
      <c r="F153" s="150"/>
    </row>
    <row r="154" spans="1:6" hidden="1">
      <c r="A154" s="31" t="s">
        <v>2961</v>
      </c>
      <c r="B154" s="149" t="s">
        <v>11248</v>
      </c>
      <c r="C154" s="31" t="s">
        <v>8914</v>
      </c>
      <c r="D154" s="530"/>
      <c r="E154" s="338"/>
      <c r="F154" s="150"/>
    </row>
    <row r="155" spans="1:6" hidden="1">
      <c r="A155" s="797" t="s">
        <v>2962</v>
      </c>
      <c r="B155" s="797"/>
      <c r="C155" s="797"/>
      <c r="D155" s="797"/>
      <c r="E155" s="797"/>
      <c r="F155" s="797"/>
    </row>
    <row r="156" spans="1:6" hidden="1">
      <c r="A156" s="31" t="s">
        <v>2963</v>
      </c>
      <c r="B156" s="31" t="s">
        <v>11272</v>
      </c>
      <c r="C156" s="31" t="s">
        <v>11204</v>
      </c>
      <c r="D156" s="530"/>
      <c r="E156" s="338"/>
      <c r="F156" s="150"/>
    </row>
    <row r="157" spans="1:6" hidden="1">
      <c r="A157" s="31" t="s">
        <v>2964</v>
      </c>
      <c r="B157" s="31" t="s">
        <v>11273</v>
      </c>
      <c r="C157" s="31" t="s">
        <v>8920</v>
      </c>
      <c r="D157" s="530"/>
      <c r="E157" s="338" t="s">
        <v>8929</v>
      </c>
      <c r="F157" s="150"/>
    </row>
    <row r="158" spans="1:6" hidden="1">
      <c r="A158" s="31" t="s">
        <v>2965</v>
      </c>
      <c r="B158" s="31" t="s">
        <v>11274</v>
      </c>
      <c r="C158" s="31" t="s">
        <v>11159</v>
      </c>
      <c r="D158" s="530"/>
      <c r="E158" s="338" t="s">
        <v>8929</v>
      </c>
      <c r="F158" s="150"/>
    </row>
    <row r="159" spans="1:6" hidden="1">
      <c r="A159" s="31" t="s">
        <v>1689</v>
      </c>
      <c r="B159" s="31" t="s">
        <v>11275</v>
      </c>
      <c r="C159" s="31" t="s">
        <v>11204</v>
      </c>
      <c r="D159" s="530"/>
      <c r="E159" s="338" t="s">
        <v>8929</v>
      </c>
      <c r="F159" s="150"/>
    </row>
    <row r="160" spans="1:6" hidden="1">
      <c r="A160" s="31" t="s">
        <v>2966</v>
      </c>
      <c r="B160" s="31" t="s">
        <v>11276</v>
      </c>
      <c r="C160" s="31" t="s">
        <v>11204</v>
      </c>
      <c r="D160" s="530"/>
      <c r="E160" s="338" t="s">
        <v>8929</v>
      </c>
      <c r="F160" s="150"/>
    </row>
    <row r="161" spans="1:6" hidden="1">
      <c r="A161" t="s">
        <v>2967</v>
      </c>
      <c r="B161" s="31" t="s">
        <v>11277</v>
      </c>
      <c r="C161" s="31" t="s">
        <v>11159</v>
      </c>
      <c r="D161" s="530"/>
      <c r="E161" s="338" t="s">
        <v>8929</v>
      </c>
      <c r="F161" s="150"/>
    </row>
    <row r="162" spans="1:6" hidden="1">
      <c r="A162" s="31" t="s">
        <v>2968</v>
      </c>
      <c r="B162" s="31" t="s">
        <v>11278</v>
      </c>
      <c r="C162" s="31" t="s">
        <v>11159</v>
      </c>
      <c r="D162" s="530"/>
      <c r="E162" s="338" t="s">
        <v>8929</v>
      </c>
      <c r="F162" s="150"/>
    </row>
    <row r="163" spans="1:6" hidden="1">
      <c r="A163" s="31" t="s">
        <v>2969</v>
      </c>
      <c r="B163" s="31" t="s">
        <v>11279</v>
      </c>
      <c r="C163" s="31" t="s">
        <v>8920</v>
      </c>
      <c r="D163" s="530"/>
      <c r="E163" s="338" t="s">
        <v>8929</v>
      </c>
      <c r="F163" s="150"/>
    </row>
    <row r="164" spans="1:6" hidden="1">
      <c r="A164" s="31" t="s">
        <v>2970</v>
      </c>
      <c r="B164" s="31" t="s">
        <v>11192</v>
      </c>
      <c r="C164" s="31" t="s">
        <v>11159</v>
      </c>
      <c r="D164" s="530"/>
      <c r="E164" s="338" t="s">
        <v>8929</v>
      </c>
      <c r="F164" s="150"/>
    </row>
    <row r="165" spans="1:6" hidden="1">
      <c r="A165" s="31" t="s">
        <v>2971</v>
      </c>
      <c r="B165" s="31" t="s">
        <v>11181</v>
      </c>
      <c r="C165" s="31" t="s">
        <v>11159</v>
      </c>
      <c r="D165" s="530"/>
      <c r="E165" s="338" t="s">
        <v>8929</v>
      </c>
      <c r="F165" s="150"/>
    </row>
    <row r="166" spans="1:6" hidden="1">
      <c r="A166" s="31" t="s">
        <v>2972</v>
      </c>
      <c r="B166" s="31" t="s">
        <v>11280</v>
      </c>
      <c r="C166" s="31" t="s">
        <v>11204</v>
      </c>
      <c r="D166" s="530"/>
      <c r="E166" s="338" t="s">
        <v>8929</v>
      </c>
      <c r="F166" s="150"/>
    </row>
    <row r="167" spans="1:6" hidden="1">
      <c r="A167" s="31" t="s">
        <v>2973</v>
      </c>
      <c r="B167" s="31" t="s">
        <v>11281</v>
      </c>
      <c r="C167" s="31" t="s">
        <v>8920</v>
      </c>
      <c r="D167" s="530"/>
      <c r="E167" s="338" t="s">
        <v>8929</v>
      </c>
      <c r="F167" s="150"/>
    </row>
    <row r="168" spans="1:6" hidden="1">
      <c r="A168" s="31" t="s">
        <v>2974</v>
      </c>
      <c r="B168" s="31" t="s">
        <v>11282</v>
      </c>
      <c r="C168" s="31" t="s">
        <v>8914</v>
      </c>
      <c r="D168" s="530"/>
      <c r="E168" s="338" t="s">
        <v>8929</v>
      </c>
      <c r="F168" s="150"/>
    </row>
    <row r="169" spans="1:6" ht="30" hidden="1">
      <c r="A169" s="31" t="s">
        <v>2975</v>
      </c>
      <c r="B169" s="302" t="s">
        <v>11283</v>
      </c>
      <c r="C169" s="31" t="s">
        <v>11159</v>
      </c>
      <c r="D169" s="530"/>
      <c r="E169" s="338" t="s">
        <v>8929</v>
      </c>
      <c r="F169" s="150"/>
    </row>
    <row r="170" spans="1:6" hidden="1">
      <c r="A170" s="31" t="s">
        <v>2976</v>
      </c>
      <c r="B170" s="31" t="s">
        <v>11284</v>
      </c>
      <c r="C170" s="31" t="s">
        <v>11204</v>
      </c>
      <c r="D170" s="530"/>
      <c r="E170" s="338" t="s">
        <v>8929</v>
      </c>
      <c r="F170" s="150" t="s">
        <v>2977</v>
      </c>
    </row>
    <row r="171" spans="1:6" hidden="1">
      <c r="A171" s="31" t="s">
        <v>2978</v>
      </c>
      <c r="B171" s="31" t="s">
        <v>11284</v>
      </c>
      <c r="C171" s="31" t="s">
        <v>11204</v>
      </c>
      <c r="D171" s="530"/>
      <c r="E171" s="338" t="s">
        <v>8929</v>
      </c>
      <c r="F171" s="150"/>
    </row>
    <row r="172" spans="1:6" hidden="1">
      <c r="A172" s="31" t="s">
        <v>2979</v>
      </c>
      <c r="B172" s="31" t="s">
        <v>3297</v>
      </c>
      <c r="C172" s="31" t="s">
        <v>8920</v>
      </c>
      <c r="D172" s="530"/>
      <c r="E172" s="338"/>
      <c r="F172" s="150"/>
    </row>
    <row r="173" spans="1:6">
      <c r="A173" s="797" t="s">
        <v>11285</v>
      </c>
      <c r="B173" s="797"/>
      <c r="C173" s="797"/>
      <c r="D173" s="797"/>
      <c r="E173" s="797"/>
      <c r="F173" s="797"/>
    </row>
    <row r="174" spans="1:6" ht="11.25" customHeight="1">
      <c r="A174" s="31" t="s">
        <v>465</v>
      </c>
      <c r="B174" s="302" t="s">
        <v>11286</v>
      </c>
      <c r="C174" s="31" t="s">
        <v>11204</v>
      </c>
      <c r="D174" s="530"/>
      <c r="E174" s="338" t="s">
        <v>8929</v>
      </c>
      <c r="F174" s="150"/>
    </row>
    <row r="175" spans="1:6">
      <c r="A175" s="31" t="s">
        <v>2212</v>
      </c>
      <c r="B175" s="31" t="s">
        <v>11287</v>
      </c>
      <c r="C175" s="31" t="s">
        <v>8920</v>
      </c>
      <c r="D175" s="530"/>
      <c r="E175" s="338"/>
      <c r="F175" s="150"/>
    </row>
    <row r="176" spans="1:6">
      <c r="A176" s="31" t="s">
        <v>2923</v>
      </c>
      <c r="B176" s="31" t="s">
        <v>11288</v>
      </c>
      <c r="C176" s="31" t="s">
        <v>8920</v>
      </c>
      <c r="D176" s="530"/>
      <c r="E176" s="338" t="s">
        <v>8929</v>
      </c>
      <c r="F176" s="150" t="s">
        <v>11289</v>
      </c>
    </row>
    <row r="177" spans="1:6">
      <c r="A177" s="31" t="s">
        <v>2980</v>
      </c>
      <c r="B177" s="31" t="s">
        <v>11290</v>
      </c>
      <c r="C177" s="31" t="s">
        <v>11159</v>
      </c>
      <c r="D177" s="530"/>
      <c r="E177" s="338" t="s">
        <v>8929</v>
      </c>
      <c r="F177" s="150">
        <v>44685</v>
      </c>
    </row>
    <row r="178" spans="1:6" ht="30">
      <c r="A178" s="31" t="s">
        <v>2981</v>
      </c>
      <c r="B178" s="302" t="s">
        <v>11291</v>
      </c>
      <c r="C178" s="31" t="s">
        <v>11204</v>
      </c>
      <c r="D178" s="530"/>
      <c r="E178" s="338" t="s">
        <v>8929</v>
      </c>
      <c r="F178" s="150"/>
    </row>
    <row r="179" spans="1:6">
      <c r="A179" t="s">
        <v>2982</v>
      </c>
      <c r="B179" s="31" t="s">
        <v>11292</v>
      </c>
      <c r="C179" s="31" t="s">
        <v>11165</v>
      </c>
      <c r="D179" s="530"/>
      <c r="E179" s="338" t="s">
        <v>8929</v>
      </c>
      <c r="F179" s="150"/>
    </row>
    <row r="180" spans="1:6">
      <c r="A180" s="31" t="s">
        <v>2984</v>
      </c>
      <c r="B180" s="31" t="s">
        <v>11188</v>
      </c>
      <c r="C180" s="31" t="s">
        <v>11165</v>
      </c>
      <c r="D180" s="530"/>
      <c r="E180" s="338" t="s">
        <v>8929</v>
      </c>
      <c r="F180" s="150"/>
    </row>
    <row r="181" spans="1:6">
      <c r="A181" s="31" t="s">
        <v>456</v>
      </c>
      <c r="B181" s="31" t="s">
        <v>11293</v>
      </c>
      <c r="C181" s="31" t="s">
        <v>11165</v>
      </c>
      <c r="D181" s="530"/>
      <c r="E181" s="338" t="s">
        <v>8929</v>
      </c>
      <c r="F181" s="150"/>
    </row>
    <row r="182" spans="1:6">
      <c r="A182" s="797" t="s">
        <v>11153</v>
      </c>
      <c r="B182" s="797"/>
      <c r="C182" s="797"/>
      <c r="D182" s="797"/>
      <c r="E182" s="797"/>
      <c r="F182" s="797"/>
    </row>
    <row r="183" spans="1:6">
      <c r="A183" s="31" t="s">
        <v>2985</v>
      </c>
      <c r="B183" s="31" t="s">
        <v>11184</v>
      </c>
      <c r="C183" s="31" t="s">
        <v>11294</v>
      </c>
      <c r="D183" s="530"/>
      <c r="E183" s="338" t="s">
        <v>8929</v>
      </c>
      <c r="F183" s="150"/>
    </row>
    <row r="184" spans="1:6">
      <c r="A184" s="31" t="s">
        <v>2987</v>
      </c>
      <c r="B184" s="31" t="s">
        <v>11184</v>
      </c>
      <c r="C184" s="31" t="s">
        <v>11294</v>
      </c>
      <c r="D184" s="530"/>
      <c r="E184" s="338" t="s">
        <v>8929</v>
      </c>
      <c r="F184" s="150"/>
    </row>
    <row r="185" spans="1:6">
      <c r="A185" s="31" t="s">
        <v>2988</v>
      </c>
      <c r="B185" s="31" t="s">
        <v>11184</v>
      </c>
      <c r="C185" s="31" t="s">
        <v>11294</v>
      </c>
      <c r="D185" s="530"/>
      <c r="E185" s="338" t="s">
        <v>8929</v>
      </c>
      <c r="F185" s="150"/>
    </row>
    <row r="186" spans="1:6">
      <c r="A186" s="31" t="s">
        <v>2989</v>
      </c>
      <c r="B186" s="31" t="s">
        <v>11184</v>
      </c>
      <c r="C186" s="31" t="s">
        <v>11294</v>
      </c>
      <c r="D186" s="530"/>
      <c r="E186" s="338" t="s">
        <v>8929</v>
      </c>
      <c r="F186" s="150"/>
    </row>
    <row r="187" spans="1:6">
      <c r="A187" s="31" t="s">
        <v>2990</v>
      </c>
      <c r="B187" s="31" t="s">
        <v>11184</v>
      </c>
      <c r="C187" s="31" t="s">
        <v>11294</v>
      </c>
      <c r="D187" s="530"/>
      <c r="E187" s="338" t="s">
        <v>8929</v>
      </c>
      <c r="F187" s="150"/>
    </row>
    <row r="188" spans="1:6">
      <c r="A188" s="31" t="s">
        <v>2991</v>
      </c>
      <c r="B188" s="31" t="s">
        <v>11184</v>
      </c>
      <c r="C188" s="31" t="s">
        <v>11294</v>
      </c>
      <c r="D188" s="530"/>
      <c r="E188" s="338" t="s">
        <v>8929</v>
      </c>
      <c r="F188" s="150"/>
    </row>
    <row r="189" spans="1:6">
      <c r="A189" s="31" t="s">
        <v>2992</v>
      </c>
      <c r="B189" s="31" t="s">
        <v>11184</v>
      </c>
      <c r="C189" s="31" t="s">
        <v>11294</v>
      </c>
      <c r="D189" s="530"/>
      <c r="E189" s="338" t="s">
        <v>8929</v>
      </c>
      <c r="F189" s="150"/>
    </row>
    <row r="190" spans="1:6">
      <c r="A190" s="31" t="s">
        <v>2993</v>
      </c>
      <c r="B190" s="31" t="s">
        <v>11184</v>
      </c>
      <c r="C190" s="31" t="s">
        <v>11294</v>
      </c>
      <c r="D190" s="530"/>
      <c r="E190" s="338" t="s">
        <v>8929</v>
      </c>
      <c r="F190" s="150"/>
    </row>
    <row r="191" spans="1:6">
      <c r="A191" s="31" t="s">
        <v>2994</v>
      </c>
      <c r="B191" s="31" t="s">
        <v>11295</v>
      </c>
      <c r="C191" s="31" t="s">
        <v>8920</v>
      </c>
      <c r="D191" s="530"/>
      <c r="E191" s="338" t="s">
        <v>8929</v>
      </c>
      <c r="F191" s="150"/>
    </row>
    <row r="192" spans="1:6">
      <c r="A192" t="s">
        <v>1304</v>
      </c>
      <c r="B192" s="31" t="s">
        <v>11296</v>
      </c>
      <c r="C192" s="31" t="s">
        <v>11159</v>
      </c>
      <c r="D192" s="530"/>
      <c r="E192" s="338" t="s">
        <v>8929</v>
      </c>
      <c r="F192" s="150"/>
    </row>
    <row r="193" spans="1:6">
      <c r="A193" s="31" t="s">
        <v>10249</v>
      </c>
      <c r="B193" s="31" t="s">
        <v>11297</v>
      </c>
      <c r="C193" s="31" t="s">
        <v>8920</v>
      </c>
      <c r="D193" s="530"/>
      <c r="E193" s="338" t="s">
        <v>8929</v>
      </c>
      <c r="F193" s="150"/>
    </row>
    <row r="194" spans="1:6">
      <c r="A194" s="31" t="s">
        <v>3819</v>
      </c>
      <c r="B194" s="31" t="s">
        <v>11298</v>
      </c>
      <c r="C194" s="31" t="s">
        <v>8920</v>
      </c>
      <c r="D194" s="530"/>
      <c r="E194" s="338" t="s">
        <v>8929</v>
      </c>
      <c r="F194" s="150"/>
    </row>
    <row r="195" spans="1:6">
      <c r="A195" s="31" t="s">
        <v>2995</v>
      </c>
      <c r="B195" s="31" t="s">
        <v>11299</v>
      </c>
      <c r="C195" s="31" t="s">
        <v>8920</v>
      </c>
      <c r="E195" s="270" t="s">
        <v>8929</v>
      </c>
      <c r="F195" s="150"/>
    </row>
    <row r="196" spans="1:6">
      <c r="A196" s="31" t="s">
        <v>5307</v>
      </c>
      <c r="B196" s="31" t="s">
        <v>11300</v>
      </c>
      <c r="C196" s="31" t="s">
        <v>11159</v>
      </c>
      <c r="D196" s="530"/>
      <c r="E196" s="338" t="s">
        <v>8929</v>
      </c>
      <c r="F196" s="150"/>
    </row>
    <row r="197" spans="1:6">
      <c r="A197" s="31" t="s">
        <v>2996</v>
      </c>
      <c r="B197" s="31" t="s">
        <v>11184</v>
      </c>
      <c r="C197" s="31" t="s">
        <v>11294</v>
      </c>
      <c r="D197" s="530"/>
      <c r="E197" s="338" t="s">
        <v>8929</v>
      </c>
      <c r="F197" s="150"/>
    </row>
    <row r="198" spans="1:6">
      <c r="A198" t="s">
        <v>2997</v>
      </c>
      <c r="B198" s="31" t="s">
        <v>11301</v>
      </c>
      <c r="C198" s="31" t="s">
        <v>11302</v>
      </c>
      <c r="D198" s="530"/>
      <c r="E198" s="338" t="s">
        <v>8929</v>
      </c>
      <c r="F198" s="150"/>
    </row>
    <row r="199" spans="1:6">
      <c r="A199" s="31" t="s">
        <v>2998</v>
      </c>
      <c r="B199" s="31" t="s">
        <v>11184</v>
      </c>
      <c r="C199" s="31" t="s">
        <v>11294</v>
      </c>
      <c r="D199" s="530"/>
      <c r="E199" s="338" t="s">
        <v>8929</v>
      </c>
      <c r="F199" s="150"/>
    </row>
    <row r="200" spans="1:6">
      <c r="A200" s="31" t="s">
        <v>2999</v>
      </c>
      <c r="B200" s="31" t="s">
        <v>11184</v>
      </c>
      <c r="C200" s="31" t="s">
        <v>11294</v>
      </c>
      <c r="D200" s="530"/>
      <c r="E200" s="338" t="s">
        <v>8929</v>
      </c>
      <c r="F200" s="150"/>
    </row>
    <row r="201" spans="1:6">
      <c r="A201" s="31" t="s">
        <v>9907</v>
      </c>
      <c r="B201" s="31" t="s">
        <v>11184</v>
      </c>
      <c r="C201" s="31" t="s">
        <v>11294</v>
      </c>
      <c r="D201" s="530"/>
      <c r="E201" s="338" t="s">
        <v>8929</v>
      </c>
      <c r="F201" s="150"/>
    </row>
    <row r="202" spans="1:6">
      <c r="A202" s="31" t="s">
        <v>3000</v>
      </c>
      <c r="B202" s="31" t="s">
        <v>11184</v>
      </c>
      <c r="C202" s="31" t="s">
        <v>11294</v>
      </c>
      <c r="D202" s="530"/>
      <c r="E202" s="338" t="s">
        <v>8929</v>
      </c>
      <c r="F202" s="150"/>
    </row>
    <row r="203" spans="1:6">
      <c r="A203" s="31" t="s">
        <v>11303</v>
      </c>
      <c r="B203" s="31" t="s">
        <v>11304</v>
      </c>
      <c r="C203" s="31" t="s">
        <v>8920</v>
      </c>
      <c r="D203" s="530"/>
      <c r="E203" s="338" t="s">
        <v>9995</v>
      </c>
      <c r="F203" s="150"/>
    </row>
    <row r="204" spans="1:6">
      <c r="A204" s="31" t="s">
        <v>3001</v>
      </c>
      <c r="B204" s="31" t="s">
        <v>11184</v>
      </c>
      <c r="C204" s="31" t="s">
        <v>11294</v>
      </c>
      <c r="D204" s="530"/>
      <c r="E204" s="338" t="s">
        <v>8929</v>
      </c>
      <c r="F204" s="150"/>
    </row>
    <row r="205" spans="1:6">
      <c r="A205" s="31" t="s">
        <v>3002</v>
      </c>
      <c r="B205" s="31" t="s">
        <v>11305</v>
      </c>
      <c r="C205" s="31" t="s">
        <v>11302</v>
      </c>
      <c r="D205" s="530"/>
      <c r="E205" s="338" t="s">
        <v>8929</v>
      </c>
      <c r="F205" s="150"/>
    </row>
    <row r="206" spans="1:6">
      <c r="A206" s="31" t="s">
        <v>3003</v>
      </c>
      <c r="B206" s="31" t="s">
        <v>11305</v>
      </c>
      <c r="C206" s="31" t="s">
        <v>11302</v>
      </c>
      <c r="D206" s="530"/>
      <c r="E206" s="338" t="s">
        <v>8929</v>
      </c>
      <c r="F206" s="150"/>
    </row>
    <row r="207" spans="1:6">
      <c r="A207" s="31" t="s">
        <v>5369</v>
      </c>
      <c r="B207" s="31" t="s">
        <v>11184</v>
      </c>
      <c r="C207" s="31" t="s">
        <v>11294</v>
      </c>
      <c r="D207" s="530"/>
      <c r="E207" s="338" t="s">
        <v>8929</v>
      </c>
      <c r="F207" s="150"/>
    </row>
    <row r="208" spans="1:6">
      <c r="A208" s="31" t="s">
        <v>2828</v>
      </c>
      <c r="B208" s="31" t="s">
        <v>11184</v>
      </c>
      <c r="C208" s="31" t="s">
        <v>11294</v>
      </c>
      <c r="D208" s="530"/>
      <c r="E208" s="338" t="s">
        <v>8929</v>
      </c>
      <c r="F208" s="150"/>
    </row>
    <row r="209" spans="1:6">
      <c r="A209" s="31" t="s">
        <v>11306</v>
      </c>
      <c r="B209" s="31" t="s">
        <v>11184</v>
      </c>
      <c r="C209" s="31" t="s">
        <v>11294</v>
      </c>
      <c r="D209" s="530"/>
      <c r="E209" s="338" t="s">
        <v>8929</v>
      </c>
      <c r="F209" s="150"/>
    </row>
    <row r="210" spans="1:6">
      <c r="A210" s="31" t="s">
        <v>3004</v>
      </c>
      <c r="B210" s="31" t="s">
        <v>11184</v>
      </c>
      <c r="C210" s="31" t="s">
        <v>11294</v>
      </c>
      <c r="D210" s="530"/>
      <c r="E210" s="338" t="s">
        <v>8929</v>
      </c>
      <c r="F210" s="150"/>
    </row>
    <row r="211" spans="1:6">
      <c r="A211" s="31" t="s">
        <v>3005</v>
      </c>
      <c r="B211" s="31" t="s">
        <v>11307</v>
      </c>
      <c r="C211" s="31" t="s">
        <v>11294</v>
      </c>
      <c r="D211" s="530"/>
      <c r="E211" s="338" t="s">
        <v>8929</v>
      </c>
      <c r="F211" s="150"/>
    </row>
    <row r="212" spans="1:6">
      <c r="A212" s="31" t="s">
        <v>3006</v>
      </c>
      <c r="B212" s="31" t="s">
        <v>11184</v>
      </c>
      <c r="C212" s="31" t="s">
        <v>11294</v>
      </c>
      <c r="D212" s="530"/>
      <c r="E212" s="338" t="s">
        <v>8929</v>
      </c>
      <c r="F212" s="431"/>
    </row>
    <row r="213" spans="1:6">
      <c r="A213" s="31" t="s">
        <v>3007</v>
      </c>
      <c r="B213" s="31" t="s">
        <v>8915</v>
      </c>
      <c r="C213" s="31" t="s">
        <v>11302</v>
      </c>
      <c r="D213" s="530"/>
      <c r="E213" s="338" t="s">
        <v>8929</v>
      </c>
      <c r="F213" s="150"/>
    </row>
    <row r="214" spans="1:6">
      <c r="A214" s="31" t="s">
        <v>3008</v>
      </c>
      <c r="B214" s="31" t="s">
        <v>11184</v>
      </c>
      <c r="C214" s="31" t="s">
        <v>11294</v>
      </c>
      <c r="D214" s="530"/>
      <c r="E214" s="338" t="s">
        <v>11308</v>
      </c>
      <c r="F214" s="150" t="s">
        <v>11309</v>
      </c>
    </row>
    <row r="215" spans="1:6">
      <c r="A215" s="31" t="s">
        <v>2991</v>
      </c>
      <c r="B215" s="31" t="s">
        <v>11184</v>
      </c>
      <c r="C215" s="31" t="s">
        <v>11294</v>
      </c>
      <c r="D215" s="530"/>
      <c r="E215" s="338" t="s">
        <v>8929</v>
      </c>
      <c r="F215" s="150"/>
    </row>
    <row r="216" spans="1:6">
      <c r="A216" s="31" t="s">
        <v>3009</v>
      </c>
      <c r="B216" s="31" t="s">
        <v>11184</v>
      </c>
      <c r="C216" s="31" t="s">
        <v>11294</v>
      </c>
      <c r="D216" s="530"/>
      <c r="E216" s="338" t="s">
        <v>11308</v>
      </c>
      <c r="F216" s="150" t="s">
        <v>11310</v>
      </c>
    </row>
    <row r="217" spans="1:6">
      <c r="A217" s="31" t="s">
        <v>3010</v>
      </c>
      <c r="B217" s="31" t="s">
        <v>11184</v>
      </c>
      <c r="C217" s="31" t="s">
        <v>11294</v>
      </c>
      <c r="D217" s="530"/>
      <c r="E217" s="338" t="s">
        <v>11308</v>
      </c>
      <c r="F217" s="150" t="s">
        <v>11311</v>
      </c>
    </row>
    <row r="218" spans="1:6">
      <c r="A218" s="31" t="s">
        <v>3011</v>
      </c>
      <c r="B218" s="31" t="s">
        <v>11184</v>
      </c>
      <c r="C218" s="31" t="s">
        <v>11294</v>
      </c>
      <c r="D218" s="530"/>
      <c r="E218" s="338" t="s">
        <v>11308</v>
      </c>
      <c r="F218" s="271" t="s">
        <v>11312</v>
      </c>
    </row>
    <row r="219" spans="1:6">
      <c r="A219" s="31" t="s">
        <v>3012</v>
      </c>
      <c r="B219" s="31" t="s">
        <v>11184</v>
      </c>
      <c r="C219" s="31" t="s">
        <v>11294</v>
      </c>
      <c r="D219" s="530"/>
      <c r="E219" s="338" t="s">
        <v>8929</v>
      </c>
      <c r="F219" s="271"/>
    </row>
    <row r="220" spans="1:6">
      <c r="A220" s="31" t="s">
        <v>2990</v>
      </c>
      <c r="B220" s="31" t="s">
        <v>11184</v>
      </c>
      <c r="C220" s="31" t="s">
        <v>11294</v>
      </c>
      <c r="D220" s="530"/>
      <c r="E220" s="338" t="s">
        <v>11308</v>
      </c>
      <c r="F220" s="150" t="s">
        <v>11313</v>
      </c>
    </row>
    <row r="221" spans="1:6">
      <c r="A221" s="31" t="s">
        <v>3013</v>
      </c>
      <c r="B221" s="31" t="s">
        <v>11314</v>
      </c>
      <c r="C221" s="31" t="s">
        <v>11294</v>
      </c>
      <c r="D221" s="530"/>
      <c r="E221" s="338" t="s">
        <v>8929</v>
      </c>
      <c r="F221" s="150"/>
    </row>
    <row r="222" spans="1:6">
      <c r="A222" s="31" t="s">
        <v>3014</v>
      </c>
      <c r="B222" s="31" t="s">
        <v>11315</v>
      </c>
      <c r="C222" s="31" t="s">
        <v>11159</v>
      </c>
      <c r="D222" s="530"/>
      <c r="E222" s="338" t="s">
        <v>8929</v>
      </c>
      <c r="F222" s="150"/>
    </row>
    <row r="223" spans="1:6">
      <c r="A223" t="s">
        <v>989</v>
      </c>
      <c r="B223" s="31" t="s">
        <v>11316</v>
      </c>
      <c r="C223" s="31" t="s">
        <v>11294</v>
      </c>
      <c r="D223" s="530"/>
      <c r="E223" s="338" t="s">
        <v>8929</v>
      </c>
      <c r="F223" s="150"/>
    </row>
    <row r="224" spans="1:6">
      <c r="A224" s="31" t="s">
        <v>1766</v>
      </c>
      <c r="B224" s="31" t="s">
        <v>11317</v>
      </c>
      <c r="C224" s="31" t="s">
        <v>11159</v>
      </c>
      <c r="D224" s="530"/>
      <c r="E224" s="338" t="s">
        <v>8929</v>
      </c>
      <c r="F224" s="430"/>
    </row>
    <row r="225" spans="1:7">
      <c r="A225" s="31" t="s">
        <v>2747</v>
      </c>
      <c r="B225" s="31" t="s">
        <v>11318</v>
      </c>
      <c r="C225" s="31" t="s">
        <v>11159</v>
      </c>
      <c r="D225" s="530"/>
      <c r="E225" s="338" t="s">
        <v>8929</v>
      </c>
      <c r="F225" s="150"/>
    </row>
    <row r="226" spans="1:7">
      <c r="A226" t="s">
        <v>3015</v>
      </c>
      <c r="B226" s="31" t="s">
        <v>11319</v>
      </c>
      <c r="C226" s="31" t="s">
        <v>8920</v>
      </c>
      <c r="D226" s="530"/>
      <c r="E226" s="338" t="s">
        <v>8929</v>
      </c>
      <c r="F226" s="150"/>
    </row>
    <row r="227" spans="1:7">
      <c r="A227" t="s">
        <v>11320</v>
      </c>
      <c r="B227" s="31" t="s">
        <v>8915</v>
      </c>
      <c r="C227" s="31" t="s">
        <v>8920</v>
      </c>
      <c r="D227" s="530"/>
      <c r="E227" s="338" t="s">
        <v>8929</v>
      </c>
      <c r="F227" s="150"/>
    </row>
    <row r="228" spans="1:7">
      <c r="A228" s="31" t="s">
        <v>3016</v>
      </c>
      <c r="B228" s="31" t="s">
        <v>11184</v>
      </c>
      <c r="C228" s="31" t="s">
        <v>11294</v>
      </c>
      <c r="D228" s="530"/>
      <c r="E228" s="338" t="s">
        <v>8929</v>
      </c>
      <c r="F228" s="150"/>
    </row>
    <row r="229" spans="1:7">
      <c r="A229" s="797" t="s">
        <v>11173</v>
      </c>
      <c r="B229" s="797"/>
      <c r="C229" s="797"/>
      <c r="D229" s="797"/>
      <c r="E229" s="797"/>
      <c r="F229" s="797"/>
    </row>
    <row r="230" spans="1:7">
      <c r="A230" s="31" t="s">
        <v>3017</v>
      </c>
      <c r="B230" s="31" t="s">
        <v>3297</v>
      </c>
      <c r="C230" s="31" t="s">
        <v>8920</v>
      </c>
      <c r="D230" s="530"/>
      <c r="E230" s="338" t="s">
        <v>8929</v>
      </c>
      <c r="F230" s="150"/>
    </row>
    <row r="231" spans="1:7">
      <c r="A231" t="s">
        <v>350</v>
      </c>
      <c r="B231" s="140" t="s">
        <v>11321</v>
      </c>
      <c r="C231" s="31" t="s">
        <v>8920</v>
      </c>
      <c r="D231" s="530"/>
      <c r="E231" s="338" t="s">
        <v>8929</v>
      </c>
      <c r="F231" s="150"/>
    </row>
    <row r="232" spans="1:7">
      <c r="A232" s="149" t="s">
        <v>3018</v>
      </c>
      <c r="B232" s="149" t="s">
        <v>11322</v>
      </c>
      <c r="C232" s="143" t="s">
        <v>8920</v>
      </c>
      <c r="D232" s="516"/>
      <c r="E232" s="338" t="s">
        <v>8929</v>
      </c>
      <c r="F232" s="150"/>
    </row>
    <row r="233" spans="1:7">
      <c r="A233" s="149" t="s">
        <v>3019</v>
      </c>
      <c r="B233" s="149" t="s">
        <v>11323</v>
      </c>
      <c r="C233" s="143" t="s">
        <v>11324</v>
      </c>
      <c r="D233" s="516"/>
      <c r="E233" s="338" t="s">
        <v>8929</v>
      </c>
      <c r="F233" s="150"/>
    </row>
    <row r="234" spans="1:7">
      <c r="A234" s="149" t="s">
        <v>3020</v>
      </c>
      <c r="B234" s="149" t="s">
        <v>11325</v>
      </c>
      <c r="C234" s="143" t="s">
        <v>8920</v>
      </c>
      <c r="D234" s="516"/>
      <c r="E234" s="338" t="s">
        <v>8929</v>
      </c>
      <c r="F234" s="150"/>
    </row>
    <row r="235" spans="1:7">
      <c r="A235" s="149" t="s">
        <v>3021</v>
      </c>
      <c r="B235" s="149" t="s">
        <v>11326</v>
      </c>
      <c r="C235" s="143" t="s">
        <v>11324</v>
      </c>
      <c r="D235" s="516"/>
      <c r="E235" s="338" t="s">
        <v>8929</v>
      </c>
      <c r="F235" s="150"/>
    </row>
    <row r="236" spans="1:7">
      <c r="A236" s="149" t="s">
        <v>5269</v>
      </c>
      <c r="B236" s="149" t="s">
        <v>11327</v>
      </c>
      <c r="C236" s="143" t="s">
        <v>11324</v>
      </c>
      <c r="D236" s="516"/>
      <c r="E236" s="338" t="s">
        <v>8929</v>
      </c>
      <c r="F236" s="150"/>
    </row>
    <row r="237" spans="1:7">
      <c r="A237" s="149" t="s">
        <v>5269</v>
      </c>
      <c r="B237" s="149" t="s">
        <v>11327</v>
      </c>
      <c r="C237" s="143" t="s">
        <v>11324</v>
      </c>
      <c r="D237" s="516"/>
      <c r="E237" s="338" t="s">
        <v>8929</v>
      </c>
      <c r="F237" s="150"/>
    </row>
    <row r="238" spans="1:7">
      <c r="A238" s="149" t="s">
        <v>4502</v>
      </c>
      <c r="B238" s="149" t="s">
        <v>11328</v>
      </c>
      <c r="C238" s="143" t="s">
        <v>8920</v>
      </c>
      <c r="D238" s="516"/>
      <c r="E238" s="338" t="s">
        <v>8929</v>
      </c>
      <c r="F238" s="150"/>
      <c r="G238" t="s">
        <v>11329</v>
      </c>
    </row>
    <row r="239" spans="1:7">
      <c r="A239" s="149" t="s">
        <v>3023</v>
      </c>
      <c r="B239" s="149" t="s">
        <v>11330</v>
      </c>
      <c r="C239" s="143" t="s">
        <v>8920</v>
      </c>
      <c r="D239" s="516"/>
      <c r="E239" s="338" t="s">
        <v>8929</v>
      </c>
      <c r="F239" s="150"/>
    </row>
    <row r="240" spans="1:7">
      <c r="A240" s="149" t="s">
        <v>4882</v>
      </c>
      <c r="B240" s="149" t="s">
        <v>11296</v>
      </c>
      <c r="C240" s="143" t="s">
        <v>11159</v>
      </c>
      <c r="D240" s="516"/>
      <c r="E240" s="338" t="s">
        <v>8929</v>
      </c>
      <c r="F240" s="150"/>
    </row>
    <row r="241" spans="1:6">
      <c r="A241" s="149" t="s">
        <v>491</v>
      </c>
      <c r="B241" s="149" t="s">
        <v>11331</v>
      </c>
      <c r="C241" s="143" t="s">
        <v>8920</v>
      </c>
      <c r="D241" s="516"/>
      <c r="E241" s="338" t="s">
        <v>8929</v>
      </c>
      <c r="F241" s="150"/>
    </row>
    <row r="242" spans="1:6">
      <c r="A242" s="149" t="s">
        <v>3025</v>
      </c>
      <c r="B242" t="s">
        <v>11332</v>
      </c>
      <c r="C242" s="143" t="s">
        <v>8920</v>
      </c>
      <c r="D242" s="516"/>
      <c r="E242" s="338" t="s">
        <v>9995</v>
      </c>
      <c r="F242" s="150"/>
    </row>
    <row r="243" spans="1:6">
      <c r="A243" s="149" t="s">
        <v>5235</v>
      </c>
      <c r="B243" s="149" t="s">
        <v>11333</v>
      </c>
      <c r="C243" s="143" t="s">
        <v>8920</v>
      </c>
      <c r="D243" s="516"/>
      <c r="E243" s="338" t="s">
        <v>8929</v>
      </c>
      <c r="F243" s="150"/>
    </row>
    <row r="244" spans="1:6">
      <c r="A244" s="797" t="s">
        <v>11334</v>
      </c>
      <c r="B244" s="797"/>
      <c r="C244" s="797"/>
      <c r="D244" s="797"/>
      <c r="E244" s="797"/>
      <c r="F244" s="797"/>
    </row>
    <row r="245" spans="1:6">
      <c r="A245" s="149" t="s">
        <v>3934</v>
      </c>
      <c r="B245" s="149" t="s">
        <v>11335</v>
      </c>
      <c r="C245" s="143" t="s">
        <v>11165</v>
      </c>
      <c r="D245" s="516"/>
      <c r="E245" s="338" t="s">
        <v>8929</v>
      </c>
      <c r="F245" s="150"/>
    </row>
    <row r="246" spans="1:6">
      <c r="A246" t="s">
        <v>3026</v>
      </c>
      <c r="B246" s="149" t="s">
        <v>11336</v>
      </c>
      <c r="C246" s="143" t="s">
        <v>11159</v>
      </c>
      <c r="D246" s="516"/>
      <c r="E246" s="338" t="s">
        <v>8929</v>
      </c>
      <c r="F246" s="150"/>
    </row>
    <row r="247" spans="1:6">
      <c r="A247" s="149" t="s">
        <v>3027</v>
      </c>
      <c r="B247" s="149" t="s">
        <v>11337</v>
      </c>
      <c r="C247" s="143" t="s">
        <v>11159</v>
      </c>
      <c r="D247" s="516"/>
      <c r="E247" s="338" t="s">
        <v>8929</v>
      </c>
      <c r="F247" s="150"/>
    </row>
    <row r="248" spans="1:6">
      <c r="A248" s="149" t="s">
        <v>350</v>
      </c>
      <c r="B248" s="149" t="s">
        <v>11338</v>
      </c>
      <c r="C248" s="143" t="s">
        <v>11159</v>
      </c>
      <c r="D248" s="516"/>
      <c r="E248" s="338" t="s">
        <v>8929</v>
      </c>
      <c r="F248" s="150"/>
    </row>
    <row r="249" spans="1:6">
      <c r="A249" s="149" t="s">
        <v>3028</v>
      </c>
      <c r="B249" s="149" t="s">
        <v>11339</v>
      </c>
      <c r="C249" s="143" t="s">
        <v>11340</v>
      </c>
      <c r="D249" s="516"/>
      <c r="E249" s="338" t="s">
        <v>8929</v>
      </c>
      <c r="F249" s="150"/>
    </row>
    <row r="250" spans="1:6">
      <c r="A250" s="149" t="s">
        <v>11341</v>
      </c>
      <c r="B250" s="149" t="s">
        <v>11339</v>
      </c>
      <c r="C250" s="143" t="s">
        <v>11340</v>
      </c>
      <c r="D250" s="516"/>
      <c r="E250" s="338" t="s">
        <v>11342</v>
      </c>
      <c r="F250" s="150"/>
    </row>
    <row r="251" spans="1:6">
      <c r="A251" s="149" t="s">
        <v>3029</v>
      </c>
      <c r="B251" s="149" t="s">
        <v>11339</v>
      </c>
      <c r="C251" s="143" t="s">
        <v>11340</v>
      </c>
      <c r="D251" s="516"/>
      <c r="E251" s="338" t="s">
        <v>11343</v>
      </c>
      <c r="F251" s="150"/>
    </row>
    <row r="252" spans="1:6">
      <c r="A252" s="149" t="s">
        <v>3030</v>
      </c>
      <c r="B252" s="149" t="s">
        <v>11339</v>
      </c>
      <c r="C252" s="143" t="s">
        <v>11340</v>
      </c>
      <c r="D252" s="516"/>
      <c r="E252" s="338" t="s">
        <v>11344</v>
      </c>
      <c r="F252" s="150"/>
    </row>
    <row r="253" spans="1:6">
      <c r="A253" s="149" t="s">
        <v>11345</v>
      </c>
      <c r="B253" s="149" t="s">
        <v>11339</v>
      </c>
      <c r="C253" s="143" t="s">
        <v>11340</v>
      </c>
      <c r="D253" s="516"/>
      <c r="E253" s="338" t="s">
        <v>11346</v>
      </c>
      <c r="F253" s="150"/>
    </row>
    <row r="254" spans="1:6">
      <c r="A254" s="149" t="s">
        <v>3882</v>
      </c>
      <c r="B254" s="149" t="s">
        <v>11339</v>
      </c>
      <c r="C254" s="143" t="s">
        <v>11340</v>
      </c>
      <c r="D254" s="516"/>
      <c r="E254" s="338" t="s">
        <v>11346</v>
      </c>
      <c r="F254" s="150"/>
    </row>
    <row r="255" spans="1:6">
      <c r="A255" s="149" t="s">
        <v>3031</v>
      </c>
      <c r="B255" s="149" t="s">
        <v>11339</v>
      </c>
      <c r="C255" s="143" t="s">
        <v>11340</v>
      </c>
      <c r="D255" s="516"/>
      <c r="E255" s="338" t="s">
        <v>8929</v>
      </c>
      <c r="F255" s="150"/>
    </row>
    <row r="256" spans="1:6">
      <c r="A256" s="149" t="s">
        <v>3031</v>
      </c>
      <c r="B256" s="149" t="s">
        <v>11339</v>
      </c>
      <c r="C256" s="143" t="s">
        <v>11340</v>
      </c>
      <c r="D256" s="516"/>
      <c r="E256" s="338" t="s">
        <v>11347</v>
      </c>
      <c r="F256" s="150"/>
    </row>
    <row r="257" spans="1:6">
      <c r="A257" s="149" t="s">
        <v>3032</v>
      </c>
      <c r="B257" s="149" t="s">
        <v>11339</v>
      </c>
      <c r="C257" s="143" t="s">
        <v>8914</v>
      </c>
      <c r="D257" s="516"/>
      <c r="E257" s="338" t="s">
        <v>8929</v>
      </c>
      <c r="F257" s="150"/>
    </row>
    <row r="258" spans="1:6">
      <c r="A258" t="s">
        <v>11348</v>
      </c>
      <c r="B258" s="149" t="s">
        <v>11339</v>
      </c>
      <c r="C258" s="143" t="s">
        <v>11340</v>
      </c>
      <c r="D258" s="516"/>
      <c r="E258" s="338" t="s">
        <v>8929</v>
      </c>
      <c r="F258" s="150"/>
    </row>
    <row r="259" spans="1:6">
      <c r="A259" s="149" t="s">
        <v>3033</v>
      </c>
      <c r="B259" s="149" t="s">
        <v>11339</v>
      </c>
      <c r="C259" s="143" t="s">
        <v>11340</v>
      </c>
      <c r="E259" s="270" t="s">
        <v>8929</v>
      </c>
      <c r="F259" s="150"/>
    </row>
    <row r="260" spans="1:6">
      <c r="A260" s="149" t="s">
        <v>3034</v>
      </c>
      <c r="B260" s="149" t="s">
        <v>11339</v>
      </c>
      <c r="C260" s="143" t="s">
        <v>11340</v>
      </c>
      <c r="D260" s="516"/>
      <c r="E260" s="338"/>
      <c r="F260" s="150"/>
    </row>
    <row r="261" spans="1:6">
      <c r="A261" s="149" t="s">
        <v>3035</v>
      </c>
      <c r="B261" s="149" t="s">
        <v>11339</v>
      </c>
      <c r="C261" s="143" t="s">
        <v>11340</v>
      </c>
      <c r="D261" s="516"/>
      <c r="E261" s="338"/>
      <c r="F261" s="150"/>
    </row>
    <row r="262" spans="1:6">
      <c r="A262" s="149" t="s">
        <v>3036</v>
      </c>
      <c r="B262" s="149" t="s">
        <v>11349</v>
      </c>
      <c r="C262" s="143" t="s">
        <v>8920</v>
      </c>
      <c r="D262" s="516"/>
      <c r="E262" s="338" t="s">
        <v>8929</v>
      </c>
      <c r="F262" s="150"/>
    </row>
    <row r="263" spans="1:6">
      <c r="A263" s="797" t="s">
        <v>11350</v>
      </c>
      <c r="B263" s="797"/>
      <c r="C263" s="797"/>
      <c r="D263" s="797"/>
      <c r="E263" s="797"/>
      <c r="F263" s="797"/>
    </row>
    <row r="264" spans="1:6">
      <c r="A264" s="149" t="s">
        <v>3037</v>
      </c>
      <c r="B264" s="149" t="s">
        <v>11339</v>
      </c>
      <c r="C264" s="143" t="s">
        <v>11340</v>
      </c>
      <c r="D264" s="516"/>
      <c r="E264" s="338" t="s">
        <v>8929</v>
      </c>
      <c r="F264" s="150"/>
    </row>
    <row r="265" spans="1:6">
      <c r="A265" s="149" t="s">
        <v>3038</v>
      </c>
      <c r="B265" s="149" t="s">
        <v>11338</v>
      </c>
      <c r="C265" s="143" t="s">
        <v>11159</v>
      </c>
      <c r="D265" s="516"/>
      <c r="E265" s="338" t="s">
        <v>8929</v>
      </c>
      <c r="F265" s="150"/>
    </row>
    <row r="266" spans="1:6">
      <c r="A266" s="149" t="s">
        <v>5218</v>
      </c>
      <c r="B266" s="149" t="s">
        <v>11351</v>
      </c>
      <c r="C266" s="143" t="s">
        <v>8920</v>
      </c>
      <c r="D266" s="516"/>
      <c r="E266" s="338" t="s">
        <v>8929</v>
      </c>
      <c r="F266" s="150"/>
    </row>
    <row r="267" spans="1:6">
      <c r="A267" s="149" t="s">
        <v>10149</v>
      </c>
      <c r="B267" s="149" t="s">
        <v>11337</v>
      </c>
      <c r="C267" s="143" t="s">
        <v>11159</v>
      </c>
      <c r="D267" s="516"/>
      <c r="E267" s="338" t="s">
        <v>8929</v>
      </c>
      <c r="F267" s="150"/>
    </row>
    <row r="268" spans="1:6">
      <c r="A268" t="s">
        <v>29</v>
      </c>
      <c r="B268" s="149" t="s">
        <v>11352</v>
      </c>
      <c r="C268" s="143" t="s">
        <v>11302</v>
      </c>
      <c r="D268" s="516"/>
      <c r="E268" s="338" t="s">
        <v>8929</v>
      </c>
      <c r="F268" s="150"/>
    </row>
    <row r="269" spans="1:6">
      <c r="A269" s="149" t="s">
        <v>3040</v>
      </c>
      <c r="B269" s="149" t="s">
        <v>11353</v>
      </c>
      <c r="C269" s="143" t="s">
        <v>11302</v>
      </c>
      <c r="D269" s="516"/>
      <c r="E269" s="338" t="s">
        <v>8929</v>
      </c>
      <c r="F269" s="150"/>
    </row>
    <row r="270" spans="1:6">
      <c r="A270" s="186" t="s">
        <v>3041</v>
      </c>
      <c r="B270" s="186" t="s">
        <v>11354</v>
      </c>
      <c r="C270" s="143" t="s">
        <v>11159</v>
      </c>
      <c r="D270" s="516"/>
      <c r="E270" s="338" t="s">
        <v>8929</v>
      </c>
      <c r="F270" s="150"/>
    </row>
    <row r="271" spans="1:6">
      <c r="A271" s="149" t="s">
        <v>3042</v>
      </c>
      <c r="B271" s="149" t="s">
        <v>11355</v>
      </c>
      <c r="C271" s="143" t="s">
        <v>11222</v>
      </c>
      <c r="D271" s="516"/>
      <c r="E271" s="338" t="s">
        <v>8929</v>
      </c>
      <c r="F271" s="150"/>
    </row>
    <row r="272" spans="1:6">
      <c r="A272" s="149" t="s">
        <v>10234</v>
      </c>
      <c r="B272" s="149" t="s">
        <v>11356</v>
      </c>
      <c r="C272" s="143" t="s">
        <v>11159</v>
      </c>
      <c r="D272" s="516"/>
      <c r="E272" s="338" t="s">
        <v>8929</v>
      </c>
      <c r="F272" s="150"/>
    </row>
    <row r="273" spans="1:6">
      <c r="A273" s="149" t="s">
        <v>2287</v>
      </c>
      <c r="B273" s="149" t="s">
        <v>11357</v>
      </c>
      <c r="C273" s="143" t="s">
        <v>8920</v>
      </c>
      <c r="D273" s="516"/>
      <c r="E273" s="338" t="s">
        <v>8929</v>
      </c>
      <c r="F273" s="150"/>
    </row>
    <row r="274" spans="1:6">
      <c r="A274" s="187" t="s">
        <v>88</v>
      </c>
      <c r="B274" s="187" t="s">
        <v>11339</v>
      </c>
      <c r="C274" s="143" t="s">
        <v>11340</v>
      </c>
      <c r="D274" s="516"/>
      <c r="E274" s="338" t="s">
        <v>8929</v>
      </c>
      <c r="F274" s="150"/>
    </row>
    <row r="275" spans="1:6">
      <c r="A275" s="149" t="s">
        <v>3043</v>
      </c>
      <c r="B275" s="187" t="s">
        <v>11339</v>
      </c>
      <c r="C275" s="143" t="s">
        <v>11340</v>
      </c>
      <c r="D275" s="516"/>
      <c r="E275" s="338" t="s">
        <v>8929</v>
      </c>
      <c r="F275" s="150"/>
    </row>
    <row r="276" spans="1:6">
      <c r="A276" s="149" t="s">
        <v>3044</v>
      </c>
      <c r="B276" s="187" t="s">
        <v>11339</v>
      </c>
      <c r="C276" s="143" t="s">
        <v>11340</v>
      </c>
      <c r="D276" s="516"/>
      <c r="E276" s="338" t="s">
        <v>8929</v>
      </c>
      <c r="F276" s="150"/>
    </row>
    <row r="277" spans="1:6">
      <c r="A277" s="149" t="s">
        <v>11358</v>
      </c>
      <c r="B277" s="187" t="s">
        <v>11339</v>
      </c>
      <c r="C277" s="143" t="s">
        <v>11340</v>
      </c>
      <c r="D277" s="516"/>
      <c r="E277" s="338" t="s">
        <v>8929</v>
      </c>
      <c r="F277" s="150"/>
    </row>
    <row r="278" spans="1:6">
      <c r="A278" s="149" t="s">
        <v>3045</v>
      </c>
      <c r="B278" s="187" t="s">
        <v>11339</v>
      </c>
      <c r="C278" s="143" t="s">
        <v>11340</v>
      </c>
      <c r="D278" s="516"/>
      <c r="E278" s="338" t="s">
        <v>8929</v>
      </c>
      <c r="F278" s="150"/>
    </row>
    <row r="279" spans="1:6">
      <c r="A279" s="149" t="s">
        <v>3046</v>
      </c>
      <c r="B279" s="187" t="s">
        <v>11339</v>
      </c>
      <c r="C279" s="143" t="s">
        <v>11340</v>
      </c>
      <c r="D279" s="516"/>
      <c r="E279" s="338"/>
      <c r="F279" s="150"/>
    </row>
    <row r="280" spans="1:6">
      <c r="A280" s="149" t="s">
        <v>3047</v>
      </c>
      <c r="B280" s="149" t="s">
        <v>11339</v>
      </c>
      <c r="C280" s="143" t="s">
        <v>11340</v>
      </c>
      <c r="D280" s="516"/>
      <c r="E280" s="338" t="s">
        <v>8929</v>
      </c>
      <c r="F280" s="150"/>
    </row>
    <row r="281" spans="1:6">
      <c r="A281" s="797" t="s">
        <v>11359</v>
      </c>
      <c r="B281" s="797"/>
      <c r="C281" s="797"/>
      <c r="D281" s="797"/>
      <c r="E281" s="797"/>
      <c r="F281" s="797"/>
    </row>
    <row r="282" spans="1:6">
      <c r="A282" s="149" t="s">
        <v>3048</v>
      </c>
      <c r="B282" s="149" t="s">
        <v>11337</v>
      </c>
      <c r="C282" s="143" t="s">
        <v>11159</v>
      </c>
      <c r="D282" s="516"/>
      <c r="E282" s="338" t="s">
        <v>8929</v>
      </c>
      <c r="F282" s="150"/>
    </row>
    <row r="283" spans="1:6">
      <c r="A283" s="149" t="s">
        <v>1539</v>
      </c>
      <c r="B283" s="149" t="s">
        <v>11360</v>
      </c>
      <c r="C283" s="143" t="s">
        <v>11159</v>
      </c>
      <c r="D283" s="516"/>
      <c r="E283" s="338" t="s">
        <v>8929</v>
      </c>
      <c r="F283" s="150"/>
    </row>
    <row r="284" spans="1:6">
      <c r="A284" s="149" t="s">
        <v>3049</v>
      </c>
      <c r="B284" s="149" t="s">
        <v>11361</v>
      </c>
      <c r="C284" s="143" t="s">
        <v>11159</v>
      </c>
      <c r="D284" s="516"/>
      <c r="E284" s="338" t="s">
        <v>8929</v>
      </c>
      <c r="F284" s="150"/>
    </row>
    <row r="285" spans="1:6">
      <c r="A285" t="s">
        <v>5295</v>
      </c>
      <c r="B285" s="149" t="s">
        <v>11362</v>
      </c>
      <c r="C285" s="143" t="s">
        <v>8920</v>
      </c>
      <c r="D285" s="516"/>
      <c r="E285" s="338" t="s">
        <v>8929</v>
      </c>
      <c r="F285" s="150"/>
    </row>
    <row r="286" spans="1:6">
      <c r="A286" s="149" t="s">
        <v>5291</v>
      </c>
      <c r="B286" s="149" t="s">
        <v>11362</v>
      </c>
      <c r="C286" s="143" t="s">
        <v>8920</v>
      </c>
      <c r="D286" s="516"/>
      <c r="E286" s="338" t="s">
        <v>8929</v>
      </c>
      <c r="F286" s="150"/>
    </row>
    <row r="287" spans="1:6">
      <c r="A287" t="s">
        <v>3050</v>
      </c>
      <c r="B287" s="149" t="s">
        <v>11363</v>
      </c>
      <c r="C287" s="143" t="s">
        <v>11159</v>
      </c>
      <c r="D287" s="516"/>
      <c r="E287" s="338" t="s">
        <v>8929</v>
      </c>
      <c r="F287" s="150"/>
    </row>
    <row r="288" spans="1:6">
      <c r="A288" s="149" t="s">
        <v>3051</v>
      </c>
      <c r="B288" s="149" t="s">
        <v>11356</v>
      </c>
      <c r="C288" s="143" t="s">
        <v>11159</v>
      </c>
      <c r="D288" s="516"/>
      <c r="E288" s="338" t="s">
        <v>8929</v>
      </c>
      <c r="F288" s="150"/>
    </row>
    <row r="289" spans="1:6">
      <c r="A289" s="797" t="s">
        <v>11364</v>
      </c>
      <c r="B289" s="797"/>
      <c r="C289" s="797"/>
      <c r="D289" s="797"/>
      <c r="E289" s="797"/>
      <c r="F289" s="797"/>
    </row>
    <row r="290" spans="1:6">
      <c r="A290" s="149" t="s">
        <v>3052</v>
      </c>
      <c r="B290" s="149" t="s">
        <v>11363</v>
      </c>
      <c r="C290" s="143" t="s">
        <v>11159</v>
      </c>
      <c r="D290" s="516"/>
      <c r="E290" s="338" t="s">
        <v>8929</v>
      </c>
      <c r="F290" s="150"/>
    </row>
    <row r="291" spans="1:6">
      <c r="A291" s="149" t="s">
        <v>11365</v>
      </c>
      <c r="B291" s="149" t="s">
        <v>11362</v>
      </c>
      <c r="C291" s="143"/>
      <c r="D291" s="516"/>
      <c r="E291" s="338" t="s">
        <v>8929</v>
      </c>
      <c r="F291" s="150"/>
    </row>
    <row r="292" spans="1:6">
      <c r="A292" s="149" t="s">
        <v>3053</v>
      </c>
      <c r="B292" s="149" t="s">
        <v>11363</v>
      </c>
      <c r="C292" s="143" t="s">
        <v>11159</v>
      </c>
      <c r="D292" s="516"/>
      <c r="E292" s="338" t="s">
        <v>8929</v>
      </c>
      <c r="F292" s="150"/>
    </row>
    <row r="293" spans="1:6">
      <c r="A293" s="149" t="s">
        <v>3655</v>
      </c>
      <c r="B293" s="149" t="s">
        <v>11366</v>
      </c>
      <c r="C293" s="143" t="s">
        <v>8920</v>
      </c>
      <c r="D293" s="516"/>
      <c r="E293" s="338" t="s">
        <v>8929</v>
      </c>
      <c r="F293" s="150"/>
    </row>
    <row r="294" spans="1:6">
      <c r="A294" s="149" t="s">
        <v>3054</v>
      </c>
      <c r="B294" s="149" t="s">
        <v>11367</v>
      </c>
      <c r="C294" s="143" t="s">
        <v>8920</v>
      </c>
      <c r="D294" s="516"/>
      <c r="E294" s="338" t="s">
        <v>8929</v>
      </c>
      <c r="F294" s="150"/>
    </row>
    <row r="295" spans="1:6">
      <c r="A295" s="149" t="s">
        <v>3055</v>
      </c>
      <c r="B295" s="149" t="s">
        <v>11368</v>
      </c>
      <c r="C295" s="143" t="s">
        <v>8920</v>
      </c>
      <c r="D295" s="516"/>
      <c r="E295" s="338"/>
      <c r="F295" s="150"/>
    </row>
    <row r="296" spans="1:6">
      <c r="A296" s="149" t="s">
        <v>3056</v>
      </c>
      <c r="B296" s="149" t="s">
        <v>11369</v>
      </c>
      <c r="C296" s="143" t="s">
        <v>8920</v>
      </c>
      <c r="D296" s="516"/>
      <c r="E296" s="338" t="s">
        <v>8929</v>
      </c>
      <c r="F296" s="150"/>
    </row>
    <row r="297" spans="1:6">
      <c r="A297" s="149" t="s">
        <v>3650</v>
      </c>
      <c r="B297" s="149" t="s">
        <v>11370</v>
      </c>
      <c r="C297" s="143" t="s">
        <v>8920</v>
      </c>
      <c r="D297" s="516"/>
      <c r="E297" s="338" t="s">
        <v>8929</v>
      </c>
      <c r="F297" s="150"/>
    </row>
    <row r="298" spans="1:6">
      <c r="A298" s="149" t="s">
        <v>3057</v>
      </c>
      <c r="B298" s="149" t="s">
        <v>11371</v>
      </c>
      <c r="C298" s="143" t="s">
        <v>8920</v>
      </c>
      <c r="D298" s="516"/>
      <c r="E298" s="338" t="s">
        <v>8929</v>
      </c>
      <c r="F298" s="150"/>
    </row>
    <row r="299" spans="1:6">
      <c r="A299" t="s">
        <v>3058</v>
      </c>
      <c r="B299" s="186" t="s">
        <v>11372</v>
      </c>
      <c r="C299" s="143" t="s">
        <v>8920</v>
      </c>
      <c r="D299" s="516"/>
      <c r="E299" s="338" t="s">
        <v>8929</v>
      </c>
      <c r="F299" s="150"/>
    </row>
    <row r="300" spans="1:6">
      <c r="A300" s="295" t="s">
        <v>3059</v>
      </c>
      <c r="B300" s="149" t="s">
        <v>11373</v>
      </c>
      <c r="C300" s="143" t="s">
        <v>11159</v>
      </c>
      <c r="D300" s="516"/>
      <c r="E300" s="338" t="s">
        <v>8929</v>
      </c>
      <c r="F300" s="150"/>
    </row>
    <row r="301" spans="1:6">
      <c r="A301" s="149" t="s">
        <v>3060</v>
      </c>
      <c r="B301" s="149" t="s">
        <v>11374</v>
      </c>
      <c r="C301" s="143" t="s">
        <v>11159</v>
      </c>
      <c r="D301" s="516"/>
      <c r="E301" s="338" t="s">
        <v>8929</v>
      </c>
      <c r="F301" s="150"/>
    </row>
    <row r="302" spans="1:6">
      <c r="A302" s="295" t="s">
        <v>3061</v>
      </c>
      <c r="B302" s="149" t="s">
        <v>3109</v>
      </c>
      <c r="C302" s="143" t="s">
        <v>11340</v>
      </c>
      <c r="E302" s="270" t="s">
        <v>11375</v>
      </c>
      <c r="F302" s="150"/>
    </row>
    <row r="303" spans="1:6">
      <c r="A303" s="283" t="s">
        <v>3062</v>
      </c>
      <c r="B303" s="149" t="s">
        <v>3109</v>
      </c>
      <c r="C303" s="143" t="s">
        <v>11340</v>
      </c>
      <c r="D303" s="516"/>
      <c r="E303" s="338" t="s">
        <v>8929</v>
      </c>
      <c r="F303" s="150"/>
    </row>
    <row r="304" spans="1:6">
      <c r="A304" s="295" t="s">
        <v>3063</v>
      </c>
      <c r="B304" s="149" t="s">
        <v>11339</v>
      </c>
      <c r="C304" s="143" t="s">
        <v>11340</v>
      </c>
      <c r="D304" s="516"/>
      <c r="E304" s="338" t="s">
        <v>8929</v>
      </c>
      <c r="F304" s="150"/>
    </row>
    <row r="305" spans="1:6">
      <c r="A305" s="149" t="s">
        <v>3064</v>
      </c>
      <c r="B305" s="187" t="s">
        <v>11339</v>
      </c>
      <c r="C305" s="143" t="s">
        <v>11340</v>
      </c>
      <c r="D305" s="516"/>
      <c r="E305" s="338" t="s">
        <v>11376</v>
      </c>
      <c r="F305" s="150"/>
    </row>
    <row r="306" spans="1:6">
      <c r="A306" s="149" t="s">
        <v>3065</v>
      </c>
      <c r="B306" s="149" t="s">
        <v>11339</v>
      </c>
      <c r="C306" s="143" t="s">
        <v>11340</v>
      </c>
      <c r="D306" s="516"/>
      <c r="E306" s="338" t="s">
        <v>11376</v>
      </c>
      <c r="F306" s="150"/>
    </row>
    <row r="307" spans="1:6">
      <c r="A307" s="149" t="s">
        <v>3066</v>
      </c>
      <c r="B307" s="149" t="s">
        <v>11339</v>
      </c>
      <c r="C307" s="143" t="s">
        <v>11340</v>
      </c>
      <c r="D307" s="516"/>
      <c r="E307" s="338" t="s">
        <v>11376</v>
      </c>
      <c r="F307" s="150"/>
    </row>
    <row r="308" spans="1:6">
      <c r="A308" s="149" t="s">
        <v>3067</v>
      </c>
      <c r="B308" s="187" t="s">
        <v>11339</v>
      </c>
      <c r="C308" s="143" t="s">
        <v>11340</v>
      </c>
      <c r="D308" s="516"/>
      <c r="E308" s="338" t="s">
        <v>11376</v>
      </c>
      <c r="F308" s="150"/>
    </row>
    <row r="309" spans="1:6">
      <c r="A309" s="149" t="s">
        <v>3068</v>
      </c>
      <c r="B309" s="149" t="s">
        <v>11339</v>
      </c>
      <c r="C309" s="143" t="s">
        <v>11340</v>
      </c>
      <c r="D309" s="516"/>
      <c r="E309" s="338" t="s">
        <v>11376</v>
      </c>
      <c r="F309" s="150"/>
    </row>
    <row r="310" spans="1:6">
      <c r="A310" s="149" t="s">
        <v>3069</v>
      </c>
      <c r="B310" s="187" t="s">
        <v>11339</v>
      </c>
      <c r="C310" s="143" t="s">
        <v>11340</v>
      </c>
      <c r="D310" s="516"/>
      <c r="E310" s="338" t="s">
        <v>8929</v>
      </c>
      <c r="F310" s="150"/>
    </row>
    <row r="311" spans="1:6">
      <c r="A311" s="797" t="s">
        <v>7628</v>
      </c>
      <c r="B311" s="797"/>
      <c r="C311" s="797"/>
      <c r="D311" s="797"/>
      <c r="E311" s="797"/>
      <c r="F311" s="797"/>
    </row>
    <row r="312" spans="1:6">
      <c r="A312" s="149" t="s">
        <v>5425</v>
      </c>
      <c r="B312" s="149" t="s">
        <v>11377</v>
      </c>
      <c r="C312" s="143" t="s">
        <v>11159</v>
      </c>
      <c r="D312" s="516"/>
      <c r="E312" s="338" t="s">
        <v>8929</v>
      </c>
      <c r="F312" s="150"/>
    </row>
    <row r="313" spans="1:6">
      <c r="A313" s="149" t="s">
        <v>2797</v>
      </c>
      <c r="B313" s="149" t="s">
        <v>11356</v>
      </c>
      <c r="C313" s="143" t="s">
        <v>11159</v>
      </c>
      <c r="D313" s="516"/>
      <c r="E313" s="338" t="s">
        <v>8929</v>
      </c>
      <c r="F313" s="150"/>
    </row>
    <row r="314" spans="1:6">
      <c r="A314" s="149" t="s">
        <v>1545</v>
      </c>
      <c r="B314" s="149" t="s">
        <v>11378</v>
      </c>
      <c r="C314" s="143" t="s">
        <v>11159</v>
      </c>
      <c r="D314" s="516"/>
      <c r="E314" s="338" t="s">
        <v>8929</v>
      </c>
      <c r="F314" s="150"/>
    </row>
    <row r="315" spans="1:6">
      <c r="A315" s="149" t="s">
        <v>11379</v>
      </c>
      <c r="B315" s="149" t="s">
        <v>11380</v>
      </c>
      <c r="C315" s="143" t="s">
        <v>11381</v>
      </c>
      <c r="D315" s="516"/>
      <c r="E315" s="338" t="s">
        <v>8929</v>
      </c>
      <c r="F315" s="150"/>
    </row>
    <row r="316" spans="1:6">
      <c r="A316" s="149" t="s">
        <v>3070</v>
      </c>
      <c r="B316" s="149" t="s">
        <v>11382</v>
      </c>
      <c r="C316" s="143" t="s">
        <v>11381</v>
      </c>
      <c r="D316" s="516"/>
      <c r="E316" s="338" t="s">
        <v>8929</v>
      </c>
      <c r="F316" s="150"/>
    </row>
    <row r="317" spans="1:6">
      <c r="A317" s="149" t="s">
        <v>11383</v>
      </c>
      <c r="B317" s="149" t="s">
        <v>11384</v>
      </c>
      <c r="C317" s="143" t="s">
        <v>11381</v>
      </c>
      <c r="D317" s="516"/>
      <c r="E317" s="338" t="s">
        <v>8929</v>
      </c>
      <c r="F317" s="150"/>
    </row>
    <row r="318" spans="1:6">
      <c r="A318" s="149" t="s">
        <v>3071</v>
      </c>
      <c r="B318" s="149" t="s">
        <v>11385</v>
      </c>
      <c r="C318" s="143" t="s">
        <v>11386</v>
      </c>
      <c r="D318" s="516"/>
      <c r="E318" s="338" t="s">
        <v>8929</v>
      </c>
      <c r="F318" s="150"/>
    </row>
    <row r="319" spans="1:6">
      <c r="A319" s="149" t="s">
        <v>3072</v>
      </c>
      <c r="B319" s="149" t="s">
        <v>11384</v>
      </c>
      <c r="C319" s="143" t="s">
        <v>11381</v>
      </c>
      <c r="D319" s="516"/>
      <c r="E319" s="338" t="s">
        <v>8929</v>
      </c>
      <c r="F319" s="150"/>
    </row>
    <row r="320" spans="1:6">
      <c r="A320" s="149" t="s">
        <v>3073</v>
      </c>
      <c r="B320" s="149" t="s">
        <v>11387</v>
      </c>
      <c r="C320" s="143" t="s">
        <v>11386</v>
      </c>
      <c r="D320" s="516"/>
      <c r="E320" s="338" t="s">
        <v>8929</v>
      </c>
      <c r="F320" s="150"/>
    </row>
    <row r="321" spans="1:11">
      <c r="A321" s="149" t="s">
        <v>1809</v>
      </c>
      <c r="B321" s="149" t="s">
        <v>11388</v>
      </c>
      <c r="C321" s="143" t="s">
        <v>11386</v>
      </c>
      <c r="D321" s="516"/>
      <c r="E321" s="338" t="s">
        <v>8929</v>
      </c>
      <c r="F321" s="150"/>
    </row>
    <row r="322" spans="1:11">
      <c r="A322" s="797" t="s">
        <v>7634</v>
      </c>
      <c r="B322" s="797"/>
      <c r="C322" s="797"/>
      <c r="D322" s="797"/>
      <c r="E322" s="797"/>
      <c r="F322" s="797"/>
    </row>
    <row r="323" spans="1:11">
      <c r="A323" s="192" t="s">
        <v>3042</v>
      </c>
      <c r="B323" s="149" t="s">
        <v>11389</v>
      </c>
      <c r="C323" s="143" t="s">
        <v>11159</v>
      </c>
      <c r="D323" s="516"/>
      <c r="E323" s="338" t="s">
        <v>8929</v>
      </c>
      <c r="F323" s="150"/>
    </row>
    <row r="324" spans="1:11">
      <c r="A324" s="192" t="s">
        <v>3074</v>
      </c>
      <c r="B324" s="149" t="s">
        <v>11390</v>
      </c>
      <c r="C324" s="143" t="s">
        <v>8929</v>
      </c>
      <c r="D324" s="516"/>
      <c r="E324" s="338" t="s">
        <v>8929</v>
      </c>
      <c r="F324" s="150"/>
    </row>
    <row r="325" spans="1:11">
      <c r="A325" s="192" t="s">
        <v>3075</v>
      </c>
      <c r="B325" s="149" t="s">
        <v>11391</v>
      </c>
      <c r="C325" s="143" t="s">
        <v>11159</v>
      </c>
      <c r="D325" s="516"/>
      <c r="E325" s="338" t="s">
        <v>8929</v>
      </c>
      <c r="F325" s="150"/>
    </row>
    <row r="326" spans="1:11">
      <c r="A326" s="192" t="s">
        <v>3076</v>
      </c>
      <c r="B326" s="149" t="s">
        <v>11392</v>
      </c>
      <c r="C326" s="143"/>
      <c r="D326" s="516"/>
      <c r="E326" s="338" t="s">
        <v>8929</v>
      </c>
      <c r="F326" s="150"/>
    </row>
    <row r="327" spans="1:11">
      <c r="A327" s="192" t="s">
        <v>3077</v>
      </c>
      <c r="B327" s="149" t="s">
        <v>11393</v>
      </c>
      <c r="C327" s="143" t="s">
        <v>11159</v>
      </c>
      <c r="D327" s="516"/>
      <c r="E327" s="338" t="s">
        <v>8929</v>
      </c>
      <c r="F327" s="150"/>
    </row>
    <row r="328" spans="1:11">
      <c r="A328" s="192" t="s">
        <v>3078</v>
      </c>
      <c r="B328" s="149" t="s">
        <v>11394</v>
      </c>
      <c r="C328" s="143" t="s">
        <v>8920</v>
      </c>
      <c r="D328" s="516"/>
      <c r="E328" s="338" t="s">
        <v>8929</v>
      </c>
      <c r="F328" s="150"/>
    </row>
    <row r="329" spans="1:11">
      <c r="A329" s="192" t="s">
        <v>3079</v>
      </c>
      <c r="B329" s="149" t="s">
        <v>11395</v>
      </c>
      <c r="C329" s="143" t="s">
        <v>8920</v>
      </c>
      <c r="D329" s="516"/>
      <c r="E329" s="338" t="s">
        <v>8929</v>
      </c>
      <c r="F329" s="150"/>
    </row>
    <row r="330" spans="1:11">
      <c r="A330" s="149" t="s">
        <v>3080</v>
      </c>
      <c r="B330" s="149" t="s">
        <v>11396</v>
      </c>
      <c r="C330" s="143" t="s">
        <v>8920</v>
      </c>
      <c r="D330" s="516"/>
      <c r="E330" s="338" t="s">
        <v>8929</v>
      </c>
      <c r="F330" s="150"/>
    </row>
    <row r="331" spans="1:11">
      <c r="A331" s="149" t="s">
        <v>5321</v>
      </c>
      <c r="B331" s="149" t="s">
        <v>11397</v>
      </c>
      <c r="C331" s="143" t="s">
        <v>11159</v>
      </c>
      <c r="D331" s="516"/>
      <c r="E331" s="338" t="s">
        <v>3414</v>
      </c>
      <c r="F331" s="150"/>
    </row>
    <row r="332" spans="1:11">
      <c r="A332" s="149" t="s">
        <v>3081</v>
      </c>
      <c r="B332" s="149" t="s">
        <v>11398</v>
      </c>
      <c r="C332" s="143" t="s">
        <v>11176</v>
      </c>
      <c r="D332" s="516"/>
      <c r="E332" s="338" t="s">
        <v>8929</v>
      </c>
      <c r="F332" s="150"/>
      <c r="K332" s="466"/>
    </row>
    <row r="333" spans="1:11">
      <c r="A333" s="149" t="s">
        <v>5379</v>
      </c>
      <c r="B333" s="149" t="s">
        <v>11399</v>
      </c>
      <c r="C333" s="143" t="s">
        <v>11386</v>
      </c>
      <c r="D333" s="516"/>
      <c r="E333" s="338" t="s">
        <v>8929</v>
      </c>
      <c r="F333" s="150"/>
      <c r="K333" s="466"/>
    </row>
    <row r="334" spans="1:11">
      <c r="A334" s="149" t="s">
        <v>5379</v>
      </c>
      <c r="B334" s="149" t="s">
        <v>11400</v>
      </c>
      <c r="C334" s="143" t="s">
        <v>11386</v>
      </c>
      <c r="D334" s="516"/>
      <c r="E334" s="338" t="s">
        <v>8929</v>
      </c>
      <c r="F334" s="150"/>
      <c r="K334" s="466"/>
    </row>
    <row r="335" spans="1:11">
      <c r="A335" s="149" t="s">
        <v>11401</v>
      </c>
      <c r="B335" s="149" t="s">
        <v>11402</v>
      </c>
      <c r="C335" s="143" t="s">
        <v>11159</v>
      </c>
      <c r="D335" s="516"/>
      <c r="E335" s="338" t="s">
        <v>8929</v>
      </c>
      <c r="F335" s="150"/>
      <c r="K335" s="466"/>
    </row>
    <row r="336" spans="1:11">
      <c r="A336" s="149" t="s">
        <v>3083</v>
      </c>
      <c r="B336" s="149" t="s">
        <v>11403</v>
      </c>
      <c r="C336" s="143" t="s">
        <v>8920</v>
      </c>
      <c r="D336" s="516"/>
      <c r="E336" s="338" t="s">
        <v>8929</v>
      </c>
      <c r="F336" s="150"/>
      <c r="K336" s="466"/>
    </row>
    <row r="337" spans="1:11">
      <c r="A337" s="186" t="s">
        <v>3084</v>
      </c>
      <c r="B337" s="149" t="s">
        <v>11384</v>
      </c>
      <c r="C337" s="143" t="s">
        <v>11159</v>
      </c>
      <c r="D337" s="516"/>
      <c r="E337" s="338" t="s">
        <v>8929</v>
      </c>
      <c r="F337" s="150"/>
      <c r="K337" s="466"/>
    </row>
    <row r="338" spans="1:11">
      <c r="A338" s="149" t="s">
        <v>3085</v>
      </c>
      <c r="B338" s="185" t="s">
        <v>11404</v>
      </c>
      <c r="C338" s="143" t="s">
        <v>8920</v>
      </c>
      <c r="D338" s="516"/>
      <c r="E338" s="338" t="s">
        <v>8929</v>
      </c>
      <c r="F338" s="150"/>
      <c r="K338" s="466"/>
    </row>
    <row r="339" spans="1:11">
      <c r="A339" s="149" t="s">
        <v>4918</v>
      </c>
      <c r="B339" s="185" t="s">
        <v>11405</v>
      </c>
      <c r="C339" s="143" t="s">
        <v>11159</v>
      </c>
      <c r="D339" s="516"/>
      <c r="E339" s="338" t="s">
        <v>8929</v>
      </c>
      <c r="F339" s="150"/>
      <c r="K339" s="466"/>
    </row>
    <row r="340" spans="1:11">
      <c r="A340" s="149" t="s">
        <v>2798</v>
      </c>
      <c r="B340" s="185" t="s">
        <v>11406</v>
      </c>
      <c r="C340" s="143" t="s">
        <v>8920</v>
      </c>
      <c r="D340" s="516"/>
      <c r="E340" s="338" t="s">
        <v>8929</v>
      </c>
      <c r="F340" s="150"/>
      <c r="K340" s="466"/>
    </row>
    <row r="341" spans="1:11">
      <c r="A341" s="149" t="s">
        <v>3571</v>
      </c>
      <c r="B341" s="205" t="s">
        <v>11407</v>
      </c>
      <c r="C341" s="143" t="s">
        <v>11408</v>
      </c>
      <c r="D341" s="516"/>
      <c r="E341" s="338" t="s">
        <v>8929</v>
      </c>
      <c r="F341" s="150"/>
      <c r="K341" s="466"/>
    </row>
    <row r="342" spans="1:11">
      <c r="A342" s="797" t="s">
        <v>7656</v>
      </c>
      <c r="B342" s="797"/>
      <c r="C342" s="797"/>
      <c r="D342" s="797"/>
      <c r="E342" s="797"/>
      <c r="F342" s="797"/>
      <c r="K342" s="466"/>
    </row>
    <row r="343" spans="1:11">
      <c r="A343" s="149" t="s">
        <v>3086</v>
      </c>
      <c r="B343" s="185" t="s">
        <v>11409</v>
      </c>
      <c r="C343" s="143" t="s">
        <v>8920</v>
      </c>
      <c r="D343" s="516"/>
      <c r="E343" s="338" t="s">
        <v>8929</v>
      </c>
      <c r="F343" s="150"/>
      <c r="K343" s="466"/>
    </row>
    <row r="344" spans="1:11">
      <c r="A344" s="187" t="s">
        <v>11410</v>
      </c>
      <c r="B344" s="149" t="s">
        <v>11411</v>
      </c>
      <c r="C344" s="143" t="s">
        <v>8920</v>
      </c>
      <c r="D344" s="516"/>
      <c r="E344" s="338" t="s">
        <v>10534</v>
      </c>
      <c r="F344" s="150"/>
      <c r="K344" s="466"/>
    </row>
    <row r="345" spans="1:11">
      <c r="A345" s="149" t="s">
        <v>3825</v>
      </c>
      <c r="B345" s="149" t="s">
        <v>11412</v>
      </c>
      <c r="C345" s="143" t="s">
        <v>11159</v>
      </c>
      <c r="D345" s="516"/>
      <c r="E345" s="338" t="s">
        <v>8929</v>
      </c>
      <c r="F345" s="150"/>
      <c r="K345" s="466"/>
    </row>
    <row r="346" spans="1:11">
      <c r="A346" s="149" t="s">
        <v>1989</v>
      </c>
      <c r="B346" s="149" t="s">
        <v>11413</v>
      </c>
      <c r="C346" s="143" t="s">
        <v>8920</v>
      </c>
      <c r="D346" s="516"/>
      <c r="E346" s="338" t="s">
        <v>8929</v>
      </c>
      <c r="F346" s="150"/>
      <c r="K346" s="466"/>
    </row>
    <row r="347" spans="1:11">
      <c r="A347" s="149" t="s">
        <v>3087</v>
      </c>
      <c r="B347" s="149" t="s">
        <v>11186</v>
      </c>
      <c r="C347" s="143" t="s">
        <v>11159</v>
      </c>
      <c r="D347" s="516"/>
      <c r="E347" s="338" t="s">
        <v>8929</v>
      </c>
      <c r="F347" s="150"/>
      <c r="K347" s="466"/>
    </row>
    <row r="348" spans="1:11">
      <c r="A348" s="149" t="s">
        <v>3088</v>
      </c>
      <c r="B348" s="149" t="s">
        <v>11414</v>
      </c>
      <c r="C348" s="143" t="s">
        <v>8920</v>
      </c>
      <c r="D348" s="516"/>
      <c r="E348" s="338" t="s">
        <v>8929</v>
      </c>
      <c r="F348" s="150"/>
      <c r="K348" s="466"/>
    </row>
    <row r="349" spans="1:11">
      <c r="A349" s="149" t="s">
        <v>5406</v>
      </c>
      <c r="B349" s="149" t="s">
        <v>11415</v>
      </c>
      <c r="C349" s="143" t="s">
        <v>11408</v>
      </c>
      <c r="D349" s="516"/>
      <c r="E349" s="338" t="s">
        <v>8929</v>
      </c>
      <c r="F349" s="150"/>
      <c r="K349" s="466"/>
    </row>
    <row r="350" spans="1:11">
      <c r="A350" s="149" t="s">
        <v>3089</v>
      </c>
      <c r="B350" s="149" t="s">
        <v>11416</v>
      </c>
      <c r="C350" s="143" t="s">
        <v>11159</v>
      </c>
      <c r="D350" s="516"/>
      <c r="E350" s="338" t="s">
        <v>8929</v>
      </c>
      <c r="F350" s="150"/>
      <c r="K350" s="466"/>
    </row>
    <row r="351" spans="1:11">
      <c r="A351" s="149" t="s">
        <v>3090</v>
      </c>
      <c r="B351" s="149" t="s">
        <v>11417</v>
      </c>
      <c r="C351" s="143" t="s">
        <v>11159</v>
      </c>
      <c r="D351" s="516"/>
      <c r="E351" s="338" t="s">
        <v>8929</v>
      </c>
      <c r="F351" s="150"/>
      <c r="K351" s="466"/>
    </row>
    <row r="352" spans="1:11">
      <c r="A352" s="149" t="s">
        <v>3091</v>
      </c>
      <c r="B352" s="149" t="s">
        <v>11418</v>
      </c>
      <c r="C352" s="143" t="s">
        <v>11419</v>
      </c>
      <c r="D352" s="516"/>
      <c r="E352" s="338" t="s">
        <v>8929</v>
      </c>
      <c r="F352" s="150"/>
      <c r="K352" s="466"/>
    </row>
    <row r="353" spans="1:11">
      <c r="A353" s="149" t="s">
        <v>3092</v>
      </c>
      <c r="B353" s="149" t="s">
        <v>11404</v>
      </c>
      <c r="C353" s="143" t="s">
        <v>8920</v>
      </c>
      <c r="D353" s="516"/>
      <c r="E353" s="338" t="s">
        <v>8929</v>
      </c>
      <c r="F353" s="150"/>
      <c r="K353" s="466"/>
    </row>
    <row r="354" spans="1:11" ht="15.75">
      <c r="A354" s="565" t="s">
        <v>3093</v>
      </c>
      <c r="B354" s="149" t="s">
        <v>11384</v>
      </c>
      <c r="C354" s="143" t="s">
        <v>11159</v>
      </c>
      <c r="D354" s="516"/>
      <c r="E354" s="338" t="s">
        <v>8929</v>
      </c>
      <c r="F354" s="150"/>
      <c r="K354" s="466"/>
    </row>
    <row r="355" spans="1:11">
      <c r="A355" s="149" t="s">
        <v>3094</v>
      </c>
      <c r="B355" s="149" t="s">
        <v>11398</v>
      </c>
      <c r="C355" s="143" t="s">
        <v>11408</v>
      </c>
      <c r="D355" s="516"/>
      <c r="E355" s="338" t="s">
        <v>8929</v>
      </c>
      <c r="F355" s="150"/>
      <c r="K355" s="466"/>
    </row>
    <row r="356" spans="1:11">
      <c r="A356" s="149" t="s">
        <v>3095</v>
      </c>
      <c r="B356" s="149" t="s">
        <v>11420</v>
      </c>
      <c r="C356" s="143" t="s">
        <v>11159</v>
      </c>
      <c r="D356" s="516"/>
      <c r="E356" s="338" t="s">
        <v>11421</v>
      </c>
      <c r="F356" s="150"/>
      <c r="K356" s="466"/>
    </row>
    <row r="357" spans="1:11">
      <c r="A357" s="149" t="s">
        <v>3096</v>
      </c>
      <c r="B357" s="149" t="s">
        <v>11422</v>
      </c>
      <c r="C357" s="143" t="s">
        <v>8920</v>
      </c>
      <c r="D357" s="516"/>
      <c r="E357" s="338" t="s">
        <v>8929</v>
      </c>
      <c r="F357" s="150"/>
      <c r="K357" s="466"/>
    </row>
    <row r="358" spans="1:11">
      <c r="A358" t="s">
        <v>3097</v>
      </c>
      <c r="B358" s="149" t="s">
        <v>11423</v>
      </c>
      <c r="C358" s="143" t="s">
        <v>11159</v>
      </c>
      <c r="D358" s="516"/>
      <c r="E358" s="338" t="s">
        <v>8929</v>
      </c>
      <c r="F358" s="150"/>
      <c r="K358" s="466"/>
    </row>
    <row r="359" spans="1:11">
      <c r="A359" t="s">
        <v>2762</v>
      </c>
      <c r="B359" s="149" t="s">
        <v>11424</v>
      </c>
      <c r="C359" s="143" t="s">
        <v>11165</v>
      </c>
      <c r="D359" s="516"/>
      <c r="E359" s="338" t="s">
        <v>8929</v>
      </c>
      <c r="F359" s="150"/>
      <c r="K359" s="466"/>
    </row>
    <row r="360" spans="1:11">
      <c r="A360" s="797" t="s">
        <v>7672</v>
      </c>
      <c r="B360" s="797"/>
      <c r="C360" s="797"/>
      <c r="D360" s="797"/>
      <c r="E360" s="797"/>
      <c r="F360" s="797"/>
      <c r="K360" s="466"/>
    </row>
    <row r="361" spans="1:11">
      <c r="A361" s="149" t="s">
        <v>3457</v>
      </c>
      <c r="B361" s="149" t="s">
        <v>3109</v>
      </c>
      <c r="C361" s="143"/>
      <c r="D361" s="516"/>
      <c r="E361" s="338" t="s">
        <v>11425</v>
      </c>
      <c r="F361" s="150"/>
      <c r="K361" s="466"/>
    </row>
    <row r="362" spans="1:11">
      <c r="A362" s="149" t="s">
        <v>3563</v>
      </c>
      <c r="B362" s="149" t="s">
        <v>3109</v>
      </c>
      <c r="C362" s="143"/>
      <c r="D362" s="516"/>
      <c r="E362" s="338"/>
      <c r="F362" s="150"/>
    </row>
    <row r="363" spans="1:11">
      <c r="A363" s="149" t="s">
        <v>9257</v>
      </c>
      <c r="B363" s="149" t="s">
        <v>3109</v>
      </c>
      <c r="C363" s="143" t="s">
        <v>8929</v>
      </c>
      <c r="D363" s="516"/>
      <c r="E363" s="338"/>
      <c r="F363" s="150"/>
    </row>
    <row r="364" spans="1:11">
      <c r="A364" s="149" t="s">
        <v>3644</v>
      </c>
      <c r="B364" s="149" t="s">
        <v>3109</v>
      </c>
      <c r="C364" s="143" t="s">
        <v>8929</v>
      </c>
      <c r="D364" s="516"/>
      <c r="E364" s="338"/>
      <c r="F364" s="150"/>
    </row>
    <row r="365" spans="1:11">
      <c r="A365" s="149" t="s">
        <v>10288</v>
      </c>
      <c r="B365" s="149" t="s">
        <v>3109</v>
      </c>
      <c r="C365" s="143" t="s">
        <v>8929</v>
      </c>
      <c r="D365" s="516"/>
      <c r="E365" s="338" t="s">
        <v>11426</v>
      </c>
      <c r="F365" s="150"/>
    </row>
    <row r="366" spans="1:11">
      <c r="A366" s="149" t="s">
        <v>3099</v>
      </c>
      <c r="B366" s="149" t="s">
        <v>3109</v>
      </c>
      <c r="C366" s="143" t="s">
        <v>11253</v>
      </c>
      <c r="D366" s="516"/>
      <c r="E366" s="338" t="s">
        <v>11427</v>
      </c>
      <c r="F366" s="150"/>
    </row>
    <row r="367" spans="1:11">
      <c r="A367" s="149" t="s">
        <v>3100</v>
      </c>
      <c r="B367" s="149" t="s">
        <v>3109</v>
      </c>
      <c r="C367" s="143" t="s">
        <v>8929</v>
      </c>
      <c r="D367" s="516"/>
      <c r="E367" s="338"/>
      <c r="F367" s="150"/>
    </row>
    <row r="368" spans="1:11">
      <c r="A368" s="149" t="s">
        <v>3101</v>
      </c>
      <c r="B368" s="149" t="s">
        <v>3109</v>
      </c>
      <c r="C368" s="143" t="s">
        <v>8929</v>
      </c>
      <c r="D368" s="516"/>
      <c r="E368" s="338"/>
      <c r="F368" s="150"/>
    </row>
    <row r="369" spans="1:6">
      <c r="A369" s="149" t="s">
        <v>3102</v>
      </c>
      <c r="B369" s="149" t="s">
        <v>3109</v>
      </c>
      <c r="C369" s="143"/>
      <c r="D369" s="516"/>
      <c r="E369" s="338"/>
      <c r="F369" s="150"/>
    </row>
    <row r="370" spans="1:6">
      <c r="A370" s="149" t="s">
        <v>3103</v>
      </c>
      <c r="B370" s="149" t="s">
        <v>3109</v>
      </c>
      <c r="C370" s="143" t="s">
        <v>11253</v>
      </c>
      <c r="D370" s="516"/>
      <c r="E370" s="338" t="s">
        <v>11427</v>
      </c>
      <c r="F370" s="150"/>
    </row>
    <row r="371" spans="1:6">
      <c r="A371" s="149" t="s">
        <v>3104</v>
      </c>
      <c r="B371" s="149" t="s">
        <v>3109</v>
      </c>
      <c r="C371" s="143" t="s">
        <v>8929</v>
      </c>
      <c r="D371" s="516"/>
      <c r="E371" s="338"/>
      <c r="F371" s="150"/>
    </row>
    <row r="372" spans="1:6">
      <c r="A372" s="149" t="s">
        <v>3105</v>
      </c>
      <c r="B372" s="149" t="s">
        <v>3109</v>
      </c>
      <c r="C372" s="143" t="s">
        <v>8929</v>
      </c>
      <c r="D372" s="516"/>
      <c r="E372" s="338"/>
      <c r="F372" s="150"/>
    </row>
    <row r="373" spans="1:6">
      <c r="A373" s="149" t="s">
        <v>11428</v>
      </c>
      <c r="B373" s="149" t="s">
        <v>3109</v>
      </c>
      <c r="C373" s="143"/>
      <c r="D373" s="516"/>
      <c r="E373" s="338"/>
      <c r="F373" s="150"/>
    </row>
    <row r="374" spans="1:6">
      <c r="A374" s="149" t="s">
        <v>3106</v>
      </c>
      <c r="B374" s="149" t="s">
        <v>3109</v>
      </c>
      <c r="C374" s="143" t="s">
        <v>8929</v>
      </c>
      <c r="D374" s="516"/>
      <c r="E374" s="338"/>
      <c r="F374" s="150"/>
    </row>
    <row r="375" spans="1:6">
      <c r="A375" s="149" t="s">
        <v>3107</v>
      </c>
      <c r="B375" s="149" t="s">
        <v>3109</v>
      </c>
      <c r="C375" s="143"/>
      <c r="D375" s="516"/>
      <c r="E375" s="338"/>
      <c r="F375" s="150"/>
    </row>
    <row r="376" spans="1:6">
      <c r="A376" s="149" t="s">
        <v>3108</v>
      </c>
      <c r="B376" s="149" t="s">
        <v>3109</v>
      </c>
      <c r="C376" s="143" t="s">
        <v>11253</v>
      </c>
      <c r="D376" s="516"/>
      <c r="E376" s="338" t="s">
        <v>11427</v>
      </c>
      <c r="F376" s="150"/>
    </row>
    <row r="377" spans="1:6">
      <c r="A377" s="149" t="s">
        <v>3110</v>
      </c>
      <c r="B377" s="149" t="s">
        <v>3109</v>
      </c>
      <c r="C377" s="143" t="s">
        <v>8929</v>
      </c>
      <c r="D377" s="516"/>
      <c r="E377" s="338"/>
      <c r="F377" s="150"/>
    </row>
    <row r="378" spans="1:6">
      <c r="A378" s="149" t="s">
        <v>3111</v>
      </c>
      <c r="B378" s="149" t="s">
        <v>3109</v>
      </c>
      <c r="C378" s="143" t="s">
        <v>8929</v>
      </c>
      <c r="D378" s="516"/>
      <c r="E378" s="338"/>
      <c r="F378" s="150"/>
    </row>
    <row r="379" spans="1:6">
      <c r="A379" s="149" t="s">
        <v>1837</v>
      </c>
      <c r="B379" s="149" t="s">
        <v>11429</v>
      </c>
      <c r="C379" s="143" t="s">
        <v>8929</v>
      </c>
      <c r="D379" s="516"/>
      <c r="E379" s="338"/>
      <c r="F379" s="150"/>
    </row>
    <row r="380" spans="1:6">
      <c r="A380" s="149" t="s">
        <v>3113</v>
      </c>
      <c r="B380" s="149" t="s">
        <v>11302</v>
      </c>
      <c r="C380" s="143" t="s">
        <v>8929</v>
      </c>
      <c r="D380" s="516"/>
      <c r="E380" s="338"/>
      <c r="F380" s="150"/>
    </row>
    <row r="381" spans="1:6">
      <c r="A381" s="149" t="s">
        <v>3090</v>
      </c>
      <c r="B381" s="149" t="s">
        <v>11430</v>
      </c>
      <c r="C381" s="143" t="s">
        <v>8929</v>
      </c>
      <c r="D381" s="516"/>
      <c r="E381" s="338"/>
      <c r="F381" s="150"/>
    </row>
    <row r="382" spans="1:6">
      <c r="A382" t="s">
        <v>658</v>
      </c>
      <c r="B382" s="149" t="s">
        <v>11431</v>
      </c>
      <c r="C382" s="143" t="s">
        <v>8929</v>
      </c>
      <c r="D382" s="516"/>
      <c r="E382" s="338"/>
      <c r="F382" s="150"/>
    </row>
    <row r="383" spans="1:6">
      <c r="A383" s="149" t="s">
        <v>3114</v>
      </c>
      <c r="B383" s="149" t="s">
        <v>11415</v>
      </c>
      <c r="C383" s="143" t="s">
        <v>8929</v>
      </c>
      <c r="D383" s="516"/>
      <c r="E383" s="338"/>
      <c r="F383" s="150"/>
    </row>
    <row r="384" spans="1:6">
      <c r="A384" s="149" t="s">
        <v>3115</v>
      </c>
      <c r="B384" s="149" t="s">
        <v>3109</v>
      </c>
      <c r="C384" s="143" t="s">
        <v>8929</v>
      </c>
      <c r="D384" s="516"/>
      <c r="E384" s="338"/>
      <c r="F384" s="150"/>
    </row>
    <row r="385" spans="1:11">
      <c r="A385" s="149" t="s">
        <v>3116</v>
      </c>
      <c r="B385" s="149" t="s">
        <v>3109</v>
      </c>
      <c r="C385" s="143" t="s">
        <v>8929</v>
      </c>
      <c r="D385" s="516"/>
      <c r="E385" s="338"/>
      <c r="F385" s="150"/>
    </row>
    <row r="386" spans="1:11">
      <c r="A386" s="149" t="s">
        <v>3843</v>
      </c>
      <c r="B386" s="149" t="s">
        <v>11432</v>
      </c>
      <c r="C386" s="143"/>
      <c r="D386" s="516"/>
      <c r="E386" s="338"/>
      <c r="F386" s="150"/>
    </row>
    <row r="387" spans="1:11">
      <c r="A387" s="149" t="s">
        <v>3817</v>
      </c>
      <c r="B387" s="149" t="s">
        <v>11397</v>
      </c>
      <c r="C387" s="143" t="s">
        <v>8929</v>
      </c>
      <c r="D387" s="516"/>
      <c r="E387" s="338"/>
      <c r="F387" s="150"/>
    </row>
    <row r="388" spans="1:11">
      <c r="A388" s="149" t="s">
        <v>3117</v>
      </c>
      <c r="B388" s="149" t="s">
        <v>3297</v>
      </c>
      <c r="C388" s="143"/>
      <c r="D388" s="516"/>
      <c r="E388" s="338"/>
      <c r="F388" s="150"/>
    </row>
    <row r="389" spans="1:11">
      <c r="A389" s="149" t="s">
        <v>3118</v>
      </c>
      <c r="B389" s="149" t="s">
        <v>11433</v>
      </c>
      <c r="C389" s="143" t="s">
        <v>8929</v>
      </c>
      <c r="D389" s="516"/>
      <c r="E389" s="338" t="s">
        <v>11434</v>
      </c>
      <c r="F389" s="150"/>
    </row>
    <row r="390" spans="1:11">
      <c r="A390" s="149" t="s">
        <v>11435</v>
      </c>
      <c r="B390" s="149" t="s">
        <v>11436</v>
      </c>
      <c r="C390" s="143" t="s">
        <v>8929</v>
      </c>
      <c r="D390" s="516"/>
      <c r="E390" s="338" t="s">
        <v>11437</v>
      </c>
      <c r="F390" s="150"/>
    </row>
    <row r="391" spans="1:11">
      <c r="A391" s="149" t="s">
        <v>3119</v>
      </c>
      <c r="B391" s="149" t="s">
        <v>11438</v>
      </c>
      <c r="C391" s="143" t="s">
        <v>8929</v>
      </c>
      <c r="D391" s="516"/>
      <c r="E391" s="338" t="s">
        <v>11439</v>
      </c>
      <c r="F391" s="150"/>
    </row>
    <row r="392" spans="1:11">
      <c r="A392" s="149" t="s">
        <v>3120</v>
      </c>
      <c r="B392" s="149" t="s">
        <v>11440</v>
      </c>
      <c r="C392" s="143" t="s">
        <v>8929</v>
      </c>
      <c r="D392" s="516"/>
      <c r="E392" s="338" t="s">
        <v>11441</v>
      </c>
      <c r="F392" s="150"/>
    </row>
    <row r="393" spans="1:11">
      <c r="A393" s="149" t="s">
        <v>11442</v>
      </c>
      <c r="B393" s="149" t="s">
        <v>11443</v>
      </c>
      <c r="C393" s="143" t="s">
        <v>8929</v>
      </c>
      <c r="D393" s="516"/>
      <c r="E393" s="338" t="s">
        <v>11444</v>
      </c>
      <c r="F393" s="150"/>
    </row>
    <row r="394" spans="1:11">
      <c r="A394" s="149" t="s">
        <v>3121</v>
      </c>
      <c r="B394" s="149" t="s">
        <v>11438</v>
      </c>
      <c r="C394" s="143" t="s">
        <v>8929</v>
      </c>
      <c r="D394" s="516"/>
      <c r="E394" s="338"/>
      <c r="F394" s="150"/>
    </row>
    <row r="395" spans="1:11">
      <c r="A395" s="149" t="s">
        <v>3122</v>
      </c>
      <c r="B395" s="149" t="s">
        <v>11445</v>
      </c>
      <c r="C395" s="143"/>
      <c r="D395" s="516"/>
      <c r="E395" s="338"/>
      <c r="F395" s="150"/>
    </row>
    <row r="396" spans="1:11">
      <c r="A396" s="149" t="s">
        <v>3123</v>
      </c>
      <c r="B396" s="149" t="s">
        <v>11446</v>
      </c>
      <c r="C396" s="143"/>
      <c r="D396" s="516"/>
      <c r="E396" s="338"/>
      <c r="F396" s="150"/>
    </row>
    <row r="397" spans="1:11">
      <c r="A397" s="797" t="s">
        <v>7684</v>
      </c>
      <c r="B397" s="797"/>
      <c r="C397" s="797"/>
      <c r="D397" s="797"/>
      <c r="E397" s="797"/>
      <c r="F397" s="797"/>
      <c r="K397" s="466"/>
    </row>
    <row r="398" spans="1:11">
      <c r="A398" s="283" t="s">
        <v>4066</v>
      </c>
      <c r="B398" s="149" t="s">
        <v>11447</v>
      </c>
      <c r="C398" s="143" t="s">
        <v>8929</v>
      </c>
      <c r="D398" s="515">
        <v>44843</v>
      </c>
      <c r="E398" s="338"/>
      <c r="F398" s="150"/>
    </row>
    <row r="399" spans="1:11">
      <c r="A399" s="149" t="s">
        <v>3124</v>
      </c>
      <c r="B399" s="299" t="s">
        <v>11448</v>
      </c>
      <c r="C399" s="143" t="s">
        <v>8929</v>
      </c>
      <c r="D399" s="516" t="s">
        <v>11449</v>
      </c>
      <c r="E399" s="338"/>
      <c r="F399" s="150"/>
    </row>
    <row r="400" spans="1:11">
      <c r="A400" t="s">
        <v>3125</v>
      </c>
      <c r="B400" s="299" t="s">
        <v>11450</v>
      </c>
      <c r="C400" s="143" t="s">
        <v>8929</v>
      </c>
      <c r="D400" s="516" t="s">
        <v>11451</v>
      </c>
      <c r="E400" s="338"/>
      <c r="F400" s="150"/>
    </row>
    <row r="401" spans="1:6">
      <c r="A401" s="149" t="s">
        <v>3951</v>
      </c>
      <c r="B401" s="149" t="s">
        <v>11452</v>
      </c>
      <c r="C401" s="143" t="s">
        <v>8929</v>
      </c>
      <c r="D401" s="516" t="s">
        <v>11453</v>
      </c>
      <c r="E401" s="338"/>
      <c r="F401" s="150"/>
    </row>
    <row r="402" spans="1:6">
      <c r="A402" s="149" t="s">
        <v>3126</v>
      </c>
      <c r="B402" s="299" t="s">
        <v>11448</v>
      </c>
      <c r="C402" s="143" t="s">
        <v>8929</v>
      </c>
      <c r="D402" s="516" t="s">
        <v>11454</v>
      </c>
      <c r="E402" s="338"/>
      <c r="F402" s="150"/>
    </row>
    <row r="403" spans="1:6">
      <c r="A403" s="149" t="s">
        <v>11455</v>
      </c>
      <c r="B403" s="149" t="s">
        <v>11456</v>
      </c>
      <c r="C403" s="143" t="s">
        <v>8929</v>
      </c>
      <c r="D403" s="516" t="s">
        <v>11457</v>
      </c>
      <c r="E403" s="338"/>
      <c r="F403" s="150"/>
    </row>
    <row r="404" spans="1:6">
      <c r="A404" s="149" t="s">
        <v>3127</v>
      </c>
      <c r="B404" s="299" t="s">
        <v>11458</v>
      </c>
      <c r="C404" s="143" t="s">
        <v>8929</v>
      </c>
      <c r="D404" s="515">
        <v>44479</v>
      </c>
      <c r="E404" s="338"/>
      <c r="F404" s="150"/>
    </row>
    <row r="405" spans="1:6">
      <c r="A405" s="149" t="s">
        <v>5229</v>
      </c>
      <c r="B405" s="149" t="s">
        <v>11459</v>
      </c>
      <c r="C405" s="143" t="s">
        <v>8929</v>
      </c>
      <c r="D405" s="516" t="s">
        <v>11460</v>
      </c>
      <c r="E405" s="338"/>
      <c r="F405" s="150"/>
    </row>
    <row r="406" spans="1:6">
      <c r="A406" s="149" t="s">
        <v>3128</v>
      </c>
      <c r="B406" s="149" t="s">
        <v>11461</v>
      </c>
      <c r="C406" s="143" t="s">
        <v>8929</v>
      </c>
      <c r="D406" s="516" t="s">
        <v>11462</v>
      </c>
      <c r="E406" s="338"/>
      <c r="F406" s="150"/>
    </row>
    <row r="407" spans="1:6">
      <c r="A407" s="149" t="s">
        <v>1057</v>
      </c>
      <c r="B407" s="149" t="s">
        <v>11463</v>
      </c>
      <c r="C407" s="143" t="s">
        <v>8929</v>
      </c>
      <c r="D407" s="516" t="s">
        <v>11464</v>
      </c>
      <c r="E407" s="338"/>
      <c r="F407" s="150"/>
    </row>
    <row r="408" spans="1:6">
      <c r="A408" t="s">
        <v>4611</v>
      </c>
      <c r="B408" s="149" t="s">
        <v>11465</v>
      </c>
      <c r="C408" s="143" t="s">
        <v>8929</v>
      </c>
      <c r="D408" s="516" t="s">
        <v>11466</v>
      </c>
      <c r="E408" s="338"/>
      <c r="F408" s="150"/>
    </row>
    <row r="409" spans="1:6">
      <c r="A409" s="108" t="s">
        <v>3129</v>
      </c>
      <c r="B409" s="186" t="s">
        <v>3109</v>
      </c>
      <c r="C409" s="143" t="s">
        <v>11467</v>
      </c>
      <c r="D409" s="516" t="s">
        <v>11468</v>
      </c>
      <c r="E409" s="338"/>
      <c r="F409" s="150"/>
    </row>
    <row r="410" spans="1:6">
      <c r="A410" s="295" t="s">
        <v>3130</v>
      </c>
      <c r="B410" s="341" t="s">
        <v>3109</v>
      </c>
      <c r="C410" s="143" t="s">
        <v>11469</v>
      </c>
      <c r="D410" s="516" t="s">
        <v>11470</v>
      </c>
      <c r="E410" s="338"/>
      <c r="F410" s="150"/>
    </row>
    <row r="411" spans="1:6">
      <c r="A411" s="520" t="s">
        <v>3131</v>
      </c>
      <c r="B411" s="341" t="s">
        <v>3109</v>
      </c>
      <c r="C411" s="143" t="s">
        <v>11471</v>
      </c>
      <c r="D411" s="516" t="s">
        <v>11472</v>
      </c>
      <c r="E411" s="338"/>
      <c r="F411" s="150"/>
    </row>
    <row r="412" spans="1:6">
      <c r="A412" s="520" t="s">
        <v>11473</v>
      </c>
      <c r="B412" s="341" t="s">
        <v>3109</v>
      </c>
      <c r="C412" s="143"/>
      <c r="D412" s="516" t="s">
        <v>11474</v>
      </c>
      <c r="E412" s="338"/>
      <c r="F412" s="150"/>
    </row>
    <row r="413" spans="1:6">
      <c r="A413" s="520" t="s">
        <v>3132</v>
      </c>
      <c r="B413" s="341" t="s">
        <v>3109</v>
      </c>
      <c r="C413" s="143" t="s">
        <v>8929</v>
      </c>
      <c r="D413" s="516" t="s">
        <v>11475</v>
      </c>
      <c r="E413" s="338"/>
      <c r="F413" s="150"/>
    </row>
    <row r="414" spans="1:6">
      <c r="A414" s="520" t="s">
        <v>3133</v>
      </c>
      <c r="B414" s="341" t="s">
        <v>3109</v>
      </c>
      <c r="C414" s="143" t="s">
        <v>8929</v>
      </c>
      <c r="D414" s="516" t="s">
        <v>11476</v>
      </c>
      <c r="E414" s="338"/>
      <c r="F414" s="150"/>
    </row>
    <row r="415" spans="1:6">
      <c r="A415" s="520" t="s">
        <v>3134</v>
      </c>
      <c r="B415" s="341" t="s">
        <v>3109</v>
      </c>
      <c r="C415" s="143" t="s">
        <v>8929</v>
      </c>
      <c r="D415" s="26" t="s">
        <v>11477</v>
      </c>
      <c r="E415" s="338"/>
      <c r="F415" s="150"/>
    </row>
    <row r="416" spans="1:6">
      <c r="A416" s="295" t="s">
        <v>3135</v>
      </c>
      <c r="B416" s="341" t="s">
        <v>3109</v>
      </c>
      <c r="C416" s="143" t="s">
        <v>11471</v>
      </c>
      <c r="D416" s="515">
        <v>44845</v>
      </c>
      <c r="E416" s="338"/>
      <c r="F416" s="150"/>
    </row>
    <row r="417" spans="1:11">
      <c r="A417" t="s">
        <v>2936</v>
      </c>
      <c r="B417" s="187" t="s">
        <v>11478</v>
      </c>
      <c r="C417" s="143" t="s">
        <v>8929</v>
      </c>
      <c r="D417" s="515">
        <v>44876</v>
      </c>
      <c r="E417" s="338"/>
      <c r="F417" s="150"/>
    </row>
    <row r="418" spans="1:11">
      <c r="A418" s="149" t="s">
        <v>9257</v>
      </c>
      <c r="B418" s="149" t="s">
        <v>11465</v>
      </c>
      <c r="C418" s="143" t="s">
        <v>8929</v>
      </c>
      <c r="D418" s="515">
        <v>44836</v>
      </c>
      <c r="E418" s="338"/>
      <c r="F418" s="150"/>
    </row>
    <row r="419" spans="1:11">
      <c r="A419" s="149" t="s">
        <v>3136</v>
      </c>
      <c r="B419" s="149" t="s">
        <v>11456</v>
      </c>
      <c r="C419" s="143" t="s">
        <v>8929</v>
      </c>
      <c r="D419" s="516" t="s">
        <v>11479</v>
      </c>
      <c r="E419" s="338"/>
      <c r="F419" s="150"/>
    </row>
    <row r="420" spans="1:11">
      <c r="A420" s="149" t="s">
        <v>3137</v>
      </c>
      <c r="B420" s="149" t="s">
        <v>3109</v>
      </c>
      <c r="C420" s="143" t="s">
        <v>8929</v>
      </c>
      <c r="D420" s="515">
        <v>44654</v>
      </c>
      <c r="E420" s="338"/>
      <c r="F420" s="150"/>
    </row>
    <row r="421" spans="1:11">
      <c r="A421" t="s">
        <v>307</v>
      </c>
      <c r="B421" s="149" t="s">
        <v>11394</v>
      </c>
      <c r="C421" s="143" t="s">
        <v>8929</v>
      </c>
      <c r="D421" s="516" t="s">
        <v>11480</v>
      </c>
      <c r="E421" s="338"/>
      <c r="F421" s="150"/>
    </row>
    <row r="422" spans="1:11">
      <c r="A422" s="149" t="s">
        <v>3588</v>
      </c>
      <c r="B422" s="149" t="s">
        <v>11481</v>
      </c>
      <c r="C422" s="143" t="s">
        <v>8929</v>
      </c>
      <c r="D422" s="516" t="s">
        <v>11482</v>
      </c>
      <c r="E422" s="338"/>
      <c r="F422" s="150"/>
    </row>
    <row r="423" spans="1:11">
      <c r="A423" s="149" t="s">
        <v>10116</v>
      </c>
      <c r="B423" s="149" t="s">
        <v>11483</v>
      </c>
      <c r="C423" s="143" t="s">
        <v>8929</v>
      </c>
      <c r="D423" s="516" t="s">
        <v>11484</v>
      </c>
      <c r="E423" s="338"/>
      <c r="F423" s="150"/>
    </row>
    <row r="424" spans="1:11">
      <c r="A424" s="149" t="s">
        <v>3138</v>
      </c>
      <c r="B424" s="149" t="s">
        <v>11485</v>
      </c>
      <c r="C424" s="143" t="s">
        <v>8929</v>
      </c>
      <c r="D424" s="516" t="s">
        <v>11486</v>
      </c>
      <c r="E424" s="338"/>
      <c r="F424" s="150"/>
    </row>
    <row r="425" spans="1:11">
      <c r="A425" s="149" t="s">
        <v>3139</v>
      </c>
      <c r="B425" s="149" t="s">
        <v>11487</v>
      </c>
      <c r="C425" s="143" t="s">
        <v>8929</v>
      </c>
      <c r="D425" s="515">
        <v>44689</v>
      </c>
      <c r="E425" s="338"/>
      <c r="F425" s="150"/>
    </row>
    <row r="426" spans="1:11">
      <c r="A426" s="149" t="s">
        <v>3140</v>
      </c>
      <c r="B426" s="299" t="s">
        <v>11488</v>
      </c>
      <c r="C426" s="143" t="s">
        <v>8929</v>
      </c>
      <c r="D426" s="515">
        <v>44324</v>
      </c>
      <c r="E426" s="338"/>
      <c r="F426" s="150"/>
    </row>
    <row r="427" spans="1:11">
      <c r="A427" s="149" t="s">
        <v>3141</v>
      </c>
      <c r="B427" s="299" t="s">
        <v>11489</v>
      </c>
      <c r="C427" s="143" t="s">
        <v>8929</v>
      </c>
      <c r="D427" s="516" t="s">
        <v>11490</v>
      </c>
      <c r="E427" s="338"/>
      <c r="F427" s="150"/>
    </row>
    <row r="428" spans="1:11">
      <c r="A428" s="149" t="s">
        <v>3142</v>
      </c>
      <c r="B428" s="149" t="s">
        <v>11491</v>
      </c>
      <c r="C428" s="143" t="s">
        <v>8929</v>
      </c>
      <c r="D428" s="516" t="s">
        <v>11492</v>
      </c>
      <c r="E428" s="338"/>
      <c r="F428" s="150"/>
    </row>
    <row r="429" spans="1:11">
      <c r="A429" s="797" t="s">
        <v>2715</v>
      </c>
      <c r="B429" s="797"/>
      <c r="C429" s="797"/>
      <c r="D429" s="797"/>
      <c r="E429" s="797"/>
      <c r="F429" s="797"/>
      <c r="K429" s="466"/>
    </row>
    <row r="430" spans="1:11">
      <c r="A430" s="149" t="s">
        <v>3143</v>
      </c>
      <c r="B430" s="149" t="s">
        <v>11363</v>
      </c>
      <c r="C430" s="143" t="s">
        <v>11493</v>
      </c>
      <c r="D430" s="516" t="s">
        <v>11494</v>
      </c>
      <c r="E430" s="338"/>
      <c r="F430" s="150"/>
    </row>
    <row r="431" spans="1:11">
      <c r="A431" s="149" t="s">
        <v>3144</v>
      </c>
      <c r="B431" s="149" t="s">
        <v>11181</v>
      </c>
      <c r="C431" s="143" t="s">
        <v>11495</v>
      </c>
      <c r="D431" s="515">
        <v>44652</v>
      </c>
      <c r="E431" s="338"/>
      <c r="F431" s="150"/>
    </row>
    <row r="432" spans="1:11">
      <c r="A432" s="149" t="s">
        <v>3145</v>
      </c>
      <c r="B432" s="149" t="s">
        <v>11496</v>
      </c>
      <c r="C432" s="143" t="s">
        <v>11497</v>
      </c>
      <c r="D432" s="516" t="s">
        <v>11498</v>
      </c>
      <c r="E432" s="338"/>
      <c r="F432" s="150"/>
    </row>
    <row r="433" spans="1:11">
      <c r="A433" s="149" t="s">
        <v>3146</v>
      </c>
      <c r="B433" s="149" t="s">
        <v>11499</v>
      </c>
      <c r="C433" s="143" t="s">
        <v>11500</v>
      </c>
      <c r="D433" s="515">
        <v>45174</v>
      </c>
      <c r="E433" s="338"/>
      <c r="F433" s="150"/>
    </row>
    <row r="434" spans="1:11">
      <c r="A434" s="149" t="s">
        <v>3147</v>
      </c>
      <c r="B434" s="149" t="s">
        <v>11501</v>
      </c>
      <c r="C434" s="143" t="s">
        <v>11502</v>
      </c>
      <c r="D434" s="117">
        <v>44322</v>
      </c>
      <c r="E434" s="338"/>
      <c r="F434" s="150"/>
    </row>
    <row r="435" spans="1:11">
      <c r="A435" s="149" t="s">
        <v>5349</v>
      </c>
      <c r="B435" s="149" t="s">
        <v>11503</v>
      </c>
      <c r="C435" s="143" t="s">
        <v>11504</v>
      </c>
      <c r="D435" s="516" t="s">
        <v>11505</v>
      </c>
      <c r="E435" s="338"/>
      <c r="F435" s="150"/>
    </row>
    <row r="436" spans="1:11">
      <c r="A436" s="149" t="s">
        <v>3148</v>
      </c>
      <c r="B436" s="149" t="s">
        <v>11506</v>
      </c>
      <c r="C436" s="143" t="s">
        <v>11504</v>
      </c>
      <c r="D436" s="515">
        <v>44903</v>
      </c>
      <c r="E436" s="338"/>
      <c r="F436" s="150"/>
    </row>
    <row r="437" spans="1:11">
      <c r="A437" s="149" t="s">
        <v>3149</v>
      </c>
      <c r="B437" s="149" t="s">
        <v>11507</v>
      </c>
      <c r="C437" s="143" t="s">
        <v>11508</v>
      </c>
      <c r="D437" s="516" t="s">
        <v>11509</v>
      </c>
      <c r="E437" s="338"/>
      <c r="F437" s="150"/>
    </row>
    <row r="438" spans="1:11">
      <c r="A438" s="149" t="s">
        <v>11510</v>
      </c>
      <c r="B438" s="149" t="s">
        <v>11511</v>
      </c>
      <c r="C438" s="143" t="s">
        <v>11512</v>
      </c>
      <c r="D438" s="515">
        <v>44235</v>
      </c>
      <c r="E438" s="338"/>
      <c r="F438" s="150"/>
    </row>
    <row r="439" spans="1:11">
      <c r="A439" t="s">
        <v>3074</v>
      </c>
      <c r="B439" s="149" t="s">
        <v>11513</v>
      </c>
      <c r="C439" s="143" t="s">
        <v>11514</v>
      </c>
      <c r="D439" s="516" t="s">
        <v>11515</v>
      </c>
      <c r="E439" s="338"/>
      <c r="F439" s="150"/>
    </row>
    <row r="440" spans="1:11">
      <c r="A440" t="s">
        <v>3150</v>
      </c>
      <c r="B440" s="149" t="s">
        <v>11516</v>
      </c>
      <c r="C440" s="143" t="s">
        <v>11517</v>
      </c>
      <c r="D440" s="515">
        <v>44116</v>
      </c>
      <c r="E440" s="338"/>
      <c r="F440" s="150"/>
    </row>
    <row r="441" spans="1:11">
      <c r="A441" s="149" t="s">
        <v>3151</v>
      </c>
      <c r="B441" s="149" t="s">
        <v>11518</v>
      </c>
      <c r="C441" s="143" t="s">
        <v>11519</v>
      </c>
      <c r="D441" s="516" t="s">
        <v>11520</v>
      </c>
      <c r="E441" s="338"/>
      <c r="F441" s="150"/>
    </row>
    <row r="442" spans="1:11">
      <c r="A442" s="149" t="s">
        <v>3152</v>
      </c>
      <c r="B442" s="149" t="s">
        <v>11521</v>
      </c>
      <c r="C442" s="143" t="s">
        <v>11522</v>
      </c>
      <c r="D442" s="516" t="s">
        <v>11523</v>
      </c>
      <c r="E442" s="338"/>
      <c r="F442" s="150"/>
    </row>
    <row r="443" spans="1:11">
      <c r="A443" s="149" t="s">
        <v>3153</v>
      </c>
      <c r="B443" s="149" t="s">
        <v>11524</v>
      </c>
      <c r="C443" s="143" t="s">
        <v>11525</v>
      </c>
      <c r="D443" s="516" t="s">
        <v>11526</v>
      </c>
      <c r="E443" s="338"/>
      <c r="F443" s="150"/>
    </row>
    <row r="444" spans="1:11">
      <c r="A444" s="149" t="s">
        <v>11527</v>
      </c>
      <c r="B444" s="149" t="s">
        <v>11363</v>
      </c>
      <c r="C444" s="143" t="s">
        <v>11528</v>
      </c>
      <c r="D444" s="516" t="s">
        <v>11529</v>
      </c>
      <c r="E444" s="338"/>
      <c r="F444" s="150"/>
    </row>
    <row r="445" spans="1:11">
      <c r="A445" s="149" t="s">
        <v>3154</v>
      </c>
      <c r="B445" s="149" t="s">
        <v>11530</v>
      </c>
      <c r="C445" s="143" t="s">
        <v>11531</v>
      </c>
      <c r="D445" s="516" t="s">
        <v>11532</v>
      </c>
      <c r="E445" s="338"/>
      <c r="F445" s="150"/>
    </row>
    <row r="446" spans="1:11">
      <c r="A446" s="149" t="s">
        <v>3155</v>
      </c>
      <c r="B446" s="149" t="s">
        <v>11533</v>
      </c>
      <c r="C446" s="143" t="s">
        <v>11528</v>
      </c>
      <c r="D446" s="516" t="s">
        <v>10621</v>
      </c>
      <c r="E446" s="338"/>
      <c r="F446" s="150"/>
    </row>
    <row r="447" spans="1:11">
      <c r="A447" s="149" t="s">
        <v>1312</v>
      </c>
      <c r="B447" s="149" t="s">
        <v>11534</v>
      </c>
      <c r="C447" s="143" t="s">
        <v>11519</v>
      </c>
      <c r="D447" s="516" t="s">
        <v>11535</v>
      </c>
      <c r="E447" s="338"/>
      <c r="F447" s="150"/>
    </row>
    <row r="448" spans="1:11">
      <c r="A448" s="797" t="s">
        <v>10719</v>
      </c>
      <c r="B448" s="797"/>
      <c r="C448" s="797"/>
      <c r="D448" s="797"/>
      <c r="E448" s="797"/>
      <c r="F448" s="797"/>
      <c r="K448" s="466"/>
    </row>
    <row r="449" spans="1:6">
      <c r="A449" s="149" t="s">
        <v>5837</v>
      </c>
      <c r="B449" s="149" t="s">
        <v>11536</v>
      </c>
      <c r="C449" s="143" t="s">
        <v>11537</v>
      </c>
      <c r="D449" s="516" t="s">
        <v>11538</v>
      </c>
      <c r="E449" s="338"/>
      <c r="F449" s="150"/>
    </row>
    <row r="450" spans="1:6">
      <c r="A450" s="149" t="s">
        <v>3164</v>
      </c>
      <c r="B450" s="149" t="s">
        <v>11496</v>
      </c>
      <c r="C450" s="143" t="s">
        <v>11519</v>
      </c>
      <c r="D450" s="516" t="s">
        <v>11539</v>
      </c>
      <c r="E450" s="338"/>
      <c r="F450" s="150"/>
    </row>
    <row r="451" spans="1:6">
      <c r="A451" s="149" t="s">
        <v>3157</v>
      </c>
      <c r="B451" s="149" t="s">
        <v>11397</v>
      </c>
      <c r="C451" s="143" t="s">
        <v>11540</v>
      </c>
      <c r="D451" s="516" t="s">
        <v>8381</v>
      </c>
      <c r="E451" s="338"/>
      <c r="F451" s="150"/>
    </row>
    <row r="452" spans="1:6">
      <c r="A452" s="149" t="s">
        <v>3159</v>
      </c>
      <c r="B452" s="149" t="s">
        <v>11541</v>
      </c>
      <c r="C452" s="143" t="s">
        <v>11537</v>
      </c>
      <c r="D452" s="515">
        <v>45234</v>
      </c>
      <c r="E452" s="338"/>
      <c r="F452" s="150"/>
    </row>
    <row r="453" spans="1:6">
      <c r="A453" s="149" t="s">
        <v>3160</v>
      </c>
      <c r="B453" s="149" t="s">
        <v>11542</v>
      </c>
      <c r="C453" s="143" t="s">
        <v>11543</v>
      </c>
      <c r="D453" s="516" t="s">
        <v>11544</v>
      </c>
      <c r="E453" s="338"/>
      <c r="F453" s="150"/>
    </row>
    <row r="454" spans="1:6">
      <c r="A454" s="149" t="s">
        <v>3161</v>
      </c>
      <c r="B454" s="149" t="s">
        <v>11545</v>
      </c>
      <c r="C454" s="143" t="s">
        <v>11546</v>
      </c>
      <c r="D454" s="515">
        <v>44776</v>
      </c>
      <c r="E454" s="338"/>
      <c r="F454" s="150"/>
    </row>
    <row r="455" spans="1:6">
      <c r="A455" s="149" t="s">
        <v>3162</v>
      </c>
      <c r="B455" s="149" t="s">
        <v>11547</v>
      </c>
      <c r="C455" s="143" t="s">
        <v>11548</v>
      </c>
      <c r="D455" s="515">
        <v>44510</v>
      </c>
      <c r="E455" s="338"/>
      <c r="F455" s="150"/>
    </row>
    <row r="456" spans="1:6">
      <c r="A456" s="149" t="s">
        <v>3163</v>
      </c>
      <c r="B456" s="149" t="s">
        <v>11397</v>
      </c>
      <c r="C456" s="143" t="s">
        <v>11537</v>
      </c>
      <c r="D456" s="516" t="s">
        <v>10561</v>
      </c>
      <c r="E456" s="338"/>
      <c r="F456" s="150"/>
    </row>
    <row r="457" spans="1:6">
      <c r="A457" t="s">
        <v>3518</v>
      </c>
      <c r="B457" s="149" t="s">
        <v>11274</v>
      </c>
      <c r="C457" s="143" t="s">
        <v>11549</v>
      </c>
      <c r="D457" s="515">
        <v>44573</v>
      </c>
      <c r="E457" s="338"/>
      <c r="F457" s="150"/>
    </row>
    <row r="458" spans="1:6">
      <c r="A458" t="s">
        <v>3159</v>
      </c>
      <c r="B458" s="149" t="s">
        <v>11550</v>
      </c>
      <c r="C458" s="143" t="s">
        <v>11551</v>
      </c>
      <c r="D458" s="516" t="s">
        <v>11552</v>
      </c>
      <c r="E458" s="338"/>
      <c r="F458" s="150"/>
    </row>
    <row r="459" spans="1:6">
      <c r="A459" s="149" t="s">
        <v>3165</v>
      </c>
      <c r="B459" s="149" t="s">
        <v>11553</v>
      </c>
      <c r="C459" s="143" t="s">
        <v>11551</v>
      </c>
      <c r="D459" s="516" t="s">
        <v>11554</v>
      </c>
      <c r="E459" s="338"/>
      <c r="F459" s="150"/>
    </row>
    <row r="460" spans="1:6">
      <c r="A460" s="149" t="s">
        <v>3166</v>
      </c>
      <c r="B460" s="149" t="s">
        <v>11274</v>
      </c>
      <c r="C460" s="143" t="s">
        <v>11555</v>
      </c>
      <c r="D460" s="516" t="s">
        <v>11556</v>
      </c>
      <c r="E460" s="338"/>
      <c r="F460" s="150"/>
    </row>
    <row r="461" spans="1:6">
      <c r="A461" s="149" t="s">
        <v>3167</v>
      </c>
      <c r="B461" s="149" t="s">
        <v>11542</v>
      </c>
      <c r="C461" s="143" t="s">
        <v>11557</v>
      </c>
      <c r="D461" s="516" t="s">
        <v>10661</v>
      </c>
      <c r="E461" s="338"/>
      <c r="F461" s="150"/>
    </row>
    <row r="462" spans="1:6">
      <c r="A462" s="149" t="s">
        <v>3168</v>
      </c>
      <c r="B462" s="149" t="s">
        <v>11558</v>
      </c>
      <c r="C462" s="143" t="s">
        <v>11559</v>
      </c>
      <c r="D462" s="515">
        <v>45266</v>
      </c>
      <c r="E462" s="338"/>
      <c r="F462" s="150"/>
    </row>
    <row r="463" spans="1:6">
      <c r="A463" t="s">
        <v>1983</v>
      </c>
      <c r="B463" s="149" t="s">
        <v>11560</v>
      </c>
      <c r="C463" s="143" t="s">
        <v>11561</v>
      </c>
      <c r="D463" s="516" t="s">
        <v>11480</v>
      </c>
      <c r="E463" s="338"/>
      <c r="F463" s="150"/>
    </row>
    <row r="464" spans="1:6">
      <c r="A464" s="149" t="s">
        <v>3169</v>
      </c>
      <c r="B464" s="149" t="s">
        <v>3109</v>
      </c>
      <c r="C464" s="143" t="s">
        <v>11562</v>
      </c>
      <c r="D464" s="516" t="s">
        <v>11535</v>
      </c>
      <c r="E464" s="338"/>
      <c r="F464" s="150"/>
    </row>
    <row r="465" spans="1:6">
      <c r="A465" s="149" t="s">
        <v>3170</v>
      </c>
      <c r="B465" s="149" t="s">
        <v>3109</v>
      </c>
      <c r="C465" s="143" t="s">
        <v>11562</v>
      </c>
      <c r="D465" s="516" t="s">
        <v>11539</v>
      </c>
      <c r="E465" s="338"/>
      <c r="F465" s="150"/>
    </row>
    <row r="466" spans="1:6">
      <c r="A466" s="149" t="s">
        <v>3171</v>
      </c>
      <c r="B466" s="149" t="s">
        <v>3109</v>
      </c>
      <c r="C466" s="143" t="s">
        <v>11563</v>
      </c>
      <c r="D466" s="515">
        <v>44746</v>
      </c>
      <c r="E466" s="338"/>
      <c r="F466" s="150"/>
    </row>
    <row r="467" spans="1:6">
      <c r="A467" s="149" t="s">
        <v>3172</v>
      </c>
      <c r="B467" s="149" t="s">
        <v>3109</v>
      </c>
      <c r="C467" s="143" t="s">
        <v>11562</v>
      </c>
      <c r="D467" s="515">
        <v>44876</v>
      </c>
      <c r="E467" s="338"/>
      <c r="F467" s="150"/>
    </row>
    <row r="468" spans="1:6">
      <c r="A468" s="149" t="s">
        <v>3173</v>
      </c>
      <c r="B468" s="149" t="s">
        <v>3109</v>
      </c>
      <c r="C468" s="143" t="s">
        <v>11563</v>
      </c>
      <c r="D468" s="516" t="s">
        <v>11564</v>
      </c>
      <c r="E468" s="338"/>
      <c r="F468" s="150"/>
    </row>
    <row r="469" spans="1:6">
      <c r="A469" s="149" t="s">
        <v>3174</v>
      </c>
      <c r="B469" s="149" t="s">
        <v>3109</v>
      </c>
      <c r="C469" s="143" t="s">
        <v>11563</v>
      </c>
      <c r="D469" s="516" t="s">
        <v>11565</v>
      </c>
      <c r="E469" s="338"/>
      <c r="F469" s="150"/>
    </row>
    <row r="470" spans="1:6">
      <c r="A470" s="149" t="s">
        <v>3175</v>
      </c>
      <c r="B470" s="149" t="s">
        <v>3109</v>
      </c>
      <c r="C470" s="143" t="s">
        <v>11563</v>
      </c>
      <c r="D470" s="516" t="s">
        <v>11566</v>
      </c>
      <c r="E470" s="338"/>
      <c r="F470" s="150"/>
    </row>
    <row r="471" spans="1:6">
      <c r="A471" s="149" t="s">
        <v>3176</v>
      </c>
      <c r="B471" s="149" t="s">
        <v>11567</v>
      </c>
      <c r="C471" s="143" t="s">
        <v>11568</v>
      </c>
      <c r="D471" s="515">
        <v>44843</v>
      </c>
      <c r="E471" s="338"/>
      <c r="F471" s="150"/>
    </row>
    <row r="472" spans="1:6">
      <c r="A472" s="149" t="s">
        <v>3177</v>
      </c>
      <c r="B472" s="149" t="s">
        <v>11569</v>
      </c>
      <c r="C472" s="143" t="s">
        <v>11561</v>
      </c>
      <c r="D472" s="515">
        <v>45052</v>
      </c>
      <c r="E472" s="338"/>
      <c r="F472" s="150"/>
    </row>
    <row r="473" spans="1:6">
      <c r="A473" s="149" t="s">
        <v>3178</v>
      </c>
      <c r="B473" s="149" t="s">
        <v>11570</v>
      </c>
      <c r="C473" s="143" t="s">
        <v>11571</v>
      </c>
      <c r="D473" s="516"/>
      <c r="E473" s="338"/>
      <c r="F473" s="150"/>
    </row>
    <row r="474" spans="1:6">
      <c r="A474" s="810" t="s">
        <v>10756</v>
      </c>
      <c r="B474" s="810"/>
      <c r="C474" s="810"/>
      <c r="D474" s="810"/>
      <c r="E474" s="810"/>
      <c r="F474" s="810"/>
    </row>
    <row r="475" spans="1:6">
      <c r="A475" s="428" t="s">
        <v>11572</v>
      </c>
      <c r="B475" t="s">
        <v>3297</v>
      </c>
      <c r="C475" s="143" t="s">
        <v>11573</v>
      </c>
      <c r="D475" s="516" t="s">
        <v>11574</v>
      </c>
      <c r="E475" s="338"/>
      <c r="F475" s="150"/>
    </row>
    <row r="476" spans="1:6">
      <c r="A476" s="149" t="s">
        <v>3179</v>
      </c>
      <c r="B476" s="149" t="s">
        <v>11575</v>
      </c>
      <c r="C476" s="143" t="s">
        <v>11576</v>
      </c>
      <c r="D476" s="516" t="s">
        <v>10547</v>
      </c>
      <c r="E476" s="338"/>
      <c r="F476" s="150"/>
    </row>
    <row r="477" spans="1:6">
      <c r="A477" s="149" t="s">
        <v>3180</v>
      </c>
      <c r="B477" s="149" t="s">
        <v>11363</v>
      </c>
      <c r="C477" s="143" t="s">
        <v>11577</v>
      </c>
      <c r="D477" s="516" t="s">
        <v>10746</v>
      </c>
      <c r="E477" s="338"/>
      <c r="F477" s="150"/>
    </row>
    <row r="478" spans="1:6">
      <c r="A478" s="149" t="s">
        <v>11578</v>
      </c>
      <c r="B478" s="149" t="s">
        <v>3297</v>
      </c>
      <c r="C478" s="143" t="s">
        <v>11579</v>
      </c>
      <c r="D478" s="516" t="s">
        <v>10715</v>
      </c>
      <c r="E478" s="338"/>
      <c r="F478" s="150"/>
    </row>
    <row r="479" spans="1:6">
      <c r="A479" s="149" t="s">
        <v>3181</v>
      </c>
      <c r="B479" s="149" t="s">
        <v>11580</v>
      </c>
      <c r="C479" s="143" t="s">
        <v>11581</v>
      </c>
      <c r="D479" s="515">
        <v>44116</v>
      </c>
      <c r="E479" s="338"/>
      <c r="F479" s="150"/>
    </row>
    <row r="480" spans="1:6">
      <c r="A480" s="149" t="s">
        <v>3182</v>
      </c>
      <c r="B480" s="149" t="s">
        <v>11582</v>
      </c>
      <c r="C480" s="143" t="s">
        <v>11583</v>
      </c>
      <c r="D480" s="515">
        <v>44477</v>
      </c>
      <c r="E480" s="338"/>
      <c r="F480" s="150"/>
    </row>
    <row r="481" spans="1:6">
      <c r="A481" s="149" t="s">
        <v>3183</v>
      </c>
      <c r="B481" s="149" t="s">
        <v>11584</v>
      </c>
      <c r="C481" s="143" t="s">
        <v>11585</v>
      </c>
      <c r="D481" s="515">
        <v>44747</v>
      </c>
      <c r="E481" s="338"/>
      <c r="F481" s="150"/>
    </row>
    <row r="482" spans="1:6">
      <c r="A482" s="149" t="s">
        <v>3184</v>
      </c>
      <c r="B482" s="149" t="s">
        <v>11586</v>
      </c>
      <c r="C482" s="143" t="s">
        <v>11587</v>
      </c>
      <c r="D482" s="516" t="s">
        <v>11588</v>
      </c>
      <c r="E482" s="338"/>
      <c r="F482" s="150"/>
    </row>
    <row r="483" spans="1:6">
      <c r="A483" s="149" t="s">
        <v>584</v>
      </c>
      <c r="B483" s="192" t="s">
        <v>11589</v>
      </c>
      <c r="C483" s="143" t="s">
        <v>11590</v>
      </c>
      <c r="D483" s="515">
        <v>44116</v>
      </c>
      <c r="E483" s="338"/>
      <c r="F483" s="150"/>
    </row>
    <row r="484" spans="1:6">
      <c r="A484" s="149" t="s">
        <v>3185</v>
      </c>
      <c r="B484" s="149" t="s">
        <v>11591</v>
      </c>
      <c r="C484" s="143" t="s">
        <v>11592</v>
      </c>
      <c r="D484" s="515">
        <v>44899</v>
      </c>
      <c r="E484" s="338"/>
      <c r="F484" s="150"/>
    </row>
    <row r="485" spans="1:6">
      <c r="A485" s="149" t="s">
        <v>3186</v>
      </c>
      <c r="B485" s="149" t="s">
        <v>11547</v>
      </c>
      <c r="C485" s="143" t="s">
        <v>11593</v>
      </c>
      <c r="D485" s="516" t="s">
        <v>11594</v>
      </c>
      <c r="E485" s="338"/>
      <c r="F485" s="150"/>
    </row>
    <row r="486" spans="1:6">
      <c r="A486" s="149" t="s">
        <v>3186</v>
      </c>
      <c r="B486" s="149" t="s">
        <v>11547</v>
      </c>
      <c r="C486" s="143" t="s">
        <v>11593</v>
      </c>
      <c r="D486" s="515">
        <v>44845</v>
      </c>
      <c r="E486" s="338"/>
      <c r="F486" s="150"/>
    </row>
    <row r="487" spans="1:6">
      <c r="A487" t="s">
        <v>10452</v>
      </c>
      <c r="B487" s="149" t="s">
        <v>11595</v>
      </c>
      <c r="C487" s="143" t="s">
        <v>11596</v>
      </c>
      <c r="D487" s="515">
        <v>44907</v>
      </c>
      <c r="E487" s="338"/>
      <c r="F487" s="150"/>
    </row>
    <row r="488" spans="1:6">
      <c r="A488" s="149" t="s">
        <v>3074</v>
      </c>
      <c r="B488" s="149" t="s">
        <v>8915</v>
      </c>
      <c r="C488" s="143" t="s">
        <v>11597</v>
      </c>
      <c r="D488" s="516" t="s">
        <v>11490</v>
      </c>
      <c r="E488" s="338"/>
      <c r="F488" s="150"/>
    </row>
    <row r="489" spans="1:6">
      <c r="A489" s="149" t="s">
        <v>3187</v>
      </c>
      <c r="B489" s="149" t="s">
        <v>11274</v>
      </c>
      <c r="C489" s="143" t="s">
        <v>11598</v>
      </c>
      <c r="D489" s="516" t="s">
        <v>11599</v>
      </c>
      <c r="E489" s="338"/>
      <c r="F489" s="150"/>
    </row>
    <row r="490" spans="1:6">
      <c r="A490" s="149" t="s">
        <v>3188</v>
      </c>
      <c r="B490" s="149" t="s">
        <v>11415</v>
      </c>
      <c r="C490" s="143" t="s">
        <v>11600</v>
      </c>
      <c r="D490" s="515">
        <v>45172</v>
      </c>
      <c r="E490" s="338"/>
      <c r="F490" s="150"/>
    </row>
    <row r="491" spans="1:6">
      <c r="A491" s="149" t="s">
        <v>3189</v>
      </c>
      <c r="B491" s="149" t="s">
        <v>3109</v>
      </c>
      <c r="C491" s="143" t="s">
        <v>11601</v>
      </c>
      <c r="D491" s="516" t="s">
        <v>11602</v>
      </c>
      <c r="E491" s="338"/>
      <c r="F491" s="150"/>
    </row>
    <row r="492" spans="1:6">
      <c r="A492" t="s">
        <v>3190</v>
      </c>
      <c r="B492" s="149" t="s">
        <v>11603</v>
      </c>
      <c r="C492" s="143" t="s">
        <v>11604</v>
      </c>
      <c r="D492" s="516" t="s">
        <v>10615</v>
      </c>
      <c r="E492" s="338"/>
      <c r="F492" s="150"/>
    </row>
    <row r="493" spans="1:6">
      <c r="A493" s="149" t="s">
        <v>3191</v>
      </c>
      <c r="B493" s="149" t="s">
        <v>11605</v>
      </c>
      <c r="C493" s="143" t="s">
        <v>11606</v>
      </c>
      <c r="D493" s="516" t="s">
        <v>11607</v>
      </c>
      <c r="E493" s="338"/>
      <c r="F493" s="150"/>
    </row>
    <row r="494" spans="1:6">
      <c r="A494" s="810" t="s">
        <v>10798</v>
      </c>
      <c r="B494" s="810"/>
      <c r="C494" s="810"/>
      <c r="D494" s="810"/>
      <c r="E494" s="810"/>
      <c r="F494" s="810"/>
    </row>
    <row r="495" spans="1:6">
      <c r="A495" s="149" t="s">
        <v>3846</v>
      </c>
      <c r="B495" s="149" t="s">
        <v>11608</v>
      </c>
      <c r="C495" s="143" t="s">
        <v>11604</v>
      </c>
      <c r="D495" s="516" t="s">
        <v>11480</v>
      </c>
      <c r="E495" s="338"/>
      <c r="F495" s="150"/>
    </row>
    <row r="496" spans="1:6">
      <c r="A496" t="s">
        <v>3192</v>
      </c>
      <c r="B496" s="149" t="s">
        <v>11609</v>
      </c>
      <c r="C496" s="143" t="s">
        <v>11610</v>
      </c>
      <c r="D496" s="515">
        <v>45053</v>
      </c>
      <c r="E496" s="338"/>
      <c r="F496" s="150"/>
    </row>
    <row r="497" spans="1:6">
      <c r="A497" s="149" t="s">
        <v>3193</v>
      </c>
      <c r="B497" s="149" t="s">
        <v>11339</v>
      </c>
      <c r="C497" s="143" t="s">
        <v>11611</v>
      </c>
      <c r="D497" s="516" t="s">
        <v>11612</v>
      </c>
      <c r="E497" s="338"/>
      <c r="F497" s="150"/>
    </row>
    <row r="498" spans="1:6">
      <c r="A498" s="149" t="s">
        <v>3194</v>
      </c>
      <c r="B498" s="149" t="s">
        <v>11613</v>
      </c>
      <c r="C498" s="143" t="s">
        <v>11614</v>
      </c>
      <c r="D498" s="515">
        <v>44836</v>
      </c>
      <c r="E498" s="338"/>
      <c r="F498" s="150"/>
    </row>
    <row r="499" spans="1:6">
      <c r="A499" s="149" t="s">
        <v>4882</v>
      </c>
      <c r="B499" s="149" t="s">
        <v>11615</v>
      </c>
      <c r="C499" s="143" t="s">
        <v>11616</v>
      </c>
      <c r="D499" s="515">
        <v>45206</v>
      </c>
      <c r="E499" s="338"/>
      <c r="F499" s="150"/>
    </row>
    <row r="500" spans="1:6">
      <c r="A500" s="149" t="s">
        <v>11617</v>
      </c>
      <c r="B500" s="149" t="s">
        <v>11618</v>
      </c>
      <c r="C500" s="143" t="s">
        <v>11619</v>
      </c>
      <c r="D500" s="515">
        <v>44409</v>
      </c>
      <c r="E500" s="338"/>
      <c r="F500" s="150"/>
    </row>
    <row r="501" spans="1:6">
      <c r="A501" s="149" t="s">
        <v>3195</v>
      </c>
      <c r="B501" s="149" t="s">
        <v>8915</v>
      </c>
      <c r="C501" s="143" t="s">
        <v>11620</v>
      </c>
      <c r="D501" s="515">
        <v>45070</v>
      </c>
      <c r="E501" s="338"/>
      <c r="F501" s="150"/>
    </row>
    <row r="502" spans="1:6">
      <c r="A502" s="149" t="s">
        <v>3196</v>
      </c>
      <c r="B502" s="149" t="s">
        <v>11621</v>
      </c>
      <c r="C502" s="143" t="s">
        <v>11622</v>
      </c>
      <c r="D502" s="515">
        <v>44152</v>
      </c>
      <c r="E502" s="338"/>
      <c r="F502" s="150"/>
    </row>
    <row r="503" spans="1:6">
      <c r="A503" s="149" t="s">
        <v>3197</v>
      </c>
      <c r="B503" s="149" t="s">
        <v>11623</v>
      </c>
      <c r="C503" s="143" t="s">
        <v>11624</v>
      </c>
      <c r="D503" s="515">
        <v>44489</v>
      </c>
      <c r="E503" s="338"/>
      <c r="F503" s="150"/>
    </row>
    <row r="504" spans="1:6">
      <c r="A504" s="149" t="s">
        <v>3198</v>
      </c>
      <c r="B504" s="149" t="s">
        <v>11625</v>
      </c>
      <c r="C504" s="143" t="s">
        <v>11626</v>
      </c>
      <c r="D504" s="515">
        <v>44191</v>
      </c>
      <c r="E504" s="338"/>
      <c r="F504" s="150"/>
    </row>
    <row r="505" spans="1:6">
      <c r="A505" s="149" t="s">
        <v>5843</v>
      </c>
      <c r="B505" s="149" t="s">
        <v>11627</v>
      </c>
      <c r="C505" s="143" t="s">
        <v>11628</v>
      </c>
      <c r="D505" s="515">
        <v>44915</v>
      </c>
      <c r="E505" s="338"/>
      <c r="F505" s="150"/>
    </row>
    <row r="506" spans="1:6">
      <c r="A506" t="s">
        <v>3199</v>
      </c>
      <c r="B506" s="149" t="s">
        <v>3109</v>
      </c>
      <c r="C506" s="143" t="s">
        <v>11606</v>
      </c>
      <c r="D506" s="515">
        <v>44488</v>
      </c>
      <c r="E506" s="338"/>
      <c r="F506" s="150"/>
    </row>
    <row r="507" spans="1:6">
      <c r="A507" s="149" t="s">
        <v>3200</v>
      </c>
      <c r="B507" s="149" t="s">
        <v>3109</v>
      </c>
      <c r="C507" s="143" t="s">
        <v>11629</v>
      </c>
      <c r="D507" s="515">
        <v>44691</v>
      </c>
      <c r="E507" s="338"/>
      <c r="F507" s="150"/>
    </row>
    <row r="508" spans="1:6">
      <c r="A508" s="149" t="s">
        <v>3201</v>
      </c>
      <c r="B508" s="149" t="s">
        <v>11630</v>
      </c>
      <c r="C508" s="272" t="s">
        <v>11631</v>
      </c>
      <c r="D508" s="515">
        <v>44243</v>
      </c>
      <c r="E508" s="338"/>
      <c r="F508" s="150"/>
    </row>
    <row r="509" spans="1:6">
      <c r="A509" s="149" t="s">
        <v>11632</v>
      </c>
      <c r="B509" s="149" t="s">
        <v>8915</v>
      </c>
      <c r="C509" s="143" t="s">
        <v>11633</v>
      </c>
      <c r="D509" s="515">
        <v>44230</v>
      </c>
      <c r="E509" s="338"/>
      <c r="F509" s="150"/>
    </row>
    <row r="510" spans="1:6">
      <c r="A510" s="149" t="s">
        <v>11634</v>
      </c>
      <c r="B510" s="149" t="s">
        <v>8915</v>
      </c>
      <c r="C510" s="143" t="s">
        <v>11635</v>
      </c>
      <c r="D510" s="515">
        <v>44230</v>
      </c>
      <c r="E510" s="338"/>
      <c r="F510" s="150"/>
    </row>
    <row r="511" spans="1:6" s="591" customFormat="1">
      <c r="A511" s="341" t="s">
        <v>3202</v>
      </c>
      <c r="B511" s="341" t="s">
        <v>3109</v>
      </c>
      <c r="C511" s="91" t="s">
        <v>11636</v>
      </c>
      <c r="D511" s="674">
        <v>44951</v>
      </c>
      <c r="E511" s="675"/>
      <c r="F511" s="676"/>
    </row>
    <row r="512" spans="1:6">
      <c r="A512" t="s">
        <v>3203</v>
      </c>
      <c r="B512" s="149" t="s">
        <v>11637</v>
      </c>
      <c r="C512" s="143" t="s">
        <v>11638</v>
      </c>
      <c r="D512" s="515">
        <v>44460</v>
      </c>
      <c r="E512" s="338"/>
      <c r="F512" s="150"/>
    </row>
    <row r="513" spans="1:6">
      <c r="A513" s="149" t="s">
        <v>3204</v>
      </c>
      <c r="B513" s="149" t="s">
        <v>11621</v>
      </c>
      <c r="C513" s="143" t="s">
        <v>11639</v>
      </c>
      <c r="D513" s="515">
        <v>44456</v>
      </c>
      <c r="E513" s="338"/>
      <c r="F513" s="150"/>
    </row>
    <row r="514" spans="1:6">
      <c r="A514" s="186" t="s">
        <v>3205</v>
      </c>
      <c r="B514" s="186" t="s">
        <v>8915</v>
      </c>
      <c r="C514" s="221" t="s">
        <v>11640</v>
      </c>
      <c r="D514" s="571">
        <v>44824</v>
      </c>
      <c r="E514" s="569"/>
      <c r="F514" s="431"/>
    </row>
    <row r="515" spans="1:6">
      <c r="A515" s="149" t="s">
        <v>3206</v>
      </c>
      <c r="B515" s="149" t="s">
        <v>8915</v>
      </c>
      <c r="C515" s="149" t="s">
        <v>11640</v>
      </c>
      <c r="D515" s="94">
        <v>45141</v>
      </c>
      <c r="E515" s="271"/>
      <c r="F515" s="150"/>
    </row>
    <row r="516" spans="1:6">
      <c r="A516" s="149" t="s">
        <v>3207</v>
      </c>
      <c r="B516" s="149" t="s">
        <v>11641</v>
      </c>
      <c r="C516" s="149" t="s">
        <v>11642</v>
      </c>
      <c r="D516" s="94">
        <v>44743</v>
      </c>
      <c r="E516" s="271"/>
      <c r="F516" s="150"/>
    </row>
    <row r="517" spans="1:6">
      <c r="A517" s="149" t="s">
        <v>11643</v>
      </c>
      <c r="B517" s="149" t="s">
        <v>8915</v>
      </c>
      <c r="C517" s="149" t="s">
        <v>11644</v>
      </c>
      <c r="D517" s="94">
        <v>45113</v>
      </c>
      <c r="E517" s="271"/>
      <c r="F517" s="150"/>
    </row>
    <row r="518" spans="1:6">
      <c r="A518" s="149" t="s">
        <v>11643</v>
      </c>
      <c r="B518" s="149" t="s">
        <v>8915</v>
      </c>
      <c r="C518" s="149" t="s">
        <v>11644</v>
      </c>
      <c r="D518" s="94">
        <v>45113</v>
      </c>
      <c r="E518" s="271"/>
      <c r="F518" s="150"/>
    </row>
    <row r="519" spans="1:6">
      <c r="A519" s="149" t="s">
        <v>3208</v>
      </c>
      <c r="B519" s="149" t="s">
        <v>8915</v>
      </c>
      <c r="C519" s="149" t="s">
        <v>11645</v>
      </c>
      <c r="D519" s="94">
        <v>44445</v>
      </c>
      <c r="E519" s="271"/>
      <c r="F519" s="150"/>
    </row>
    <row r="520" spans="1:6">
      <c r="A520" s="149" t="s">
        <v>3209</v>
      </c>
      <c r="B520" s="149" t="s">
        <v>8915</v>
      </c>
      <c r="C520" s="149" t="s">
        <v>11645</v>
      </c>
      <c r="D520" s="94">
        <v>44510</v>
      </c>
      <c r="E520" s="271"/>
      <c r="F520" s="150"/>
    </row>
    <row r="521" spans="1:6">
      <c r="A521" s="149" t="s">
        <v>3210</v>
      </c>
      <c r="B521" s="149" t="s">
        <v>8915</v>
      </c>
      <c r="C521" s="149" t="s">
        <v>11646</v>
      </c>
      <c r="D521" s="94">
        <v>44743</v>
      </c>
      <c r="E521" s="271"/>
      <c r="F521" s="150"/>
    </row>
    <row r="522" spans="1:6">
      <c r="A522" s="149" t="s">
        <v>3210</v>
      </c>
      <c r="B522" s="149" t="s">
        <v>8915</v>
      </c>
      <c r="C522" s="149" t="s">
        <v>11646</v>
      </c>
      <c r="D522" s="94">
        <v>44743</v>
      </c>
      <c r="E522" s="271"/>
      <c r="F522" s="150"/>
    </row>
    <row r="523" spans="1:6">
      <c r="A523" t="s">
        <v>3211</v>
      </c>
      <c r="B523" s="149" t="s">
        <v>8915</v>
      </c>
      <c r="C523" s="149" t="s">
        <v>11647</v>
      </c>
      <c r="D523" s="94">
        <v>44447</v>
      </c>
      <c r="E523" s="271"/>
      <c r="F523" s="150"/>
    </row>
    <row r="524" spans="1:6">
      <c r="A524" s="149" t="s">
        <v>3212</v>
      </c>
      <c r="B524" s="149" t="s">
        <v>8915</v>
      </c>
      <c r="C524" s="149" t="s">
        <v>11647</v>
      </c>
      <c r="D524" s="94">
        <v>44696</v>
      </c>
      <c r="E524" s="271"/>
      <c r="F524" s="150"/>
    </row>
    <row r="525" spans="1:6">
      <c r="A525" t="s">
        <v>2153</v>
      </c>
      <c r="B525" s="149" t="s">
        <v>11648</v>
      </c>
      <c r="C525" s="149" t="s">
        <v>11647</v>
      </c>
      <c r="D525" s="94">
        <v>44175</v>
      </c>
      <c r="E525" s="271"/>
      <c r="F525" s="271"/>
    </row>
    <row r="526" spans="1:6">
      <c r="A526" s="149" t="s">
        <v>3214</v>
      </c>
      <c r="B526" s="149" t="s">
        <v>11649</v>
      </c>
      <c r="C526" s="107" t="s">
        <v>11650</v>
      </c>
      <c r="D526" s="94">
        <v>44285</v>
      </c>
      <c r="E526" s="271"/>
      <c r="F526" s="271"/>
    </row>
    <row r="527" spans="1:6">
      <c r="A527" s="810" t="s">
        <v>7543</v>
      </c>
      <c r="B527" s="810"/>
      <c r="C527" s="810"/>
      <c r="D527" s="810"/>
      <c r="E527" s="810"/>
      <c r="F527" s="810"/>
    </row>
    <row r="528" spans="1:6">
      <c r="A528" s="192" t="s">
        <v>3215</v>
      </c>
      <c r="B528" s="149" t="s">
        <v>11651</v>
      </c>
      <c r="C528" s="149" t="s">
        <v>11647</v>
      </c>
      <c r="D528" s="94">
        <v>45012</v>
      </c>
      <c r="E528" s="271"/>
      <c r="F528" s="271"/>
    </row>
    <row r="529" spans="1:6">
      <c r="A529" s="149" t="s">
        <v>5668</v>
      </c>
      <c r="B529" s="149" t="s">
        <v>11652</v>
      </c>
      <c r="C529" s="149" t="s">
        <v>11653</v>
      </c>
      <c r="D529" s="94">
        <v>44798</v>
      </c>
      <c r="E529" s="271"/>
      <c r="F529" s="271"/>
    </row>
    <row r="530" spans="1:6">
      <c r="A530" s="149" t="s">
        <v>3216</v>
      </c>
      <c r="B530" s="149" t="s">
        <v>11654</v>
      </c>
      <c r="C530" s="149" t="s">
        <v>11655</v>
      </c>
      <c r="D530" s="117">
        <v>44287</v>
      </c>
      <c r="E530" s="271"/>
      <c r="F530" s="271"/>
    </row>
    <row r="531" spans="1:6">
      <c r="A531" s="149" t="s">
        <v>3217</v>
      </c>
      <c r="B531" s="149" t="s">
        <v>8915</v>
      </c>
      <c r="C531" s="149" t="s">
        <v>11655</v>
      </c>
      <c r="D531" s="94">
        <v>45083</v>
      </c>
      <c r="E531" s="271"/>
      <c r="F531" s="271"/>
    </row>
    <row r="532" spans="1:6">
      <c r="A532" s="149" t="s">
        <v>3217</v>
      </c>
      <c r="B532" s="149" t="s">
        <v>8915</v>
      </c>
      <c r="C532" s="149" t="s">
        <v>11655</v>
      </c>
      <c r="D532" s="94">
        <v>45083</v>
      </c>
      <c r="E532" s="271"/>
      <c r="F532" s="271"/>
    </row>
    <row r="533" spans="1:6">
      <c r="A533" s="149" t="s">
        <v>3598</v>
      </c>
      <c r="B533" s="149" t="s">
        <v>8915</v>
      </c>
      <c r="C533" s="149" t="s">
        <v>11655</v>
      </c>
      <c r="D533" s="94">
        <v>44420</v>
      </c>
      <c r="E533" s="271"/>
      <c r="F533" s="271"/>
    </row>
    <row r="534" spans="1:6">
      <c r="A534" s="149" t="s">
        <v>3598</v>
      </c>
      <c r="B534" s="149" t="s">
        <v>8915</v>
      </c>
      <c r="C534" s="149" t="s">
        <v>11655</v>
      </c>
      <c r="D534" s="94">
        <v>44420</v>
      </c>
      <c r="E534" s="271"/>
      <c r="F534" s="271"/>
    </row>
    <row r="535" spans="1:6">
      <c r="A535" s="149" t="s">
        <v>3218</v>
      </c>
      <c r="B535" s="149" t="s">
        <v>11656</v>
      </c>
      <c r="C535" s="149" t="s">
        <v>11657</v>
      </c>
      <c r="D535" s="94">
        <v>45071</v>
      </c>
      <c r="E535" s="271"/>
      <c r="F535" s="271"/>
    </row>
    <row r="536" spans="1:6">
      <c r="A536" t="s">
        <v>3751</v>
      </c>
      <c r="B536" s="149" t="s">
        <v>8915</v>
      </c>
      <c r="C536" s="149" t="s">
        <v>11657</v>
      </c>
      <c r="D536" s="94">
        <v>45132</v>
      </c>
      <c r="E536" s="271"/>
      <c r="F536" s="271"/>
    </row>
    <row r="537" spans="1:6">
      <c r="A537" t="s">
        <v>3219</v>
      </c>
      <c r="B537" s="149" t="s">
        <v>8915</v>
      </c>
      <c r="C537" s="149" t="s">
        <v>11658</v>
      </c>
      <c r="D537" s="94">
        <v>44944</v>
      </c>
      <c r="E537" s="271"/>
      <c r="F537" s="271"/>
    </row>
    <row r="538" spans="1:6">
      <c r="A538" s="149" t="s">
        <v>2189</v>
      </c>
      <c r="B538" s="149" t="s">
        <v>8915</v>
      </c>
      <c r="C538" s="149" t="s">
        <v>11659</v>
      </c>
      <c r="D538" s="94">
        <v>44214</v>
      </c>
      <c r="E538" s="271"/>
      <c r="F538" s="271"/>
    </row>
    <row r="539" spans="1:6">
      <c r="A539" s="149" t="s">
        <v>3220</v>
      </c>
      <c r="B539" s="149" t="s">
        <v>11660</v>
      </c>
      <c r="C539" s="149" t="s">
        <v>11661</v>
      </c>
      <c r="D539" s="94">
        <v>44305</v>
      </c>
      <c r="E539" s="271"/>
      <c r="F539" s="271"/>
    </row>
    <row r="540" spans="1:6">
      <c r="A540" s="149" t="s">
        <v>3222</v>
      </c>
      <c r="B540" s="149" t="s">
        <v>11662</v>
      </c>
      <c r="C540" s="149" t="s">
        <v>11663</v>
      </c>
      <c r="D540" s="94">
        <v>44209</v>
      </c>
      <c r="E540" s="271"/>
      <c r="F540" s="271"/>
    </row>
    <row r="541" spans="1:6">
      <c r="A541" s="149" t="s">
        <v>3579</v>
      </c>
      <c r="B541" s="149" t="s">
        <v>11664</v>
      </c>
      <c r="C541" s="149" t="s">
        <v>11665</v>
      </c>
      <c r="D541" s="94">
        <v>44452</v>
      </c>
      <c r="E541" s="271"/>
      <c r="F541" s="271"/>
    </row>
    <row r="542" spans="1:6">
      <c r="A542" s="192" t="s">
        <v>10241</v>
      </c>
      <c r="B542" s="149" t="s">
        <v>11394</v>
      </c>
      <c r="C542" s="149" t="s">
        <v>11666</v>
      </c>
      <c r="D542" s="94">
        <v>44627</v>
      </c>
      <c r="E542" s="271"/>
      <c r="F542" s="271"/>
    </row>
    <row r="543" spans="1:6">
      <c r="A543" t="s">
        <v>3223</v>
      </c>
      <c r="B543" s="149" t="s">
        <v>11667</v>
      </c>
      <c r="C543" s="149" t="s">
        <v>11668</v>
      </c>
      <c r="D543" s="94">
        <v>44833</v>
      </c>
      <c r="E543" s="271"/>
      <c r="F543" s="271"/>
    </row>
    <row r="544" spans="1:6">
      <c r="A544" s="149" t="s">
        <v>2888</v>
      </c>
      <c r="B544" s="149" t="s">
        <v>11669</v>
      </c>
      <c r="C544" s="149" t="s">
        <v>11670</v>
      </c>
      <c r="D544" s="94">
        <v>44830</v>
      </c>
      <c r="E544" s="271"/>
      <c r="F544" s="271"/>
    </row>
    <row r="545" spans="1:6">
      <c r="A545" s="192" t="s">
        <v>3224</v>
      </c>
      <c r="B545" s="149" t="s">
        <v>11671</v>
      </c>
      <c r="C545" s="149" t="s">
        <v>11598</v>
      </c>
      <c r="D545" s="94">
        <v>45139</v>
      </c>
      <c r="E545" s="271"/>
      <c r="F545" s="271"/>
    </row>
    <row r="546" spans="1:6">
      <c r="A546" s="810" t="s">
        <v>4357</v>
      </c>
      <c r="B546" s="810"/>
      <c r="C546" s="810"/>
      <c r="D546" s="810"/>
      <c r="E546" s="810"/>
      <c r="F546" s="810"/>
    </row>
    <row r="547" spans="1:6">
      <c r="A547" s="149" t="s">
        <v>3225</v>
      </c>
      <c r="B547" s="149" t="s">
        <v>11672</v>
      </c>
      <c r="C547" s="149" t="s">
        <v>11673</v>
      </c>
      <c r="D547" s="94">
        <v>44185</v>
      </c>
      <c r="E547" s="271"/>
      <c r="F547" s="271"/>
    </row>
    <row r="548" spans="1:6">
      <c r="A548" s="149" t="s">
        <v>10287</v>
      </c>
      <c r="B548" s="149" t="s">
        <v>11674</v>
      </c>
      <c r="C548" s="149" t="s">
        <v>11675</v>
      </c>
      <c r="D548" s="94">
        <v>44715</v>
      </c>
      <c r="E548" s="271"/>
      <c r="F548" s="271"/>
    </row>
    <row r="549" spans="1:6">
      <c r="A549" s="149" t="s">
        <v>11676</v>
      </c>
      <c r="B549" s="149" t="s">
        <v>11677</v>
      </c>
      <c r="C549" s="149" t="s">
        <v>11665</v>
      </c>
      <c r="D549" s="94">
        <v>44482</v>
      </c>
      <c r="E549" s="271"/>
      <c r="F549" s="271"/>
    </row>
    <row r="550" spans="1:6">
      <c r="A550" s="149" t="s">
        <v>3226</v>
      </c>
      <c r="B550" s="149" t="s">
        <v>11678</v>
      </c>
      <c r="C550" s="149" t="s">
        <v>11679</v>
      </c>
      <c r="D550" s="94">
        <v>44602</v>
      </c>
      <c r="E550" s="271"/>
      <c r="F550" s="271"/>
    </row>
    <row r="551" spans="1:6">
      <c r="A551" s="149" t="s">
        <v>3227</v>
      </c>
      <c r="B551" s="149" t="s">
        <v>11680</v>
      </c>
      <c r="C551" s="149" t="s">
        <v>11681</v>
      </c>
      <c r="D551" s="94">
        <v>45184</v>
      </c>
      <c r="E551" s="271"/>
      <c r="F551" s="271"/>
    </row>
    <row r="552" spans="1:6">
      <c r="A552" s="673" t="s">
        <v>3228</v>
      </c>
      <c r="B552" s="149" t="s">
        <v>11682</v>
      </c>
      <c r="C552" s="149" t="s">
        <v>11683</v>
      </c>
      <c r="D552" s="94">
        <v>44970</v>
      </c>
      <c r="E552" s="271"/>
      <c r="F552" s="271"/>
    </row>
    <row r="553" spans="1:6">
      <c r="A553" s="341" t="s">
        <v>2906</v>
      </c>
      <c r="B553" s="149" t="s">
        <v>11682</v>
      </c>
      <c r="C553" s="149" t="s">
        <v>11673</v>
      </c>
      <c r="D553" s="94">
        <v>44152</v>
      </c>
      <c r="E553" s="271"/>
      <c r="F553" s="271"/>
    </row>
    <row r="554" spans="1:6">
      <c r="A554" s="340" t="s">
        <v>3229</v>
      </c>
      <c r="B554" s="149" t="s">
        <v>3109</v>
      </c>
      <c r="C554" s="149" t="s">
        <v>11673</v>
      </c>
      <c r="D554" s="94">
        <v>44464</v>
      </c>
      <c r="E554" s="271"/>
      <c r="F554" s="271"/>
    </row>
    <row r="555" spans="1:6">
      <c r="A555" s="341" t="s">
        <v>3230</v>
      </c>
      <c r="B555" s="149" t="s">
        <v>3109</v>
      </c>
      <c r="C555" s="149" t="s">
        <v>11684</v>
      </c>
      <c r="D555" s="94">
        <v>44488</v>
      </c>
      <c r="E555" s="271"/>
      <c r="F555" s="271"/>
    </row>
    <row r="556" spans="1:6">
      <c r="A556" s="341" t="s">
        <v>3231</v>
      </c>
      <c r="B556" s="149" t="s">
        <v>3109</v>
      </c>
      <c r="C556" s="149" t="s">
        <v>11685</v>
      </c>
      <c r="D556" s="94">
        <v>44573</v>
      </c>
      <c r="E556" s="271"/>
      <c r="F556" s="271"/>
    </row>
    <row r="557" spans="1:6">
      <c r="A557" s="341" t="s">
        <v>3232</v>
      </c>
      <c r="B557" s="149" t="s">
        <v>3109</v>
      </c>
      <c r="C557" s="149" t="s">
        <v>11685</v>
      </c>
      <c r="D557" s="94">
        <v>44890</v>
      </c>
      <c r="E557" s="271"/>
      <c r="F557" s="271"/>
    </row>
    <row r="558" spans="1:6">
      <c r="A558" s="341" t="s">
        <v>3233</v>
      </c>
      <c r="B558" s="149" t="s">
        <v>3109</v>
      </c>
      <c r="C558" s="149" t="s">
        <v>11686</v>
      </c>
      <c r="D558" s="94">
        <v>44833</v>
      </c>
      <c r="E558" s="271"/>
      <c r="F558" s="271"/>
    </row>
    <row r="559" spans="1:6">
      <c r="A559" s="341" t="s">
        <v>3234</v>
      </c>
      <c r="B559" s="149" t="s">
        <v>3109</v>
      </c>
      <c r="C559" s="149" t="s">
        <v>11687</v>
      </c>
      <c r="D559" s="94">
        <v>45005</v>
      </c>
      <c r="E559" s="271"/>
      <c r="F559" s="271"/>
    </row>
    <row r="560" spans="1:6">
      <c r="A560" s="341" t="s">
        <v>3235</v>
      </c>
      <c r="B560" s="149" t="s">
        <v>3109</v>
      </c>
      <c r="C560" s="149" t="s">
        <v>11686</v>
      </c>
      <c r="D560" s="94">
        <v>45005</v>
      </c>
      <c r="E560" s="271"/>
      <c r="F560" s="271"/>
    </row>
    <row r="561" spans="1:6">
      <c r="A561" s="341" t="s">
        <v>10642</v>
      </c>
      <c r="B561" s="149" t="s">
        <v>3109</v>
      </c>
      <c r="C561" s="149" t="s">
        <v>11685</v>
      </c>
      <c r="D561" s="94"/>
      <c r="E561" s="271"/>
      <c r="F561" s="271"/>
    </row>
    <row r="562" spans="1:6">
      <c r="A562" s="341" t="s">
        <v>3236</v>
      </c>
      <c r="B562" s="149" t="s">
        <v>3109</v>
      </c>
      <c r="C562" s="149" t="s">
        <v>11685</v>
      </c>
      <c r="D562" s="94"/>
      <c r="E562" s="271"/>
      <c r="F562" s="271"/>
    </row>
    <row r="563" spans="1:6">
      <c r="A563" s="341" t="s">
        <v>3238</v>
      </c>
      <c r="B563" s="149" t="s">
        <v>3109</v>
      </c>
      <c r="C563" s="149" t="s">
        <v>11688</v>
      </c>
      <c r="D563" s="94">
        <v>44326</v>
      </c>
      <c r="E563" s="271"/>
      <c r="F563" s="271"/>
    </row>
    <row r="564" spans="1:6">
      <c r="A564" s="341" t="s">
        <v>618</v>
      </c>
      <c r="B564" s="149" t="s">
        <v>11689</v>
      </c>
      <c r="C564" s="149" t="s">
        <v>11690</v>
      </c>
      <c r="D564" s="94">
        <v>45005</v>
      </c>
      <c r="E564" s="271"/>
      <c r="F564" s="271"/>
    </row>
    <row r="565" spans="1:6">
      <c r="A565" s="341" t="s">
        <v>3586</v>
      </c>
      <c r="B565" s="149" t="s">
        <v>11691</v>
      </c>
      <c r="C565" s="149" t="s">
        <v>11675</v>
      </c>
      <c r="D565" s="94">
        <v>44781</v>
      </c>
      <c r="E565" s="271"/>
      <c r="F565" s="271"/>
    </row>
    <row r="566" spans="1:6">
      <c r="A566" s="149" t="s">
        <v>3240</v>
      </c>
      <c r="B566" s="149" t="s">
        <v>11692</v>
      </c>
      <c r="C566" s="149" t="s">
        <v>11693</v>
      </c>
      <c r="D566" s="94">
        <v>45043</v>
      </c>
      <c r="E566" s="271"/>
      <c r="F566" s="271"/>
    </row>
    <row r="567" spans="1:6">
      <c r="A567" s="149" t="s">
        <v>3240</v>
      </c>
      <c r="B567" s="149" t="s">
        <v>11692</v>
      </c>
      <c r="C567" s="149" t="s">
        <v>11693</v>
      </c>
      <c r="D567" s="94">
        <v>45043</v>
      </c>
      <c r="E567" s="271"/>
      <c r="F567" s="271"/>
    </row>
    <row r="568" spans="1:6" ht="15.75">
      <c r="A568" s="577" t="s">
        <v>3241</v>
      </c>
      <c r="B568" s="149" t="s">
        <v>11694</v>
      </c>
      <c r="C568" s="340" t="s">
        <v>11695</v>
      </c>
      <c r="D568" s="94">
        <v>44848</v>
      </c>
      <c r="E568" s="271"/>
      <c r="F568" s="271"/>
    </row>
    <row r="569" spans="1:6">
      <c r="A569" s="149" t="s">
        <v>3242</v>
      </c>
      <c r="B569" s="149" t="s">
        <v>11696</v>
      </c>
      <c r="C569" s="340" t="s">
        <v>11697</v>
      </c>
      <c r="D569" s="94">
        <v>44176</v>
      </c>
      <c r="E569" s="271"/>
      <c r="F569" s="271"/>
    </row>
    <row r="570" spans="1:6">
      <c r="A570" s="149" t="s">
        <v>3243</v>
      </c>
      <c r="B570" s="149" t="s">
        <v>11698</v>
      </c>
      <c r="C570" s="149" t="s">
        <v>11699</v>
      </c>
      <c r="D570" s="94">
        <v>44439</v>
      </c>
      <c r="E570" s="271"/>
      <c r="F570" s="271"/>
    </row>
    <row r="571" spans="1:6">
      <c r="A571" s="149" t="s">
        <v>3244</v>
      </c>
      <c r="B571" s="149" t="s">
        <v>11700</v>
      </c>
      <c r="C571" s="149" t="s">
        <v>11699</v>
      </c>
      <c r="D571" s="94">
        <v>44485</v>
      </c>
      <c r="E571" s="271"/>
      <c r="F571" s="271"/>
    </row>
    <row r="572" spans="1:6">
      <c r="A572" s="186" t="s">
        <v>3245</v>
      </c>
      <c r="B572" s="186" t="s">
        <v>11701</v>
      </c>
      <c r="C572" s="149" t="s">
        <v>11702</v>
      </c>
      <c r="D572" s="94">
        <v>44313</v>
      </c>
      <c r="E572" s="271"/>
      <c r="F572" s="271"/>
    </row>
    <row r="573" spans="1:6">
      <c r="A573" s="149" t="s">
        <v>3246</v>
      </c>
      <c r="B573" s="149" t="s">
        <v>11703</v>
      </c>
      <c r="C573" s="185" t="s">
        <v>11704</v>
      </c>
      <c r="D573" s="94">
        <v>44716</v>
      </c>
      <c r="E573" s="271"/>
      <c r="F573" s="271"/>
    </row>
    <row r="574" spans="1:6">
      <c r="A574" s="149" t="s">
        <v>9721</v>
      </c>
      <c r="B574" s="149" t="s">
        <v>11705</v>
      </c>
      <c r="C574" s="185" t="s">
        <v>11706</v>
      </c>
      <c r="D574" s="94">
        <v>44242</v>
      </c>
      <c r="E574" s="271"/>
      <c r="F574" s="271"/>
    </row>
    <row r="575" spans="1:6">
      <c r="A575" s="149" t="s">
        <v>3247</v>
      </c>
      <c r="B575" s="149" t="s">
        <v>11707</v>
      </c>
      <c r="C575" s="185" t="s">
        <v>11708</v>
      </c>
      <c r="D575" s="94">
        <v>44524</v>
      </c>
      <c r="E575" s="271"/>
      <c r="F575" s="271"/>
    </row>
    <row r="576" spans="1:6" ht="15.75">
      <c r="A576" s="580" t="s">
        <v>3248</v>
      </c>
      <c r="B576" s="149" t="s">
        <v>11709</v>
      </c>
      <c r="C576" s="185" t="s">
        <v>11704</v>
      </c>
      <c r="D576" s="94">
        <v>44524</v>
      </c>
      <c r="E576" s="271"/>
      <c r="F576" s="271"/>
    </row>
    <row r="577" spans="1:6" ht="15.75">
      <c r="A577" s="588" t="s">
        <v>3249</v>
      </c>
      <c r="B577" s="149" t="s">
        <v>11710</v>
      </c>
      <c r="C577" s="185" t="s">
        <v>11711</v>
      </c>
      <c r="D577" s="94">
        <v>44135</v>
      </c>
      <c r="E577" s="271"/>
      <c r="F577" s="271"/>
    </row>
    <row r="578" spans="1:6">
      <c r="A578" s="149" t="s">
        <v>10178</v>
      </c>
      <c r="B578" s="149" t="s">
        <v>11712</v>
      </c>
      <c r="C578" s="185" t="s">
        <v>11713</v>
      </c>
      <c r="D578" s="94">
        <v>44524</v>
      </c>
      <c r="E578" s="271"/>
      <c r="F578" s="271"/>
    </row>
    <row r="579" spans="1:6">
      <c r="A579" t="s">
        <v>3250</v>
      </c>
      <c r="B579" s="187" t="s">
        <v>11714</v>
      </c>
      <c r="C579" s="149" t="s">
        <v>11686</v>
      </c>
      <c r="D579" s="94">
        <v>44746</v>
      </c>
      <c r="E579" s="271"/>
      <c r="F579" s="271"/>
    </row>
    <row r="580" spans="1:6">
      <c r="A580" s="149" t="s">
        <v>2846</v>
      </c>
      <c r="B580" s="149" t="s">
        <v>11715</v>
      </c>
      <c r="C580" s="149" t="s">
        <v>11686</v>
      </c>
      <c r="D580" s="94">
        <v>45013</v>
      </c>
      <c r="E580" s="271"/>
      <c r="F580" s="271"/>
    </row>
    <row r="581" spans="1:6">
      <c r="A581" s="149" t="s">
        <v>3251</v>
      </c>
      <c r="B581" s="149" t="s">
        <v>11716</v>
      </c>
      <c r="C581" s="149" t="s">
        <v>11686</v>
      </c>
      <c r="D581" s="94">
        <v>44484</v>
      </c>
      <c r="E581" s="271"/>
      <c r="F581" s="271"/>
    </row>
    <row r="582" spans="1:6">
      <c r="A582" s="149" t="s">
        <v>3086</v>
      </c>
      <c r="B582" s="149" t="s">
        <v>11717</v>
      </c>
      <c r="C582" s="149" t="s">
        <v>11718</v>
      </c>
      <c r="D582" s="94">
        <v>45139</v>
      </c>
      <c r="E582" s="271"/>
      <c r="F582" s="271"/>
    </row>
    <row r="583" spans="1:6">
      <c r="A583" t="s">
        <v>2275</v>
      </c>
      <c r="B583" s="149" t="s">
        <v>11719</v>
      </c>
      <c r="C583" s="149" t="s">
        <v>11720</v>
      </c>
      <c r="D583" s="94">
        <v>44175</v>
      </c>
      <c r="E583" s="271"/>
      <c r="F583" s="271"/>
    </row>
    <row r="584" spans="1:6">
      <c r="A584" s="810" t="s">
        <v>8910</v>
      </c>
      <c r="B584" s="810"/>
      <c r="C584" s="810"/>
      <c r="D584" s="810"/>
      <c r="E584" s="810"/>
      <c r="F584" s="810"/>
    </row>
    <row r="585" spans="1:6">
      <c r="A585" s="192" t="s">
        <v>3253</v>
      </c>
      <c r="B585" s="149" t="s">
        <v>11186</v>
      </c>
      <c r="C585" s="149" t="s">
        <v>11721</v>
      </c>
      <c r="D585" s="20" t="s">
        <v>10613</v>
      </c>
      <c r="E585" s="271"/>
      <c r="F585" s="271"/>
    </row>
    <row r="586" spans="1:6">
      <c r="A586" s="677" t="s">
        <v>3254</v>
      </c>
      <c r="B586" s="149" t="s">
        <v>3109</v>
      </c>
      <c r="C586" s="149" t="s">
        <v>11722</v>
      </c>
      <c r="D586" s="94">
        <v>44572</v>
      </c>
      <c r="E586" s="271"/>
      <c r="F586" s="271"/>
    </row>
    <row r="587" spans="1:6">
      <c r="A587" s="677" t="s">
        <v>11723</v>
      </c>
      <c r="B587" s="149" t="s">
        <v>3109</v>
      </c>
      <c r="C587" s="149" t="s">
        <v>11688</v>
      </c>
      <c r="D587" s="20" t="s">
        <v>11556</v>
      </c>
      <c r="E587" s="271"/>
      <c r="F587" s="271"/>
    </row>
    <row r="588" spans="1:6">
      <c r="A588" s="677" t="s">
        <v>11724</v>
      </c>
      <c r="B588" s="149" t="s">
        <v>3109</v>
      </c>
      <c r="C588" s="149" t="s">
        <v>11725</v>
      </c>
      <c r="D588" s="20" t="s">
        <v>10507</v>
      </c>
      <c r="E588" s="271"/>
      <c r="F588" s="271"/>
    </row>
    <row r="589" spans="1:6">
      <c r="A589" s="677" t="s">
        <v>3257</v>
      </c>
      <c r="B589" s="149" t="s">
        <v>3109</v>
      </c>
      <c r="C589" s="149" t="s">
        <v>11685</v>
      </c>
      <c r="D589" s="20" t="s">
        <v>10507</v>
      </c>
      <c r="E589" s="271"/>
      <c r="F589" s="271"/>
    </row>
    <row r="590" spans="1:6" s="591" customFormat="1">
      <c r="A590" s="677" t="s">
        <v>3259</v>
      </c>
      <c r="B590" s="341" t="s">
        <v>3109</v>
      </c>
      <c r="C590" s="341" t="s">
        <v>11726</v>
      </c>
      <c r="D590" s="678">
        <v>44903</v>
      </c>
      <c r="E590" s="679"/>
      <c r="F590" s="679"/>
    </row>
    <row r="591" spans="1:6">
      <c r="A591" s="677" t="s">
        <v>3260</v>
      </c>
      <c r="B591" s="149" t="s">
        <v>3109</v>
      </c>
      <c r="C591" s="149" t="s">
        <v>11727</v>
      </c>
      <c r="D591" s="94">
        <v>44903</v>
      </c>
      <c r="E591" s="592"/>
      <c r="F591" s="271"/>
    </row>
    <row r="592" spans="1:6">
      <c r="A592" s="677" t="s">
        <v>3261</v>
      </c>
      <c r="B592" s="149" t="s">
        <v>3109</v>
      </c>
      <c r="C592" s="149" t="s">
        <v>11727</v>
      </c>
      <c r="D592" s="20" t="s">
        <v>11728</v>
      </c>
      <c r="E592" s="592"/>
      <c r="F592" s="271"/>
    </row>
    <row r="593" spans="1:6">
      <c r="A593" s="677" t="s">
        <v>3262</v>
      </c>
      <c r="B593" s="149" t="s">
        <v>3109</v>
      </c>
      <c r="C593" s="149" t="s">
        <v>11729</v>
      </c>
      <c r="D593" s="94">
        <v>44782</v>
      </c>
      <c r="E593" s="592"/>
      <c r="F593" s="271"/>
    </row>
    <row r="594" spans="1:6">
      <c r="A594" s="677" t="s">
        <v>3264</v>
      </c>
      <c r="B594" s="149" t="s">
        <v>3109</v>
      </c>
      <c r="C594" s="149" t="s">
        <v>11730</v>
      </c>
      <c r="D594" s="94">
        <v>45202</v>
      </c>
    </row>
    <row r="595" spans="1:6">
      <c r="A595" s="677" t="s">
        <v>3265</v>
      </c>
      <c r="B595" s="149" t="s">
        <v>3109</v>
      </c>
      <c r="C595" s="149" t="s">
        <v>11731</v>
      </c>
      <c r="D595" s="94">
        <v>44816</v>
      </c>
    </row>
    <row r="596" spans="1:6" ht="14.25" customHeight="1">
      <c r="A596" s="677" t="s">
        <v>3266</v>
      </c>
      <c r="B596" s="149" t="s">
        <v>3109</v>
      </c>
      <c r="C596" s="149" t="s">
        <v>11732</v>
      </c>
      <c r="D596" s="20" t="s">
        <v>11733</v>
      </c>
    </row>
    <row r="597" spans="1:6">
      <c r="A597" s="677" t="s">
        <v>3267</v>
      </c>
      <c r="B597" s="149" t="s">
        <v>3109</v>
      </c>
      <c r="C597" s="149" t="s">
        <v>11734</v>
      </c>
      <c r="D597" s="20" t="s">
        <v>11735</v>
      </c>
    </row>
    <row r="598" spans="1:6">
      <c r="A598" s="677" t="s">
        <v>3268</v>
      </c>
      <c r="B598" s="149" t="s">
        <v>3109</v>
      </c>
      <c r="C598" s="149" t="s">
        <v>11736</v>
      </c>
      <c r="D598" s="20" t="s">
        <v>11737</v>
      </c>
    </row>
    <row r="599" spans="1:6">
      <c r="A599" s="677" t="s">
        <v>3269</v>
      </c>
      <c r="B599" s="149" t="s">
        <v>3109</v>
      </c>
      <c r="C599" s="149" t="s">
        <v>11738</v>
      </c>
      <c r="D599" s="20" t="s">
        <v>11739</v>
      </c>
    </row>
    <row r="600" spans="1:6">
      <c r="A600" s="677" t="s">
        <v>3270</v>
      </c>
      <c r="B600" s="149" t="s">
        <v>3109</v>
      </c>
      <c r="C600" s="149" t="s">
        <v>11740</v>
      </c>
      <c r="D600" s="20" t="s">
        <v>10561</v>
      </c>
    </row>
    <row r="601" spans="1:6">
      <c r="A601" s="677" t="s">
        <v>3271</v>
      </c>
      <c r="B601" s="149" t="s">
        <v>3109</v>
      </c>
      <c r="C601" s="149" t="s">
        <v>11741</v>
      </c>
      <c r="D601" s="20" t="s">
        <v>10561</v>
      </c>
    </row>
    <row r="602" spans="1:6" s="22" customFormat="1">
      <c r="A602" s="677" t="s">
        <v>3272</v>
      </c>
      <c r="B602" s="192" t="s">
        <v>3109</v>
      </c>
      <c r="C602" s="192" t="s">
        <v>11742</v>
      </c>
      <c r="D602" s="646" t="s">
        <v>10731</v>
      </c>
      <c r="E602" s="647"/>
      <c r="F602" s="647"/>
    </row>
    <row r="603" spans="1:6">
      <c r="A603" s="677" t="s">
        <v>3273</v>
      </c>
      <c r="B603" s="149" t="s">
        <v>3109</v>
      </c>
      <c r="C603" s="149" t="s">
        <v>11743</v>
      </c>
      <c r="D603" s="20" t="s">
        <v>10617</v>
      </c>
    </row>
    <row r="604" spans="1:6">
      <c r="A604" s="677" t="s">
        <v>3274</v>
      </c>
      <c r="B604" s="149" t="s">
        <v>3109</v>
      </c>
      <c r="C604" s="149" t="s">
        <v>11743</v>
      </c>
      <c r="D604" s="94">
        <v>44447</v>
      </c>
    </row>
    <row r="605" spans="1:6">
      <c r="A605" s="677" t="s">
        <v>3275</v>
      </c>
      <c r="B605" s="149" t="s">
        <v>3109</v>
      </c>
      <c r="C605" s="149" t="s">
        <v>11744</v>
      </c>
      <c r="D605" s="20" t="s">
        <v>11745</v>
      </c>
    </row>
    <row r="606" spans="1:6">
      <c r="A606" s="677" t="s">
        <v>3276</v>
      </c>
      <c r="B606" s="149" t="s">
        <v>3109</v>
      </c>
      <c r="C606" s="149" t="s">
        <v>11746</v>
      </c>
      <c r="D606" s="94">
        <v>45109</v>
      </c>
    </row>
    <row r="607" spans="1:6">
      <c r="A607" s="677" t="s">
        <v>3277</v>
      </c>
      <c r="B607" s="149" t="s">
        <v>3109</v>
      </c>
      <c r="C607" s="149" t="s">
        <v>11743</v>
      </c>
      <c r="D607" s="94">
        <v>44200</v>
      </c>
    </row>
    <row r="608" spans="1:6">
      <c r="A608" t="s">
        <v>3278</v>
      </c>
      <c r="B608" t="s">
        <v>3109</v>
      </c>
      <c r="C608" t="s">
        <v>11747</v>
      </c>
      <c r="D608" s="26" t="s">
        <v>10753</v>
      </c>
    </row>
    <row r="609" spans="1:6" s="22" customFormat="1">
      <c r="A609" s="677" t="s">
        <v>3280</v>
      </c>
      <c r="B609" s="192" t="s">
        <v>3109</v>
      </c>
      <c r="C609" s="192" t="s">
        <v>11742</v>
      </c>
      <c r="D609" s="648">
        <v>44505</v>
      </c>
      <c r="E609" s="647"/>
      <c r="F609" s="647"/>
    </row>
    <row r="610" spans="1:6" s="22" customFormat="1">
      <c r="A610" s="677" t="s">
        <v>3281</v>
      </c>
      <c r="B610" s="192" t="s">
        <v>3109</v>
      </c>
      <c r="C610" s="192" t="s">
        <v>11742</v>
      </c>
      <c r="D610" s="646" t="s">
        <v>7345</v>
      </c>
      <c r="E610" s="647"/>
      <c r="F610" s="647"/>
    </row>
    <row r="611" spans="1:6" s="22" customFormat="1">
      <c r="A611" s="677" t="s">
        <v>3282</v>
      </c>
      <c r="B611" s="192" t="s">
        <v>3109</v>
      </c>
      <c r="C611" s="192" t="s">
        <v>11742</v>
      </c>
      <c r="D611" s="648">
        <v>45024</v>
      </c>
      <c r="E611" s="647"/>
      <c r="F611" s="647"/>
    </row>
    <row r="612" spans="1:6" s="22" customFormat="1">
      <c r="A612" s="677" t="s">
        <v>3283</v>
      </c>
      <c r="B612" s="192" t="s">
        <v>3109</v>
      </c>
      <c r="C612" s="192" t="s">
        <v>11742</v>
      </c>
      <c r="D612" s="646" t="s">
        <v>10658</v>
      </c>
      <c r="E612" s="647"/>
      <c r="F612" s="647"/>
    </row>
    <row r="613" spans="1:6" s="22" customFormat="1">
      <c r="A613" s="677" t="s">
        <v>3284</v>
      </c>
      <c r="B613" s="192" t="s">
        <v>3109</v>
      </c>
      <c r="C613" s="192" t="s">
        <v>11748</v>
      </c>
      <c r="D613" s="646"/>
      <c r="E613" s="647"/>
      <c r="F613" s="647"/>
    </row>
    <row r="614" spans="1:6">
      <c r="A614" s="677" t="s">
        <v>3285</v>
      </c>
      <c r="B614" s="149" t="s">
        <v>3109</v>
      </c>
      <c r="C614" s="149" t="s">
        <v>11749</v>
      </c>
      <c r="D614" s="94">
        <v>45115</v>
      </c>
    </row>
    <row r="615" spans="1:6">
      <c r="A615" s="680" t="s">
        <v>3286</v>
      </c>
      <c r="B615" s="149" t="s">
        <v>3109</v>
      </c>
      <c r="C615" s="149" t="s">
        <v>11750</v>
      </c>
      <c r="D615" s="20" t="s">
        <v>11751</v>
      </c>
    </row>
    <row r="616" spans="1:6">
      <c r="A616" s="192" t="s">
        <v>3287</v>
      </c>
      <c r="B616" t="s">
        <v>3109</v>
      </c>
      <c r="C616" s="149" t="s">
        <v>11721</v>
      </c>
      <c r="D616" s="20" t="s">
        <v>11752</v>
      </c>
    </row>
    <row r="617" spans="1:6">
      <c r="A617" s="269" t="s">
        <v>5886</v>
      </c>
      <c r="B617" s="199" t="s">
        <v>3109</v>
      </c>
      <c r="C617" s="149" t="s">
        <v>11743</v>
      </c>
      <c r="D617" s="94">
        <v>45172</v>
      </c>
    </row>
    <row r="618" spans="1:6">
      <c r="A618" s="681" t="s">
        <v>5229</v>
      </c>
      <c r="B618" s="149" t="s">
        <v>11753</v>
      </c>
      <c r="C618" s="185" t="s">
        <v>11727</v>
      </c>
      <c r="D618" s="20" t="s">
        <v>11754</v>
      </c>
    </row>
    <row r="619" spans="1:6">
      <c r="A619" s="681" t="s">
        <v>3288</v>
      </c>
      <c r="B619" s="149" t="s">
        <v>11755</v>
      </c>
      <c r="C619" s="149" t="s">
        <v>11756</v>
      </c>
      <c r="D619" s="94">
        <v>44903</v>
      </c>
    </row>
    <row r="620" spans="1:6">
      <c r="A620" s="149" t="s">
        <v>3289</v>
      </c>
      <c r="B620" s="149" t="s">
        <v>11302</v>
      </c>
      <c r="C620" t="s">
        <v>11757</v>
      </c>
      <c r="D620" s="26" t="s">
        <v>11758</v>
      </c>
    </row>
    <row r="621" spans="1:6">
      <c r="A621" s="673" t="s">
        <v>3290</v>
      </c>
      <c r="B621" s="149" t="s">
        <v>11759</v>
      </c>
      <c r="C621" s="185" t="s">
        <v>11760</v>
      </c>
      <c r="D621" s="94">
        <v>45081</v>
      </c>
    </row>
    <row r="622" spans="1:6">
      <c r="A622" s="149" t="s">
        <v>692</v>
      </c>
      <c r="B622" s="149" t="s">
        <v>11761</v>
      </c>
      <c r="C622" s="185" t="s">
        <v>11762</v>
      </c>
      <c r="D622" s="20" t="s">
        <v>4348</v>
      </c>
    </row>
    <row r="623" spans="1:6">
      <c r="A623" s="673" t="s">
        <v>3291</v>
      </c>
      <c r="B623" s="149" t="s">
        <v>11763</v>
      </c>
      <c r="C623" s="185" t="s">
        <v>11764</v>
      </c>
      <c r="D623" s="20" t="s">
        <v>11538</v>
      </c>
    </row>
    <row r="624" spans="1:6">
      <c r="A624" s="149" t="s">
        <v>3869</v>
      </c>
      <c r="B624" s="149" t="s">
        <v>11765</v>
      </c>
      <c r="C624" s="185" t="s">
        <v>11766</v>
      </c>
      <c r="D624" s="20" t="s">
        <v>11526</v>
      </c>
    </row>
    <row r="625" spans="1:6">
      <c r="A625" s="673" t="s">
        <v>3292</v>
      </c>
      <c r="B625" s="187" t="s">
        <v>11767</v>
      </c>
      <c r="C625" s="149" t="s">
        <v>11768</v>
      </c>
      <c r="D625" s="94">
        <v>45172</v>
      </c>
    </row>
    <row r="626" spans="1:6">
      <c r="A626" s="149" t="s">
        <v>3886</v>
      </c>
      <c r="B626" s="149" t="s">
        <v>11769</v>
      </c>
      <c r="C626" s="149" t="s">
        <v>11770</v>
      </c>
      <c r="D626" s="20" t="s">
        <v>11451</v>
      </c>
    </row>
    <row r="627" spans="1:6">
      <c r="A627" s="192" t="s">
        <v>3293</v>
      </c>
      <c r="B627" s="149" t="s">
        <v>11771</v>
      </c>
      <c r="C627" s="149" t="s">
        <v>11736</v>
      </c>
      <c r="D627" s="94">
        <v>45235</v>
      </c>
    </row>
    <row r="628" spans="1:6">
      <c r="A628" s="149" t="s">
        <v>1623</v>
      </c>
      <c r="B628" s="149" t="s">
        <v>11772</v>
      </c>
      <c r="C628" s="149" t="s">
        <v>11773</v>
      </c>
      <c r="D628" s="20" t="s">
        <v>11774</v>
      </c>
    </row>
    <row r="629" spans="1:6">
      <c r="A629" s="149" t="s">
        <v>3294</v>
      </c>
      <c r="B629" s="187" t="s">
        <v>11767</v>
      </c>
      <c r="C629" s="149" t="s">
        <v>11768</v>
      </c>
      <c r="D629" s="20" t="s">
        <v>11774</v>
      </c>
    </row>
    <row r="630" spans="1:6">
      <c r="A630" s="673" t="s">
        <v>3295</v>
      </c>
      <c r="B630" s="149" t="s">
        <v>11775</v>
      </c>
      <c r="C630" s="149" t="s">
        <v>11756</v>
      </c>
      <c r="D630" s="20" t="s">
        <v>7489</v>
      </c>
    </row>
    <row r="631" spans="1:6">
      <c r="A631" s="149" t="s">
        <v>4882</v>
      </c>
      <c r="B631" s="149" t="s">
        <v>11776</v>
      </c>
      <c r="C631" s="149" t="s">
        <v>11773</v>
      </c>
      <c r="D631" s="20" t="s">
        <v>11777</v>
      </c>
    </row>
    <row r="632" spans="1:6">
      <c r="A632" s="810" t="s">
        <v>7628</v>
      </c>
      <c r="B632" s="810"/>
      <c r="C632" s="810"/>
      <c r="D632" s="810"/>
      <c r="E632" s="810"/>
      <c r="F632" s="810"/>
    </row>
    <row r="633" spans="1:6">
      <c r="A633" s="192" t="s">
        <v>3296</v>
      </c>
      <c r="B633" s="149" t="s">
        <v>11778</v>
      </c>
      <c r="C633" s="149" t="s">
        <v>11779</v>
      </c>
      <c r="D633" s="94">
        <v>44572</v>
      </c>
    </row>
    <row r="634" spans="1:6">
      <c r="A634" s="192" t="s">
        <v>3298</v>
      </c>
      <c r="B634" s="149" t="s">
        <v>11780</v>
      </c>
      <c r="C634" s="149" t="s">
        <v>11781</v>
      </c>
      <c r="D634" s="20" t="s">
        <v>10767</v>
      </c>
    </row>
    <row r="635" spans="1:6">
      <c r="A635" s="192" t="s">
        <v>3299</v>
      </c>
      <c r="B635" s="149" t="s">
        <v>11302</v>
      </c>
      <c r="C635" s="149" t="s">
        <v>11781</v>
      </c>
      <c r="D635" s="94">
        <v>44116</v>
      </c>
    </row>
    <row r="636" spans="1:6">
      <c r="A636" s="192" t="s">
        <v>11782</v>
      </c>
      <c r="B636" s="149" t="s">
        <v>11302</v>
      </c>
      <c r="C636" s="149" t="s">
        <v>11783</v>
      </c>
      <c r="D636" s="94">
        <v>43901</v>
      </c>
    </row>
    <row r="637" spans="1:6">
      <c r="A637" s="192" t="s">
        <v>11784</v>
      </c>
      <c r="B637" s="149" t="s">
        <v>11302</v>
      </c>
      <c r="C637" s="340" t="s">
        <v>11785</v>
      </c>
      <c r="D637" s="20" t="s">
        <v>11786</v>
      </c>
    </row>
    <row r="638" spans="1:6">
      <c r="A638" s="192" t="s">
        <v>3300</v>
      </c>
      <c r="B638" s="149" t="s">
        <v>11698</v>
      </c>
      <c r="C638" t="s">
        <v>11787</v>
      </c>
      <c r="D638" s="94" t="s">
        <v>10789</v>
      </c>
    </row>
    <row r="639" spans="1:6">
      <c r="A639" s="682" t="s">
        <v>3301</v>
      </c>
      <c r="B639" s="149" t="s">
        <v>11698</v>
      </c>
      <c r="C639" s="149" t="s">
        <v>11788</v>
      </c>
      <c r="D639" s="20" t="s">
        <v>7435</v>
      </c>
    </row>
    <row r="640" spans="1:6">
      <c r="A640" s="192" t="s">
        <v>3302</v>
      </c>
      <c r="B640" s="149" t="s">
        <v>4097</v>
      </c>
      <c r="C640" s="149" t="s">
        <v>11789</v>
      </c>
      <c r="D640" s="20" t="s">
        <v>11790</v>
      </c>
    </row>
    <row r="641" spans="1:6" ht="15.75">
      <c r="A641" s="639" t="s">
        <v>3303</v>
      </c>
      <c r="B641" s="186" t="s">
        <v>11791</v>
      </c>
      <c r="C641" s="149" t="s">
        <v>11792</v>
      </c>
      <c r="D641" s="94">
        <v>45266</v>
      </c>
    </row>
    <row r="642" spans="1:6">
      <c r="A642" s="192" t="s">
        <v>3304</v>
      </c>
      <c r="B642" s="149" t="s">
        <v>11793</v>
      </c>
      <c r="C642" s="185" t="s">
        <v>11736</v>
      </c>
      <c r="D642" s="20" t="s">
        <v>11794</v>
      </c>
    </row>
    <row r="643" spans="1:6">
      <c r="A643" s="640" t="s">
        <v>470</v>
      </c>
      <c r="B643" s="149" t="s">
        <v>11795</v>
      </c>
      <c r="C643" s="185" t="s">
        <v>11792</v>
      </c>
      <c r="D643" s="94">
        <v>43963</v>
      </c>
    </row>
    <row r="644" spans="1:6">
      <c r="A644" s="192" t="s">
        <v>11796</v>
      </c>
      <c r="B644" s="149" t="s">
        <v>11797</v>
      </c>
      <c r="C644" s="185" t="s">
        <v>11798</v>
      </c>
      <c r="D644" s="20" t="s">
        <v>11505</v>
      </c>
    </row>
    <row r="645" spans="1:6">
      <c r="A645" s="192" t="s">
        <v>3305</v>
      </c>
      <c r="B645" s="149" t="s">
        <v>11799</v>
      </c>
      <c r="C645" s="185" t="s">
        <v>11800</v>
      </c>
      <c r="D645" s="20" t="s">
        <v>11751</v>
      </c>
    </row>
    <row r="646" spans="1:6">
      <c r="A646" s="192" t="s">
        <v>3306</v>
      </c>
      <c r="B646" s="149" t="s">
        <v>11801</v>
      </c>
      <c r="C646" s="185" t="s">
        <v>11802</v>
      </c>
      <c r="D646" s="20" t="s">
        <v>11803</v>
      </c>
    </row>
    <row r="647" spans="1:6">
      <c r="A647" s="192" t="s">
        <v>11804</v>
      </c>
      <c r="B647" s="149" t="s">
        <v>11805</v>
      </c>
      <c r="C647" s="185" t="s">
        <v>11802</v>
      </c>
      <c r="D647" s="20" t="s">
        <v>11806</v>
      </c>
    </row>
    <row r="648" spans="1:6">
      <c r="A648" s="499" t="s">
        <v>3850</v>
      </c>
      <c r="B648" s="187" t="s">
        <v>11807</v>
      </c>
      <c r="C648" s="149" t="s">
        <v>11808</v>
      </c>
      <c r="D648" s="20" t="s">
        <v>10912</v>
      </c>
    </row>
    <row r="649" spans="1:6">
      <c r="A649" s="192" t="s">
        <v>5797</v>
      </c>
      <c r="B649" s="149" t="s">
        <v>11809</v>
      </c>
      <c r="C649" s="149" t="s">
        <v>11810</v>
      </c>
      <c r="D649" s="94">
        <v>45205</v>
      </c>
    </row>
    <row r="650" spans="1:6">
      <c r="A650" s="192" t="s">
        <v>3307</v>
      </c>
      <c r="B650" s="149" t="s">
        <v>11811</v>
      </c>
      <c r="C650" s="149" t="s">
        <v>11808</v>
      </c>
      <c r="D650" s="20" t="s">
        <v>11812</v>
      </c>
    </row>
    <row r="651" spans="1:6">
      <c r="A651" s="22" t="s">
        <v>3308</v>
      </c>
      <c r="B651" s="149" t="s">
        <v>11363</v>
      </c>
      <c r="C651" s="149" t="s">
        <v>11813</v>
      </c>
      <c r="D651" s="94">
        <v>44937</v>
      </c>
    </row>
    <row r="652" spans="1:6">
      <c r="A652" s="192" t="s">
        <v>3309</v>
      </c>
      <c r="B652" s="149" t="s">
        <v>11776</v>
      </c>
      <c r="C652" s="149" t="s">
        <v>11814</v>
      </c>
      <c r="D652" s="20" t="s">
        <v>11815</v>
      </c>
    </row>
    <row r="653" spans="1:6">
      <c r="A653" s="192" t="s">
        <v>3310</v>
      </c>
      <c r="B653" s="149" t="s">
        <v>11816</v>
      </c>
      <c r="C653" s="149" t="s">
        <v>11817</v>
      </c>
      <c r="D653" s="94">
        <v>44384</v>
      </c>
    </row>
    <row r="654" spans="1:6">
      <c r="A654" s="192" t="s">
        <v>3730</v>
      </c>
      <c r="B654" s="149" t="s">
        <v>11818</v>
      </c>
      <c r="C654" s="149" t="s">
        <v>11819</v>
      </c>
      <c r="D654" s="20" t="s">
        <v>11820</v>
      </c>
    </row>
    <row r="655" spans="1:6">
      <c r="A655" s="810" t="s">
        <v>7634</v>
      </c>
      <c r="B655" s="810"/>
      <c r="C655" s="810"/>
      <c r="D655" s="810"/>
      <c r="E655" s="810"/>
      <c r="F655" s="810"/>
    </row>
    <row r="656" spans="1:6">
      <c r="A656" s="149" t="s">
        <v>3311</v>
      </c>
      <c r="B656" s="149" t="s">
        <v>11821</v>
      </c>
      <c r="C656" s="149" t="s">
        <v>11822</v>
      </c>
      <c r="D656" s="20" t="s">
        <v>10540</v>
      </c>
    </row>
    <row r="657" spans="1:4">
      <c r="A657" s="149" t="s">
        <v>2791</v>
      </c>
      <c r="B657" s="149" t="s">
        <v>11823</v>
      </c>
      <c r="C657" s="149" t="s">
        <v>11824</v>
      </c>
      <c r="D657" s="94">
        <v>44598</v>
      </c>
    </row>
    <row r="658" spans="1:4">
      <c r="A658" s="186" t="s">
        <v>3312</v>
      </c>
      <c r="B658" s="186" t="s">
        <v>11825</v>
      </c>
      <c r="C658" s="149" t="s">
        <v>11819</v>
      </c>
      <c r="D658" s="20" t="s">
        <v>10917</v>
      </c>
    </row>
    <row r="659" spans="1:4">
      <c r="A659" s="149" t="s">
        <v>3983</v>
      </c>
      <c r="B659" s="149" t="s">
        <v>11826</v>
      </c>
      <c r="C659" s="185" t="s">
        <v>11827</v>
      </c>
      <c r="D659" s="20" t="s">
        <v>11828</v>
      </c>
    </row>
    <row r="660" spans="1:4">
      <c r="A660" s="149" t="s">
        <v>5528</v>
      </c>
      <c r="B660" s="149" t="s">
        <v>11829</v>
      </c>
      <c r="C660" s="185" t="s">
        <v>11819</v>
      </c>
      <c r="D660" s="94">
        <v>44594</v>
      </c>
    </row>
    <row r="661" spans="1:4">
      <c r="A661" s="149" t="s">
        <v>3313</v>
      </c>
      <c r="B661" s="149" t="s">
        <v>11830</v>
      </c>
      <c r="C661" s="185" t="s">
        <v>11831</v>
      </c>
      <c r="D661" s="94">
        <v>44873</v>
      </c>
    </row>
    <row r="662" spans="1:4" ht="15.75">
      <c r="A662" s="580" t="s">
        <v>3314</v>
      </c>
      <c r="B662" s="149" t="s">
        <v>11613</v>
      </c>
      <c r="C662" s="185" t="s">
        <v>11831</v>
      </c>
      <c r="D662" s="20" t="s">
        <v>11832</v>
      </c>
    </row>
    <row r="663" spans="1:4" ht="15.75">
      <c r="A663" s="580" t="s">
        <v>3315</v>
      </c>
      <c r="B663" s="149" t="s">
        <v>11833</v>
      </c>
      <c r="C663" s="185" t="s">
        <v>11834</v>
      </c>
      <c r="D663" s="20" t="s">
        <v>11509</v>
      </c>
    </row>
    <row r="664" spans="1:4">
      <c r="A664" s="149" t="s">
        <v>3316</v>
      </c>
      <c r="B664" s="149" t="s">
        <v>11651</v>
      </c>
      <c r="C664" s="149" t="s">
        <v>11835</v>
      </c>
      <c r="D664" s="20" t="s">
        <v>10780</v>
      </c>
    </row>
    <row r="665" spans="1:4">
      <c r="A665" s="187" t="s">
        <v>3317</v>
      </c>
      <c r="B665" s="187" t="s">
        <v>11698</v>
      </c>
      <c r="C665" s="149" t="s">
        <v>11835</v>
      </c>
      <c r="D665" s="94">
        <v>44412</v>
      </c>
    </row>
    <row r="666" spans="1:4">
      <c r="A666" s="149" t="s">
        <v>3318</v>
      </c>
      <c r="B666" s="149" t="s">
        <v>11836</v>
      </c>
      <c r="C666" s="149" t="s">
        <v>11837</v>
      </c>
      <c r="D666" s="20" t="s">
        <v>10507</v>
      </c>
    </row>
    <row r="667" spans="1:4">
      <c r="A667" s="149" t="s">
        <v>3319</v>
      </c>
      <c r="B667" s="149" t="s">
        <v>11838</v>
      </c>
      <c r="C667" s="149" t="s">
        <v>11839</v>
      </c>
      <c r="D667" s="20" t="s">
        <v>11840</v>
      </c>
    </row>
    <row r="668" spans="1:4" ht="15.75">
      <c r="A668" s="577" t="s">
        <v>5353</v>
      </c>
      <c r="B668" s="149" t="s">
        <v>11841</v>
      </c>
      <c r="C668" s="149" t="s">
        <v>11842</v>
      </c>
      <c r="D668" s="20" t="s">
        <v>11460</v>
      </c>
    </row>
    <row r="669" spans="1:4" ht="15.75">
      <c r="A669" s="577" t="s">
        <v>2830</v>
      </c>
      <c r="B669" s="149" t="s">
        <v>11843</v>
      </c>
      <c r="C669" s="149" t="s">
        <v>11844</v>
      </c>
      <c r="D669" s="94">
        <v>45323</v>
      </c>
    </row>
    <row r="670" spans="1:4">
      <c r="A670" s="149" t="s">
        <v>3320</v>
      </c>
      <c r="B670" s="149" t="s">
        <v>11845</v>
      </c>
      <c r="C670" s="149" t="s">
        <v>11846</v>
      </c>
      <c r="D670" s="94">
        <v>45566</v>
      </c>
    </row>
    <row r="671" spans="1:4">
      <c r="A671" t="s">
        <v>5770</v>
      </c>
      <c r="B671" s="149" t="s">
        <v>11847</v>
      </c>
      <c r="C671" t="s">
        <v>11848</v>
      </c>
      <c r="D671" s="94">
        <v>44876</v>
      </c>
    </row>
    <row r="672" spans="1:4">
      <c r="A672" s="149" t="s">
        <v>3321</v>
      </c>
      <c r="B672" s="149" t="s">
        <v>11849</v>
      </c>
      <c r="C672" s="149" t="s">
        <v>11850</v>
      </c>
      <c r="D672" s="20" t="s">
        <v>11851</v>
      </c>
    </row>
    <row r="673" spans="1:6">
      <c r="A673" s="810" t="s">
        <v>7656</v>
      </c>
      <c r="B673" s="810"/>
      <c r="C673" s="810"/>
      <c r="D673" s="810"/>
      <c r="E673" s="810"/>
      <c r="F673" s="810"/>
    </row>
    <row r="674" spans="1:6">
      <c r="A674" s="192" t="s">
        <v>10665</v>
      </c>
      <c r="B674" s="149" t="s">
        <v>11852</v>
      </c>
      <c r="C674" s="149" t="s">
        <v>11853</v>
      </c>
      <c r="D674" s="20" t="s">
        <v>11854</v>
      </c>
    </row>
    <row r="675" spans="1:6">
      <c r="A675" s="22" t="s">
        <v>3322</v>
      </c>
      <c r="B675" t="s">
        <v>11186</v>
      </c>
      <c r="C675" t="s">
        <v>11855</v>
      </c>
      <c r="D675" s="26" t="s">
        <v>11856</v>
      </c>
    </row>
    <row r="676" spans="1:6">
      <c r="A676" s="192" t="s">
        <v>3323</v>
      </c>
      <c r="B676" s="149" t="s">
        <v>11857</v>
      </c>
      <c r="C676" s="149" t="s">
        <v>11858</v>
      </c>
      <c r="D676" s="94">
        <v>44816</v>
      </c>
    </row>
    <row r="677" spans="1:6">
      <c r="A677" s="192" t="s">
        <v>2722</v>
      </c>
      <c r="B677" s="149" t="s">
        <v>11857</v>
      </c>
      <c r="C677" s="149" t="s">
        <v>11859</v>
      </c>
      <c r="D677" s="94">
        <v>44505</v>
      </c>
    </row>
    <row r="678" spans="1:6">
      <c r="A678" s="192" t="s">
        <v>3324</v>
      </c>
      <c r="B678" s="149" t="s">
        <v>11178</v>
      </c>
      <c r="C678" s="149" t="s">
        <v>11860</v>
      </c>
      <c r="D678" s="20" t="s">
        <v>7489</v>
      </c>
    </row>
    <row r="679" spans="1:6">
      <c r="A679" s="192" t="s">
        <v>3325</v>
      </c>
      <c r="B679" s="149" t="s">
        <v>11849</v>
      </c>
      <c r="C679" s="149" t="s">
        <v>11861</v>
      </c>
      <c r="D679" s="20" t="s">
        <v>11862</v>
      </c>
    </row>
    <row r="680" spans="1:6">
      <c r="A680" s="192" t="s">
        <v>3326</v>
      </c>
      <c r="B680" s="149" t="s">
        <v>11863</v>
      </c>
      <c r="C680" s="149" t="s">
        <v>11864</v>
      </c>
      <c r="D680" s="20" t="s">
        <v>11865</v>
      </c>
    </row>
    <row r="681" spans="1:6">
      <c r="A681" s="192" t="s">
        <v>3327</v>
      </c>
      <c r="B681" s="149" t="s">
        <v>11849</v>
      </c>
      <c r="C681" s="149" t="s">
        <v>11864</v>
      </c>
      <c r="D681" s="94">
        <v>44785</v>
      </c>
    </row>
    <row r="682" spans="1:6">
      <c r="A682" s="192" t="s">
        <v>3328</v>
      </c>
      <c r="B682" s="149" t="s">
        <v>11698</v>
      </c>
      <c r="C682" s="149" t="s">
        <v>11864</v>
      </c>
      <c r="D682" s="94">
        <v>45324</v>
      </c>
    </row>
    <row r="683" spans="1:6">
      <c r="A683" s="192" t="s">
        <v>3330</v>
      </c>
      <c r="B683" s="149" t="s">
        <v>11698</v>
      </c>
      <c r="C683" s="149" t="s">
        <v>11866</v>
      </c>
      <c r="D683" s="20" t="s">
        <v>11867</v>
      </c>
    </row>
    <row r="684" spans="1:6" ht="15.75">
      <c r="A684" s="639" t="s">
        <v>3331</v>
      </c>
      <c r="B684" s="149" t="s">
        <v>11868</v>
      </c>
      <c r="C684" s="149" t="s">
        <v>11869</v>
      </c>
      <c r="D684" s="94">
        <v>44845</v>
      </c>
    </row>
    <row r="685" spans="1:6">
      <c r="A685" s="192" t="s">
        <v>11870</v>
      </c>
      <c r="B685" s="149" t="s">
        <v>11871</v>
      </c>
      <c r="C685" s="149" t="s">
        <v>11872</v>
      </c>
      <c r="D685" s="20" t="s">
        <v>11480</v>
      </c>
    </row>
    <row r="686" spans="1:6">
      <c r="A686" t="s">
        <v>3332</v>
      </c>
      <c r="B686" s="149" t="s">
        <v>11698</v>
      </c>
      <c r="C686" s="149" t="s">
        <v>11872</v>
      </c>
      <c r="D686" s="20" t="s">
        <v>11873</v>
      </c>
    </row>
    <row r="687" spans="1:6">
      <c r="A687" s="192" t="s">
        <v>3333</v>
      </c>
      <c r="B687" s="149" t="s">
        <v>11874</v>
      </c>
      <c r="C687" s="149" t="s">
        <v>11875</v>
      </c>
      <c r="D687" s="94">
        <v>45078</v>
      </c>
    </row>
    <row r="688" spans="1:6">
      <c r="A688" s="810" t="s">
        <v>7672</v>
      </c>
      <c r="B688" s="810"/>
      <c r="C688" s="810"/>
      <c r="D688" s="810"/>
      <c r="E688" s="810"/>
      <c r="F688" s="810"/>
    </row>
    <row r="689" spans="1:4">
      <c r="A689" s="22" t="s">
        <v>3805</v>
      </c>
      <c r="B689" s="149" t="s">
        <v>11876</v>
      </c>
      <c r="C689" s="149" t="s">
        <v>11877</v>
      </c>
      <c r="D689" s="94">
        <v>45028</v>
      </c>
    </row>
    <row r="690" spans="1:4">
      <c r="A690" s="192" t="s">
        <v>4056</v>
      </c>
      <c r="B690" s="149" t="s">
        <v>3297</v>
      </c>
      <c r="C690" s="149" t="s">
        <v>11878</v>
      </c>
      <c r="D690" s="20" t="s">
        <v>155</v>
      </c>
    </row>
    <row r="691" spans="1:4" ht="15.75">
      <c r="A691" s="639" t="s">
        <v>11879</v>
      </c>
      <c r="B691" s="149" t="s">
        <v>11880</v>
      </c>
      <c r="C691" s="149" t="s">
        <v>11881</v>
      </c>
      <c r="D691" s="94">
        <v>44541</v>
      </c>
    </row>
    <row r="692" spans="1:4">
      <c r="A692" s="192" t="s">
        <v>11042</v>
      </c>
      <c r="B692" s="149" t="s">
        <v>11882</v>
      </c>
      <c r="C692" s="149" t="s">
        <v>8929</v>
      </c>
      <c r="D692" s="20" t="s">
        <v>11883</v>
      </c>
    </row>
    <row r="693" spans="1:4">
      <c r="A693" s="192" t="s">
        <v>3334</v>
      </c>
      <c r="B693" s="149" t="s">
        <v>11884</v>
      </c>
      <c r="C693" s="149" t="s">
        <v>8929</v>
      </c>
      <c r="D693" s="20" t="s">
        <v>11885</v>
      </c>
    </row>
    <row r="694" spans="1:4">
      <c r="A694" s="192" t="s">
        <v>3335</v>
      </c>
      <c r="B694" s="149" t="s">
        <v>11886</v>
      </c>
      <c r="C694" s="149" t="s">
        <v>11887</v>
      </c>
      <c r="D694" s="20" t="s">
        <v>11480</v>
      </c>
    </row>
    <row r="695" spans="1:4">
      <c r="A695" s="192" t="s">
        <v>3336</v>
      </c>
      <c r="B695" s="149" t="s">
        <v>11888</v>
      </c>
      <c r="C695" s="149" t="s">
        <v>8929</v>
      </c>
      <c r="D695" s="20" t="s">
        <v>11889</v>
      </c>
    </row>
    <row r="696" spans="1:4">
      <c r="A696" s="192" t="s">
        <v>10945</v>
      </c>
      <c r="B696" s="149" t="s">
        <v>11890</v>
      </c>
      <c r="C696" s="149" t="s">
        <v>8929</v>
      </c>
      <c r="D696" s="94">
        <v>45324</v>
      </c>
    </row>
    <row r="697" spans="1:4">
      <c r="A697" s="192" t="s">
        <v>3338</v>
      </c>
      <c r="B697" s="149" t="s">
        <v>11891</v>
      </c>
      <c r="C697" s="149" t="s">
        <v>8929</v>
      </c>
      <c r="D697" s="94">
        <v>45206</v>
      </c>
    </row>
    <row r="698" spans="1:4">
      <c r="A698" s="192" t="s">
        <v>3339</v>
      </c>
      <c r="B698" s="192" t="s">
        <v>11892</v>
      </c>
      <c r="C698" s="192" t="s">
        <v>11893</v>
      </c>
      <c r="D698" s="20" t="s">
        <v>11894</v>
      </c>
    </row>
    <row r="699" spans="1:4">
      <c r="A699" s="192" t="s">
        <v>10127</v>
      </c>
      <c r="B699" s="149" t="s">
        <v>11895</v>
      </c>
      <c r="C699" s="149" t="s">
        <v>8929</v>
      </c>
      <c r="D699" s="20" t="s">
        <v>11896</v>
      </c>
    </row>
    <row r="700" spans="1:4">
      <c r="A700" s="192" t="s">
        <v>3340</v>
      </c>
      <c r="B700" s="149" t="s">
        <v>11897</v>
      </c>
      <c r="C700" s="149" t="s">
        <v>8929</v>
      </c>
      <c r="D700" s="20" t="s">
        <v>11898</v>
      </c>
    </row>
    <row r="701" spans="1:4">
      <c r="A701" s="192" t="s">
        <v>3341</v>
      </c>
      <c r="B701" s="149" t="s">
        <v>8915</v>
      </c>
      <c r="C701" s="149" t="s">
        <v>11899</v>
      </c>
      <c r="D701" s="20" t="s">
        <v>11454</v>
      </c>
    </row>
    <row r="702" spans="1:4">
      <c r="A702" s="192" t="s">
        <v>3342</v>
      </c>
      <c r="B702" s="149" t="s">
        <v>11274</v>
      </c>
      <c r="C702" s="149" t="s">
        <v>8929</v>
      </c>
      <c r="D702" s="20" t="s">
        <v>10365</v>
      </c>
    </row>
    <row r="703" spans="1:4">
      <c r="A703" s="192" t="s">
        <v>11900</v>
      </c>
      <c r="B703" s="149" t="s">
        <v>11901</v>
      </c>
      <c r="C703" s="149" t="s">
        <v>8929</v>
      </c>
      <c r="D703" s="94">
        <v>45242</v>
      </c>
    </row>
    <row r="704" spans="1:4">
      <c r="A704" s="192" t="s">
        <v>11902</v>
      </c>
      <c r="B704" s="149" t="s">
        <v>11903</v>
      </c>
      <c r="C704" s="149" t="s">
        <v>8929</v>
      </c>
      <c r="D704" s="94">
        <v>44230</v>
      </c>
    </row>
    <row r="705" spans="1:6">
      <c r="A705" s="192" t="s">
        <v>10632</v>
      </c>
      <c r="B705" s="149" t="s">
        <v>11904</v>
      </c>
      <c r="C705" s="149" t="s">
        <v>11905</v>
      </c>
      <c r="D705" s="94"/>
    </row>
    <row r="706" spans="1:6">
      <c r="A706" s="192" t="s">
        <v>11906</v>
      </c>
      <c r="B706" s="149" t="s">
        <v>11907</v>
      </c>
      <c r="C706" s="149" t="s">
        <v>8929</v>
      </c>
      <c r="D706" s="20" t="s">
        <v>11908</v>
      </c>
    </row>
    <row r="707" spans="1:6">
      <c r="A707" s="810" t="s">
        <v>7684</v>
      </c>
      <c r="B707" s="810"/>
      <c r="C707" s="810"/>
      <c r="D707" s="810"/>
      <c r="E707" s="810"/>
      <c r="F707" s="810"/>
    </row>
    <row r="708" spans="1:6">
      <c r="A708" s="149" t="s">
        <v>2803</v>
      </c>
      <c r="B708" s="149" t="s">
        <v>11909</v>
      </c>
      <c r="C708" s="149" t="s">
        <v>11910</v>
      </c>
      <c r="D708" s="20"/>
    </row>
    <row r="709" spans="1:6">
      <c r="A709" s="149" t="s">
        <v>3343</v>
      </c>
      <c r="B709" t="s">
        <v>11911</v>
      </c>
      <c r="C709" s="149" t="s">
        <v>11887</v>
      </c>
      <c r="D709" s="20"/>
    </row>
    <row r="710" spans="1:6">
      <c r="A710" s="149" t="s">
        <v>11897</v>
      </c>
      <c r="B710" s="149" t="s">
        <v>11912</v>
      </c>
      <c r="C710" s="149" t="s">
        <v>11913</v>
      </c>
      <c r="D710" s="20"/>
    </row>
    <row r="711" spans="1:6">
      <c r="A711" s="149" t="s">
        <v>3344</v>
      </c>
      <c r="B711" s="149" t="s">
        <v>11914</v>
      </c>
      <c r="C711" s="149" t="s">
        <v>11915</v>
      </c>
      <c r="D711" s="20"/>
    </row>
    <row r="712" spans="1:6">
      <c r="A712" s="149" t="s">
        <v>11916</v>
      </c>
      <c r="B712" s="149" t="s">
        <v>11917</v>
      </c>
      <c r="C712" s="149" t="s">
        <v>11915</v>
      </c>
      <c r="D712" s="20"/>
    </row>
    <row r="713" spans="1:6">
      <c r="A713" s="149" t="s">
        <v>3345</v>
      </c>
      <c r="B713" s="149" t="s">
        <v>8915</v>
      </c>
      <c r="C713" s="149" t="s">
        <v>11918</v>
      </c>
      <c r="D713" s="20"/>
    </row>
    <row r="714" spans="1:6">
      <c r="A714" s="149" t="s">
        <v>6756</v>
      </c>
      <c r="B714" s="149" t="s">
        <v>11274</v>
      </c>
      <c r="C714" s="149" t="s">
        <v>11919</v>
      </c>
      <c r="D714" s="20"/>
    </row>
    <row r="715" spans="1:6">
      <c r="A715" s="149" t="s">
        <v>3346</v>
      </c>
      <c r="B715" s="149" t="s">
        <v>11920</v>
      </c>
      <c r="C715" s="149" t="s">
        <v>11921</v>
      </c>
      <c r="D715" s="20"/>
    </row>
    <row r="716" spans="1:6">
      <c r="A716" s="149" t="s">
        <v>3357</v>
      </c>
      <c r="B716" s="149" t="s">
        <v>8915</v>
      </c>
      <c r="C716" s="149" t="s">
        <v>11922</v>
      </c>
      <c r="D716" s="20"/>
    </row>
    <row r="717" spans="1:6">
      <c r="A717" s="192" t="s">
        <v>5260</v>
      </c>
      <c r="B717" s="149" t="s">
        <v>11923</v>
      </c>
      <c r="C717" s="149" t="s">
        <v>11924</v>
      </c>
      <c r="D717" s="20"/>
    </row>
    <row r="718" spans="1:6">
      <c r="A718" s="149" t="s">
        <v>3347</v>
      </c>
      <c r="B718" s="149" t="s">
        <v>11925</v>
      </c>
      <c r="C718" s="149" t="s">
        <v>11926</v>
      </c>
      <c r="D718" s="20"/>
    </row>
    <row r="719" spans="1:6">
      <c r="A719" s="149" t="s">
        <v>3348</v>
      </c>
      <c r="B719" s="149" t="s">
        <v>11927</v>
      </c>
      <c r="C719" s="149" t="s">
        <v>11928</v>
      </c>
      <c r="D719" s="20"/>
    </row>
    <row r="720" spans="1:6">
      <c r="A720" s="149" t="s">
        <v>3349</v>
      </c>
      <c r="B720" s="149" t="s">
        <v>3297</v>
      </c>
      <c r="C720" s="149" t="s">
        <v>11929</v>
      </c>
      <c r="D720" s="20"/>
    </row>
    <row r="721" spans="1:4">
      <c r="A721" s="149" t="s">
        <v>3350</v>
      </c>
      <c r="B721" s="697" t="s">
        <v>11930</v>
      </c>
      <c r="C721" s="149" t="s">
        <v>11931</v>
      </c>
      <c r="D721" s="20"/>
    </row>
    <row r="722" spans="1:4">
      <c r="A722" s="192" t="s">
        <v>3351</v>
      </c>
      <c r="B722" s="149" t="s">
        <v>11932</v>
      </c>
      <c r="C722" s="149" t="s">
        <v>11933</v>
      </c>
      <c r="D722" s="20"/>
    </row>
    <row r="723" spans="1:4">
      <c r="A723" s="192" t="s">
        <v>3706</v>
      </c>
      <c r="B723" s="192" t="s">
        <v>11934</v>
      </c>
      <c r="C723" s="192" t="s">
        <v>11935</v>
      </c>
      <c r="D723" s="20"/>
    </row>
    <row r="724" spans="1:4">
      <c r="A724" s="192" t="s">
        <v>3352</v>
      </c>
      <c r="B724" s="192" t="s">
        <v>11936</v>
      </c>
      <c r="C724" s="192" t="s">
        <v>11779</v>
      </c>
      <c r="D724" s="20"/>
    </row>
    <row r="725" spans="1:4">
      <c r="A725" s="192" t="s">
        <v>3353</v>
      </c>
      <c r="B725" s="192" t="s">
        <v>11936</v>
      </c>
      <c r="C725" s="192" t="s">
        <v>11937</v>
      </c>
      <c r="D725" s="20"/>
    </row>
    <row r="726" spans="1:4">
      <c r="A726" s="192" t="s">
        <v>3354</v>
      </c>
      <c r="B726" s="192" t="s">
        <v>11936</v>
      </c>
      <c r="C726" s="192" t="s">
        <v>11938</v>
      </c>
      <c r="D726" s="20"/>
    </row>
    <row r="727" spans="1:4">
      <c r="A727" s="192" t="s">
        <v>3355</v>
      </c>
      <c r="B727" s="192" t="s">
        <v>11936</v>
      </c>
      <c r="C727" s="192" t="s">
        <v>11779</v>
      </c>
      <c r="D727" s="20"/>
    </row>
    <row r="728" spans="1:4">
      <c r="A728" s="108" t="s">
        <v>3356</v>
      </c>
      <c r="B728" s="192" t="s">
        <v>11936</v>
      </c>
      <c r="C728" s="192" t="s">
        <v>11939</v>
      </c>
      <c r="D728" s="20"/>
    </row>
    <row r="729" spans="1:4">
      <c r="A729" s="192" t="s">
        <v>3357</v>
      </c>
      <c r="B729" s="192" t="s">
        <v>11936</v>
      </c>
      <c r="C729" s="192" t="s">
        <v>11935</v>
      </c>
      <c r="D729" s="20"/>
    </row>
    <row r="730" spans="1:4">
      <c r="A730" s="192" t="s">
        <v>3048</v>
      </c>
      <c r="B730" s="192" t="s">
        <v>11936</v>
      </c>
      <c r="C730" s="192" t="s">
        <v>11940</v>
      </c>
      <c r="D730" s="20"/>
    </row>
    <row r="731" spans="1:4">
      <c r="A731" s="192" t="s">
        <v>3358</v>
      </c>
      <c r="B731" s="192" t="s">
        <v>11936</v>
      </c>
      <c r="C731" s="192" t="s">
        <v>11941</v>
      </c>
      <c r="D731" s="714"/>
    </row>
    <row r="732" spans="1:4">
      <c r="A732" s="192" t="s">
        <v>3359</v>
      </c>
      <c r="B732" s="192" t="s">
        <v>11936</v>
      </c>
      <c r="C732" s="192" t="s">
        <v>11942</v>
      </c>
      <c r="D732" s="20"/>
    </row>
    <row r="733" spans="1:4">
      <c r="A733" s="192" t="s">
        <v>3361</v>
      </c>
      <c r="B733" s="192" t="s">
        <v>11936</v>
      </c>
      <c r="C733" s="192" t="s">
        <v>11943</v>
      </c>
      <c r="D733" s="20"/>
    </row>
    <row r="734" spans="1:4">
      <c r="A734" s="192" t="s">
        <v>3362</v>
      </c>
      <c r="B734" s="192" t="s">
        <v>11936</v>
      </c>
      <c r="C734" s="192" t="s">
        <v>11944</v>
      </c>
      <c r="D734" s="94">
        <v>45146</v>
      </c>
    </row>
    <row r="735" spans="1:4">
      <c r="A735" s="192" t="s">
        <v>3363</v>
      </c>
      <c r="B735" s="192" t="s">
        <v>11936</v>
      </c>
      <c r="C735" s="192" t="s">
        <v>11945</v>
      </c>
      <c r="D735" s="20" t="s">
        <v>11946</v>
      </c>
    </row>
    <row r="736" spans="1:4">
      <c r="A736" s="192" t="s">
        <v>3365</v>
      </c>
      <c r="B736" s="192" t="s">
        <v>11936</v>
      </c>
      <c r="C736" s="192" t="s">
        <v>11947</v>
      </c>
      <c r="D736" s="20" t="s">
        <v>7437</v>
      </c>
    </row>
    <row r="737" spans="1:4">
      <c r="A737" s="192" t="s">
        <v>3366</v>
      </c>
      <c r="B737" s="192" t="s">
        <v>3109</v>
      </c>
      <c r="C737" s="192" t="s">
        <v>11947</v>
      </c>
      <c r="D737" s="94">
        <v>45146</v>
      </c>
    </row>
    <row r="738" spans="1:4">
      <c r="A738" s="192" t="s">
        <v>3367</v>
      </c>
      <c r="B738" s="192" t="s">
        <v>11936</v>
      </c>
      <c r="C738" s="192" t="s">
        <v>11948</v>
      </c>
      <c r="D738" s="20" t="s">
        <v>11949</v>
      </c>
    </row>
    <row r="739" spans="1:4">
      <c r="A739" s="192" t="s">
        <v>3368</v>
      </c>
      <c r="B739" s="192" t="s">
        <v>11936</v>
      </c>
      <c r="C739" s="192" t="s">
        <v>11935</v>
      </c>
      <c r="D739" s="94">
        <v>44777</v>
      </c>
    </row>
    <row r="740" spans="1:4">
      <c r="A740" s="192" t="s">
        <v>3369</v>
      </c>
      <c r="B740" s="192" t="s">
        <v>11936</v>
      </c>
      <c r="C740" s="192" t="s">
        <v>11950</v>
      </c>
      <c r="D740" s="94">
        <v>44599</v>
      </c>
    </row>
    <row r="741" spans="1:4">
      <c r="A741" s="192" t="s">
        <v>3370</v>
      </c>
      <c r="B741" s="192" t="s">
        <v>3109</v>
      </c>
      <c r="C741" s="192" t="s">
        <v>11939</v>
      </c>
      <c r="D741" s="94">
        <v>45265</v>
      </c>
    </row>
    <row r="742" spans="1:4">
      <c r="A742" s="192" t="s">
        <v>3371</v>
      </c>
      <c r="B742" s="192" t="s">
        <v>11936</v>
      </c>
      <c r="C742" s="192" t="s">
        <v>11951</v>
      </c>
      <c r="D742" s="20" t="s">
        <v>11952</v>
      </c>
    </row>
    <row r="743" spans="1:4">
      <c r="A743" s="721" t="s">
        <v>3372</v>
      </c>
      <c r="B743" s="721" t="s">
        <v>11936</v>
      </c>
      <c r="C743" s="192" t="s">
        <v>11953</v>
      </c>
      <c r="D743" s="94">
        <v>45089</v>
      </c>
    </row>
    <row r="744" spans="1:4">
      <c r="A744" s="192" t="s">
        <v>3065</v>
      </c>
      <c r="B744" s="192" t="s">
        <v>11936</v>
      </c>
      <c r="C744" s="192" t="s">
        <v>11779</v>
      </c>
      <c r="D744" s="20" t="s">
        <v>10596</v>
      </c>
    </row>
    <row r="745" spans="1:4">
      <c r="A745" s="192" t="s">
        <v>3373</v>
      </c>
      <c r="B745" s="192" t="s">
        <v>11936</v>
      </c>
      <c r="C745" s="192" t="s">
        <v>11954</v>
      </c>
      <c r="D745" s="20" t="s">
        <v>10702</v>
      </c>
    </row>
    <row r="746" spans="1:4">
      <c r="A746" s="192" t="s">
        <v>3374</v>
      </c>
      <c r="B746" s="192" t="s">
        <v>11936</v>
      </c>
      <c r="C746" s="192" t="s">
        <v>11955</v>
      </c>
      <c r="D746" s="20" t="s">
        <v>11956</v>
      </c>
    </row>
    <row r="747" spans="1:4">
      <c r="A747" s="192" t="s">
        <v>3375</v>
      </c>
      <c r="B747" s="192" t="s">
        <v>11936</v>
      </c>
      <c r="C747" s="192" t="s">
        <v>11957</v>
      </c>
      <c r="D747" s="20" t="s">
        <v>11958</v>
      </c>
    </row>
    <row r="748" spans="1:4">
      <c r="A748" s="192" t="s">
        <v>3376</v>
      </c>
      <c r="B748" s="192" t="s">
        <v>11936</v>
      </c>
      <c r="C748" s="192" t="s">
        <v>11948</v>
      </c>
      <c r="D748" s="94">
        <v>45413</v>
      </c>
    </row>
    <row r="749" spans="1:4">
      <c r="A749" s="269" t="s">
        <v>3377</v>
      </c>
      <c r="B749" s="269" t="s">
        <v>11936</v>
      </c>
      <c r="C749" s="269" t="s">
        <v>11940</v>
      </c>
      <c r="D749" s="20" t="s">
        <v>7504</v>
      </c>
    </row>
    <row r="750" spans="1:4">
      <c r="A750" s="192" t="s">
        <v>3378</v>
      </c>
      <c r="B750" s="192" t="s">
        <v>11936</v>
      </c>
      <c r="C750" s="192" t="s">
        <v>11948</v>
      </c>
      <c r="D750" s="718">
        <v>45204</v>
      </c>
    </row>
    <row r="751" spans="1:4">
      <c r="A751" s="192" t="s">
        <v>11959</v>
      </c>
      <c r="B751" s="192" t="s">
        <v>11936</v>
      </c>
      <c r="C751" s="192" t="s">
        <v>11960</v>
      </c>
      <c r="D751" s="718">
        <v>45118</v>
      </c>
    </row>
    <row r="752" spans="1:4">
      <c r="A752" s="108" t="s">
        <v>3379</v>
      </c>
      <c r="B752" s="192" t="s">
        <v>11936</v>
      </c>
      <c r="C752" s="192" t="s">
        <v>11961</v>
      </c>
      <c r="D752" s="718">
        <v>44843</v>
      </c>
    </row>
    <row r="753" spans="1:6">
      <c r="A753" s="192" t="s">
        <v>3380</v>
      </c>
      <c r="B753" s="269" t="s">
        <v>11936</v>
      </c>
      <c r="C753" s="192" t="s">
        <v>11962</v>
      </c>
      <c r="D753" s="718">
        <v>45210</v>
      </c>
    </row>
    <row r="754" spans="1:6">
      <c r="A754" s="499" t="s">
        <v>3381</v>
      </c>
      <c r="B754" s="499" t="s">
        <v>11963</v>
      </c>
      <c r="C754" s="499" t="s">
        <v>11779</v>
      </c>
      <c r="D754" s="20" t="s">
        <v>11964</v>
      </c>
    </row>
    <row r="755" spans="1:6">
      <c r="A755" s="192" t="s">
        <v>3382</v>
      </c>
      <c r="B755" s="192" t="s">
        <v>11965</v>
      </c>
      <c r="C755" s="192" t="s">
        <v>11966</v>
      </c>
      <c r="D755" s="20" t="s">
        <v>11790</v>
      </c>
    </row>
    <row r="756" spans="1:6">
      <c r="A756" s="192" t="s">
        <v>3383</v>
      </c>
      <c r="B756" s="192" t="s">
        <v>3109</v>
      </c>
      <c r="C756" s="192" t="s">
        <v>11967</v>
      </c>
      <c r="D756" s="20" t="s">
        <v>10651</v>
      </c>
    </row>
    <row r="757" spans="1:6">
      <c r="A757" s="192" t="s">
        <v>11968</v>
      </c>
      <c r="B757" s="192" t="s">
        <v>4097</v>
      </c>
      <c r="C757" s="192" t="s">
        <v>11969</v>
      </c>
      <c r="D757" s="94">
        <v>43962</v>
      </c>
    </row>
    <row r="758" spans="1:6">
      <c r="A758" s="192" t="s">
        <v>3383</v>
      </c>
      <c r="B758" s="192" t="s">
        <v>11936</v>
      </c>
      <c r="C758" s="192" t="s">
        <v>11950</v>
      </c>
      <c r="D758" s="20" t="s">
        <v>10651</v>
      </c>
    </row>
    <row r="759" spans="1:6">
      <c r="A759" s="192" t="s">
        <v>3384</v>
      </c>
      <c r="B759" s="192" t="s">
        <v>11970</v>
      </c>
      <c r="C759" s="192" t="s">
        <v>11953</v>
      </c>
      <c r="D759" s="94">
        <v>44538</v>
      </c>
    </row>
    <row r="760" spans="1:6">
      <c r="A760" s="192" t="s">
        <v>10805</v>
      </c>
      <c r="B760" s="192" t="s">
        <v>3109</v>
      </c>
      <c r="C760" s="192" t="s">
        <v>11971</v>
      </c>
      <c r="D760" s="94">
        <v>45261</v>
      </c>
    </row>
    <row r="761" spans="1:6">
      <c r="A761" s="192" t="s">
        <v>2789</v>
      </c>
      <c r="B761" s="192" t="s">
        <v>11972</v>
      </c>
      <c r="C761" s="192" t="s">
        <v>11973</v>
      </c>
      <c r="D761" s="20" t="s">
        <v>11974</v>
      </c>
    </row>
    <row r="762" spans="1:6">
      <c r="A762" s="149" t="s">
        <v>1796</v>
      </c>
      <c r="B762" s="149" t="s">
        <v>11975</v>
      </c>
      <c r="C762" s="149" t="s">
        <v>11976</v>
      </c>
      <c r="D762" s="94">
        <v>43962</v>
      </c>
    </row>
    <row r="763" spans="1:6">
      <c r="A763" s="192" t="s">
        <v>3385</v>
      </c>
      <c r="B763" s="192" t="s">
        <v>11977</v>
      </c>
      <c r="C763" s="192" t="s">
        <v>11978</v>
      </c>
      <c r="D763" s="94">
        <v>45200</v>
      </c>
    </row>
    <row r="764" spans="1:6">
      <c r="A764" s="192" t="s">
        <v>5241</v>
      </c>
      <c r="B764" s="192" t="s">
        <v>11979</v>
      </c>
      <c r="C764" s="192" t="s">
        <v>11779</v>
      </c>
      <c r="D764" s="20" t="s">
        <v>11980</v>
      </c>
    </row>
    <row r="765" spans="1:6">
      <c r="A765" s="810" t="s">
        <v>2715</v>
      </c>
      <c r="B765" s="810"/>
      <c r="C765" s="810"/>
      <c r="D765" s="810"/>
      <c r="E765" s="810"/>
      <c r="F765" s="810"/>
    </row>
    <row r="766" spans="1:6">
      <c r="A766" s="22" t="s">
        <v>3812</v>
      </c>
      <c r="B766" s="149" t="s">
        <v>8915</v>
      </c>
      <c r="C766" s="149" t="s">
        <v>11981</v>
      </c>
      <c r="D766" s="20" t="s">
        <v>16</v>
      </c>
    </row>
    <row r="767" spans="1:6">
      <c r="A767" s="192" t="s">
        <v>11982</v>
      </c>
      <c r="B767" s="149" t="s">
        <v>11983</v>
      </c>
      <c r="C767" s="149" t="s">
        <v>11984</v>
      </c>
      <c r="D767" s="94">
        <v>44348</v>
      </c>
    </row>
    <row r="768" spans="1:6">
      <c r="A768" s="192" t="s">
        <v>3387</v>
      </c>
      <c r="B768" s="149" t="s">
        <v>11985</v>
      </c>
      <c r="C768" s="149" t="s">
        <v>11986</v>
      </c>
      <c r="D768" s="94">
        <v>45387</v>
      </c>
    </row>
    <row r="769" spans="1:4">
      <c r="A769" s="192" t="s">
        <v>3389</v>
      </c>
      <c r="B769" s="149" t="s">
        <v>11987</v>
      </c>
      <c r="C769" s="149" t="s">
        <v>11988</v>
      </c>
      <c r="D769" s="20" t="s">
        <v>10368</v>
      </c>
    </row>
    <row r="770" spans="1:4">
      <c r="A770" s="192" t="s">
        <v>3390</v>
      </c>
      <c r="B770" s="149" t="s">
        <v>11936</v>
      </c>
      <c r="C770" s="149" t="s">
        <v>11961</v>
      </c>
      <c r="D770" s="20" t="s">
        <v>11989</v>
      </c>
    </row>
    <row r="771" spans="1:4">
      <c r="A771" s="192" t="s">
        <v>3391</v>
      </c>
      <c r="B771" s="149" t="s">
        <v>11990</v>
      </c>
      <c r="C771" s="149" t="s">
        <v>11991</v>
      </c>
      <c r="D771" s="20" t="s">
        <v>11526</v>
      </c>
    </row>
    <row r="772" spans="1:4">
      <c r="A772" s="192" t="s">
        <v>3392</v>
      </c>
      <c r="B772" s="149" t="s">
        <v>3109</v>
      </c>
      <c r="C772" s="149" t="s">
        <v>11992</v>
      </c>
      <c r="D772" s="20" t="s">
        <v>11993</v>
      </c>
    </row>
    <row r="773" spans="1:4">
      <c r="A773" s="192" t="s">
        <v>3393</v>
      </c>
      <c r="B773" s="149" t="s">
        <v>3109</v>
      </c>
      <c r="C773" s="149" t="s">
        <v>11961</v>
      </c>
      <c r="D773" s="94">
        <v>45233</v>
      </c>
    </row>
    <row r="774" spans="1:4">
      <c r="A774" s="192" t="s">
        <v>11994</v>
      </c>
      <c r="B774" s="149" t="s">
        <v>11995</v>
      </c>
      <c r="C774" s="149" t="s">
        <v>11996</v>
      </c>
      <c r="D774" s="20" t="s">
        <v>10649</v>
      </c>
    </row>
    <row r="775" spans="1:4">
      <c r="A775" s="192" t="s">
        <v>3394</v>
      </c>
      <c r="B775" s="149" t="s">
        <v>11936</v>
      </c>
      <c r="C775" s="59" t="s">
        <v>11997</v>
      </c>
      <c r="D775" s="94">
        <v>45081</v>
      </c>
    </row>
    <row r="776" spans="1:4">
      <c r="A776" s="192" t="s">
        <v>11998</v>
      </c>
      <c r="B776" s="149" t="s">
        <v>11936</v>
      </c>
      <c r="C776" s="149" t="s">
        <v>11999</v>
      </c>
      <c r="D776" s="20" t="s">
        <v>12000</v>
      </c>
    </row>
    <row r="777" spans="1:4">
      <c r="A777" s="192" t="s">
        <v>3395</v>
      </c>
      <c r="B777" s="149" t="s">
        <v>11936</v>
      </c>
      <c r="C777" s="697" t="s">
        <v>12001</v>
      </c>
      <c r="D777" s="94">
        <v>45272</v>
      </c>
    </row>
    <row r="778" spans="1:4">
      <c r="A778" s="192" t="s">
        <v>3396</v>
      </c>
      <c r="B778" s="149" t="s">
        <v>11936</v>
      </c>
      <c r="C778" s="149" t="s">
        <v>11938</v>
      </c>
      <c r="D778" s="94">
        <v>45599</v>
      </c>
    </row>
    <row r="779" spans="1:4">
      <c r="A779" s="192" t="s">
        <v>3397</v>
      </c>
      <c r="B779" s="149" t="s">
        <v>11936</v>
      </c>
      <c r="C779" s="149" t="s">
        <v>12002</v>
      </c>
      <c r="D779" s="20" t="s">
        <v>10606</v>
      </c>
    </row>
    <row r="780" spans="1:4">
      <c r="A780" s="192" t="s">
        <v>3398</v>
      </c>
      <c r="B780" s="149" t="s">
        <v>11936</v>
      </c>
      <c r="C780" s="149" t="s">
        <v>12003</v>
      </c>
      <c r="D780" s="20" t="s">
        <v>12004</v>
      </c>
    </row>
    <row r="781" spans="1:4">
      <c r="A781" s="108" t="s">
        <v>3399</v>
      </c>
      <c r="B781" s="149" t="s">
        <v>11936</v>
      </c>
      <c r="C781" t="s">
        <v>11961</v>
      </c>
      <c r="D781" s="20" t="s">
        <v>12005</v>
      </c>
    </row>
    <row r="782" spans="1:4">
      <c r="A782" s="192" t="s">
        <v>3401</v>
      </c>
      <c r="B782" s="149" t="s">
        <v>11936</v>
      </c>
      <c r="C782" s="149" t="s">
        <v>12006</v>
      </c>
      <c r="D782" s="94">
        <v>45269</v>
      </c>
    </row>
    <row r="783" spans="1:4">
      <c r="A783" s="192" t="s">
        <v>3402</v>
      </c>
      <c r="B783" s="149" t="s">
        <v>11936</v>
      </c>
      <c r="C783" s="149" t="s">
        <v>12007</v>
      </c>
      <c r="D783" s="94">
        <v>44812</v>
      </c>
    </row>
    <row r="784" spans="1:4">
      <c r="A784" s="192" t="s">
        <v>3403</v>
      </c>
      <c r="B784" s="149" t="s">
        <v>11936</v>
      </c>
      <c r="C784" s="149" t="s">
        <v>12002</v>
      </c>
      <c r="D784" s="20" t="s">
        <v>12008</v>
      </c>
    </row>
    <row r="785" spans="1:6">
      <c r="A785" s="192" t="s">
        <v>3404</v>
      </c>
      <c r="B785" s="149" t="s">
        <v>11936</v>
      </c>
      <c r="C785" s="149" t="s">
        <v>12007</v>
      </c>
      <c r="D785" s="20" t="s">
        <v>11480</v>
      </c>
    </row>
    <row r="786" spans="1:6">
      <c r="A786" s="192" t="s">
        <v>3405</v>
      </c>
      <c r="B786" s="149" t="s">
        <v>11936</v>
      </c>
      <c r="C786" s="149" t="s">
        <v>12007</v>
      </c>
      <c r="D786" s="19" t="s">
        <v>12009</v>
      </c>
    </row>
    <row r="787" spans="1:6">
      <c r="A787" s="192" t="s">
        <v>3406</v>
      </c>
      <c r="B787" s="149" t="s">
        <v>11936</v>
      </c>
      <c r="C787" s="149" t="s">
        <v>12002</v>
      </c>
      <c r="D787" s="20" t="s">
        <v>11989</v>
      </c>
    </row>
    <row r="788" spans="1:6">
      <c r="A788" s="810" t="s">
        <v>2738</v>
      </c>
      <c r="B788" s="810"/>
      <c r="C788" s="810"/>
      <c r="D788" s="810"/>
      <c r="E788" s="810"/>
      <c r="F788" s="810"/>
    </row>
    <row r="789" spans="1:6">
      <c r="A789" s="192" t="s">
        <v>3407</v>
      </c>
      <c r="B789" s="149" t="s">
        <v>12010</v>
      </c>
      <c r="C789" s="149" t="s">
        <v>12011</v>
      </c>
      <c r="D789" s="94">
        <v>45110</v>
      </c>
    </row>
    <row r="790" spans="1:6">
      <c r="A790" s="192" t="s">
        <v>3408</v>
      </c>
      <c r="B790" s="149" t="s">
        <v>11698</v>
      </c>
      <c r="C790" s="149" t="s">
        <v>11961</v>
      </c>
      <c r="D790" s="20" t="s">
        <v>11949</v>
      </c>
    </row>
    <row r="791" spans="1:6">
      <c r="A791" s="192" t="s">
        <v>12012</v>
      </c>
      <c r="B791" s="149" t="s">
        <v>12013</v>
      </c>
      <c r="C791" s="149" t="s">
        <v>11531</v>
      </c>
      <c r="D791" s="20" t="s">
        <v>10880</v>
      </c>
    </row>
    <row r="792" spans="1:6">
      <c r="A792" s="269" t="s">
        <v>3409</v>
      </c>
      <c r="B792" s="149" t="s">
        <v>12014</v>
      </c>
      <c r="C792" s="149" t="s">
        <v>12015</v>
      </c>
      <c r="D792" s="20" t="s">
        <v>12016</v>
      </c>
    </row>
    <row r="793" spans="1:6">
      <c r="A793" s="192" t="s">
        <v>3410</v>
      </c>
      <c r="B793" t="s">
        <v>12017</v>
      </c>
      <c r="C793" t="s">
        <v>12018</v>
      </c>
      <c r="D793" s="26" t="s">
        <v>12019</v>
      </c>
    </row>
    <row r="794" spans="1:6">
      <c r="A794" s="499" t="s">
        <v>3504</v>
      </c>
      <c r="B794" s="149" t="s">
        <v>12020</v>
      </c>
      <c r="C794" s="149" t="s">
        <v>12021</v>
      </c>
      <c r="D794" s="20" t="s">
        <v>12022</v>
      </c>
    </row>
    <row r="795" spans="1:6">
      <c r="A795" s="192" t="s">
        <v>3411</v>
      </c>
      <c r="B795" s="149" t="s">
        <v>11936</v>
      </c>
      <c r="C795" s="149" t="s">
        <v>12023</v>
      </c>
      <c r="D795" s="20" t="s">
        <v>11908</v>
      </c>
    </row>
    <row r="796" spans="1:6">
      <c r="A796" s="192" t="s">
        <v>3412</v>
      </c>
      <c r="B796" s="149" t="s">
        <v>12024</v>
      </c>
      <c r="C796" s="149" t="s">
        <v>12025</v>
      </c>
      <c r="D796" s="94">
        <v>44869</v>
      </c>
    </row>
    <row r="797" spans="1:6">
      <c r="A797" s="192" t="s">
        <v>3413</v>
      </c>
      <c r="B797" s="149" t="s">
        <v>12026</v>
      </c>
      <c r="C797" s="149" t="s">
        <v>12027</v>
      </c>
      <c r="D797" s="94">
        <v>45566</v>
      </c>
    </row>
    <row r="798" spans="1:6">
      <c r="A798" s="192" t="s">
        <v>3415</v>
      </c>
      <c r="B798" s="697" t="s">
        <v>12028</v>
      </c>
      <c r="C798" s="149" t="s">
        <v>12029</v>
      </c>
      <c r="D798" s="20" t="s">
        <v>12030</v>
      </c>
    </row>
    <row r="799" spans="1:6">
      <c r="A799" s="192" t="s">
        <v>3417</v>
      </c>
      <c r="B799" s="149" t="s">
        <v>12031</v>
      </c>
      <c r="C799" s="149" t="s">
        <v>11548</v>
      </c>
      <c r="D799" s="20" t="s">
        <v>12032</v>
      </c>
    </row>
    <row r="800" spans="1:6">
      <c r="A800" s="192" t="s">
        <v>12033</v>
      </c>
      <c r="B800" s="149" t="s">
        <v>12034</v>
      </c>
      <c r="C800" s="149" t="s">
        <v>11537</v>
      </c>
      <c r="D800" s="94">
        <v>45356</v>
      </c>
    </row>
    <row r="801" spans="1:6">
      <c r="A801" s="192" t="s">
        <v>10938</v>
      </c>
      <c r="B801" s="149" t="s">
        <v>8915</v>
      </c>
      <c r="C801" s="149" t="s">
        <v>12035</v>
      </c>
      <c r="D801" s="20" t="s">
        <v>12036</v>
      </c>
    </row>
    <row r="802" spans="1:6">
      <c r="A802" s="192" t="s">
        <v>3418</v>
      </c>
      <c r="B802" s="149" t="s">
        <v>12037</v>
      </c>
      <c r="C802" s="149" t="s">
        <v>12038</v>
      </c>
      <c r="D802" s="20" t="s">
        <v>11462</v>
      </c>
    </row>
    <row r="803" spans="1:6">
      <c r="A803" s="192" t="s">
        <v>3419</v>
      </c>
      <c r="B803" s="149" t="s">
        <v>12039</v>
      </c>
      <c r="C803" s="149" t="s">
        <v>12038</v>
      </c>
      <c r="D803" s="20" t="s">
        <v>11535</v>
      </c>
    </row>
    <row r="804" spans="1:6">
      <c r="A804" s="192" t="s">
        <v>3420</v>
      </c>
      <c r="B804" s="149" t="s">
        <v>12040</v>
      </c>
      <c r="C804" s="149" t="s">
        <v>11961</v>
      </c>
      <c r="D804" s="94">
        <v>45416</v>
      </c>
    </row>
    <row r="805" spans="1:6">
      <c r="A805" s="192" t="s">
        <v>3273</v>
      </c>
      <c r="B805" s="149" t="s">
        <v>12041</v>
      </c>
      <c r="C805" s="149" t="s">
        <v>12029</v>
      </c>
      <c r="D805" s="94">
        <v>45478</v>
      </c>
    </row>
    <row r="806" spans="1:6">
      <c r="A806" s="192" t="s">
        <v>3421</v>
      </c>
      <c r="B806" s="149" t="s">
        <v>8915</v>
      </c>
      <c r="C806" s="149" t="s">
        <v>11976</v>
      </c>
      <c r="D806" s="20" t="s">
        <v>11552</v>
      </c>
    </row>
    <row r="807" spans="1:6">
      <c r="A807" s="192" t="s">
        <v>3422</v>
      </c>
      <c r="B807" s="149" t="s">
        <v>12042</v>
      </c>
      <c r="C807" s="149" t="s">
        <v>11976</v>
      </c>
      <c r="D807" s="20" t="s">
        <v>12043</v>
      </c>
    </row>
    <row r="808" spans="1:6">
      <c r="A808" s="22" t="s">
        <v>3423</v>
      </c>
      <c r="B808" s="149" t="s">
        <v>12044</v>
      </c>
      <c r="C808" s="149" t="s">
        <v>12045</v>
      </c>
      <c r="D808" s="20" t="s">
        <v>12046</v>
      </c>
    </row>
    <row r="809" spans="1:6">
      <c r="A809" s="192" t="s">
        <v>3424</v>
      </c>
      <c r="B809" s="149" t="s">
        <v>12047</v>
      </c>
      <c r="C809" s="149" t="s">
        <v>12048</v>
      </c>
      <c r="D809" s="20" t="s">
        <v>10565</v>
      </c>
    </row>
    <row r="810" spans="1:6">
      <c r="A810" s="810" t="s">
        <v>2755</v>
      </c>
      <c r="B810" s="810"/>
      <c r="C810" s="810"/>
      <c r="D810" s="810"/>
      <c r="E810" s="810"/>
      <c r="F810" s="810"/>
    </row>
    <row r="811" spans="1:6">
      <c r="A811" s="192" t="s">
        <v>3425</v>
      </c>
      <c r="B811" s="149" t="s">
        <v>11936</v>
      </c>
      <c r="C811" s="149" t="s">
        <v>11961</v>
      </c>
      <c r="D811" s="20" t="s">
        <v>12049</v>
      </c>
    </row>
    <row r="812" spans="1:6">
      <c r="A812" s="22" t="s">
        <v>3426</v>
      </c>
      <c r="B812" s="149" t="s">
        <v>11936</v>
      </c>
      <c r="C812" s="149" t="s">
        <v>12050</v>
      </c>
      <c r="D812" s="94">
        <v>45054</v>
      </c>
    </row>
    <row r="813" spans="1:6">
      <c r="A813" s="192" t="s">
        <v>10959</v>
      </c>
      <c r="B813" s="149" t="s">
        <v>11936</v>
      </c>
      <c r="C813" s="149" t="s">
        <v>12051</v>
      </c>
      <c r="D813" s="20" t="s">
        <v>12052</v>
      </c>
    </row>
    <row r="814" spans="1:6">
      <c r="A814" s="192" t="s">
        <v>3427</v>
      </c>
      <c r="B814" s="149" t="s">
        <v>12053</v>
      </c>
      <c r="C814" s="149" t="s">
        <v>12054</v>
      </c>
      <c r="D814" s="20" t="s">
        <v>12055</v>
      </c>
    </row>
    <row r="815" spans="1:6" ht="15.75">
      <c r="A815" s="639" t="s">
        <v>3429</v>
      </c>
      <c r="B815" s="149" t="s">
        <v>12056</v>
      </c>
      <c r="C815" s="149" t="s">
        <v>12057</v>
      </c>
      <c r="D815" s="20" t="s">
        <v>12058</v>
      </c>
    </row>
    <row r="816" spans="1:6">
      <c r="A816" s="269" t="s">
        <v>3430</v>
      </c>
      <c r="B816" s="186" t="s">
        <v>8915</v>
      </c>
      <c r="C816" s="186" t="s">
        <v>12059</v>
      </c>
      <c r="D816" s="94">
        <v>44933</v>
      </c>
    </row>
    <row r="817" spans="1:6" ht="15.75">
      <c r="A817" s="739" t="s">
        <v>10638</v>
      </c>
      <c r="B817" s="149" t="s">
        <v>12060</v>
      </c>
      <c r="C817" s="149" t="s">
        <v>12061</v>
      </c>
      <c r="D817" s="718">
        <v>45081</v>
      </c>
    </row>
    <row r="818" spans="1:6">
      <c r="A818" s="192" t="s">
        <v>3431</v>
      </c>
      <c r="B818" s="149" t="s">
        <v>12062</v>
      </c>
      <c r="C818" s="149" t="s">
        <v>12063</v>
      </c>
      <c r="D818" s="585" t="s">
        <v>12064</v>
      </c>
    </row>
    <row r="819" spans="1:6">
      <c r="A819" s="499" t="s">
        <v>3432</v>
      </c>
      <c r="B819" s="187" t="s">
        <v>12065</v>
      </c>
      <c r="C819" s="187" t="s">
        <v>12066</v>
      </c>
      <c r="D819" s="94">
        <v>44783</v>
      </c>
    </row>
    <row r="820" spans="1:6">
      <c r="A820" s="192" t="s">
        <v>3266</v>
      </c>
      <c r="B820" s="149" t="s">
        <v>11339</v>
      </c>
      <c r="C820" s="149" t="s">
        <v>12006</v>
      </c>
      <c r="D820" s="20" t="s">
        <v>12067</v>
      </c>
    </row>
    <row r="821" spans="1:6">
      <c r="A821" s="192" t="s">
        <v>3433</v>
      </c>
      <c r="B821" s="192" t="s">
        <v>12068</v>
      </c>
      <c r="C821" s="149" t="s">
        <v>12069</v>
      </c>
      <c r="D821" s="94">
        <v>44686</v>
      </c>
    </row>
    <row r="822" spans="1:6">
      <c r="A822" s="192" t="s">
        <v>3434</v>
      </c>
      <c r="B822" s="192" t="s">
        <v>12070</v>
      </c>
      <c r="C822" s="149" t="s">
        <v>12071</v>
      </c>
      <c r="D822" s="20" t="s">
        <v>11464</v>
      </c>
    </row>
    <row r="823" spans="1:6">
      <c r="A823" s="22" t="s">
        <v>3435</v>
      </c>
      <c r="B823" s="149" t="s">
        <v>12072</v>
      </c>
      <c r="C823" s="149" t="s">
        <v>12073</v>
      </c>
      <c r="D823" s="20" t="s">
        <v>11832</v>
      </c>
    </row>
    <row r="824" spans="1:6">
      <c r="A824" s="192" t="s">
        <v>1461</v>
      </c>
      <c r="B824" s="149" t="s">
        <v>12074</v>
      </c>
      <c r="C824" s="149" t="s">
        <v>12075</v>
      </c>
      <c r="D824" s="94">
        <v>44409</v>
      </c>
    </row>
    <row r="825" spans="1:6">
      <c r="A825" s="192" t="s">
        <v>3436</v>
      </c>
      <c r="B825" s="149" t="s">
        <v>12076</v>
      </c>
      <c r="C825" s="149" t="s">
        <v>12071</v>
      </c>
      <c r="D825" s="20" t="s">
        <v>12077</v>
      </c>
    </row>
    <row r="826" spans="1:6">
      <c r="A826" s="192" t="s">
        <v>3437</v>
      </c>
      <c r="B826" s="149" t="s">
        <v>12078</v>
      </c>
      <c r="C826" s="149" t="s">
        <v>12079</v>
      </c>
      <c r="D826" s="20" t="s">
        <v>12077</v>
      </c>
    </row>
    <row r="827" spans="1:6">
      <c r="A827" s="192" t="s">
        <v>3438</v>
      </c>
      <c r="B827" s="149" t="s">
        <v>12080</v>
      </c>
      <c r="C827" s="149" t="s">
        <v>12081</v>
      </c>
      <c r="D827" s="20" t="s">
        <v>12082</v>
      </c>
    </row>
    <row r="828" spans="1:6">
      <c r="A828" s="149" t="s">
        <v>2238</v>
      </c>
      <c r="B828" s="149" t="s">
        <v>12080</v>
      </c>
      <c r="C828" s="149" t="s">
        <v>12081</v>
      </c>
      <c r="D828" s="94">
        <v>44116</v>
      </c>
    </row>
    <row r="829" spans="1:6">
      <c r="A829" s="810" t="s">
        <v>7720</v>
      </c>
      <c r="B829" s="810"/>
      <c r="C829" s="810"/>
      <c r="D829" s="810"/>
      <c r="E829" s="810"/>
      <c r="F829" s="810"/>
    </row>
    <row r="830" spans="1:6">
      <c r="A830" s="192" t="s">
        <v>5628</v>
      </c>
      <c r="B830" s="149" t="s">
        <v>12083</v>
      </c>
      <c r="C830" s="149" t="s">
        <v>12084</v>
      </c>
      <c r="D830" s="20" t="s">
        <v>12085</v>
      </c>
    </row>
    <row r="831" spans="1:6">
      <c r="A831" s="192" t="s">
        <v>10319</v>
      </c>
      <c r="B831" s="149" t="s">
        <v>11274</v>
      </c>
      <c r="C831" s="149" t="s">
        <v>12084</v>
      </c>
      <c r="D831" s="20" t="s">
        <v>12086</v>
      </c>
    </row>
    <row r="832" spans="1:6">
      <c r="A832" s="192" t="s">
        <v>6111</v>
      </c>
      <c r="B832" s="149" t="s">
        <v>12087</v>
      </c>
      <c r="C832" s="149" t="s">
        <v>12084</v>
      </c>
      <c r="D832" s="20" t="s">
        <v>12088</v>
      </c>
    </row>
    <row r="833" spans="1:6">
      <c r="A833" s="192" t="s">
        <v>11028</v>
      </c>
      <c r="B833" s="149" t="s">
        <v>3297</v>
      </c>
      <c r="C833" s="149" t="s">
        <v>12089</v>
      </c>
      <c r="D833" s="20" t="s">
        <v>12090</v>
      </c>
    </row>
    <row r="834" spans="1:6">
      <c r="A834" s="269" t="s">
        <v>12091</v>
      </c>
      <c r="B834" s="186" t="s">
        <v>11339</v>
      </c>
      <c r="C834" s="186" t="s">
        <v>12092</v>
      </c>
      <c r="D834" s="101" t="s">
        <v>12090</v>
      </c>
    </row>
    <row r="835" spans="1:6">
      <c r="A835" s="192" t="s">
        <v>12093</v>
      </c>
      <c r="B835" s="697" t="s">
        <v>12094</v>
      </c>
      <c r="C835" s="149" t="s">
        <v>12095</v>
      </c>
      <c r="D835" s="94">
        <v>45326</v>
      </c>
    </row>
    <row r="836" spans="1:6">
      <c r="A836" s="192" t="s">
        <v>11083</v>
      </c>
      <c r="B836" s="149" t="s">
        <v>12096</v>
      </c>
      <c r="C836" s="149" t="s">
        <v>12097</v>
      </c>
      <c r="D836" s="94">
        <v>45451</v>
      </c>
    </row>
    <row r="837" spans="1:6">
      <c r="A837" s="192" t="s">
        <v>12098</v>
      </c>
      <c r="B837" s="149" t="s">
        <v>12099</v>
      </c>
      <c r="C837" s="149" t="s">
        <v>12100</v>
      </c>
      <c r="D837" s="94">
        <v>44116</v>
      </c>
    </row>
    <row r="838" spans="1:6">
      <c r="A838" s="192" t="s">
        <v>3755</v>
      </c>
      <c r="B838" s="149" t="s">
        <v>12101</v>
      </c>
      <c r="C838" s="149" t="s">
        <v>12102</v>
      </c>
      <c r="D838" s="94">
        <v>45146</v>
      </c>
    </row>
    <row r="839" spans="1:6">
      <c r="A839" s="192" t="s">
        <v>3480</v>
      </c>
      <c r="B839" s="149" t="s">
        <v>12103</v>
      </c>
      <c r="C839" s="149" t="s">
        <v>12104</v>
      </c>
      <c r="D839" s="94">
        <v>44872</v>
      </c>
    </row>
    <row r="840" spans="1:6">
      <c r="A840" s="192" t="s">
        <v>10887</v>
      </c>
      <c r="B840" s="149" t="s">
        <v>11339</v>
      </c>
      <c r="C840" s="149" t="s">
        <v>12105</v>
      </c>
      <c r="D840" s="20" t="s">
        <v>10888</v>
      </c>
    </row>
    <row r="841" spans="1:6">
      <c r="A841" s="192" t="s">
        <v>10938</v>
      </c>
      <c r="B841" s="149" t="s">
        <v>11339</v>
      </c>
      <c r="C841" s="149" t="s">
        <v>12106</v>
      </c>
      <c r="D841" s="20" t="s">
        <v>12107</v>
      </c>
    </row>
    <row r="842" spans="1:6">
      <c r="A842" s="192" t="s">
        <v>10229</v>
      </c>
      <c r="B842" s="149" t="s">
        <v>12108</v>
      </c>
      <c r="C842" s="149" t="s">
        <v>12109</v>
      </c>
      <c r="D842" s="20" t="s">
        <v>12107</v>
      </c>
    </row>
    <row r="843" spans="1:6">
      <c r="A843" s="192" t="s">
        <v>3392</v>
      </c>
      <c r="B843" s="149" t="s">
        <v>11339</v>
      </c>
      <c r="C843" s="149" t="s">
        <v>12106</v>
      </c>
      <c r="D843" s="20" t="s">
        <v>10658</v>
      </c>
    </row>
    <row r="844" spans="1:6">
      <c r="A844" s="192" t="s">
        <v>12110</v>
      </c>
      <c r="B844" s="149" t="s">
        <v>11339</v>
      </c>
      <c r="C844" s="149" t="s">
        <v>12105</v>
      </c>
      <c r="D844" s="94">
        <v>45629</v>
      </c>
    </row>
    <row r="845" spans="1:6">
      <c r="A845" s="192" t="s">
        <v>10046</v>
      </c>
      <c r="B845" t="s">
        <v>12111</v>
      </c>
      <c r="C845" s="149" t="s">
        <v>12112</v>
      </c>
      <c r="D845" s="94">
        <v>44508</v>
      </c>
    </row>
    <row r="846" spans="1:6">
      <c r="A846" s="22" t="s">
        <v>2904</v>
      </c>
      <c r="B846" s="149" t="s">
        <v>11936</v>
      </c>
      <c r="C846" s="149" t="s">
        <v>12113</v>
      </c>
      <c r="D846" s="94">
        <v>45566</v>
      </c>
    </row>
    <row r="847" spans="1:6">
      <c r="A847" s="192" t="s">
        <v>12114</v>
      </c>
      <c r="B847" s="149" t="s">
        <v>12115</v>
      </c>
      <c r="C847" s="149" t="s">
        <v>12116</v>
      </c>
      <c r="D847" s="94">
        <v>45294</v>
      </c>
    </row>
    <row r="848" spans="1:6">
      <c r="A848" s="810" t="s">
        <v>7543</v>
      </c>
      <c r="B848" s="810"/>
      <c r="C848" s="810"/>
      <c r="D848" s="810"/>
      <c r="E848" s="810"/>
      <c r="F848" s="810"/>
    </row>
    <row r="849" spans="1:4">
      <c r="A849" s="192" t="s">
        <v>186</v>
      </c>
      <c r="B849" s="149" t="s">
        <v>12117</v>
      </c>
      <c r="C849" s="149" t="s">
        <v>12118</v>
      </c>
      <c r="D849" s="94">
        <v>44116</v>
      </c>
    </row>
    <row r="850" spans="1:4">
      <c r="A850" s="22" t="s">
        <v>6469</v>
      </c>
      <c r="B850" s="149" t="s">
        <v>11339</v>
      </c>
      <c r="C850" s="149" t="s">
        <v>12119</v>
      </c>
      <c r="D850" s="20" t="s">
        <v>12120</v>
      </c>
    </row>
    <row r="851" spans="1:4">
      <c r="A851" s="192" t="s">
        <v>7121</v>
      </c>
      <c r="B851" s="149" t="s">
        <v>12041</v>
      </c>
      <c r="C851" s="149" t="s">
        <v>12121</v>
      </c>
      <c r="D851" s="94">
        <v>45441</v>
      </c>
    </row>
    <row r="852" spans="1:4">
      <c r="A852" s="192" t="s">
        <v>6557</v>
      </c>
      <c r="B852" s="149" t="s">
        <v>12122</v>
      </c>
      <c r="C852" s="149" t="s">
        <v>12123</v>
      </c>
      <c r="D852" s="20" t="s">
        <v>10880</v>
      </c>
    </row>
    <row r="853" spans="1:4">
      <c r="A853" s="192" t="s">
        <v>6194</v>
      </c>
      <c r="B853" s="149" t="s">
        <v>12124</v>
      </c>
      <c r="C853" s="149" t="s">
        <v>12123</v>
      </c>
      <c r="D853" s="94">
        <v>45206</v>
      </c>
    </row>
    <row r="854" spans="1:4">
      <c r="A854" s="192" t="s">
        <v>6177</v>
      </c>
      <c r="B854" s="149" t="s">
        <v>12125</v>
      </c>
      <c r="C854" s="149" t="s">
        <v>12126</v>
      </c>
      <c r="D854" s="20" t="s">
        <v>10750</v>
      </c>
    </row>
    <row r="855" spans="1:4">
      <c r="A855" s="192" t="s">
        <v>12127</v>
      </c>
      <c r="B855" s="149" t="s">
        <v>11339</v>
      </c>
      <c r="C855" s="149" t="s">
        <v>12128</v>
      </c>
      <c r="D855" s="20" t="s">
        <v>12129</v>
      </c>
    </row>
    <row r="856" spans="1:4">
      <c r="A856" s="192" t="s">
        <v>5827</v>
      </c>
      <c r="B856" s="149" t="s">
        <v>11339</v>
      </c>
      <c r="C856" s="149" t="s">
        <v>12130</v>
      </c>
      <c r="D856" s="94">
        <v>44816</v>
      </c>
    </row>
    <row r="857" spans="1:4">
      <c r="A857" s="192" t="s">
        <v>6168</v>
      </c>
      <c r="B857" s="149" t="s">
        <v>11339</v>
      </c>
      <c r="C857" s="149" t="s">
        <v>12131</v>
      </c>
      <c r="D857" s="20" t="s">
        <v>10746</v>
      </c>
    </row>
    <row r="858" spans="1:4">
      <c r="A858" s="192" t="s">
        <v>12132</v>
      </c>
      <c r="B858" s="149" t="s">
        <v>11339</v>
      </c>
      <c r="C858" s="149" t="s">
        <v>12133</v>
      </c>
      <c r="D858" s="94">
        <v>45570</v>
      </c>
    </row>
    <row r="859" spans="1:4">
      <c r="A859" s="192" t="s">
        <v>6760</v>
      </c>
      <c r="B859" s="149" t="s">
        <v>11339</v>
      </c>
      <c r="C859" s="149" t="s">
        <v>12134</v>
      </c>
      <c r="D859" s="20" t="s">
        <v>12135</v>
      </c>
    </row>
    <row r="860" spans="1:4">
      <c r="A860" s="192" t="s">
        <v>12136</v>
      </c>
      <c r="B860" s="149" t="s">
        <v>11339</v>
      </c>
      <c r="C860" s="149" t="s">
        <v>12128</v>
      </c>
      <c r="D860" s="20" t="s">
        <v>12137</v>
      </c>
    </row>
    <row r="861" spans="1:4">
      <c r="A861" s="192" t="s">
        <v>6376</v>
      </c>
      <c r="B861" s="149" t="s">
        <v>11339</v>
      </c>
      <c r="C861" s="149" t="s">
        <v>12138</v>
      </c>
      <c r="D861" s="20" t="s">
        <v>12139</v>
      </c>
    </row>
    <row r="862" spans="1:4">
      <c r="A862" s="192" t="s">
        <v>5677</v>
      </c>
      <c r="B862" s="149" t="s">
        <v>11936</v>
      </c>
      <c r="C862" s="149" t="s">
        <v>12140</v>
      </c>
      <c r="D862" s="20" t="s">
        <v>12141</v>
      </c>
    </row>
    <row r="863" spans="1:4">
      <c r="A863" s="192" t="s">
        <v>5702</v>
      </c>
      <c r="B863" s="149" t="s">
        <v>11936</v>
      </c>
      <c r="C863" s="149" t="s">
        <v>12142</v>
      </c>
      <c r="D863" s="20" t="s">
        <v>10374</v>
      </c>
    </row>
    <row r="864" spans="1:4">
      <c r="A864" s="192" t="s">
        <v>5612</v>
      </c>
      <c r="B864" s="149" t="s">
        <v>12143</v>
      </c>
      <c r="C864" s="149" t="s">
        <v>12144</v>
      </c>
      <c r="D864" s="20" t="s">
        <v>12145</v>
      </c>
    </row>
    <row r="865" spans="1:6">
      <c r="A865" s="192" t="s">
        <v>3587</v>
      </c>
      <c r="B865" s="149" t="s">
        <v>12146</v>
      </c>
      <c r="C865" s="149" t="s">
        <v>12147</v>
      </c>
      <c r="D865" s="20" t="s">
        <v>12148</v>
      </c>
    </row>
    <row r="866" spans="1:6">
      <c r="A866" s="269" t="s">
        <v>3774</v>
      </c>
      <c r="B866" s="186" t="s">
        <v>12149</v>
      </c>
      <c r="C866" s="186" t="s">
        <v>12128</v>
      </c>
      <c r="D866" s="101" t="s">
        <v>12150</v>
      </c>
    </row>
    <row r="867" spans="1:6">
      <c r="A867" s="192" t="s">
        <v>7159</v>
      </c>
      <c r="B867" s="149" t="s">
        <v>11262</v>
      </c>
      <c r="C867" s="149" t="s">
        <v>12151</v>
      </c>
      <c r="D867" s="20" t="s">
        <v>12152</v>
      </c>
    </row>
    <row r="868" spans="1:6">
      <c r="A868" s="22" t="s">
        <v>5691</v>
      </c>
      <c r="B868" s="149" t="s">
        <v>12153</v>
      </c>
      <c r="C868" s="149" t="s">
        <v>12154</v>
      </c>
      <c r="D868" s="20" t="s">
        <v>12152</v>
      </c>
    </row>
    <row r="869" spans="1:6">
      <c r="A869" s="22" t="s">
        <v>12155</v>
      </c>
      <c r="B869" s="149" t="s">
        <v>12156</v>
      </c>
      <c r="C869" s="149" t="s">
        <v>12154</v>
      </c>
      <c r="D869" s="20">
        <v>3377186497</v>
      </c>
    </row>
    <row r="870" spans="1:6">
      <c r="A870" s="192" t="s">
        <v>12157</v>
      </c>
      <c r="B870" s="149" t="s">
        <v>12158</v>
      </c>
      <c r="C870" s="149" t="s">
        <v>12159</v>
      </c>
      <c r="D870" s="94">
        <v>45569</v>
      </c>
    </row>
    <row r="871" spans="1:6">
      <c r="A871" s="192" t="s">
        <v>6877</v>
      </c>
      <c r="B871" s="697" t="s">
        <v>12160</v>
      </c>
      <c r="C871" s="149" t="s">
        <v>12133</v>
      </c>
      <c r="D871" s="20" t="s">
        <v>12161</v>
      </c>
    </row>
    <row r="872" spans="1:6" ht="15.75">
      <c r="A872" s="639" t="s">
        <v>5441</v>
      </c>
      <c r="B872" s="149" t="s">
        <v>12162</v>
      </c>
      <c r="C872" s="149" t="s">
        <v>12133</v>
      </c>
      <c r="D872" s="20" t="s">
        <v>11532</v>
      </c>
    </row>
    <row r="873" spans="1:6">
      <c r="A873" s="192" t="s">
        <v>12163</v>
      </c>
      <c r="B873" s="149" t="s">
        <v>11936</v>
      </c>
      <c r="C873" s="149" t="s">
        <v>12105</v>
      </c>
      <c r="D873" s="20" t="s">
        <v>11538</v>
      </c>
    </row>
    <row r="874" spans="1:6">
      <c r="A874" s="192" t="s">
        <v>3504</v>
      </c>
      <c r="B874" s="149" t="s">
        <v>11936</v>
      </c>
      <c r="C874" s="149" t="s">
        <v>12164</v>
      </c>
      <c r="D874" s="20" t="s">
        <v>12165</v>
      </c>
    </row>
    <row r="875" spans="1:6">
      <c r="A875" s="192" t="s">
        <v>6274</v>
      </c>
      <c r="B875" s="149" t="s">
        <v>12166</v>
      </c>
      <c r="C875" s="149" t="s">
        <v>12167</v>
      </c>
      <c r="D875" s="20" t="s">
        <v>7435</v>
      </c>
    </row>
    <row r="876" spans="1:6">
      <c r="A876" t="s">
        <v>6711</v>
      </c>
      <c r="B876" t="s">
        <v>11936</v>
      </c>
      <c r="C876" t="s">
        <v>12168</v>
      </c>
    </row>
    <row r="877" spans="1:6">
      <c r="A877" s="810" t="s">
        <v>4357</v>
      </c>
      <c r="B877" s="810"/>
      <c r="C877" s="810"/>
      <c r="D877" s="810"/>
      <c r="E877" s="810"/>
      <c r="F877" s="810"/>
    </row>
    <row r="878" spans="1:6">
      <c r="A878" s="108" t="s">
        <v>10110</v>
      </c>
      <c r="B878" s="149" t="s">
        <v>8915</v>
      </c>
      <c r="C878" s="149" t="s">
        <v>12133</v>
      </c>
      <c r="D878" s="94">
        <v>44418</v>
      </c>
    </row>
    <row r="879" spans="1:6">
      <c r="A879" s="108" t="s">
        <v>3818</v>
      </c>
      <c r="B879" s="149" t="s">
        <v>12169</v>
      </c>
      <c r="C879" s="149" t="s">
        <v>12133</v>
      </c>
      <c r="D879" s="20" t="s">
        <v>10658</v>
      </c>
    </row>
    <row r="880" spans="1:6">
      <c r="A880" s="108" t="s">
        <v>6128</v>
      </c>
      <c r="B880" s="149" t="s">
        <v>12170</v>
      </c>
      <c r="C880" s="149" t="s">
        <v>12164</v>
      </c>
      <c r="D880" s="20" t="s">
        <v>10710</v>
      </c>
    </row>
    <row r="881" spans="1:4">
      <c r="A881" s="108" t="s">
        <v>6128</v>
      </c>
      <c r="B881" s="697" t="s">
        <v>12170</v>
      </c>
      <c r="C881" s="149" t="s">
        <v>12171</v>
      </c>
      <c r="D881" s="20" t="s">
        <v>10710</v>
      </c>
    </row>
    <row r="882" spans="1:4">
      <c r="A882" s="1" t="s">
        <v>5420</v>
      </c>
      <c r="B882" s="697" t="s">
        <v>12170</v>
      </c>
      <c r="C882" s="149" t="s">
        <v>12172</v>
      </c>
      <c r="D882" s="20" t="s">
        <v>11790</v>
      </c>
    </row>
    <row r="883" spans="1:4">
      <c r="A883" s="108" t="s">
        <v>7224</v>
      </c>
      <c r="B883" s="149" t="s">
        <v>11936</v>
      </c>
      <c r="C883" s="149" t="s">
        <v>12173</v>
      </c>
      <c r="D883" s="94">
        <v>45511</v>
      </c>
    </row>
    <row r="884" spans="1:4">
      <c r="A884" s="108" t="s">
        <v>7271</v>
      </c>
      <c r="B884" s="149" t="s">
        <v>12174</v>
      </c>
      <c r="C884" s="149" t="s">
        <v>12175</v>
      </c>
      <c r="D884" s="94">
        <v>45299</v>
      </c>
    </row>
    <row r="885" spans="1:4">
      <c r="A885" s="108" t="s">
        <v>5229</v>
      </c>
      <c r="B885" s="149" t="s">
        <v>12176</v>
      </c>
      <c r="C885" s="149" t="s">
        <v>12177</v>
      </c>
      <c r="D885" s="94">
        <v>45418</v>
      </c>
    </row>
    <row r="886" spans="1:4">
      <c r="A886" s="108" t="s">
        <v>6599</v>
      </c>
      <c r="B886" s="149" t="s">
        <v>12178</v>
      </c>
      <c r="C886" s="149" t="s">
        <v>12179</v>
      </c>
      <c r="D886" s="94">
        <v>44969</v>
      </c>
    </row>
    <row r="887" spans="1:4">
      <c r="A887" s="108" t="s">
        <v>12180</v>
      </c>
      <c r="B887" s="149" t="s">
        <v>12181</v>
      </c>
      <c r="C887" s="149" t="s">
        <v>12182</v>
      </c>
      <c r="D887" s="94">
        <v>45542</v>
      </c>
    </row>
    <row r="888" spans="1:4">
      <c r="A888" s="108" t="s">
        <v>7246</v>
      </c>
      <c r="B888" s="149" t="s">
        <v>12181</v>
      </c>
      <c r="C888" s="149" t="s">
        <v>12182</v>
      </c>
      <c r="D888" s="20" t="s">
        <v>12183</v>
      </c>
    </row>
    <row r="889" spans="1:4">
      <c r="A889" s="108" t="s">
        <v>5524</v>
      </c>
      <c r="B889" s="149" t="s">
        <v>12184</v>
      </c>
      <c r="C889" s="149" t="s">
        <v>12185</v>
      </c>
      <c r="D889" s="94">
        <v>44594</v>
      </c>
    </row>
    <row r="890" spans="1:4">
      <c r="A890" s="108" t="s">
        <v>7193</v>
      </c>
      <c r="B890" s="149" t="s">
        <v>12186</v>
      </c>
      <c r="C890" s="149" t="s">
        <v>12187</v>
      </c>
      <c r="D890" s="20" t="s">
        <v>12188</v>
      </c>
    </row>
    <row r="891" spans="1:4">
      <c r="A891" s="108" t="s">
        <v>6739</v>
      </c>
      <c r="B891" s="186" t="s">
        <v>12189</v>
      </c>
      <c r="C891" s="149"/>
      <c r="D891" s="94">
        <v>45300</v>
      </c>
    </row>
    <row r="892" spans="1:4">
      <c r="A892" s="520" t="s">
        <v>12190</v>
      </c>
      <c r="B892" s="783" t="s">
        <v>12191</v>
      </c>
      <c r="C892" s="185" t="s">
        <v>12192</v>
      </c>
      <c r="D892" s="94">
        <v>45233</v>
      </c>
    </row>
    <row r="893" spans="1:4">
      <c r="A893" s="520" t="s">
        <v>10988</v>
      </c>
      <c r="B893" s="783" t="s">
        <v>12193</v>
      </c>
      <c r="C893" s="185" t="s">
        <v>12194</v>
      </c>
      <c r="D893" s="94">
        <v>45370</v>
      </c>
    </row>
    <row r="894" spans="1:4">
      <c r="A894" s="108" t="s">
        <v>12195</v>
      </c>
      <c r="B894" s="149" t="s">
        <v>11936</v>
      </c>
      <c r="C894" s="149" t="s">
        <v>12159</v>
      </c>
      <c r="D894" s="94">
        <v>45511</v>
      </c>
    </row>
    <row r="895" spans="1:4">
      <c r="A895" s="108" t="s">
        <v>12196</v>
      </c>
      <c r="B895" s="149" t="s">
        <v>11936</v>
      </c>
      <c r="C895" s="149" t="s">
        <v>12197</v>
      </c>
      <c r="D895" s="20" t="s">
        <v>12198</v>
      </c>
    </row>
    <row r="896" spans="1:4">
      <c r="A896" s="108" t="s">
        <v>12199</v>
      </c>
      <c r="B896" s="149" t="s">
        <v>11936</v>
      </c>
      <c r="C896" s="149" t="s">
        <v>12200</v>
      </c>
      <c r="D896" s="94">
        <v>45240</v>
      </c>
    </row>
    <row r="897" spans="1:6">
      <c r="A897" s="108" t="s">
        <v>12201</v>
      </c>
      <c r="B897" s="149" t="s">
        <v>11936</v>
      </c>
      <c r="C897" s="149"/>
      <c r="D897" s="20" t="s">
        <v>12005</v>
      </c>
    </row>
    <row r="898" spans="1:6">
      <c r="A898" s="108" t="s">
        <v>12202</v>
      </c>
      <c r="B898" s="149" t="s">
        <v>11936</v>
      </c>
      <c r="C898" s="149"/>
      <c r="D898" s="94">
        <v>45571</v>
      </c>
    </row>
    <row r="899" spans="1:6">
      <c r="A899" s="108" t="s">
        <v>12203</v>
      </c>
      <c r="B899" t="s">
        <v>11936</v>
      </c>
      <c r="C899" s="149" t="s">
        <v>12204</v>
      </c>
      <c r="D899" s="94"/>
    </row>
    <row r="900" spans="1:6">
      <c r="A900" s="108" t="s">
        <v>12203</v>
      </c>
      <c r="B900" s="149" t="s">
        <v>11936</v>
      </c>
      <c r="C900" s="149" t="s">
        <v>12205</v>
      </c>
      <c r="D900" s="94">
        <v>45210</v>
      </c>
    </row>
    <row r="901" spans="1:6">
      <c r="A901" s="108" t="s">
        <v>12206</v>
      </c>
      <c r="B901" s="149" t="s">
        <v>11936</v>
      </c>
      <c r="C901" s="149" t="s">
        <v>12207</v>
      </c>
      <c r="D901" s="149" t="s">
        <v>12208</v>
      </c>
    </row>
    <row r="902" spans="1:6">
      <c r="A902" s="108" t="s">
        <v>12209</v>
      </c>
      <c r="B902" s="149" t="s">
        <v>11936</v>
      </c>
      <c r="C902" s="149" t="s">
        <v>12210</v>
      </c>
      <c r="D902" s="20" t="s">
        <v>11574</v>
      </c>
    </row>
    <row r="903" spans="1:6">
      <c r="A903" s="1" t="s">
        <v>7301</v>
      </c>
      <c r="B903" s="149" t="s">
        <v>12211</v>
      </c>
      <c r="C903" s="149" t="s">
        <v>12212</v>
      </c>
      <c r="D903" s="20" t="s">
        <v>12213</v>
      </c>
    </row>
    <row r="904" spans="1:6">
      <c r="A904" s="108" t="s">
        <v>3706</v>
      </c>
      <c r="B904" s="149" t="s">
        <v>12214</v>
      </c>
      <c r="C904" s="149" t="s">
        <v>12215</v>
      </c>
      <c r="D904" s="94">
        <v>44443</v>
      </c>
    </row>
    <row r="905" spans="1:6">
      <c r="A905" s="1" t="s">
        <v>11116</v>
      </c>
      <c r="B905" s="149" t="s">
        <v>11936</v>
      </c>
      <c r="C905" s="149" t="s">
        <v>12215</v>
      </c>
      <c r="D905" s="20" t="s">
        <v>12216</v>
      </c>
    </row>
    <row r="906" spans="1:6">
      <c r="A906" s="108" t="s">
        <v>3743</v>
      </c>
      <c r="B906" s="149" t="s">
        <v>12217</v>
      </c>
      <c r="C906" s="149" t="s">
        <v>12204</v>
      </c>
      <c r="D906" s="94">
        <v>45209</v>
      </c>
    </row>
    <row r="907" spans="1:6">
      <c r="A907" s="108" t="s">
        <v>12218</v>
      </c>
      <c r="B907" s="149" t="s">
        <v>12219</v>
      </c>
      <c r="C907" s="149" t="s">
        <v>12220</v>
      </c>
      <c r="D907" s="94">
        <v>44613</v>
      </c>
    </row>
    <row r="908" spans="1:6">
      <c r="A908" s="149" t="s">
        <v>5638</v>
      </c>
      <c r="B908" s="149" t="s">
        <v>12221</v>
      </c>
      <c r="C908" s="149" t="s">
        <v>12222</v>
      </c>
      <c r="D908" s="20"/>
    </row>
    <row r="909" spans="1:6">
      <c r="A909" s="810" t="s">
        <v>4357</v>
      </c>
      <c r="B909" s="815"/>
      <c r="C909" s="815"/>
      <c r="D909" s="815"/>
      <c r="E909" s="815"/>
      <c r="F909" s="815"/>
    </row>
    <row r="910" spans="1:6">
      <c r="A910" s="149" t="s">
        <v>103</v>
      </c>
      <c r="B910" s="149" t="s">
        <v>12223</v>
      </c>
      <c r="C910" s="149" t="s">
        <v>12210</v>
      </c>
      <c r="D910" s="94">
        <v>44180</v>
      </c>
    </row>
    <row r="911" spans="1:6">
      <c r="A911" t="s">
        <v>5357</v>
      </c>
      <c r="B911" s="149" t="s">
        <v>12223</v>
      </c>
      <c r="C911" s="149" t="s">
        <v>12210</v>
      </c>
      <c r="D911" s="94">
        <v>45491</v>
      </c>
    </row>
    <row r="912" spans="1:6">
      <c r="A912" s="149" t="s">
        <v>12224</v>
      </c>
      <c r="B912" s="149" t="s">
        <v>12225</v>
      </c>
      <c r="C912" s="149" t="s">
        <v>12226</v>
      </c>
      <c r="D912" s="94">
        <v>44287</v>
      </c>
    </row>
    <row r="913" spans="1:4">
      <c r="A913" s="149" t="s">
        <v>6424</v>
      </c>
      <c r="B913" s="149" t="s">
        <v>12223</v>
      </c>
      <c r="C913" s="149" t="s">
        <v>12227</v>
      </c>
      <c r="D913" s="94">
        <v>45205</v>
      </c>
    </row>
    <row r="914" spans="1:4">
      <c r="A914" s="149" t="s">
        <v>7234</v>
      </c>
      <c r="B914" s="149" t="s">
        <v>11936</v>
      </c>
      <c r="C914" s="149" t="s">
        <v>12228</v>
      </c>
      <c r="D914" s="94">
        <v>45482</v>
      </c>
    </row>
    <row r="915" spans="1:4">
      <c r="A915" s="149" t="s">
        <v>7238</v>
      </c>
      <c r="B915" s="149" t="s">
        <v>11936</v>
      </c>
      <c r="C915" s="149" t="s">
        <v>12229</v>
      </c>
      <c r="D915" s="94">
        <v>45483</v>
      </c>
    </row>
    <row r="916" spans="1:4" ht="30">
      <c r="A916" s="149" t="s">
        <v>12230</v>
      </c>
      <c r="B916" s="307" t="s">
        <v>12231</v>
      </c>
      <c r="C916" s="149" t="s">
        <v>12232</v>
      </c>
      <c r="D916" s="94">
        <v>44540</v>
      </c>
    </row>
    <row r="917" spans="1:4">
      <c r="A917" s="149" t="s">
        <v>5734</v>
      </c>
      <c r="B917" s="149" t="s">
        <v>12211</v>
      </c>
      <c r="C917" s="149" t="s">
        <v>12233</v>
      </c>
      <c r="D917" s="20" t="s">
        <v>12234</v>
      </c>
    </row>
    <row r="918" spans="1:4">
      <c r="A918" s="149" t="s">
        <v>12235</v>
      </c>
      <c r="B918" s="149" t="s">
        <v>11936</v>
      </c>
      <c r="C918" s="149"/>
      <c r="D918" s="94">
        <v>45365</v>
      </c>
    </row>
    <row r="919" spans="1:4">
      <c r="A919" t="s">
        <v>4373</v>
      </c>
      <c r="B919" s="149" t="s">
        <v>11936</v>
      </c>
      <c r="C919" s="149"/>
      <c r="D919" s="20"/>
    </row>
    <row r="920" spans="1:4">
      <c r="A920" s="149" t="s">
        <v>3577</v>
      </c>
      <c r="B920" s="149" t="s">
        <v>12219</v>
      </c>
      <c r="C920" s="149" t="s">
        <v>12229</v>
      </c>
      <c r="D920" s="20" t="s">
        <v>11529</v>
      </c>
    </row>
    <row r="921" spans="1:4">
      <c r="A921" t="s">
        <v>6836</v>
      </c>
      <c r="B921" s="149" t="s">
        <v>11936</v>
      </c>
      <c r="C921" s="149"/>
      <c r="D921" s="20"/>
    </row>
    <row r="922" spans="1:4">
      <c r="A922" s="149"/>
      <c r="B922" s="149"/>
      <c r="C922" s="149"/>
      <c r="D922" s="20"/>
    </row>
    <row r="923" spans="1:4">
      <c r="A923" s="149"/>
      <c r="B923" s="149"/>
      <c r="C923" s="149"/>
      <c r="D923" s="20"/>
    </row>
    <row r="924" spans="1:4">
      <c r="A924" s="149"/>
      <c r="B924" s="149"/>
      <c r="C924" s="149"/>
      <c r="D924" s="20"/>
    </row>
    <row r="925" spans="1:4">
      <c r="A925" s="149"/>
      <c r="B925" s="149"/>
      <c r="C925" s="149"/>
      <c r="D925" s="20"/>
    </row>
    <row r="926" spans="1:4">
      <c r="A926" s="149"/>
      <c r="B926" s="149"/>
      <c r="C926" s="149"/>
      <c r="D926" s="20"/>
    </row>
    <row r="927" spans="1:4">
      <c r="A927" s="149"/>
      <c r="B927" s="149"/>
      <c r="C927" s="149"/>
      <c r="D927" s="20"/>
    </row>
    <row r="928" spans="1:4">
      <c r="A928" s="149"/>
      <c r="B928" s="149"/>
      <c r="C928" s="149"/>
      <c r="D928" s="20"/>
    </row>
    <row r="929" spans="1:4">
      <c r="A929" s="149"/>
      <c r="B929" s="149"/>
      <c r="C929" s="149"/>
      <c r="D929" s="20"/>
    </row>
    <row r="930" spans="1:4">
      <c r="A930" s="149"/>
      <c r="B930" s="149"/>
      <c r="C930" s="149"/>
      <c r="D930" s="20"/>
    </row>
    <row r="931" spans="1:4">
      <c r="A931" s="149"/>
      <c r="B931" s="149"/>
      <c r="C931" s="149"/>
      <c r="D931" s="20"/>
    </row>
    <row r="932" spans="1:4">
      <c r="A932" s="149"/>
      <c r="B932" s="149"/>
      <c r="C932" s="149"/>
      <c r="D932" s="20"/>
    </row>
    <row r="933" spans="1:4">
      <c r="A933" s="149"/>
      <c r="B933" s="149"/>
      <c r="C933" s="149"/>
      <c r="D933" s="20"/>
    </row>
  </sheetData>
  <mergeCells count="42">
    <mergeCell ref="A909:F909"/>
    <mergeCell ref="A877:F877"/>
    <mergeCell ref="A810:F810"/>
    <mergeCell ref="A788:F788"/>
    <mergeCell ref="A707:F707"/>
    <mergeCell ref="A688:F688"/>
    <mergeCell ref="A848:F848"/>
    <mergeCell ref="A829:F829"/>
    <mergeCell ref="A429:F429"/>
    <mergeCell ref="A765:F765"/>
    <mergeCell ref="A584:F584"/>
    <mergeCell ref="A494:F494"/>
    <mergeCell ref="A655:F655"/>
    <mergeCell ref="A546:F546"/>
    <mergeCell ref="A673:F673"/>
    <mergeCell ref="A1:E1"/>
    <mergeCell ref="A9:E9"/>
    <mergeCell ref="A17:E17"/>
    <mergeCell ref="A24:E24"/>
    <mergeCell ref="A29:E29"/>
    <mergeCell ref="A38:E38"/>
    <mergeCell ref="A155:F155"/>
    <mergeCell ref="A130:F130"/>
    <mergeCell ref="A89:F89"/>
    <mergeCell ref="A75:F75"/>
    <mergeCell ref="A59:E59"/>
    <mergeCell ref="A397:F397"/>
    <mergeCell ref="A632:F632"/>
    <mergeCell ref="A173:F173"/>
    <mergeCell ref="A229:F229"/>
    <mergeCell ref="A182:F182"/>
    <mergeCell ref="A289:F289"/>
    <mergeCell ref="A360:F360"/>
    <mergeCell ref="A263:F263"/>
    <mergeCell ref="A244:F244"/>
    <mergeCell ref="A342:F342"/>
    <mergeCell ref="A322:F322"/>
    <mergeCell ref="A281:F281"/>
    <mergeCell ref="A311:F311"/>
    <mergeCell ref="A527:F527"/>
    <mergeCell ref="A474:F474"/>
    <mergeCell ref="A448:F448"/>
  </mergeCell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52D7A-3079-42F7-A853-34A2059B8286}">
  <dimension ref="A1:H418"/>
  <sheetViews>
    <sheetView topLeftCell="A369" workbookViewId="0">
      <selection activeCell="A377" sqref="A377:A383"/>
    </sheetView>
  </sheetViews>
  <sheetFormatPr defaultRowHeight="15"/>
  <cols>
    <col min="1" max="1" width="42.42578125" bestFit="1" customWidth="1"/>
    <col min="2" max="2" width="22.7109375" style="26" bestFit="1" customWidth="1"/>
    <col min="3" max="3" width="17.42578125" style="312" bestFit="1" customWidth="1"/>
  </cols>
  <sheetData>
    <row r="1" spans="1:5">
      <c r="A1" s="149" t="s">
        <v>2756</v>
      </c>
      <c r="B1" s="20" t="s">
        <v>12236</v>
      </c>
      <c r="C1" s="310" t="s">
        <v>12237</v>
      </c>
    </row>
    <row r="2" spans="1:5">
      <c r="A2" s="149" t="s">
        <v>3672</v>
      </c>
      <c r="B2" s="20"/>
      <c r="C2" s="310" t="s">
        <v>12238</v>
      </c>
      <c r="E2">
        <f>COUNTIF(A:C,"x")</f>
        <v>356</v>
      </c>
    </row>
    <row r="3" spans="1:5">
      <c r="A3" s="149" t="s">
        <v>3186</v>
      </c>
      <c r="B3" s="20"/>
      <c r="C3" s="310" t="s">
        <v>12238</v>
      </c>
    </row>
    <row r="4" spans="1:5">
      <c r="A4" s="149" t="s">
        <v>3186</v>
      </c>
      <c r="B4" s="20"/>
      <c r="C4" s="310" t="s">
        <v>12238</v>
      </c>
    </row>
    <row r="5" spans="1:5">
      <c r="A5" s="149" t="s">
        <v>12239</v>
      </c>
      <c r="B5" s="20"/>
      <c r="C5" s="310" t="s">
        <v>12238</v>
      </c>
    </row>
    <row r="6" spans="1:5">
      <c r="A6" s="149" t="s">
        <v>12240</v>
      </c>
      <c r="B6" s="20"/>
      <c r="C6" s="310" t="s">
        <v>12238</v>
      </c>
    </row>
    <row r="7" spans="1:5">
      <c r="A7" s="149" t="s">
        <v>12241</v>
      </c>
      <c r="B7" s="20" t="s">
        <v>12238</v>
      </c>
      <c r="C7" s="310"/>
    </row>
    <row r="8" spans="1:5">
      <c r="A8" s="149" t="s">
        <v>4060</v>
      </c>
      <c r="B8" s="20"/>
      <c r="C8" s="310" t="s">
        <v>12238</v>
      </c>
    </row>
    <row r="9" spans="1:5">
      <c r="A9" s="149" t="s">
        <v>5788</v>
      </c>
      <c r="B9" s="20" t="s">
        <v>12238</v>
      </c>
      <c r="C9" s="310"/>
    </row>
    <row r="10" spans="1:5">
      <c r="A10" s="149" t="s">
        <v>10452</v>
      </c>
      <c r="B10" s="20"/>
      <c r="C10" s="310" t="s">
        <v>12238</v>
      </c>
    </row>
    <row r="11" spans="1:5">
      <c r="A11" s="149" t="s">
        <v>3074</v>
      </c>
      <c r="B11" s="20"/>
      <c r="C11" s="310" t="s">
        <v>12238</v>
      </c>
    </row>
    <row r="12" spans="1:5">
      <c r="A12" s="149" t="s">
        <v>3187</v>
      </c>
      <c r="B12" s="20"/>
      <c r="C12" s="310" t="s">
        <v>12238</v>
      </c>
    </row>
    <row r="13" spans="1:5">
      <c r="A13" s="186" t="s">
        <v>3485</v>
      </c>
      <c r="B13" s="101" t="s">
        <v>12238</v>
      </c>
      <c r="C13" s="311"/>
    </row>
    <row r="14" spans="1:5">
      <c r="A14" s="149" t="s">
        <v>3654</v>
      </c>
      <c r="B14" s="20" t="s">
        <v>12238</v>
      </c>
      <c r="C14" s="310"/>
    </row>
    <row r="15" spans="1:5">
      <c r="A15" t="s">
        <v>3190</v>
      </c>
      <c r="B15" s="20"/>
      <c r="C15" s="310" t="s">
        <v>12238</v>
      </c>
    </row>
    <row r="16" spans="1:5">
      <c r="A16" s="149" t="s">
        <v>3191</v>
      </c>
      <c r="B16" s="20"/>
      <c r="C16" s="310" t="s">
        <v>12238</v>
      </c>
    </row>
    <row r="17" spans="1:3">
      <c r="A17" s="149" t="s">
        <v>12242</v>
      </c>
      <c r="B17" s="20" t="s">
        <v>12238</v>
      </c>
      <c r="C17" s="310"/>
    </row>
    <row r="18" spans="1:3">
      <c r="A18" s="799" t="s">
        <v>7720</v>
      </c>
      <c r="B18" s="800"/>
      <c r="C18" s="801"/>
    </row>
    <row r="19" spans="1:3">
      <c r="A19" s="149" t="s">
        <v>12243</v>
      </c>
      <c r="B19" s="20" t="s">
        <v>12238</v>
      </c>
      <c r="C19" s="310"/>
    </row>
    <row r="20" spans="1:3">
      <c r="A20" s="149" t="s">
        <v>12244</v>
      </c>
      <c r="B20" s="20" t="s">
        <v>12238</v>
      </c>
      <c r="C20" s="310"/>
    </row>
    <row r="21" spans="1:3">
      <c r="A21" s="149" t="s">
        <v>12245</v>
      </c>
      <c r="B21" s="20"/>
      <c r="C21" s="310" t="s">
        <v>12238</v>
      </c>
    </row>
    <row r="22" spans="1:3">
      <c r="A22" s="149" t="s">
        <v>4882</v>
      </c>
      <c r="B22" s="20"/>
      <c r="C22" s="310" t="s">
        <v>12238</v>
      </c>
    </row>
    <row r="23" spans="1:3">
      <c r="A23" s="149" t="s">
        <v>11617</v>
      </c>
      <c r="B23" s="20"/>
      <c r="C23" s="310" t="s">
        <v>12238</v>
      </c>
    </row>
    <row r="24" spans="1:3">
      <c r="A24" s="149" t="s">
        <v>5746</v>
      </c>
      <c r="B24" s="20" t="s">
        <v>12238</v>
      </c>
      <c r="C24" s="310"/>
    </row>
    <row r="25" spans="1:3">
      <c r="A25" s="149" t="s">
        <v>5254</v>
      </c>
      <c r="B25" s="20" t="s">
        <v>12238</v>
      </c>
      <c r="C25" s="310"/>
    </row>
    <row r="26" spans="1:3">
      <c r="A26" s="149" t="s">
        <v>3195</v>
      </c>
      <c r="B26" s="20"/>
      <c r="C26" s="310" t="s">
        <v>12238</v>
      </c>
    </row>
    <row r="27" spans="1:3">
      <c r="A27" s="149" t="s">
        <v>12246</v>
      </c>
      <c r="B27" s="20" t="s">
        <v>12238</v>
      </c>
      <c r="C27" s="310"/>
    </row>
    <row r="28" spans="1:3">
      <c r="A28" s="149" t="s">
        <v>3198</v>
      </c>
      <c r="B28" s="20"/>
      <c r="C28" s="310" t="s">
        <v>12238</v>
      </c>
    </row>
    <row r="29" spans="1:3">
      <c r="A29" s="149" t="s">
        <v>11796</v>
      </c>
      <c r="B29" s="20"/>
      <c r="C29" s="310" t="s">
        <v>12238</v>
      </c>
    </row>
    <row r="30" spans="1:3">
      <c r="A30" s="149" t="s">
        <v>3201</v>
      </c>
      <c r="B30" s="20"/>
      <c r="C30" s="310" t="s">
        <v>12238</v>
      </c>
    </row>
    <row r="31" spans="1:3">
      <c r="A31" s="149" t="s">
        <v>3504</v>
      </c>
      <c r="B31" s="20" t="s">
        <v>12238</v>
      </c>
      <c r="C31" s="310"/>
    </row>
    <row r="32" spans="1:3">
      <c r="A32" s="149" t="s">
        <v>3205</v>
      </c>
      <c r="B32" s="20"/>
      <c r="C32" s="310" t="s">
        <v>12238</v>
      </c>
    </row>
    <row r="33" spans="1:3">
      <c r="A33" s="149" t="s">
        <v>3206</v>
      </c>
      <c r="B33" s="20"/>
      <c r="C33" s="310" t="s">
        <v>12238</v>
      </c>
    </row>
    <row r="34" spans="1:3">
      <c r="A34" s="149" t="s">
        <v>3486</v>
      </c>
      <c r="B34" s="20"/>
      <c r="C34" s="310" t="s">
        <v>12238</v>
      </c>
    </row>
    <row r="35" spans="1:3">
      <c r="A35" s="149" t="s">
        <v>5971</v>
      </c>
      <c r="B35" s="20" t="s">
        <v>12238</v>
      </c>
      <c r="C35" s="310"/>
    </row>
    <row r="36" spans="1:3">
      <c r="A36" s="149" t="s">
        <v>11643</v>
      </c>
      <c r="B36" s="20"/>
      <c r="C36" s="310" t="s">
        <v>12238</v>
      </c>
    </row>
    <row r="37" spans="1:3">
      <c r="A37" s="149" t="s">
        <v>11643</v>
      </c>
      <c r="B37" s="20"/>
      <c r="C37" s="310" t="s">
        <v>12238</v>
      </c>
    </row>
    <row r="38" spans="1:3">
      <c r="A38" s="149" t="s">
        <v>12247</v>
      </c>
      <c r="B38" s="20"/>
      <c r="C38" s="310"/>
    </row>
    <row r="39" spans="1:3">
      <c r="A39" s="149" t="s">
        <v>10147</v>
      </c>
      <c r="B39" s="20"/>
      <c r="C39" s="310" t="s">
        <v>12238</v>
      </c>
    </row>
    <row r="40" spans="1:3">
      <c r="A40" s="149" t="s">
        <v>5281</v>
      </c>
      <c r="B40" s="20"/>
      <c r="C40" s="310" t="s">
        <v>12238</v>
      </c>
    </row>
    <row r="41" spans="1:3">
      <c r="A41" s="149" t="s">
        <v>5379</v>
      </c>
      <c r="B41" s="20" t="s">
        <v>12238</v>
      </c>
      <c r="C41" s="310"/>
    </row>
    <row r="42" spans="1:3">
      <c r="A42" s="149" t="s">
        <v>5379</v>
      </c>
      <c r="B42" s="20" t="s">
        <v>12238</v>
      </c>
      <c r="C42" s="310"/>
    </row>
    <row r="43" spans="1:3">
      <c r="A43" t="s">
        <v>3211</v>
      </c>
      <c r="B43" s="20"/>
      <c r="C43" s="310" t="s">
        <v>12238</v>
      </c>
    </row>
    <row r="44" spans="1:3">
      <c r="A44" s="149" t="s">
        <v>3212</v>
      </c>
      <c r="B44" s="20"/>
      <c r="C44" s="310" t="s">
        <v>12238</v>
      </c>
    </row>
    <row r="45" spans="1:3">
      <c r="A45" s="149" t="s">
        <v>12242</v>
      </c>
      <c r="B45" s="20"/>
      <c r="C45" s="310" t="s">
        <v>12238</v>
      </c>
    </row>
    <row r="46" spans="1:3">
      <c r="A46" s="799" t="s">
        <v>7543</v>
      </c>
      <c r="B46" s="800"/>
      <c r="C46" s="801"/>
    </row>
    <row r="47" spans="1:3">
      <c r="A47" s="149" t="s">
        <v>2756</v>
      </c>
      <c r="B47" s="20" t="s">
        <v>12236</v>
      </c>
      <c r="C47" s="310" t="s">
        <v>12237</v>
      </c>
    </row>
    <row r="48" spans="1:3" ht="14.25" customHeight="1">
      <c r="A48" s="149" t="s">
        <v>3885</v>
      </c>
      <c r="B48" s="20" t="s">
        <v>12238</v>
      </c>
      <c r="C48" s="310"/>
    </row>
    <row r="49" spans="1:3">
      <c r="A49" s="149" t="s">
        <v>12248</v>
      </c>
      <c r="B49" s="20" t="s">
        <v>12238</v>
      </c>
      <c r="C49" s="310"/>
    </row>
    <row r="50" spans="1:3">
      <c r="A50" s="149" t="s">
        <v>12249</v>
      </c>
      <c r="B50" s="20" t="s">
        <v>12238</v>
      </c>
      <c r="C50" s="310"/>
    </row>
    <row r="51" spans="1:3">
      <c r="A51" s="149" t="s">
        <v>12250</v>
      </c>
      <c r="B51" s="20" t="s">
        <v>12238</v>
      </c>
      <c r="C51" s="310"/>
    </row>
    <row r="52" spans="1:3">
      <c r="A52" s="149" t="s">
        <v>12251</v>
      </c>
      <c r="B52" s="20" t="s">
        <v>12238</v>
      </c>
      <c r="C52" s="310"/>
    </row>
    <row r="53" spans="1:3">
      <c r="A53" s="149" t="s">
        <v>3216</v>
      </c>
      <c r="B53" s="20"/>
      <c r="C53" s="310" t="s">
        <v>12238</v>
      </c>
    </row>
    <row r="54" spans="1:3">
      <c r="A54" s="149" t="s">
        <v>3217</v>
      </c>
      <c r="B54" s="20"/>
      <c r="C54" s="310" t="s">
        <v>12238</v>
      </c>
    </row>
    <row r="55" spans="1:3">
      <c r="A55" s="149" t="s">
        <v>3217</v>
      </c>
      <c r="B55" s="20"/>
      <c r="C55" s="310" t="s">
        <v>12238</v>
      </c>
    </row>
    <row r="56" spans="1:3">
      <c r="A56" s="149" t="s">
        <v>3598</v>
      </c>
      <c r="B56" s="20"/>
      <c r="C56" s="310" t="s">
        <v>12238</v>
      </c>
    </row>
    <row r="57" spans="1:3">
      <c r="A57" s="149" t="s">
        <v>3598</v>
      </c>
      <c r="B57" s="20"/>
      <c r="C57" s="310" t="s">
        <v>12238</v>
      </c>
    </row>
    <row r="58" spans="1:3">
      <c r="A58" s="149" t="s">
        <v>12252</v>
      </c>
      <c r="B58" s="20" t="s">
        <v>12238</v>
      </c>
      <c r="C58" s="310"/>
    </row>
    <row r="59" spans="1:3">
      <c r="A59" s="149" t="s">
        <v>12253</v>
      </c>
      <c r="B59" s="20" t="s">
        <v>12238</v>
      </c>
      <c r="C59" s="310"/>
    </row>
    <row r="60" spans="1:3">
      <c r="A60" s="149" t="s">
        <v>3751</v>
      </c>
      <c r="B60" s="20" t="s">
        <v>12238</v>
      </c>
      <c r="C60" s="310"/>
    </row>
    <row r="61" spans="1:3">
      <c r="A61" s="149" t="s">
        <v>3751</v>
      </c>
      <c r="B61" s="20"/>
      <c r="C61" s="310" t="s">
        <v>12238</v>
      </c>
    </row>
    <row r="62" spans="1:3">
      <c r="A62" s="149" t="s">
        <v>3219</v>
      </c>
      <c r="B62" s="20"/>
      <c r="C62" s="310" t="s">
        <v>12238</v>
      </c>
    </row>
    <row r="63" spans="1:3">
      <c r="A63" s="149" t="s">
        <v>3603</v>
      </c>
      <c r="B63" s="20" t="s">
        <v>12238</v>
      </c>
      <c r="C63" s="310"/>
    </row>
    <row r="64" spans="1:3">
      <c r="A64" s="149" t="s">
        <v>3603</v>
      </c>
      <c r="B64" s="20" t="s">
        <v>12238</v>
      </c>
      <c r="C64" s="310"/>
    </row>
    <row r="65" spans="1:3">
      <c r="A65" s="149" t="s">
        <v>2189</v>
      </c>
      <c r="B65" s="20"/>
      <c r="C65" s="310" t="s">
        <v>12238</v>
      </c>
    </row>
    <row r="66" spans="1:3">
      <c r="A66" s="149" t="s">
        <v>3220</v>
      </c>
      <c r="B66" s="20"/>
      <c r="C66" s="310" t="s">
        <v>12238</v>
      </c>
    </row>
    <row r="67" spans="1:3">
      <c r="A67" s="149" t="s">
        <v>3222</v>
      </c>
      <c r="B67" s="20"/>
      <c r="C67" s="310" t="s">
        <v>12238</v>
      </c>
    </row>
    <row r="68" spans="1:3">
      <c r="A68" s="149" t="s">
        <v>3272</v>
      </c>
      <c r="B68" s="20" t="s">
        <v>12238</v>
      </c>
      <c r="C68" s="310"/>
    </row>
    <row r="69" spans="1:3">
      <c r="A69" s="149" t="s">
        <v>12254</v>
      </c>
      <c r="B69" s="20"/>
      <c r="C69" s="310" t="s">
        <v>12238</v>
      </c>
    </row>
    <row r="70" spans="1:3">
      <c r="A70" s="149" t="s">
        <v>12255</v>
      </c>
      <c r="B70" s="20"/>
      <c r="C70" s="310" t="s">
        <v>12238</v>
      </c>
    </row>
    <row r="71" spans="1:3">
      <c r="A71" t="s">
        <v>3223</v>
      </c>
      <c r="B71" s="20"/>
      <c r="C71" s="310" t="s">
        <v>12238</v>
      </c>
    </row>
    <row r="72" spans="1:3">
      <c r="A72" s="149" t="s">
        <v>2888</v>
      </c>
      <c r="B72" s="20"/>
      <c r="C72" s="310" t="s">
        <v>12238</v>
      </c>
    </row>
    <row r="73" spans="1:3">
      <c r="A73" s="799" t="s">
        <v>4357</v>
      </c>
      <c r="B73" s="800"/>
      <c r="C73" s="801"/>
    </row>
    <row r="74" spans="1:3">
      <c r="A74" s="149" t="s">
        <v>2756</v>
      </c>
      <c r="B74" s="20" t="s">
        <v>12236</v>
      </c>
      <c r="C74" s="310" t="s">
        <v>12237</v>
      </c>
    </row>
    <row r="75" spans="1:3">
      <c r="A75" s="149" t="s">
        <v>3225</v>
      </c>
      <c r="B75" s="20"/>
      <c r="C75" s="310" t="s">
        <v>12238</v>
      </c>
    </row>
    <row r="76" spans="1:3">
      <c r="A76" s="149" t="s">
        <v>10287</v>
      </c>
      <c r="B76" s="20"/>
      <c r="C76" s="310" t="s">
        <v>12238</v>
      </c>
    </row>
    <row r="77" spans="1:3">
      <c r="A77" s="149" t="s">
        <v>11676</v>
      </c>
      <c r="B77" s="20"/>
      <c r="C77" s="310" t="s">
        <v>12238</v>
      </c>
    </row>
    <row r="78" spans="1:3">
      <c r="A78" s="149" t="s">
        <v>12256</v>
      </c>
      <c r="B78" s="20"/>
      <c r="C78" s="310" t="s">
        <v>12238</v>
      </c>
    </row>
    <row r="79" spans="1:3">
      <c r="A79" s="149" t="s">
        <v>3226</v>
      </c>
      <c r="B79" s="20"/>
      <c r="C79" s="310" t="s">
        <v>12238</v>
      </c>
    </row>
    <row r="80" spans="1:3">
      <c r="A80" s="149" t="s">
        <v>3227</v>
      </c>
      <c r="B80" s="20"/>
      <c r="C80" s="310" t="s">
        <v>12238</v>
      </c>
    </row>
    <row r="81" spans="1:3" ht="15.75">
      <c r="A81" s="577" t="s">
        <v>3228</v>
      </c>
      <c r="B81" s="20"/>
      <c r="C81" s="310" t="s">
        <v>12238</v>
      </c>
    </row>
    <row r="82" spans="1:3">
      <c r="A82" s="149" t="s">
        <v>2906</v>
      </c>
      <c r="B82" s="20"/>
      <c r="C82" s="310" t="s">
        <v>12238</v>
      </c>
    </row>
    <row r="83" spans="1:3">
      <c r="A83" s="149" t="s">
        <v>618</v>
      </c>
      <c r="B83" s="20"/>
      <c r="C83" s="310" t="s">
        <v>12238</v>
      </c>
    </row>
    <row r="84" spans="1:3">
      <c r="A84" s="149" t="s">
        <v>3586</v>
      </c>
      <c r="B84" s="20"/>
      <c r="C84" s="310" t="s">
        <v>12238</v>
      </c>
    </row>
    <row r="85" spans="1:3">
      <c r="A85" s="149" t="s">
        <v>3240</v>
      </c>
      <c r="B85" s="20"/>
      <c r="C85" s="310" t="s">
        <v>12238</v>
      </c>
    </row>
    <row r="86" spans="1:3">
      <c r="A86" s="149" t="s">
        <v>3240</v>
      </c>
      <c r="B86" s="20"/>
      <c r="C86" s="310" t="s">
        <v>12238</v>
      </c>
    </row>
    <row r="87" spans="1:3" ht="15.75">
      <c r="A87" s="577" t="s">
        <v>3241</v>
      </c>
      <c r="B87" s="20"/>
      <c r="C87" s="310" t="s">
        <v>12238</v>
      </c>
    </row>
    <row r="88" spans="1:3">
      <c r="A88" s="186" t="s">
        <v>3242</v>
      </c>
      <c r="B88" s="20"/>
      <c r="C88" s="310" t="s">
        <v>12238</v>
      </c>
    </row>
    <row r="89" spans="1:3">
      <c r="A89" s="149" t="s">
        <v>3243</v>
      </c>
      <c r="B89" s="585"/>
      <c r="C89" s="310" t="s">
        <v>12238</v>
      </c>
    </row>
    <row r="90" spans="1:3">
      <c r="A90" s="186" t="s">
        <v>3244</v>
      </c>
      <c r="B90" s="587"/>
      <c r="C90" s="310" t="s">
        <v>12238</v>
      </c>
    </row>
    <row r="91" spans="1:3">
      <c r="A91" s="149" t="s">
        <v>9721</v>
      </c>
      <c r="B91" s="20"/>
      <c r="C91" s="586" t="s">
        <v>12238</v>
      </c>
    </row>
    <row r="92" spans="1:3" ht="15.75">
      <c r="A92" s="580" t="s">
        <v>3858</v>
      </c>
      <c r="B92" s="20" t="s">
        <v>12238</v>
      </c>
      <c r="C92" s="586"/>
    </row>
    <row r="93" spans="1:3">
      <c r="A93" s="149" t="s">
        <v>3247</v>
      </c>
      <c r="B93" s="20"/>
      <c r="C93" s="586" t="s">
        <v>12238</v>
      </c>
    </row>
    <row r="94" spans="1:3" ht="15.75">
      <c r="A94" s="580" t="s">
        <v>12257</v>
      </c>
      <c r="B94" s="20"/>
      <c r="C94" s="586" t="s">
        <v>12238</v>
      </c>
    </row>
    <row r="95" spans="1:3" ht="15.75">
      <c r="A95" s="589" t="s">
        <v>3249</v>
      </c>
      <c r="B95" s="20"/>
      <c r="C95" s="586" t="s">
        <v>12238</v>
      </c>
    </row>
    <row r="96" spans="1:3">
      <c r="A96" s="149" t="s">
        <v>10178</v>
      </c>
      <c r="B96" s="585"/>
      <c r="C96" s="586" t="s">
        <v>12238</v>
      </c>
    </row>
    <row r="97" spans="1:3" ht="15.75">
      <c r="A97" s="580" t="s">
        <v>12258</v>
      </c>
      <c r="B97" s="585" t="s">
        <v>12238</v>
      </c>
      <c r="C97" s="586"/>
    </row>
    <row r="98" spans="1:3">
      <c r="A98" s="149" t="s">
        <v>3250</v>
      </c>
      <c r="B98" s="585"/>
      <c r="C98" s="586" t="s">
        <v>12238</v>
      </c>
    </row>
    <row r="99" spans="1:3">
      <c r="A99" s="149" t="s">
        <v>2846</v>
      </c>
      <c r="B99" s="126"/>
      <c r="C99" s="310" t="s">
        <v>12238</v>
      </c>
    </row>
    <row r="100" spans="1:3">
      <c r="A100" s="149" t="s">
        <v>3251</v>
      </c>
      <c r="B100" s="585"/>
      <c r="C100" s="310" t="s">
        <v>12238</v>
      </c>
    </row>
    <row r="101" spans="1:3">
      <c r="A101" s="149" t="s">
        <v>3086</v>
      </c>
      <c r="B101" s="20"/>
      <c r="C101" s="310" t="s">
        <v>12238</v>
      </c>
    </row>
    <row r="102" spans="1:3">
      <c r="A102" t="s">
        <v>2275</v>
      </c>
      <c r="B102" s="20"/>
      <c r="C102" s="310" t="s">
        <v>12238</v>
      </c>
    </row>
    <row r="103" spans="1:3">
      <c r="A103" s="799" t="s">
        <v>8910</v>
      </c>
      <c r="B103" s="800"/>
      <c r="C103" s="801"/>
    </row>
    <row r="104" spans="1:3">
      <c r="A104" s="149" t="s">
        <v>2756</v>
      </c>
      <c r="B104" s="20" t="s">
        <v>12236</v>
      </c>
      <c r="C104" s="310" t="s">
        <v>12237</v>
      </c>
    </row>
    <row r="105" spans="1:3">
      <c r="A105" s="149" t="s">
        <v>1550</v>
      </c>
      <c r="B105" s="20" t="s">
        <v>12238</v>
      </c>
      <c r="C105" s="310"/>
    </row>
    <row r="106" spans="1:3">
      <c r="A106" s="149" t="s">
        <v>12259</v>
      </c>
      <c r="B106" s="20"/>
      <c r="C106" s="310" t="s">
        <v>12238</v>
      </c>
    </row>
    <row r="107" spans="1:3">
      <c r="A107" s="149" t="s">
        <v>3253</v>
      </c>
      <c r="B107" s="20"/>
      <c r="C107" s="310" t="s">
        <v>12238</v>
      </c>
    </row>
    <row r="108" spans="1:3">
      <c r="A108" s="681" t="s">
        <v>5229</v>
      </c>
      <c r="B108" s="20"/>
      <c r="C108" s="310" t="s">
        <v>12238</v>
      </c>
    </row>
    <row r="109" spans="1:3">
      <c r="A109" s="681" t="s">
        <v>3288</v>
      </c>
      <c r="B109" s="20"/>
      <c r="C109" s="310" t="s">
        <v>12238</v>
      </c>
    </row>
    <row r="110" spans="1:3">
      <c r="A110" s="149" t="s">
        <v>12260</v>
      </c>
      <c r="B110" s="20" t="s">
        <v>12238</v>
      </c>
      <c r="C110" s="310"/>
    </row>
    <row r="111" spans="1:3">
      <c r="A111" s="149" t="s">
        <v>3289</v>
      </c>
      <c r="B111" s="20"/>
      <c r="C111" s="310" t="s">
        <v>12238</v>
      </c>
    </row>
    <row r="112" spans="1:3">
      <c r="A112" s="673" t="s">
        <v>3290</v>
      </c>
      <c r="B112" s="20"/>
      <c r="C112" s="310" t="s">
        <v>12238</v>
      </c>
    </row>
    <row r="113" spans="1:3">
      <c r="A113" s="149" t="s">
        <v>692</v>
      </c>
      <c r="B113" s="20"/>
      <c r="C113" s="310" t="s">
        <v>12238</v>
      </c>
    </row>
    <row r="114" spans="1:3" ht="15.75">
      <c r="A114" s="577" t="s">
        <v>1725</v>
      </c>
      <c r="B114" s="20" t="s">
        <v>12238</v>
      </c>
      <c r="C114" s="310"/>
    </row>
    <row r="115" spans="1:3">
      <c r="A115" s="673" t="s">
        <v>3291</v>
      </c>
      <c r="B115" s="20"/>
      <c r="C115" s="310" t="s">
        <v>12238</v>
      </c>
    </row>
    <row r="116" spans="1:3">
      <c r="A116" s="149" t="s">
        <v>3869</v>
      </c>
      <c r="B116" s="20"/>
      <c r="C116" s="310"/>
    </row>
    <row r="117" spans="1:3">
      <c r="A117" s="149" t="s">
        <v>3293</v>
      </c>
      <c r="B117" s="20"/>
      <c r="C117" s="310" t="s">
        <v>12238</v>
      </c>
    </row>
    <row r="118" spans="1:3">
      <c r="A118" s="149" t="s">
        <v>10263</v>
      </c>
      <c r="B118" s="20" t="s">
        <v>12238</v>
      </c>
      <c r="C118" s="310"/>
    </row>
    <row r="119" spans="1:3">
      <c r="A119" s="149" t="s">
        <v>1407</v>
      </c>
      <c r="B119" s="20" t="s">
        <v>12238</v>
      </c>
      <c r="C119" s="310"/>
    </row>
    <row r="120" spans="1:3">
      <c r="A120" s="149" t="s">
        <v>3306</v>
      </c>
      <c r="B120" s="20" t="s">
        <v>12238</v>
      </c>
      <c r="C120" s="310"/>
    </row>
    <row r="121" spans="1:3">
      <c r="A121" s="149" t="s">
        <v>3624</v>
      </c>
      <c r="B121" s="20" t="s">
        <v>12238</v>
      </c>
      <c r="C121" s="310"/>
    </row>
    <row r="122" spans="1:3">
      <c r="A122" s="673" t="s">
        <v>3292</v>
      </c>
      <c r="B122" s="20"/>
      <c r="C122" s="310" t="s">
        <v>12238</v>
      </c>
    </row>
    <row r="123" spans="1:3">
      <c r="A123" s="149" t="s">
        <v>3886</v>
      </c>
      <c r="B123" s="20"/>
      <c r="C123" s="310" t="s">
        <v>12238</v>
      </c>
    </row>
    <row r="124" spans="1:3">
      <c r="A124" s="149" t="s">
        <v>3293</v>
      </c>
      <c r="B124" s="20"/>
      <c r="C124" s="310" t="s">
        <v>12238</v>
      </c>
    </row>
    <row r="125" spans="1:3">
      <c r="A125" s="149" t="s">
        <v>1623</v>
      </c>
      <c r="B125" s="20"/>
      <c r="C125" s="310" t="s">
        <v>12238</v>
      </c>
    </row>
    <row r="126" spans="1:3">
      <c r="A126" s="149" t="s">
        <v>3294</v>
      </c>
      <c r="B126" s="20"/>
      <c r="C126" s="310" t="s">
        <v>12238</v>
      </c>
    </row>
    <row r="127" spans="1:3">
      <c r="A127" s="673" t="s">
        <v>3295</v>
      </c>
      <c r="B127" s="20"/>
      <c r="C127" s="310" t="s">
        <v>12238</v>
      </c>
    </row>
    <row r="128" spans="1:3">
      <c r="A128" s="149" t="s">
        <v>4882</v>
      </c>
      <c r="B128" s="20"/>
      <c r="C128" s="310" t="s">
        <v>12238</v>
      </c>
    </row>
    <row r="129" spans="1:3">
      <c r="A129" s="341" t="s">
        <v>12261</v>
      </c>
      <c r="B129" s="20" t="s">
        <v>12238</v>
      </c>
      <c r="C129" s="310"/>
    </row>
    <row r="130" spans="1:3">
      <c r="A130" s="149" t="s">
        <v>3379</v>
      </c>
      <c r="B130" s="20" t="s">
        <v>12238</v>
      </c>
      <c r="C130" s="310"/>
    </row>
    <row r="131" spans="1:3">
      <c r="A131" s="340" t="s">
        <v>12262</v>
      </c>
      <c r="B131" s="101" t="s">
        <v>12238</v>
      </c>
      <c r="C131" s="311"/>
    </row>
    <row r="132" spans="1:3">
      <c r="A132" s="803" t="s">
        <v>7628</v>
      </c>
      <c r="B132" s="803"/>
      <c r="C132" s="803"/>
    </row>
    <row r="133" spans="1:3">
      <c r="A133" s="149" t="s">
        <v>2756</v>
      </c>
      <c r="B133" s="20" t="s">
        <v>12236</v>
      </c>
      <c r="C133" s="310" t="s">
        <v>12237</v>
      </c>
    </row>
    <row r="134" spans="1:3" ht="15.75">
      <c r="A134" s="580" t="s">
        <v>6248</v>
      </c>
      <c r="B134" s="20" t="s">
        <v>12238</v>
      </c>
      <c r="C134" s="310"/>
    </row>
    <row r="135" spans="1:3" ht="15.75">
      <c r="A135" s="580" t="s">
        <v>12263</v>
      </c>
      <c r="B135" s="20" t="s">
        <v>12238</v>
      </c>
      <c r="C135" s="310"/>
    </row>
    <row r="136" spans="1:3">
      <c r="A136" s="149" t="s">
        <v>3296</v>
      </c>
      <c r="B136" s="20"/>
      <c r="C136" s="310" t="s">
        <v>12238</v>
      </c>
    </row>
    <row r="137" spans="1:3">
      <c r="A137" s="149" t="s">
        <v>3298</v>
      </c>
      <c r="B137" s="20"/>
      <c r="C137" s="310" t="s">
        <v>12238</v>
      </c>
    </row>
    <row r="138" spans="1:3">
      <c r="A138" s="149" t="s">
        <v>3299</v>
      </c>
      <c r="B138" s="20"/>
      <c r="C138" s="310" t="s">
        <v>12238</v>
      </c>
    </row>
    <row r="139" spans="1:3">
      <c r="A139" s="149" t="s">
        <v>11782</v>
      </c>
      <c r="B139" s="20"/>
      <c r="C139" s="310" t="s">
        <v>12238</v>
      </c>
    </row>
    <row r="140" spans="1:3">
      <c r="A140" s="149" t="s">
        <v>11784</v>
      </c>
      <c r="B140" s="73"/>
      <c r="C140" s="322" t="s">
        <v>12238</v>
      </c>
    </row>
    <row r="141" spans="1:3">
      <c r="A141" s="149" t="s">
        <v>3300</v>
      </c>
      <c r="B141" s="20"/>
      <c r="C141" s="310" t="s">
        <v>12238</v>
      </c>
    </row>
    <row r="142" spans="1:3">
      <c r="A142" s="340" t="s">
        <v>3301</v>
      </c>
      <c r="B142" s="20"/>
      <c r="C142" s="310" t="s">
        <v>12238</v>
      </c>
    </row>
    <row r="143" spans="1:3">
      <c r="A143" s="632" t="s">
        <v>470</v>
      </c>
      <c r="B143" s="20"/>
      <c r="C143" s="310" t="s">
        <v>12238</v>
      </c>
    </row>
    <row r="144" spans="1:3">
      <c r="A144" s="149" t="s">
        <v>11796</v>
      </c>
      <c r="B144" s="20"/>
      <c r="C144" s="310" t="s">
        <v>12238</v>
      </c>
    </row>
    <row r="145" spans="1:3">
      <c r="A145" s="149" t="s">
        <v>3305</v>
      </c>
      <c r="B145" s="20"/>
      <c r="C145" s="310" t="s">
        <v>12238</v>
      </c>
    </row>
    <row r="146" spans="1:3">
      <c r="A146" s="149" t="s">
        <v>3306</v>
      </c>
      <c r="B146" s="20"/>
      <c r="C146" s="310" t="s">
        <v>12238</v>
      </c>
    </row>
    <row r="147" spans="1:3">
      <c r="A147" s="149" t="s">
        <v>5677</v>
      </c>
      <c r="B147" s="20"/>
      <c r="C147" s="310" t="s">
        <v>12238</v>
      </c>
    </row>
    <row r="148" spans="1:3">
      <c r="A148" s="187" t="s">
        <v>3850</v>
      </c>
      <c r="B148" s="20"/>
      <c r="C148" s="310" t="s">
        <v>12238</v>
      </c>
    </row>
    <row r="149" spans="1:3">
      <c r="A149" s="149" t="s">
        <v>5797</v>
      </c>
      <c r="B149" s="20"/>
      <c r="C149" s="310" t="s">
        <v>12238</v>
      </c>
    </row>
    <row r="150" spans="1:3">
      <c r="A150" s="186" t="s">
        <v>3307</v>
      </c>
      <c r="B150" s="101"/>
      <c r="C150" s="311" t="s">
        <v>12238</v>
      </c>
    </row>
    <row r="151" spans="1:3">
      <c r="A151" s="149" t="s">
        <v>11804</v>
      </c>
      <c r="B151" s="20"/>
      <c r="C151" s="310" t="s">
        <v>12238</v>
      </c>
    </row>
    <row r="152" spans="1:3">
      <c r="A152" s="149" t="s">
        <v>3307</v>
      </c>
      <c r="B152" s="20"/>
      <c r="C152" s="310" t="s">
        <v>12238</v>
      </c>
    </row>
    <row r="153" spans="1:3">
      <c r="A153" s="149" t="s">
        <v>3308</v>
      </c>
      <c r="B153" s="20"/>
      <c r="C153" s="310" t="s">
        <v>12238</v>
      </c>
    </row>
    <row r="154" spans="1:3">
      <c r="A154" s="149" t="s">
        <v>3309</v>
      </c>
      <c r="B154" s="20"/>
      <c r="C154" s="310" t="s">
        <v>12238</v>
      </c>
    </row>
    <row r="155" spans="1:3">
      <c r="A155" s="186" t="s">
        <v>3310</v>
      </c>
      <c r="B155" s="101"/>
      <c r="C155" s="311" t="s">
        <v>12238</v>
      </c>
    </row>
    <row r="156" spans="1:3">
      <c r="A156" s="186" t="s">
        <v>5514</v>
      </c>
      <c r="B156" s="101" t="s">
        <v>12238</v>
      </c>
      <c r="C156" s="311"/>
    </row>
    <row r="157" spans="1:3">
      <c r="A157" s="149" t="s">
        <v>3730</v>
      </c>
      <c r="B157" s="20"/>
      <c r="C157" s="310" t="s">
        <v>12238</v>
      </c>
    </row>
    <row r="158" spans="1:3">
      <c r="A158" s="149" t="s">
        <v>12264</v>
      </c>
      <c r="B158" s="20" t="s">
        <v>12238</v>
      </c>
      <c r="C158" s="310"/>
    </row>
    <row r="159" spans="1:3">
      <c r="A159" s="819" t="s">
        <v>7634</v>
      </c>
      <c r="B159" s="819"/>
      <c r="C159" s="819"/>
    </row>
    <row r="160" spans="1:3">
      <c r="A160" s="149" t="s">
        <v>2756</v>
      </c>
      <c r="B160" s="20" t="s">
        <v>12236</v>
      </c>
      <c r="C160" s="310" t="s">
        <v>12237</v>
      </c>
    </row>
    <row r="161" spans="1:3">
      <c r="A161" s="149" t="s">
        <v>3311</v>
      </c>
      <c r="B161" s="20"/>
      <c r="C161" s="310" t="s">
        <v>12238</v>
      </c>
    </row>
    <row r="162" spans="1:3">
      <c r="A162" s="149" t="s">
        <v>2791</v>
      </c>
      <c r="B162" s="20"/>
      <c r="C162" s="310" t="s">
        <v>12238</v>
      </c>
    </row>
    <row r="163" spans="1:3">
      <c r="A163" s="149" t="s">
        <v>3312</v>
      </c>
      <c r="B163" s="20"/>
      <c r="C163" s="310" t="s">
        <v>12238</v>
      </c>
    </row>
    <row r="164" spans="1:3">
      <c r="A164" s="149" t="s">
        <v>12265</v>
      </c>
      <c r="B164" s="20"/>
      <c r="C164" s="310" t="s">
        <v>12238</v>
      </c>
    </row>
    <row r="165" spans="1:3">
      <c r="A165" s="149" t="s">
        <v>5528</v>
      </c>
      <c r="B165" s="20"/>
      <c r="C165" s="310" t="s">
        <v>12238</v>
      </c>
    </row>
    <row r="166" spans="1:3">
      <c r="A166" s="149" t="s">
        <v>3313</v>
      </c>
      <c r="B166" s="20"/>
      <c r="C166" s="310" t="s">
        <v>12238</v>
      </c>
    </row>
    <row r="167" spans="1:3" ht="15.75">
      <c r="A167" s="580" t="s">
        <v>3314</v>
      </c>
      <c r="B167" s="20"/>
      <c r="C167" s="310" t="s">
        <v>12238</v>
      </c>
    </row>
    <row r="168" spans="1:3" ht="15.75">
      <c r="A168" s="577" t="s">
        <v>3315</v>
      </c>
      <c r="B168" s="20"/>
      <c r="C168" s="310" t="s">
        <v>12238</v>
      </c>
    </row>
    <row r="169" spans="1:3">
      <c r="A169" s="149" t="s">
        <v>3316</v>
      </c>
      <c r="B169" s="20"/>
      <c r="C169" s="310" t="s">
        <v>12238</v>
      </c>
    </row>
    <row r="170" spans="1:3">
      <c r="A170" s="149" t="s">
        <v>3317</v>
      </c>
      <c r="B170" s="20"/>
      <c r="C170" s="310" t="s">
        <v>12238</v>
      </c>
    </row>
    <row r="171" spans="1:3">
      <c r="A171" s="149" t="s">
        <v>3318</v>
      </c>
      <c r="B171" s="20"/>
      <c r="C171" s="310" t="s">
        <v>12238</v>
      </c>
    </row>
    <row r="172" spans="1:3">
      <c r="A172" s="149" t="s">
        <v>3319</v>
      </c>
      <c r="B172" s="20"/>
      <c r="C172" s="310" t="s">
        <v>12238</v>
      </c>
    </row>
    <row r="173" spans="1:3" ht="15.75">
      <c r="A173" s="580" t="s">
        <v>5353</v>
      </c>
      <c r="B173" s="20"/>
      <c r="C173" s="310" t="s">
        <v>12238</v>
      </c>
    </row>
    <row r="174" spans="1:3" ht="15.75">
      <c r="A174" s="580" t="s">
        <v>2830</v>
      </c>
      <c r="B174" s="20"/>
      <c r="C174" s="310" t="s">
        <v>12238</v>
      </c>
    </row>
    <row r="175" spans="1:3" ht="15.75">
      <c r="A175" s="580" t="s">
        <v>3511</v>
      </c>
      <c r="B175" s="20" t="s">
        <v>12238</v>
      </c>
      <c r="C175" s="310"/>
    </row>
    <row r="176" spans="1:3">
      <c r="A176" s="149" t="s">
        <v>3320</v>
      </c>
      <c r="B176" s="20"/>
      <c r="C176" s="310" t="s">
        <v>12238</v>
      </c>
    </row>
    <row r="177" spans="1:3">
      <c r="A177" s="149" t="s">
        <v>5770</v>
      </c>
      <c r="B177" s="20"/>
      <c r="C177" s="310" t="s">
        <v>12238</v>
      </c>
    </row>
    <row r="178" spans="1:3">
      <c r="A178" s="149" t="s">
        <v>3321</v>
      </c>
      <c r="B178" s="20"/>
      <c r="C178" s="310" t="s">
        <v>12238</v>
      </c>
    </row>
    <row r="179" spans="1:3">
      <c r="A179" s="819" t="s">
        <v>7656</v>
      </c>
      <c r="B179" s="819"/>
      <c r="C179" s="819"/>
    </row>
    <row r="180" spans="1:3">
      <c r="A180" s="149" t="s">
        <v>5856</v>
      </c>
      <c r="B180" s="20" t="s">
        <v>12238</v>
      </c>
      <c r="C180" s="310"/>
    </row>
    <row r="181" spans="1:3">
      <c r="A181" t="s">
        <v>3322</v>
      </c>
      <c r="B181" s="20"/>
      <c r="C181" s="310" t="s">
        <v>12238</v>
      </c>
    </row>
    <row r="182" spans="1:3">
      <c r="A182" s="149" t="s">
        <v>5892</v>
      </c>
      <c r="B182" s="20" t="s">
        <v>12238</v>
      </c>
      <c r="C182" s="310"/>
    </row>
    <row r="183" spans="1:3">
      <c r="A183" s="149" t="s">
        <v>3824</v>
      </c>
      <c r="B183" s="20" t="s">
        <v>12238</v>
      </c>
      <c r="C183" s="310"/>
    </row>
    <row r="184" spans="1:3">
      <c r="A184" s="149" t="s">
        <v>3824</v>
      </c>
      <c r="B184" s="20" t="s">
        <v>12238</v>
      </c>
      <c r="C184" s="310"/>
    </row>
    <row r="185" spans="1:3">
      <c r="A185" s="149" t="s">
        <v>3323</v>
      </c>
      <c r="B185" s="20"/>
      <c r="C185" s="310" t="s">
        <v>12238</v>
      </c>
    </row>
    <row r="186" spans="1:3">
      <c r="A186" s="149" t="s">
        <v>3326</v>
      </c>
      <c r="B186" s="20"/>
      <c r="C186" s="310" t="s">
        <v>12238</v>
      </c>
    </row>
    <row r="187" spans="1:3">
      <c r="A187" s="149" t="s">
        <v>12266</v>
      </c>
      <c r="B187" s="20"/>
      <c r="C187" s="310" t="s">
        <v>12238</v>
      </c>
    </row>
    <row r="188" spans="1:3">
      <c r="A188" s="149" t="s">
        <v>5971</v>
      </c>
      <c r="B188" s="20" t="s">
        <v>12238</v>
      </c>
      <c r="C188" s="310"/>
    </row>
    <row r="189" spans="1:3">
      <c r="A189" s="149" t="s">
        <v>12267</v>
      </c>
      <c r="B189" s="20" t="s">
        <v>12238</v>
      </c>
      <c r="C189" s="310"/>
    </row>
    <row r="190" spans="1:3">
      <c r="A190" s="340" t="s">
        <v>12267</v>
      </c>
      <c r="B190" s="20" t="s">
        <v>12238</v>
      </c>
      <c r="C190" s="310"/>
    </row>
    <row r="191" spans="1:3">
      <c r="A191" s="149" t="s">
        <v>3495</v>
      </c>
      <c r="B191" s="20" t="s">
        <v>12238</v>
      </c>
      <c r="C191" s="310"/>
    </row>
    <row r="192" spans="1:3">
      <c r="A192" s="149" t="s">
        <v>12268</v>
      </c>
      <c r="B192" s="20"/>
      <c r="C192" s="310" t="s">
        <v>12238</v>
      </c>
    </row>
    <row r="193" spans="1:3">
      <c r="A193" s="149" t="s">
        <v>10665</v>
      </c>
      <c r="B193" s="20"/>
      <c r="C193" s="310" t="s">
        <v>12238</v>
      </c>
    </row>
    <row r="194" spans="1:3">
      <c r="A194" t="s">
        <v>3322</v>
      </c>
      <c r="B194" s="20"/>
      <c r="C194" s="310" t="s">
        <v>12238</v>
      </c>
    </row>
    <row r="195" spans="1:3">
      <c r="A195" s="149" t="s">
        <v>3323</v>
      </c>
      <c r="B195" s="20"/>
      <c r="C195" s="310" t="s">
        <v>12238</v>
      </c>
    </row>
    <row r="196" spans="1:3">
      <c r="A196" s="186" t="s">
        <v>2722</v>
      </c>
      <c r="B196" s="101"/>
      <c r="C196" s="311" t="s">
        <v>12238</v>
      </c>
    </row>
    <row r="197" spans="1:3">
      <c r="A197" s="149" t="s">
        <v>3324</v>
      </c>
      <c r="B197" s="20"/>
      <c r="C197" s="310" t="s">
        <v>12238</v>
      </c>
    </row>
    <row r="198" spans="1:3">
      <c r="A198" s="149" t="s">
        <v>3325</v>
      </c>
      <c r="B198" s="20"/>
      <c r="C198" s="310" t="s">
        <v>12238</v>
      </c>
    </row>
    <row r="199" spans="1:3">
      <c r="A199" s="149" t="s">
        <v>3326</v>
      </c>
      <c r="B199" s="20"/>
      <c r="C199" s="310" t="s">
        <v>12238</v>
      </c>
    </row>
    <row r="200" spans="1:3">
      <c r="A200" s="149" t="s">
        <v>3327</v>
      </c>
      <c r="B200" s="20"/>
      <c r="C200" s="310" t="s">
        <v>12238</v>
      </c>
    </row>
    <row r="201" spans="1:3">
      <c r="A201" s="149" t="s">
        <v>3328</v>
      </c>
      <c r="B201" s="20"/>
      <c r="C201" s="310" t="s">
        <v>12238</v>
      </c>
    </row>
    <row r="202" spans="1:3">
      <c r="A202" s="149" t="s">
        <v>3330</v>
      </c>
      <c r="B202" s="20"/>
      <c r="C202" s="310" t="s">
        <v>12238</v>
      </c>
    </row>
    <row r="203" spans="1:3" ht="15.75">
      <c r="A203" s="580" t="s">
        <v>3331</v>
      </c>
      <c r="B203" s="20"/>
      <c r="C203" s="310" t="s">
        <v>12238</v>
      </c>
    </row>
    <row r="204" spans="1:3">
      <c r="A204" s="149" t="s">
        <v>11870</v>
      </c>
      <c r="B204" s="20"/>
      <c r="C204" s="310" t="s">
        <v>12238</v>
      </c>
    </row>
    <row r="205" spans="1:3">
      <c r="A205" s="149" t="s">
        <v>12269</v>
      </c>
      <c r="B205" s="20"/>
      <c r="C205" s="310" t="s">
        <v>12238</v>
      </c>
    </row>
    <row r="206" spans="1:3">
      <c r="A206" s="819" t="s">
        <v>7672</v>
      </c>
      <c r="B206" s="819"/>
      <c r="C206" s="819"/>
    </row>
    <row r="207" spans="1:3">
      <c r="A207" s="149" t="s">
        <v>2756</v>
      </c>
      <c r="B207" s="20" t="s">
        <v>12236</v>
      </c>
      <c r="C207" s="310" t="s">
        <v>12237</v>
      </c>
    </row>
    <row r="208" spans="1:3">
      <c r="A208" s="149" t="s">
        <v>5847</v>
      </c>
      <c r="B208" s="20" t="s">
        <v>12238</v>
      </c>
      <c r="C208" s="310"/>
    </row>
    <row r="209" spans="1:3">
      <c r="A209" s="149" t="s">
        <v>3805</v>
      </c>
      <c r="B209" s="20"/>
      <c r="C209" s="310" t="s">
        <v>12238</v>
      </c>
    </row>
    <row r="210" spans="1:3">
      <c r="A210" s="149" t="s">
        <v>4056</v>
      </c>
      <c r="B210" s="20"/>
      <c r="C210" s="310" t="s">
        <v>12238</v>
      </c>
    </row>
    <row r="211" spans="1:3">
      <c r="A211" s="149" t="s">
        <v>11879</v>
      </c>
      <c r="B211" s="20"/>
      <c r="C211" s="310" t="s">
        <v>12238</v>
      </c>
    </row>
    <row r="212" spans="1:3">
      <c r="A212" s="149" t="s">
        <v>11042</v>
      </c>
      <c r="B212" s="20"/>
      <c r="C212" s="310" t="s">
        <v>12238</v>
      </c>
    </row>
    <row r="213" spans="1:3">
      <c r="A213" s="149" t="s">
        <v>3334</v>
      </c>
      <c r="B213" s="20"/>
      <c r="C213" s="310" t="s">
        <v>12238</v>
      </c>
    </row>
    <row r="214" spans="1:3">
      <c r="A214" s="149" t="s">
        <v>3335</v>
      </c>
      <c r="B214" s="20"/>
      <c r="C214" s="310" t="s">
        <v>12238</v>
      </c>
    </row>
    <row r="215" spans="1:3">
      <c r="A215" s="149" t="s">
        <v>3336</v>
      </c>
      <c r="B215" s="20"/>
      <c r="C215" s="310" t="s">
        <v>12238</v>
      </c>
    </row>
    <row r="216" spans="1:3">
      <c r="A216" s="149" t="s">
        <v>10945</v>
      </c>
      <c r="B216" s="20"/>
      <c r="C216" s="310" t="s">
        <v>12238</v>
      </c>
    </row>
    <row r="217" spans="1:3">
      <c r="A217" s="340" t="s">
        <v>3338</v>
      </c>
      <c r="B217" s="20"/>
      <c r="C217" s="310" t="s">
        <v>12238</v>
      </c>
    </row>
    <row r="218" spans="1:3">
      <c r="A218" s="149" t="s">
        <v>3339</v>
      </c>
      <c r="B218" s="20"/>
      <c r="C218" s="310" t="s">
        <v>12238</v>
      </c>
    </row>
    <row r="219" spans="1:3">
      <c r="A219" s="149" t="s">
        <v>10127</v>
      </c>
      <c r="B219" s="20"/>
      <c r="C219" s="310" t="s">
        <v>12238</v>
      </c>
    </row>
    <row r="220" spans="1:3">
      <c r="A220" s="149" t="s">
        <v>3340</v>
      </c>
      <c r="B220" s="20"/>
      <c r="C220" s="310" t="s">
        <v>12238</v>
      </c>
    </row>
    <row r="221" spans="1:3">
      <c r="A221" s="149" t="s">
        <v>3341</v>
      </c>
      <c r="B221" s="20"/>
      <c r="C221" s="310" t="s">
        <v>12238</v>
      </c>
    </row>
    <row r="222" spans="1:3">
      <c r="A222" t="s">
        <v>12270</v>
      </c>
      <c r="B222" s="20" t="s">
        <v>12238</v>
      </c>
      <c r="C222" s="310"/>
    </row>
    <row r="223" spans="1:3">
      <c r="A223" s="149" t="s">
        <v>3342</v>
      </c>
      <c r="B223" s="20"/>
      <c r="C223" s="310" t="s">
        <v>12238</v>
      </c>
    </row>
    <row r="224" spans="1:3">
      <c r="A224" s="149" t="s">
        <v>3910</v>
      </c>
      <c r="B224" s="20"/>
      <c r="C224" s="310" t="s">
        <v>12238</v>
      </c>
    </row>
    <row r="225" spans="1:3">
      <c r="A225" s="149" t="s">
        <v>11902</v>
      </c>
      <c r="B225" s="20"/>
      <c r="C225" s="310" t="s">
        <v>12238</v>
      </c>
    </row>
    <row r="226" spans="1:3">
      <c r="A226" s="149" t="s">
        <v>11906</v>
      </c>
      <c r="B226" s="20"/>
      <c r="C226" s="310" t="s">
        <v>12238</v>
      </c>
    </row>
    <row r="227" spans="1:3">
      <c r="A227" s="819" t="s">
        <v>7684</v>
      </c>
      <c r="B227" s="819"/>
      <c r="C227" s="819"/>
    </row>
    <row r="228" spans="1:3">
      <c r="A228" s="149" t="s">
        <v>2756</v>
      </c>
      <c r="B228" s="20" t="s">
        <v>12236</v>
      </c>
      <c r="C228" s="310" t="s">
        <v>12237</v>
      </c>
    </row>
    <row r="229" spans="1:3">
      <c r="A229" s="149" t="s">
        <v>2803</v>
      </c>
      <c r="B229" s="20"/>
      <c r="C229" s="310" t="s">
        <v>12238</v>
      </c>
    </row>
    <row r="230" spans="1:3">
      <c r="A230" s="149" t="s">
        <v>3343</v>
      </c>
      <c r="B230" s="20"/>
      <c r="C230" s="310"/>
    </row>
    <row r="231" spans="1:3">
      <c r="A231" s="149" t="s">
        <v>11897</v>
      </c>
      <c r="B231" s="20"/>
      <c r="C231" s="310" t="s">
        <v>12238</v>
      </c>
    </row>
    <row r="232" spans="1:3">
      <c r="A232" s="149" t="s">
        <v>3344</v>
      </c>
      <c r="B232" s="20"/>
      <c r="C232" s="310" t="s">
        <v>12238</v>
      </c>
    </row>
    <row r="233" spans="1:3">
      <c r="A233" s="149" t="s">
        <v>11916</v>
      </c>
      <c r="B233" s="20"/>
      <c r="C233" s="310" t="s">
        <v>12238</v>
      </c>
    </row>
    <row r="234" spans="1:3">
      <c r="A234" s="149" t="s">
        <v>3345</v>
      </c>
      <c r="B234" s="20"/>
      <c r="C234" s="310" t="s">
        <v>12238</v>
      </c>
    </row>
    <row r="235" spans="1:3">
      <c r="A235" s="149" t="s">
        <v>6756</v>
      </c>
      <c r="B235" s="20"/>
      <c r="C235" s="310" t="s">
        <v>12238</v>
      </c>
    </row>
    <row r="236" spans="1:3">
      <c r="A236" s="149" t="s">
        <v>3346</v>
      </c>
      <c r="B236" s="20"/>
      <c r="C236" s="310" t="s">
        <v>12238</v>
      </c>
    </row>
    <row r="237" spans="1:3">
      <c r="A237" s="186" t="s">
        <v>3357</v>
      </c>
      <c r="B237" s="20"/>
      <c r="C237" s="310" t="s">
        <v>12238</v>
      </c>
    </row>
    <row r="238" spans="1:3">
      <c r="A238" s="149" t="s">
        <v>12271</v>
      </c>
      <c r="B238" s="585" t="s">
        <v>12238</v>
      </c>
      <c r="C238" s="310"/>
    </row>
    <row r="239" spans="1:3">
      <c r="A239" s="149" t="s">
        <v>12271</v>
      </c>
      <c r="B239" s="585" t="s">
        <v>12238</v>
      </c>
      <c r="C239" s="310"/>
    </row>
    <row r="240" spans="1:3">
      <c r="A240" s="149" t="s">
        <v>12271</v>
      </c>
      <c r="B240" s="585" t="s">
        <v>12238</v>
      </c>
      <c r="C240" s="310"/>
    </row>
    <row r="241" spans="1:3">
      <c r="A241" s="149" t="s">
        <v>1977</v>
      </c>
      <c r="B241" s="585" t="s">
        <v>12238</v>
      </c>
      <c r="C241" s="310"/>
    </row>
    <row r="242" spans="1:3">
      <c r="A242" s="149" t="s">
        <v>5260</v>
      </c>
      <c r="B242" s="20"/>
      <c r="C242" s="310" t="s">
        <v>12238</v>
      </c>
    </row>
    <row r="243" spans="1:3">
      <c r="A243" s="149" t="s">
        <v>3347</v>
      </c>
      <c r="B243" s="20"/>
      <c r="C243" s="310" t="s">
        <v>12238</v>
      </c>
    </row>
    <row r="244" spans="1:3" ht="15.75">
      <c r="A244" s="577" t="s">
        <v>6122</v>
      </c>
      <c r="B244" s="101" t="s">
        <v>12238</v>
      </c>
      <c r="C244" s="311"/>
    </row>
    <row r="245" spans="1:3">
      <c r="A245" s="149" t="s">
        <v>12272</v>
      </c>
      <c r="B245" s="20" t="s">
        <v>12238</v>
      </c>
      <c r="C245" s="310"/>
    </row>
    <row r="246" spans="1:3">
      <c r="A246" s="149" t="s">
        <v>3349</v>
      </c>
      <c r="B246" s="20"/>
      <c r="C246" s="310" t="s">
        <v>12238</v>
      </c>
    </row>
    <row r="247" spans="1:3">
      <c r="A247" s="149" t="s">
        <v>3351</v>
      </c>
      <c r="B247" s="20"/>
      <c r="C247" s="310" t="s">
        <v>12238</v>
      </c>
    </row>
    <row r="248" spans="1:3">
      <c r="A248" s="149" t="s">
        <v>3706</v>
      </c>
      <c r="B248" s="20"/>
      <c r="C248" s="310" t="s">
        <v>12238</v>
      </c>
    </row>
    <row r="249" spans="1:3">
      <c r="A249" s="149" t="s">
        <v>3350</v>
      </c>
      <c r="B249" s="20"/>
      <c r="C249" s="310" t="s">
        <v>12238</v>
      </c>
    </row>
    <row r="250" spans="1:3">
      <c r="A250" s="149" t="s">
        <v>3382</v>
      </c>
      <c r="B250" s="20"/>
      <c r="C250" s="310" t="s">
        <v>12238</v>
      </c>
    </row>
    <row r="251" spans="1:3">
      <c r="A251" s="149" t="s">
        <v>3381</v>
      </c>
      <c r="B251" s="20"/>
      <c r="C251" s="310" t="s">
        <v>12238</v>
      </c>
    </row>
    <row r="252" spans="1:3">
      <c r="A252" s="149" t="s">
        <v>3384</v>
      </c>
      <c r="B252" s="20"/>
      <c r="C252" s="310" t="s">
        <v>12238</v>
      </c>
    </row>
    <row r="253" spans="1:3">
      <c r="A253" s="149" t="s">
        <v>3385</v>
      </c>
      <c r="B253" s="20"/>
      <c r="C253" s="310" t="s">
        <v>12238</v>
      </c>
    </row>
    <row r="254" spans="1:3">
      <c r="A254" s="149" t="s">
        <v>5241</v>
      </c>
      <c r="B254" s="20"/>
      <c r="C254" s="310" t="s">
        <v>12238</v>
      </c>
    </row>
    <row r="255" spans="1:3">
      <c r="A255" s="819" t="s">
        <v>2715</v>
      </c>
      <c r="B255" s="819"/>
      <c r="C255" s="819"/>
    </row>
    <row r="256" spans="1:3">
      <c r="A256" t="s">
        <v>3812</v>
      </c>
      <c r="B256" s="20"/>
      <c r="C256" s="310" t="s">
        <v>12238</v>
      </c>
    </row>
    <row r="257" spans="1:3">
      <c r="A257" s="149" t="s">
        <v>11982</v>
      </c>
      <c r="B257" s="101"/>
      <c r="C257" s="311" t="s">
        <v>12238</v>
      </c>
    </row>
    <row r="258" spans="1:3">
      <c r="A258" s="149" t="s">
        <v>3386</v>
      </c>
      <c r="B258" s="101"/>
      <c r="C258" s="311" t="s">
        <v>12238</v>
      </c>
    </row>
    <row r="259" spans="1:3">
      <c r="A259" s="149" t="s">
        <v>12273</v>
      </c>
      <c r="B259" s="20" t="s">
        <v>12238</v>
      </c>
      <c r="C259" s="310"/>
    </row>
    <row r="260" spans="1:3">
      <c r="A260" s="149" t="s">
        <v>3387</v>
      </c>
      <c r="B260" s="20"/>
      <c r="C260" s="310" t="s">
        <v>12238</v>
      </c>
    </row>
    <row r="261" spans="1:3">
      <c r="A261" s="149" t="s">
        <v>3389</v>
      </c>
      <c r="B261" s="20"/>
      <c r="C261" s="310" t="s">
        <v>12238</v>
      </c>
    </row>
    <row r="262" spans="1:3">
      <c r="A262" s="149" t="s">
        <v>3391</v>
      </c>
      <c r="B262" s="20"/>
      <c r="C262" s="310" t="s">
        <v>12238</v>
      </c>
    </row>
    <row r="263" spans="1:3">
      <c r="A263" s="149" t="s">
        <v>11994</v>
      </c>
      <c r="B263" s="20"/>
      <c r="C263" s="310" t="s">
        <v>12238</v>
      </c>
    </row>
    <row r="264" spans="1:3">
      <c r="A264" s="149" t="s">
        <v>3408</v>
      </c>
      <c r="B264" s="20"/>
      <c r="C264" s="310" t="s">
        <v>12238</v>
      </c>
    </row>
    <row r="265" spans="1:3">
      <c r="A265" s="186" t="s">
        <v>12274</v>
      </c>
      <c r="B265" s="101" t="s">
        <v>12238</v>
      </c>
      <c r="C265" s="311"/>
    </row>
    <row r="266" spans="1:3">
      <c r="A266" s="722"/>
      <c r="B266" s="724" t="s">
        <v>2738</v>
      </c>
      <c r="C266" s="723"/>
    </row>
    <row r="267" spans="1:3">
      <c r="A267" s="187" t="s">
        <v>3407</v>
      </c>
      <c r="B267" s="73"/>
      <c r="C267" s="322" t="s">
        <v>12238</v>
      </c>
    </row>
    <row r="268" spans="1:3">
      <c r="A268" t="s">
        <v>3409</v>
      </c>
      <c r="B268" s="20"/>
      <c r="C268" s="310" t="s">
        <v>12238</v>
      </c>
    </row>
    <row r="269" spans="1:3">
      <c r="A269" s="149" t="s">
        <v>3504</v>
      </c>
      <c r="B269" s="20"/>
      <c r="C269" s="310" t="s">
        <v>12238</v>
      </c>
    </row>
    <row r="270" spans="1:3">
      <c r="A270" s="149" t="s">
        <v>3411</v>
      </c>
      <c r="B270" s="20"/>
      <c r="C270" s="310" t="s">
        <v>12238</v>
      </c>
    </row>
    <row r="271" spans="1:3">
      <c r="A271" s="149" t="s">
        <v>3412</v>
      </c>
      <c r="B271" s="20"/>
      <c r="C271" s="310" t="s">
        <v>12238</v>
      </c>
    </row>
    <row r="272" spans="1:3">
      <c r="A272" s="22" t="s">
        <v>3410</v>
      </c>
      <c r="B272" s="20"/>
      <c r="C272" s="310" t="s">
        <v>12238</v>
      </c>
    </row>
    <row r="273" spans="1:3">
      <c r="A273" s="192" t="s">
        <v>12012</v>
      </c>
      <c r="B273" s="20"/>
      <c r="C273" s="310" t="s">
        <v>12238</v>
      </c>
    </row>
    <row r="274" spans="1:3">
      <c r="A274" s="149" t="s">
        <v>12275</v>
      </c>
      <c r="B274" s="20"/>
      <c r="C274" s="310" t="s">
        <v>12238</v>
      </c>
    </row>
    <row r="275" spans="1:3">
      <c r="A275" s="149" t="s">
        <v>3413</v>
      </c>
      <c r="B275" s="20"/>
      <c r="C275" s="310" t="s">
        <v>12238</v>
      </c>
    </row>
    <row r="276" spans="1:3">
      <c r="A276" s="149" t="s">
        <v>3437</v>
      </c>
      <c r="B276" s="20" t="s">
        <v>12238</v>
      </c>
      <c r="C276" s="310"/>
    </row>
    <row r="277" spans="1:3">
      <c r="A277" s="186" t="s">
        <v>12274</v>
      </c>
      <c r="B277" s="20"/>
      <c r="C277" s="310" t="s">
        <v>12238</v>
      </c>
    </row>
    <row r="278" spans="1:3">
      <c r="A278" s="149" t="s">
        <v>12033</v>
      </c>
      <c r="B278" s="20"/>
      <c r="C278" s="310" t="s">
        <v>12238</v>
      </c>
    </row>
    <row r="279" spans="1:3">
      <c r="A279" s="149" t="s">
        <v>10938</v>
      </c>
      <c r="B279" s="20"/>
      <c r="C279" s="310" t="s">
        <v>12238</v>
      </c>
    </row>
    <row r="280" spans="1:3">
      <c r="A280" s="149" t="s">
        <v>3418</v>
      </c>
      <c r="B280" s="20"/>
      <c r="C280" s="310" t="s">
        <v>12238</v>
      </c>
    </row>
    <row r="281" spans="1:3">
      <c r="A281" s="149" t="s">
        <v>3419</v>
      </c>
      <c r="B281" s="20"/>
      <c r="C281" s="310" t="s">
        <v>12238</v>
      </c>
    </row>
    <row r="282" spans="1:3">
      <c r="A282" s="149" t="s">
        <v>3420</v>
      </c>
      <c r="B282" s="20"/>
      <c r="C282" s="310" t="s">
        <v>12238</v>
      </c>
    </row>
    <row r="283" spans="1:3">
      <c r="A283" s="149" t="s">
        <v>3273</v>
      </c>
      <c r="B283" s="20"/>
      <c r="C283" s="310" t="s">
        <v>12238</v>
      </c>
    </row>
    <row r="284" spans="1:3">
      <c r="A284" s="149" t="s">
        <v>3421</v>
      </c>
      <c r="B284" s="20"/>
      <c r="C284" s="310" t="s">
        <v>12238</v>
      </c>
    </row>
    <row r="285" spans="1:3">
      <c r="A285" s="149" t="s">
        <v>3422</v>
      </c>
      <c r="B285" s="20"/>
      <c r="C285" s="310" t="s">
        <v>12238</v>
      </c>
    </row>
    <row r="286" spans="1:3">
      <c r="A286" t="s">
        <v>3423</v>
      </c>
      <c r="B286" s="20"/>
      <c r="C286" s="310" t="s">
        <v>12238</v>
      </c>
    </row>
    <row r="287" spans="1:3">
      <c r="A287" s="186" t="s">
        <v>3424</v>
      </c>
      <c r="B287" s="101"/>
      <c r="C287" s="311" t="s">
        <v>12238</v>
      </c>
    </row>
    <row r="288" spans="1:3">
      <c r="A288" s="722"/>
      <c r="B288" s="724" t="s">
        <v>2755</v>
      </c>
      <c r="C288" s="723"/>
    </row>
    <row r="289" spans="1:3">
      <c r="A289" s="149" t="s">
        <v>3425</v>
      </c>
      <c r="B289" s="20"/>
      <c r="C289" s="310" t="s">
        <v>12238</v>
      </c>
    </row>
    <row r="290" spans="1:3">
      <c r="A290" t="s">
        <v>3426</v>
      </c>
      <c r="B290" s="20"/>
      <c r="C290" s="310" t="s">
        <v>12238</v>
      </c>
    </row>
    <row r="291" spans="1:3">
      <c r="A291" s="149" t="s">
        <v>6729</v>
      </c>
      <c r="B291" s="20" t="s">
        <v>12238</v>
      </c>
      <c r="C291" s="310"/>
    </row>
    <row r="292" spans="1:3">
      <c r="A292" s="149" t="s">
        <v>10959</v>
      </c>
      <c r="B292" s="20"/>
      <c r="C292" s="310" t="s">
        <v>12238</v>
      </c>
    </row>
    <row r="293" spans="1:3">
      <c r="A293" s="149" t="s">
        <v>3427</v>
      </c>
      <c r="B293" s="20"/>
      <c r="C293" s="311" t="s">
        <v>12238</v>
      </c>
    </row>
    <row r="294" spans="1:3" ht="15.75">
      <c r="A294" s="577" t="s">
        <v>3429</v>
      </c>
      <c r="B294" s="20"/>
      <c r="C294" s="310" t="s">
        <v>12238</v>
      </c>
    </row>
    <row r="295" spans="1:3">
      <c r="A295" s="149" t="s">
        <v>3430</v>
      </c>
      <c r="B295" s="20"/>
      <c r="C295" s="310" t="s">
        <v>12238</v>
      </c>
    </row>
    <row r="296" spans="1:3" ht="15.75">
      <c r="A296" s="580" t="s">
        <v>10638</v>
      </c>
      <c r="B296" s="20"/>
      <c r="C296" s="310" t="s">
        <v>12238</v>
      </c>
    </row>
    <row r="297" spans="1:3">
      <c r="A297" s="149" t="s">
        <v>3431</v>
      </c>
      <c r="B297" s="20"/>
      <c r="C297" s="310" t="s">
        <v>12238</v>
      </c>
    </row>
    <row r="298" spans="1:3">
      <c r="A298" s="187" t="s">
        <v>3432</v>
      </c>
      <c r="B298" s="20"/>
      <c r="C298" s="310" t="s">
        <v>12238</v>
      </c>
    </row>
    <row r="299" spans="1:3">
      <c r="A299" s="149" t="s">
        <v>6877</v>
      </c>
      <c r="B299" s="20" t="s">
        <v>12238</v>
      </c>
      <c r="C299" s="310"/>
    </row>
    <row r="300" spans="1:3">
      <c r="A300" s="149" t="s">
        <v>3266</v>
      </c>
      <c r="B300" s="20"/>
      <c r="C300" s="310" t="s">
        <v>12238</v>
      </c>
    </row>
    <row r="301" spans="1:3">
      <c r="A301" s="149" t="s">
        <v>3433</v>
      </c>
      <c r="B301" s="20"/>
      <c r="C301" s="310" t="s">
        <v>12238</v>
      </c>
    </row>
    <row r="302" spans="1:3">
      <c r="A302" s="149" t="s">
        <v>3434</v>
      </c>
      <c r="B302" s="20"/>
      <c r="C302" s="310" t="s">
        <v>12238</v>
      </c>
    </row>
    <row r="303" spans="1:3">
      <c r="A303" t="s">
        <v>3435</v>
      </c>
      <c r="B303" s="20"/>
      <c r="C303" s="310" t="s">
        <v>12238</v>
      </c>
    </row>
    <row r="304" spans="1:3">
      <c r="A304" s="149" t="s">
        <v>1461</v>
      </c>
      <c r="B304" s="20"/>
      <c r="C304" s="310" t="s">
        <v>12238</v>
      </c>
    </row>
    <row r="305" spans="1:3">
      <c r="A305" s="149" t="s">
        <v>3436</v>
      </c>
      <c r="B305" s="20"/>
      <c r="C305" s="310" t="s">
        <v>12238</v>
      </c>
    </row>
    <row r="306" spans="1:3">
      <c r="A306" s="149" t="s">
        <v>3437</v>
      </c>
      <c r="B306" s="20"/>
      <c r="C306" s="310" t="s">
        <v>12238</v>
      </c>
    </row>
    <row r="307" spans="1:3">
      <c r="A307" s="149" t="s">
        <v>3438</v>
      </c>
      <c r="B307" s="20"/>
      <c r="C307" s="310" t="s">
        <v>12238</v>
      </c>
    </row>
    <row r="308" spans="1:3">
      <c r="A308" s="186" t="s">
        <v>2238</v>
      </c>
      <c r="B308" s="101"/>
      <c r="C308" s="311" t="s">
        <v>12238</v>
      </c>
    </row>
    <row r="309" spans="1:3">
      <c r="A309" s="149" t="s">
        <v>5892</v>
      </c>
      <c r="B309" s="20" t="s">
        <v>12238</v>
      </c>
      <c r="C309" s="310"/>
    </row>
    <row r="310" spans="1:3">
      <c r="A310" s="149" t="s">
        <v>12276</v>
      </c>
      <c r="B310" s="20" t="s">
        <v>12238</v>
      </c>
      <c r="C310" s="310"/>
    </row>
    <row r="311" spans="1:3">
      <c r="A311" s="722"/>
      <c r="B311" s="724" t="s">
        <v>7720</v>
      </c>
      <c r="C311" s="723"/>
    </row>
    <row r="312" spans="1:3">
      <c r="A312" s="149" t="s">
        <v>5628</v>
      </c>
      <c r="B312" s="20"/>
      <c r="C312" s="310" t="s">
        <v>12238</v>
      </c>
    </row>
    <row r="313" spans="1:3">
      <c r="A313" s="149" t="s">
        <v>10319</v>
      </c>
      <c r="B313" s="20"/>
      <c r="C313" s="310" t="s">
        <v>12238</v>
      </c>
    </row>
    <row r="314" spans="1:3">
      <c r="A314" s="149" t="s">
        <v>6111</v>
      </c>
      <c r="B314" s="20"/>
      <c r="C314" s="310" t="s">
        <v>12238</v>
      </c>
    </row>
    <row r="315" spans="1:3">
      <c r="A315" s="186" t="s">
        <v>11028</v>
      </c>
      <c r="B315" s="101"/>
      <c r="C315" s="311" t="s">
        <v>12238</v>
      </c>
    </row>
    <row r="316" spans="1:3">
      <c r="A316" s="149" t="s">
        <v>12091</v>
      </c>
      <c r="B316" s="149"/>
      <c r="C316" s="310" t="s">
        <v>12238</v>
      </c>
    </row>
    <row r="317" spans="1:3">
      <c r="A317" s="149" t="s">
        <v>6964</v>
      </c>
      <c r="B317" s="20" t="s">
        <v>12238</v>
      </c>
      <c r="C317" s="310"/>
    </row>
    <row r="318" spans="1:3" ht="15.75">
      <c r="A318" s="577" t="s">
        <v>3714</v>
      </c>
      <c r="B318" s="20" t="s">
        <v>12277</v>
      </c>
      <c r="C318" s="310"/>
    </row>
    <row r="319" spans="1:3">
      <c r="A319" s="149" t="s">
        <v>6964</v>
      </c>
      <c r="B319" s="20" t="s">
        <v>12238</v>
      </c>
      <c r="C319" s="310"/>
    </row>
    <row r="320" spans="1:3">
      <c r="A320" s="149" t="s">
        <v>2818</v>
      </c>
      <c r="B320" s="20" t="s">
        <v>12238</v>
      </c>
      <c r="C320" s="310"/>
    </row>
    <row r="321" spans="1:3">
      <c r="A321" s="149" t="s">
        <v>12098</v>
      </c>
      <c r="B321" s="20"/>
      <c r="C321" s="310" t="s">
        <v>12238</v>
      </c>
    </row>
    <row r="322" spans="1:3">
      <c r="A322" s="149" t="s">
        <v>3755</v>
      </c>
      <c r="B322" s="20"/>
      <c r="C322" s="310" t="s">
        <v>12238</v>
      </c>
    </row>
    <row r="323" spans="1:3">
      <c r="A323" s="149" t="s">
        <v>3480</v>
      </c>
      <c r="B323" s="20"/>
      <c r="C323" s="310" t="s">
        <v>12238</v>
      </c>
    </row>
    <row r="324" spans="1:3">
      <c r="A324" s="149" t="s">
        <v>10887</v>
      </c>
      <c r="B324" s="20"/>
      <c r="C324" s="310" t="s">
        <v>12238</v>
      </c>
    </row>
    <row r="325" spans="1:3">
      <c r="A325" s="149" t="s">
        <v>10938</v>
      </c>
      <c r="B325" s="20"/>
      <c r="C325" s="310" t="s">
        <v>12238</v>
      </c>
    </row>
    <row r="326" spans="1:3">
      <c r="A326" s="149" t="s">
        <v>10229</v>
      </c>
      <c r="B326" s="20"/>
      <c r="C326" s="310" t="s">
        <v>12238</v>
      </c>
    </row>
    <row r="327" spans="1:3">
      <c r="A327" s="149" t="s">
        <v>3392</v>
      </c>
      <c r="B327" s="20"/>
      <c r="C327" s="310" t="s">
        <v>12238</v>
      </c>
    </row>
    <row r="328" spans="1:3">
      <c r="A328" s="149" t="s">
        <v>12110</v>
      </c>
      <c r="B328" s="20"/>
      <c r="C328" s="310" t="s">
        <v>12238</v>
      </c>
    </row>
    <row r="329" spans="1:3">
      <c r="A329" s="149" t="s">
        <v>10046</v>
      </c>
      <c r="B329" s="20"/>
      <c r="C329" s="310" t="s">
        <v>12238</v>
      </c>
    </row>
    <row r="330" spans="1:3">
      <c r="A330" t="s">
        <v>2904</v>
      </c>
      <c r="B330" s="20"/>
      <c r="C330" s="310" t="s">
        <v>12238</v>
      </c>
    </row>
    <row r="331" spans="1:3">
      <c r="A331" s="149" t="s">
        <v>12114</v>
      </c>
      <c r="B331" s="20"/>
      <c r="C331" s="310" t="s">
        <v>12238</v>
      </c>
    </row>
    <row r="332" spans="1:3">
      <c r="A332" s="817" t="s">
        <v>7543</v>
      </c>
      <c r="B332" s="817"/>
      <c r="C332" s="817"/>
    </row>
    <row r="333" spans="1:3">
      <c r="A333" s="149" t="s">
        <v>5414</v>
      </c>
      <c r="B333" s="20" t="s">
        <v>12238</v>
      </c>
      <c r="C333" s="310"/>
    </row>
    <row r="334" spans="1:3">
      <c r="A334" s="149" t="s">
        <v>186</v>
      </c>
      <c r="B334" s="20"/>
      <c r="C334" s="310" t="s">
        <v>12238</v>
      </c>
    </row>
    <row r="335" spans="1:3">
      <c r="A335" s="149" t="s">
        <v>7121</v>
      </c>
      <c r="B335" s="20"/>
      <c r="C335" s="310" t="s">
        <v>12238</v>
      </c>
    </row>
    <row r="336" spans="1:3">
      <c r="A336" s="149" t="s">
        <v>12278</v>
      </c>
      <c r="B336" s="20" t="s">
        <v>12238</v>
      </c>
      <c r="C336" s="310"/>
    </row>
    <row r="337" spans="1:3">
      <c r="A337" s="149" t="s">
        <v>6557</v>
      </c>
      <c r="B337" s="20"/>
      <c r="C337" s="310" t="s">
        <v>12238</v>
      </c>
    </row>
    <row r="338" spans="1:3">
      <c r="A338" s="149" t="s">
        <v>6194</v>
      </c>
      <c r="B338" s="20"/>
      <c r="C338" s="310" t="s">
        <v>12238</v>
      </c>
    </row>
    <row r="339" spans="1:3">
      <c r="A339" s="149" t="s">
        <v>6177</v>
      </c>
      <c r="B339" s="20"/>
      <c r="C339" s="310" t="s">
        <v>12238</v>
      </c>
    </row>
    <row r="340" spans="1:3">
      <c r="A340" s="149" t="s">
        <v>12279</v>
      </c>
      <c r="B340" s="20" t="s">
        <v>12238</v>
      </c>
      <c r="C340" s="310"/>
    </row>
    <row r="341" spans="1:3">
      <c r="A341" s="149" t="s">
        <v>5612</v>
      </c>
      <c r="B341" s="20"/>
      <c r="C341" s="310" t="s">
        <v>12238</v>
      </c>
    </row>
    <row r="342" spans="1:3">
      <c r="A342" s="149" t="s">
        <v>3587</v>
      </c>
      <c r="B342" s="20"/>
      <c r="C342" s="310" t="s">
        <v>12238</v>
      </c>
    </row>
    <row r="343" spans="1:3">
      <c r="A343" s="149" t="s">
        <v>3774</v>
      </c>
      <c r="B343" s="20"/>
      <c r="C343" s="310" t="s">
        <v>12238</v>
      </c>
    </row>
    <row r="344" spans="1:3">
      <c r="A344" s="149" t="s">
        <v>5345</v>
      </c>
      <c r="B344" s="20" t="s">
        <v>12238</v>
      </c>
      <c r="C344" s="310"/>
    </row>
    <row r="345" spans="1:3">
      <c r="A345" s="149" t="s">
        <v>7159</v>
      </c>
      <c r="B345" s="149"/>
      <c r="C345" s="310" t="s">
        <v>12238</v>
      </c>
    </row>
    <row r="346" spans="1:3">
      <c r="A346" s="149" t="s">
        <v>5691</v>
      </c>
      <c r="B346" s="186"/>
      <c r="C346" s="311" t="s">
        <v>12238</v>
      </c>
    </row>
    <row r="347" spans="1:3" ht="15.75">
      <c r="A347" s="778" t="s">
        <v>7189</v>
      </c>
      <c r="B347" s="186"/>
      <c r="C347" s="311" t="s">
        <v>12238</v>
      </c>
    </row>
    <row r="348" spans="1:3">
      <c r="A348" s="149" t="s">
        <v>12157</v>
      </c>
      <c r="B348" s="20"/>
      <c r="C348" s="310" t="s">
        <v>12238</v>
      </c>
    </row>
    <row r="349" spans="1:3">
      <c r="A349" s="149" t="s">
        <v>6877</v>
      </c>
      <c r="B349" s="20"/>
      <c r="C349" s="310" t="s">
        <v>12238</v>
      </c>
    </row>
    <row r="350" spans="1:3" ht="15.75">
      <c r="A350" s="577" t="s">
        <v>5441</v>
      </c>
      <c r="B350" s="20"/>
      <c r="C350" s="310" t="s">
        <v>12238</v>
      </c>
    </row>
    <row r="351" spans="1:3">
      <c r="A351" s="149" t="s">
        <v>12163</v>
      </c>
      <c r="B351" s="20"/>
      <c r="C351" s="310" t="s">
        <v>12238</v>
      </c>
    </row>
    <row r="352" spans="1:3">
      <c r="A352" s="149" t="s">
        <v>3504</v>
      </c>
      <c r="B352" s="20"/>
      <c r="C352" s="310" t="s">
        <v>12238</v>
      </c>
    </row>
    <row r="353" spans="1:8">
      <c r="A353" s="149" t="s">
        <v>12280</v>
      </c>
      <c r="B353" s="20"/>
      <c r="C353" s="310" t="s">
        <v>12238</v>
      </c>
    </row>
    <row r="354" spans="1:8">
      <c r="A354" s="805" t="s">
        <v>11114</v>
      </c>
      <c r="B354" s="817"/>
      <c r="C354" s="818"/>
    </row>
    <row r="355" spans="1:8">
      <c r="A355" s="149" t="s">
        <v>10110</v>
      </c>
      <c r="B355" s="20"/>
      <c r="C355" s="310" t="s">
        <v>12238</v>
      </c>
    </row>
    <row r="356" spans="1:8">
      <c r="A356" s="149" t="s">
        <v>3818</v>
      </c>
      <c r="B356" s="20"/>
      <c r="C356" s="310" t="s">
        <v>12238</v>
      </c>
    </row>
    <row r="357" spans="1:8">
      <c r="A357" s="149" t="s">
        <v>6128</v>
      </c>
      <c r="B357" s="20"/>
      <c r="C357" s="310" t="s">
        <v>12238</v>
      </c>
    </row>
    <row r="358" spans="1:8">
      <c r="A358" s="149" t="s">
        <v>6128</v>
      </c>
      <c r="B358" s="20"/>
      <c r="C358" s="310" t="s">
        <v>12238</v>
      </c>
    </row>
    <row r="359" spans="1:8">
      <c r="A359" t="s">
        <v>5420</v>
      </c>
      <c r="B359" s="20"/>
      <c r="C359" s="310" t="s">
        <v>12238</v>
      </c>
    </row>
    <row r="360" spans="1:8">
      <c r="A360" s="149" t="s">
        <v>7271</v>
      </c>
      <c r="B360" s="20"/>
      <c r="C360" s="310" t="s">
        <v>12238</v>
      </c>
    </row>
    <row r="361" spans="1:8">
      <c r="A361" s="149" t="s">
        <v>3562</v>
      </c>
      <c r="B361" s="20" t="s">
        <v>12238</v>
      </c>
      <c r="C361" s="310"/>
    </row>
    <row r="362" spans="1:8">
      <c r="A362" s="149" t="s">
        <v>5229</v>
      </c>
      <c r="B362" s="20"/>
      <c r="C362" s="310" t="s">
        <v>12238</v>
      </c>
    </row>
    <row r="363" spans="1:8">
      <c r="A363" s="149" t="s">
        <v>12180</v>
      </c>
      <c r="B363" s="20"/>
      <c r="C363" s="310" t="s">
        <v>12238</v>
      </c>
    </row>
    <row r="364" spans="1:8">
      <c r="A364" s="149" t="s">
        <v>7246</v>
      </c>
      <c r="B364" s="20"/>
      <c r="C364" s="310" t="s">
        <v>12238</v>
      </c>
      <c r="H364" t="s">
        <v>1643</v>
      </c>
    </row>
    <row r="365" spans="1:8" ht="15.75">
      <c r="A365" s="779" t="s">
        <v>5524</v>
      </c>
      <c r="B365" s="20"/>
      <c r="C365" s="310" t="s">
        <v>12238</v>
      </c>
    </row>
    <row r="366" spans="1:8">
      <c r="A366" s="149" t="s">
        <v>12190</v>
      </c>
      <c r="B366" s="20"/>
      <c r="C366" s="310" t="s">
        <v>12238</v>
      </c>
    </row>
    <row r="367" spans="1:8">
      <c r="A367" s="295" t="s">
        <v>10988</v>
      </c>
      <c r="B367" s="20"/>
      <c r="C367" s="310" t="s">
        <v>12238</v>
      </c>
    </row>
    <row r="368" spans="1:8">
      <c r="A368" s="149" t="s">
        <v>6739</v>
      </c>
      <c r="B368" s="20"/>
      <c r="C368" s="310" t="s">
        <v>12238</v>
      </c>
    </row>
    <row r="369" spans="1:3">
      <c r="A369" s="149" t="s">
        <v>7193</v>
      </c>
      <c r="B369" s="20"/>
      <c r="C369" s="310" t="s">
        <v>12238</v>
      </c>
    </row>
    <row r="370" spans="1:3">
      <c r="A370" s="149" t="s">
        <v>6599</v>
      </c>
      <c r="B370" s="20"/>
      <c r="C370" s="310" t="s">
        <v>12238</v>
      </c>
    </row>
    <row r="371" spans="1:3">
      <c r="A371" t="s">
        <v>7301</v>
      </c>
      <c r="B371" s="101"/>
      <c r="C371" s="311" t="s">
        <v>12238</v>
      </c>
    </row>
    <row r="372" spans="1:3">
      <c r="A372" s="149" t="s">
        <v>3706</v>
      </c>
      <c r="B372" s="20"/>
      <c r="C372" s="310" t="s">
        <v>12238</v>
      </c>
    </row>
    <row r="373" spans="1:3">
      <c r="A373" s="149" t="s">
        <v>3743</v>
      </c>
      <c r="B373" s="20"/>
      <c r="C373" s="310" t="s">
        <v>12238</v>
      </c>
    </row>
    <row r="374" spans="1:3">
      <c r="A374" s="149" t="s">
        <v>12218</v>
      </c>
      <c r="B374" s="20"/>
      <c r="C374" s="310" t="s">
        <v>12238</v>
      </c>
    </row>
    <row r="375" spans="1:3">
      <c r="A375" s="149" t="s">
        <v>5638</v>
      </c>
      <c r="B375" s="20"/>
      <c r="C375" s="310" t="s">
        <v>12238</v>
      </c>
    </row>
    <row r="376" spans="1:3">
      <c r="A376" s="816" t="s">
        <v>8910</v>
      </c>
      <c r="B376" s="816"/>
      <c r="C376" s="816"/>
    </row>
    <row r="377" spans="1:3">
      <c r="A377" s="149" t="s">
        <v>103</v>
      </c>
      <c r="B377" s="20"/>
      <c r="C377" s="310" t="s">
        <v>12238</v>
      </c>
    </row>
    <row r="378" spans="1:3">
      <c r="A378" s="149" t="s">
        <v>5357</v>
      </c>
      <c r="B378" s="20"/>
      <c r="C378" s="310" t="s">
        <v>12238</v>
      </c>
    </row>
    <row r="379" spans="1:3">
      <c r="A379" s="149" t="s">
        <v>12224</v>
      </c>
      <c r="B379" s="20"/>
      <c r="C379" s="310" t="s">
        <v>12238</v>
      </c>
    </row>
    <row r="380" spans="1:3">
      <c r="A380" s="149" t="s">
        <v>12230</v>
      </c>
      <c r="B380" s="20"/>
      <c r="C380" s="310" t="s">
        <v>12238</v>
      </c>
    </row>
    <row r="381" spans="1:3">
      <c r="A381" s="149" t="s">
        <v>6424</v>
      </c>
      <c r="B381" s="20"/>
      <c r="C381" s="310" t="s">
        <v>12238</v>
      </c>
    </row>
    <row r="382" spans="1:3">
      <c r="A382" s="187" t="s">
        <v>12281</v>
      </c>
      <c r="B382" s="73"/>
      <c r="C382" s="322" t="s">
        <v>12238</v>
      </c>
    </row>
    <row r="383" spans="1:3">
      <c r="A383" s="149" t="s">
        <v>3577</v>
      </c>
      <c r="B383" s="20"/>
      <c r="C383" s="310" t="s">
        <v>12238</v>
      </c>
    </row>
    <row r="384" spans="1:3">
      <c r="A384" s="149"/>
      <c r="B384" s="20"/>
      <c r="C384" s="310"/>
    </row>
    <row r="385" spans="1:3">
      <c r="A385" s="149"/>
      <c r="B385" s="20"/>
      <c r="C385" s="310"/>
    </row>
    <row r="386" spans="1:3">
      <c r="A386" s="149"/>
      <c r="B386" s="20"/>
      <c r="C386" s="310"/>
    </row>
    <row r="387" spans="1:3">
      <c r="A387" s="149"/>
      <c r="B387" s="20"/>
      <c r="C387" s="310"/>
    </row>
    <row r="388" spans="1:3">
      <c r="A388" s="149"/>
      <c r="B388" s="20"/>
      <c r="C388" s="310"/>
    </row>
    <row r="389" spans="1:3">
      <c r="A389" s="149"/>
      <c r="B389" s="20"/>
      <c r="C389" s="310"/>
    </row>
    <row r="390" spans="1:3">
      <c r="A390" s="149"/>
      <c r="B390" s="20"/>
      <c r="C390" s="310"/>
    </row>
    <row r="391" spans="1:3">
      <c r="A391" s="149"/>
      <c r="B391" s="20"/>
      <c r="C391" s="310"/>
    </row>
    <row r="392" spans="1:3">
      <c r="A392" s="149"/>
      <c r="B392" s="20"/>
      <c r="C392" s="310"/>
    </row>
    <row r="393" spans="1:3">
      <c r="A393" s="149"/>
      <c r="B393" s="20"/>
      <c r="C393" s="310"/>
    </row>
    <row r="394" spans="1:3">
      <c r="A394" s="149"/>
      <c r="B394" s="20"/>
      <c r="C394" s="310"/>
    </row>
    <row r="395" spans="1:3">
      <c r="A395" s="149"/>
      <c r="B395" s="20"/>
      <c r="C395" s="310"/>
    </row>
    <row r="396" spans="1:3">
      <c r="A396" s="149"/>
      <c r="B396" s="20"/>
      <c r="C396" s="310"/>
    </row>
    <row r="397" spans="1:3">
      <c r="A397" s="149"/>
      <c r="B397" s="20"/>
      <c r="C397" s="310"/>
    </row>
    <row r="398" spans="1:3">
      <c r="A398" s="149"/>
      <c r="B398" s="20"/>
      <c r="C398" s="310"/>
    </row>
    <row r="399" spans="1:3">
      <c r="A399" s="149"/>
      <c r="B399" s="20"/>
      <c r="C399" s="310"/>
    </row>
    <row r="400" spans="1:3">
      <c r="A400" s="149"/>
      <c r="B400" s="20"/>
      <c r="C400" s="310"/>
    </row>
    <row r="401" spans="1:3">
      <c r="A401" s="149"/>
      <c r="B401" s="20"/>
      <c r="C401" s="310"/>
    </row>
    <row r="402" spans="1:3">
      <c r="A402" s="149"/>
      <c r="B402" s="20"/>
      <c r="C402" s="310"/>
    </row>
    <row r="403" spans="1:3">
      <c r="A403" s="149"/>
      <c r="B403" s="20"/>
      <c r="C403" s="310"/>
    </row>
    <row r="404" spans="1:3">
      <c r="A404" s="149"/>
      <c r="B404" s="20"/>
      <c r="C404" s="310"/>
    </row>
    <row r="405" spans="1:3">
      <c r="A405" s="149"/>
      <c r="B405" s="20"/>
      <c r="C405" s="310"/>
    </row>
    <row r="406" spans="1:3">
      <c r="A406" s="149"/>
      <c r="B406" s="20"/>
      <c r="C406" s="310"/>
    </row>
    <row r="407" spans="1:3">
      <c r="A407" s="149"/>
      <c r="B407" s="20"/>
      <c r="C407" s="310"/>
    </row>
    <row r="408" spans="1:3">
      <c r="A408" s="149"/>
      <c r="B408" s="20"/>
      <c r="C408" s="310"/>
    </row>
    <row r="409" spans="1:3">
      <c r="A409" s="149"/>
      <c r="B409" s="20"/>
      <c r="C409" s="310"/>
    </row>
    <row r="410" spans="1:3">
      <c r="A410" s="149"/>
      <c r="B410" s="20"/>
      <c r="C410" s="310"/>
    </row>
    <row r="411" spans="1:3">
      <c r="A411" s="149"/>
      <c r="B411" s="20"/>
      <c r="C411" s="310"/>
    </row>
    <row r="412" spans="1:3">
      <c r="A412" s="149"/>
      <c r="B412" s="20"/>
      <c r="C412" s="310"/>
    </row>
    <row r="413" spans="1:3">
      <c r="A413" s="149"/>
      <c r="B413" s="20"/>
      <c r="C413" s="310"/>
    </row>
    <row r="414" spans="1:3">
      <c r="A414" s="149"/>
      <c r="B414" s="20"/>
      <c r="C414" s="310"/>
    </row>
    <row r="415" spans="1:3">
      <c r="A415" s="149"/>
      <c r="B415" s="20"/>
      <c r="C415" s="310"/>
    </row>
    <row r="416" spans="1:3">
      <c r="A416" s="149"/>
      <c r="B416" s="20"/>
      <c r="C416" s="310"/>
    </row>
    <row r="417" spans="1:3">
      <c r="A417" s="149"/>
      <c r="B417" s="20"/>
      <c r="C417" s="310"/>
    </row>
    <row r="418" spans="1:3">
      <c r="A418" s="149"/>
      <c r="B418" s="20"/>
      <c r="C418" s="310"/>
    </row>
  </sheetData>
  <mergeCells count="13">
    <mergeCell ref="A376:C376"/>
    <mergeCell ref="A354:C354"/>
    <mergeCell ref="A159:C159"/>
    <mergeCell ref="A18:C18"/>
    <mergeCell ref="A46:C46"/>
    <mergeCell ref="A73:C73"/>
    <mergeCell ref="A103:C103"/>
    <mergeCell ref="A132:C132"/>
    <mergeCell ref="A332:C332"/>
    <mergeCell ref="A255:C255"/>
    <mergeCell ref="A227:C227"/>
    <mergeCell ref="A206:C206"/>
    <mergeCell ref="A179:C17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2F8CB-19C5-4EC1-AE24-0C77BDD5D353}">
  <dimension ref="A1:D42"/>
  <sheetViews>
    <sheetView workbookViewId="0">
      <selection activeCell="A19" sqref="A19:XFD19"/>
    </sheetView>
  </sheetViews>
  <sheetFormatPr defaultRowHeight="15"/>
  <cols>
    <col min="1" max="1" width="11.42578125" bestFit="1" customWidth="1"/>
    <col min="2" max="2" width="26.85546875" bestFit="1" customWidth="1"/>
    <col min="3" max="3" width="9.7109375" bestFit="1" customWidth="1"/>
  </cols>
  <sheetData>
    <row r="1" spans="1:4">
      <c r="A1" s="819" t="s">
        <v>5</v>
      </c>
      <c r="B1" s="819"/>
      <c r="C1" s="819"/>
    </row>
    <row r="2" spans="1:4">
      <c r="A2" s="149" t="s">
        <v>8922</v>
      </c>
      <c r="B2" s="149" t="s">
        <v>12282</v>
      </c>
      <c r="C2" s="149" t="s">
        <v>12283</v>
      </c>
    </row>
    <row r="3" spans="1:4">
      <c r="A3" s="149" t="s">
        <v>7722</v>
      </c>
      <c r="B3" s="108" t="s">
        <v>5626</v>
      </c>
      <c r="C3" s="654">
        <v>30</v>
      </c>
    </row>
    <row r="4" spans="1:4" ht="15.75">
      <c r="A4" s="149" t="s">
        <v>12284</v>
      </c>
      <c r="B4" s="634" t="s">
        <v>12285</v>
      </c>
      <c r="C4" s="654">
        <v>30</v>
      </c>
    </row>
    <row r="5" spans="1:4" ht="15.75">
      <c r="A5" s="149" t="s">
        <v>12284</v>
      </c>
      <c r="B5" s="780" t="s">
        <v>12286</v>
      </c>
      <c r="C5" s="654">
        <v>30</v>
      </c>
    </row>
    <row r="6" spans="1:4">
      <c r="A6" s="150" t="s">
        <v>12287</v>
      </c>
      <c r="B6" s="108" t="s">
        <v>12288</v>
      </c>
      <c r="C6" s="654">
        <v>30</v>
      </c>
    </row>
    <row r="7" spans="1:4">
      <c r="A7" s="149" t="s">
        <v>7726</v>
      </c>
      <c r="B7" s="108" t="s">
        <v>7303</v>
      </c>
      <c r="C7" s="654">
        <v>30</v>
      </c>
      <c r="D7" t="s">
        <v>12289</v>
      </c>
    </row>
    <row r="8" spans="1:4">
      <c r="A8" s="149" t="s">
        <v>12290</v>
      </c>
      <c r="B8" s="108" t="s">
        <v>5687</v>
      </c>
      <c r="C8" s="654">
        <v>30</v>
      </c>
      <c r="D8" t="s">
        <v>12289</v>
      </c>
    </row>
    <row r="9" spans="1:4">
      <c r="A9" s="149" t="s">
        <v>12290</v>
      </c>
      <c r="B9" s="108" t="s">
        <v>5546</v>
      </c>
      <c r="C9" s="654">
        <v>30</v>
      </c>
      <c r="D9" t="s">
        <v>12289</v>
      </c>
    </row>
    <row r="10" spans="1:4">
      <c r="A10" s="799" t="s">
        <v>7543</v>
      </c>
      <c r="B10" s="800"/>
      <c r="C10" s="801"/>
    </row>
    <row r="11" spans="1:4">
      <c r="A11" s="150">
        <v>45452</v>
      </c>
      <c r="B11" s="108" t="s">
        <v>4672</v>
      </c>
      <c r="C11" s="759">
        <v>30</v>
      </c>
      <c r="D11" t="s">
        <v>12289</v>
      </c>
    </row>
    <row r="12" spans="1:4">
      <c r="A12" s="150">
        <v>45605</v>
      </c>
      <c r="B12" s="108" t="s">
        <v>5476</v>
      </c>
      <c r="C12" s="759">
        <v>30</v>
      </c>
      <c r="D12" t="s">
        <v>12289</v>
      </c>
    </row>
    <row r="13" spans="1:4">
      <c r="A13" s="149" t="s">
        <v>12291</v>
      </c>
      <c r="B13" s="108" t="s">
        <v>5748</v>
      </c>
      <c r="C13" s="654">
        <v>30</v>
      </c>
      <c r="D13" t="s">
        <v>12289</v>
      </c>
    </row>
    <row r="14" spans="1:4">
      <c r="A14" s="149" t="s">
        <v>12292</v>
      </c>
      <c r="B14" s="108" t="s">
        <v>12293</v>
      </c>
      <c r="C14" s="654">
        <v>50</v>
      </c>
    </row>
    <row r="15" spans="1:4">
      <c r="A15" s="799" t="s">
        <v>4357</v>
      </c>
      <c r="B15" s="800"/>
      <c r="C15" s="801"/>
    </row>
    <row r="16" spans="1:4">
      <c r="A16" s="150">
        <v>45332</v>
      </c>
      <c r="B16" s="108" t="s">
        <v>1643</v>
      </c>
      <c r="C16" s="654">
        <v>30</v>
      </c>
      <c r="D16" t="s">
        <v>12289</v>
      </c>
    </row>
    <row r="17" spans="1:4">
      <c r="A17" s="431">
        <v>45483</v>
      </c>
      <c r="B17" s="197" t="s">
        <v>5396</v>
      </c>
      <c r="C17" s="657">
        <v>30</v>
      </c>
      <c r="D17" t="s">
        <v>12289</v>
      </c>
    </row>
    <row r="18" spans="1:4">
      <c r="A18" s="150">
        <v>45586</v>
      </c>
      <c r="B18" s="108" t="s">
        <v>7112</v>
      </c>
      <c r="C18" s="654">
        <v>30</v>
      </c>
    </row>
    <row r="19" spans="1:4">
      <c r="A19" s="149"/>
      <c r="B19" s="149"/>
      <c r="C19" s="654"/>
    </row>
    <row r="20" spans="1:4">
      <c r="A20" s="149"/>
      <c r="B20" s="149"/>
      <c r="C20" s="654"/>
    </row>
    <row r="21" spans="1:4">
      <c r="A21" s="149"/>
      <c r="B21" s="149"/>
      <c r="C21" s="654"/>
    </row>
    <row r="22" spans="1:4">
      <c r="A22" s="149"/>
      <c r="B22" s="149"/>
      <c r="C22" s="654"/>
    </row>
    <row r="23" spans="1:4">
      <c r="A23" s="149"/>
      <c r="B23" s="149"/>
      <c r="C23" s="654"/>
    </row>
    <row r="24" spans="1:4">
      <c r="A24" s="149"/>
      <c r="B24" s="149"/>
      <c r="C24" s="149"/>
    </row>
    <row r="25" spans="1:4">
      <c r="A25" s="149"/>
      <c r="B25" s="149"/>
      <c r="C25" s="149"/>
    </row>
    <row r="26" spans="1:4">
      <c r="A26" s="149"/>
      <c r="B26" s="149"/>
      <c r="C26" s="149"/>
    </row>
    <row r="27" spans="1:4">
      <c r="A27" s="149"/>
      <c r="B27" s="149"/>
      <c r="C27" s="149"/>
    </row>
    <row r="28" spans="1:4">
      <c r="A28" s="149"/>
      <c r="B28" s="149"/>
      <c r="C28" s="149"/>
    </row>
    <row r="29" spans="1:4">
      <c r="A29" s="149"/>
      <c r="B29" s="149"/>
      <c r="C29" s="149"/>
    </row>
    <row r="30" spans="1:4">
      <c r="A30" s="149"/>
      <c r="B30" s="149"/>
      <c r="C30" s="149"/>
    </row>
    <row r="31" spans="1:4">
      <c r="A31" s="149"/>
      <c r="B31" s="149"/>
      <c r="C31" s="149"/>
    </row>
    <row r="32" spans="1:4">
      <c r="A32" s="149"/>
      <c r="B32" s="149"/>
      <c r="C32" s="149"/>
    </row>
    <row r="33" spans="1:3">
      <c r="A33" s="149"/>
      <c r="B33" s="149"/>
      <c r="C33" s="149"/>
    </row>
    <row r="34" spans="1:3">
      <c r="A34" s="149"/>
      <c r="B34" s="149"/>
      <c r="C34" s="149"/>
    </row>
    <row r="35" spans="1:3">
      <c r="A35" s="149"/>
      <c r="B35" s="149"/>
      <c r="C35" s="149"/>
    </row>
    <row r="36" spans="1:3">
      <c r="A36" s="149"/>
      <c r="B36" s="149"/>
      <c r="C36" s="149"/>
    </row>
    <row r="37" spans="1:3">
      <c r="A37" s="149"/>
      <c r="B37" s="149"/>
      <c r="C37" s="149"/>
    </row>
    <row r="38" spans="1:3">
      <c r="A38" s="149"/>
      <c r="B38" s="149"/>
      <c r="C38" s="149"/>
    </row>
    <row r="39" spans="1:3">
      <c r="A39" s="149"/>
      <c r="B39" s="149"/>
      <c r="C39" s="149"/>
    </row>
    <row r="40" spans="1:3">
      <c r="A40" s="149"/>
      <c r="B40" s="149"/>
      <c r="C40" s="149"/>
    </row>
    <row r="41" spans="1:3">
      <c r="A41" s="149"/>
      <c r="B41" s="149"/>
      <c r="C41" s="149"/>
    </row>
    <row r="42" spans="1:3">
      <c r="A42" s="149"/>
      <c r="B42" s="149"/>
      <c r="C42" s="149"/>
    </row>
  </sheetData>
  <mergeCells count="3">
    <mergeCell ref="A1:C1"/>
    <mergeCell ref="A10:C10"/>
    <mergeCell ref="A15:C15"/>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33E1B-C9CB-488F-AE43-595DCEEBA037}">
  <dimension ref="A1:C45"/>
  <sheetViews>
    <sheetView topLeftCell="A16" workbookViewId="0">
      <selection activeCell="C26" sqref="C26"/>
    </sheetView>
  </sheetViews>
  <sheetFormatPr defaultRowHeight="15"/>
  <cols>
    <col min="2" max="2" width="11.42578125" bestFit="1" customWidth="1"/>
    <col min="3" max="3" width="47.5703125" customWidth="1"/>
  </cols>
  <sheetData>
    <row r="1" spans="1:3">
      <c r="A1" s="805" t="s">
        <v>12294</v>
      </c>
      <c r="B1" s="817"/>
      <c r="C1" s="818"/>
    </row>
    <row r="2" spans="1:3">
      <c r="A2" s="204" t="s">
        <v>10316</v>
      </c>
      <c r="B2" s="131" t="s">
        <v>8370</v>
      </c>
      <c r="C2" s="187" t="s">
        <v>12295</v>
      </c>
    </row>
    <row r="3" spans="1:3">
      <c r="A3" s="131">
        <v>1</v>
      </c>
      <c r="B3" s="131" t="s">
        <v>11077</v>
      </c>
      <c r="C3" s="476" t="s">
        <v>8929</v>
      </c>
    </row>
    <row r="4" spans="1:3">
      <c r="A4" s="113">
        <v>8</v>
      </c>
      <c r="B4" s="113" t="s">
        <v>12296</v>
      </c>
      <c r="C4" s="108" t="s">
        <v>8929</v>
      </c>
    </row>
    <row r="5" spans="1:3">
      <c r="A5" s="113">
        <v>15</v>
      </c>
      <c r="B5" s="113" t="s">
        <v>8918</v>
      </c>
      <c r="C5" s="108" t="s">
        <v>8929</v>
      </c>
    </row>
    <row r="6" spans="1:3">
      <c r="A6" s="113">
        <v>22</v>
      </c>
      <c r="B6" s="113" t="s">
        <v>11077</v>
      </c>
      <c r="C6" s="108" t="s">
        <v>8929</v>
      </c>
    </row>
    <row r="7" spans="1:3">
      <c r="A7" s="113">
        <v>29</v>
      </c>
      <c r="B7" s="113" t="s">
        <v>12296</v>
      </c>
      <c r="C7" s="108" t="s">
        <v>8929</v>
      </c>
    </row>
    <row r="8" spans="1:3">
      <c r="A8" s="805" t="s">
        <v>12297</v>
      </c>
      <c r="B8" s="817"/>
      <c r="C8" s="818"/>
    </row>
    <row r="9" spans="1:3">
      <c r="A9" s="149" t="s">
        <v>10316</v>
      </c>
      <c r="B9" s="20" t="s">
        <v>8370</v>
      </c>
      <c r="C9" s="149" t="s">
        <v>12295</v>
      </c>
    </row>
    <row r="10" spans="1:3">
      <c r="A10" s="20">
        <v>6</v>
      </c>
      <c r="B10" s="20" t="s">
        <v>8918</v>
      </c>
      <c r="C10" s="108" t="s">
        <v>8929</v>
      </c>
    </row>
    <row r="11" spans="1:3">
      <c r="A11" s="20">
        <v>13</v>
      </c>
      <c r="B11" s="20" t="s">
        <v>11077</v>
      </c>
      <c r="C11" s="108" t="s">
        <v>8929</v>
      </c>
    </row>
    <row r="12" spans="1:3">
      <c r="A12" s="20">
        <v>20</v>
      </c>
      <c r="B12" s="20" t="s">
        <v>12296</v>
      </c>
      <c r="C12" s="108" t="s">
        <v>8929</v>
      </c>
    </row>
    <row r="13" spans="1:3">
      <c r="A13" s="20">
        <v>27</v>
      </c>
      <c r="B13" s="20" t="s">
        <v>8918</v>
      </c>
      <c r="C13" s="108" t="s">
        <v>8929</v>
      </c>
    </row>
    <row r="14" spans="1:3">
      <c r="A14" s="805" t="s">
        <v>12298</v>
      </c>
      <c r="B14" s="817"/>
      <c r="C14" s="818"/>
    </row>
    <row r="15" spans="1:3">
      <c r="A15" s="149" t="s">
        <v>10316</v>
      </c>
      <c r="B15" s="20" t="s">
        <v>8370</v>
      </c>
      <c r="C15" s="149" t="s">
        <v>12295</v>
      </c>
    </row>
    <row r="16" spans="1:3">
      <c r="A16" s="20">
        <v>3</v>
      </c>
      <c r="B16" s="20" t="s">
        <v>11077</v>
      </c>
      <c r="C16" s="299" t="s">
        <v>12299</v>
      </c>
    </row>
    <row r="17" spans="1:3">
      <c r="A17" s="20">
        <v>10</v>
      </c>
      <c r="B17" s="20" t="s">
        <v>12296</v>
      </c>
      <c r="C17" s="299" t="s">
        <v>12300</v>
      </c>
    </row>
    <row r="18" spans="1:3">
      <c r="A18" s="20">
        <v>17</v>
      </c>
      <c r="B18" s="20" t="s">
        <v>8918</v>
      </c>
      <c r="C18" s="108" t="s">
        <v>8929</v>
      </c>
    </row>
    <row r="19" spans="1:3">
      <c r="A19" s="20">
        <v>24</v>
      </c>
      <c r="B19" s="20" t="s">
        <v>11077</v>
      </c>
      <c r="C19" s="108" t="s">
        <v>8929</v>
      </c>
    </row>
    <row r="20" spans="1:3">
      <c r="A20" s="20">
        <v>31</v>
      </c>
      <c r="B20" s="20" t="s">
        <v>12296</v>
      </c>
      <c r="C20" s="108" t="s">
        <v>8929</v>
      </c>
    </row>
    <row r="21" spans="1:3">
      <c r="A21" s="805" t="s">
        <v>12301</v>
      </c>
      <c r="B21" s="817"/>
      <c r="C21" s="818"/>
    </row>
    <row r="22" spans="1:3">
      <c r="A22" s="186" t="s">
        <v>10316</v>
      </c>
      <c r="B22" s="101" t="s">
        <v>8370</v>
      </c>
      <c r="C22" s="186" t="s">
        <v>12295</v>
      </c>
    </row>
    <row r="23" spans="1:3">
      <c r="A23" s="20">
        <v>7</v>
      </c>
      <c r="B23" s="20" t="s">
        <v>8918</v>
      </c>
      <c r="C23" s="149"/>
    </row>
    <row r="24" spans="1:3">
      <c r="A24" s="20">
        <v>14</v>
      </c>
      <c r="B24" s="20" t="s">
        <v>11077</v>
      </c>
      <c r="C24" s="149"/>
    </row>
    <row r="25" spans="1:3">
      <c r="A25" s="20">
        <v>21</v>
      </c>
      <c r="B25" s="20" t="s">
        <v>12296</v>
      </c>
      <c r="C25" s="149"/>
    </row>
    <row r="26" spans="1:3">
      <c r="A26" s="20">
        <v>28</v>
      </c>
      <c r="B26" s="20" t="s">
        <v>8918</v>
      </c>
      <c r="C26" s="149"/>
    </row>
    <row r="27" spans="1:3">
      <c r="A27" s="805" t="s">
        <v>12302</v>
      </c>
      <c r="B27" s="817"/>
      <c r="C27" s="818"/>
    </row>
    <row r="28" spans="1:3">
      <c r="A28" s="186" t="s">
        <v>10316</v>
      </c>
      <c r="B28" s="101" t="s">
        <v>8370</v>
      </c>
      <c r="C28" s="186" t="s">
        <v>12295</v>
      </c>
    </row>
    <row r="29" spans="1:3">
      <c r="A29" s="20">
        <v>5</v>
      </c>
      <c r="B29" s="20" t="s">
        <v>11077</v>
      </c>
      <c r="C29" s="149"/>
    </row>
    <row r="30" spans="1:3">
      <c r="A30" s="20">
        <v>12</v>
      </c>
      <c r="B30" s="20" t="s">
        <v>12296</v>
      </c>
      <c r="C30" s="149"/>
    </row>
    <row r="31" spans="1:3">
      <c r="A31" s="20">
        <v>19</v>
      </c>
      <c r="B31" s="20" t="s">
        <v>8918</v>
      </c>
      <c r="C31" s="149"/>
    </row>
    <row r="32" spans="1:3">
      <c r="A32" s="20">
        <v>26</v>
      </c>
      <c r="B32" s="20" t="s">
        <v>11077</v>
      </c>
      <c r="C32" s="149"/>
    </row>
    <row r="33" spans="1:3">
      <c r="A33" s="805" t="s">
        <v>12303</v>
      </c>
      <c r="B33" s="817"/>
      <c r="C33" s="818"/>
    </row>
    <row r="34" spans="1:3">
      <c r="A34" s="186" t="s">
        <v>10316</v>
      </c>
      <c r="B34" s="101" t="s">
        <v>8370</v>
      </c>
      <c r="C34" s="186" t="s">
        <v>12295</v>
      </c>
    </row>
    <row r="35" spans="1:3">
      <c r="A35" s="20">
        <v>2</v>
      </c>
      <c r="B35" s="20" t="s">
        <v>12296</v>
      </c>
      <c r="C35" s="149"/>
    </row>
    <row r="36" spans="1:3">
      <c r="A36" s="20">
        <v>9</v>
      </c>
      <c r="B36" s="20" t="s">
        <v>8918</v>
      </c>
      <c r="C36" s="149"/>
    </row>
    <row r="37" spans="1:3">
      <c r="A37" s="20">
        <v>16</v>
      </c>
      <c r="B37" s="20" t="s">
        <v>11077</v>
      </c>
      <c r="C37" s="149"/>
    </row>
    <row r="38" spans="1:3">
      <c r="A38" s="20">
        <v>23</v>
      </c>
      <c r="B38" s="20" t="s">
        <v>12296</v>
      </c>
      <c r="C38" s="149"/>
    </row>
    <row r="39" spans="1:3">
      <c r="A39" s="20">
        <v>30</v>
      </c>
      <c r="B39" s="20" t="s">
        <v>8918</v>
      </c>
      <c r="C39" s="149"/>
    </row>
    <row r="40" spans="1:3">
      <c r="A40" s="802" t="s">
        <v>12304</v>
      </c>
      <c r="B40" s="820"/>
      <c r="C40" s="821"/>
    </row>
    <row r="41" spans="1:3">
      <c r="A41" s="149" t="s">
        <v>10316</v>
      </c>
      <c r="B41" s="20" t="s">
        <v>8370</v>
      </c>
      <c r="C41" s="149" t="s">
        <v>12295</v>
      </c>
    </row>
    <row r="42" spans="1:3">
      <c r="A42" s="149">
        <v>7</v>
      </c>
      <c r="B42" s="20" t="s">
        <v>11077</v>
      </c>
      <c r="C42" s="149"/>
    </row>
    <row r="43" spans="1:3">
      <c r="A43" s="149">
        <v>14</v>
      </c>
      <c r="B43" s="20" t="s">
        <v>12296</v>
      </c>
      <c r="C43" s="149"/>
    </row>
    <row r="44" spans="1:3">
      <c r="A44" s="186">
        <v>21</v>
      </c>
      <c r="B44" s="20" t="s">
        <v>8918</v>
      </c>
      <c r="C44" s="186"/>
    </row>
    <row r="45" spans="1:3">
      <c r="A45" s="149">
        <v>28</v>
      </c>
      <c r="B45" s="149" t="s">
        <v>11077</v>
      </c>
      <c r="C45" s="149"/>
    </row>
  </sheetData>
  <mergeCells count="7">
    <mergeCell ref="A33:C33"/>
    <mergeCell ref="A40:C40"/>
    <mergeCell ref="A1:C1"/>
    <mergeCell ref="A8:C8"/>
    <mergeCell ref="A14:C14"/>
    <mergeCell ref="A21:C21"/>
    <mergeCell ref="A27:C2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1C86C-A395-4DEB-B018-B8F0BBFECC95}">
  <dimension ref="A1:O433"/>
  <sheetViews>
    <sheetView topLeftCell="A16" workbookViewId="0">
      <selection activeCell="M32" sqref="M32"/>
    </sheetView>
  </sheetViews>
  <sheetFormatPr defaultRowHeight="15"/>
  <cols>
    <col min="1" max="1" width="38.85546875" bestFit="1" customWidth="1"/>
    <col min="2" max="3" width="19.5703125" customWidth="1"/>
    <col min="4" max="5" width="22.28515625" customWidth="1"/>
    <col min="6" max="6" width="11.85546875" bestFit="1" customWidth="1"/>
    <col min="7" max="7" width="10.85546875" bestFit="1" customWidth="1"/>
    <col min="11" max="11" width="13.140625" customWidth="1"/>
    <col min="12" max="12" width="12.5703125" customWidth="1"/>
    <col min="13" max="13" width="16.85546875" customWidth="1"/>
  </cols>
  <sheetData>
    <row r="1" spans="1:15">
      <c r="A1" s="817" t="s">
        <v>8910</v>
      </c>
      <c r="B1" s="817"/>
      <c r="C1" s="817"/>
      <c r="D1" s="817"/>
      <c r="E1" s="817"/>
      <c r="F1" s="817"/>
    </row>
    <row r="2" spans="1:15">
      <c r="A2" s="185" t="s">
        <v>7338</v>
      </c>
      <c r="B2" s="149" t="s">
        <v>12305</v>
      </c>
      <c r="C2" s="149" t="s">
        <v>12283</v>
      </c>
      <c r="D2" s="149" t="s">
        <v>12306</v>
      </c>
      <c r="E2" s="149" t="s">
        <v>12283</v>
      </c>
      <c r="F2" s="149" t="s">
        <v>9</v>
      </c>
      <c r="I2">
        <f>SUM(G:G)</f>
        <v>9338.6999999999953</v>
      </c>
    </row>
    <row r="3" spans="1:15">
      <c r="A3" s="185" t="s">
        <v>3645</v>
      </c>
      <c r="B3" s="149" t="s">
        <v>12307</v>
      </c>
      <c r="C3" s="462">
        <v>79.900000000000006</v>
      </c>
      <c r="D3" s="149" t="s">
        <v>12308</v>
      </c>
      <c r="E3" s="462">
        <v>99.9</v>
      </c>
      <c r="F3" s="149" t="s">
        <v>3446</v>
      </c>
    </row>
    <row r="4" spans="1:15">
      <c r="A4" s="185" t="s">
        <v>3596</v>
      </c>
      <c r="B4" s="149" t="s">
        <v>12309</v>
      </c>
      <c r="C4" s="462">
        <v>99.9</v>
      </c>
      <c r="D4" s="149" t="s">
        <v>12310</v>
      </c>
      <c r="E4" s="462">
        <v>114.9</v>
      </c>
      <c r="F4" s="149" t="s">
        <v>3446</v>
      </c>
      <c r="G4" s="465">
        <f>E4-C4</f>
        <v>15</v>
      </c>
    </row>
    <row r="5" spans="1:15">
      <c r="A5" s="185" t="s">
        <v>1202</v>
      </c>
      <c r="B5" s="149" t="s">
        <v>9467</v>
      </c>
      <c r="C5" s="462">
        <v>60</v>
      </c>
      <c r="D5" s="149" t="s">
        <v>9454</v>
      </c>
      <c r="E5" s="462">
        <v>79.900000000000006</v>
      </c>
      <c r="F5" s="149" t="s">
        <v>3446</v>
      </c>
      <c r="G5" s="465">
        <f t="shared" ref="G5:G21" si="0">E5-C5</f>
        <v>19.900000000000006</v>
      </c>
    </row>
    <row r="6" spans="1:15">
      <c r="A6" s="185" t="s">
        <v>3374</v>
      </c>
      <c r="B6" s="149" t="s">
        <v>12309</v>
      </c>
      <c r="C6" s="462">
        <v>99.9</v>
      </c>
      <c r="D6" s="149" t="s">
        <v>12310</v>
      </c>
      <c r="E6" s="462">
        <v>114.9</v>
      </c>
      <c r="F6" s="149" t="s">
        <v>3446</v>
      </c>
      <c r="G6" s="465">
        <f t="shared" si="0"/>
        <v>15</v>
      </c>
      <c r="L6" t="s">
        <v>12311</v>
      </c>
      <c r="M6" t="s">
        <v>12312</v>
      </c>
    </row>
    <row r="7" spans="1:15">
      <c r="A7" s="185" t="s">
        <v>3753</v>
      </c>
      <c r="B7" s="149" t="s">
        <v>12307</v>
      </c>
      <c r="C7" s="462">
        <v>79.900000000000006</v>
      </c>
      <c r="D7" s="149" t="s">
        <v>12313</v>
      </c>
      <c r="E7" s="462">
        <v>99.9</v>
      </c>
      <c r="F7" s="149" t="s">
        <v>3446</v>
      </c>
      <c r="G7" s="465">
        <f t="shared" si="0"/>
        <v>20</v>
      </c>
      <c r="K7" t="s">
        <v>7628</v>
      </c>
      <c r="L7">
        <f>COUNTA(A37:A50)</f>
        <v>14</v>
      </c>
      <c r="M7" s="465">
        <f>G51</f>
        <v>0</v>
      </c>
      <c r="O7">
        <f>1607/1023.6</f>
        <v>1.5699491989058225</v>
      </c>
    </row>
    <row r="8" spans="1:15">
      <c r="A8" s="185" t="s">
        <v>3899</v>
      </c>
      <c r="B8" s="149" t="s">
        <v>12307</v>
      </c>
      <c r="C8" s="462">
        <v>79.900000000000006</v>
      </c>
      <c r="D8" s="149" t="s">
        <v>12313</v>
      </c>
      <c r="E8" s="462">
        <v>99.9</v>
      </c>
      <c r="F8" s="149" t="s">
        <v>3446</v>
      </c>
      <c r="G8" s="465">
        <f t="shared" si="0"/>
        <v>20</v>
      </c>
      <c r="K8" t="s">
        <v>7634</v>
      </c>
      <c r="L8">
        <f>COUNTA(A52:A67)</f>
        <v>16</v>
      </c>
      <c r="M8" s="465">
        <f>SUM(G52:G67)</f>
        <v>299.29999999999995</v>
      </c>
    </row>
    <row r="9" spans="1:15">
      <c r="A9" s="185" t="s">
        <v>3313</v>
      </c>
      <c r="B9" s="149" t="s">
        <v>12314</v>
      </c>
      <c r="C9" s="462">
        <v>79.900000000000006</v>
      </c>
      <c r="D9" s="295" t="s">
        <v>12313</v>
      </c>
      <c r="E9" s="462">
        <v>99.9</v>
      </c>
      <c r="F9" s="149" t="s">
        <v>3446</v>
      </c>
      <c r="G9" s="465">
        <f t="shared" si="0"/>
        <v>20</v>
      </c>
      <c r="K9" t="s">
        <v>7656</v>
      </c>
      <c r="L9">
        <f>COUNTA(A69:A74)</f>
        <v>6</v>
      </c>
      <c r="M9" s="465">
        <f>SUM(G69:G74)</f>
        <v>119.80000000000001</v>
      </c>
    </row>
    <row r="10" spans="1:15">
      <c r="A10" s="185" t="s">
        <v>5287</v>
      </c>
      <c r="B10" s="149" t="s">
        <v>9454</v>
      </c>
      <c r="C10" s="462">
        <v>79.900000000000006</v>
      </c>
      <c r="D10" s="295" t="s">
        <v>12313</v>
      </c>
      <c r="E10" s="462">
        <v>99.9</v>
      </c>
      <c r="F10" s="149" t="s">
        <v>3446</v>
      </c>
      <c r="G10" s="465">
        <f t="shared" si="0"/>
        <v>20</v>
      </c>
      <c r="K10" t="s">
        <v>7672</v>
      </c>
      <c r="L10">
        <v>12</v>
      </c>
      <c r="M10" s="465">
        <f>SUM(G76:G87)</f>
        <v>219.70000000000002</v>
      </c>
    </row>
    <row r="11" spans="1:15">
      <c r="A11" s="185" t="s">
        <v>3717</v>
      </c>
      <c r="B11" s="149" t="s">
        <v>9454</v>
      </c>
      <c r="C11" s="462">
        <v>70</v>
      </c>
      <c r="D11" s="295" t="s">
        <v>12313</v>
      </c>
      <c r="E11" s="462">
        <v>99.9</v>
      </c>
      <c r="F11" s="149" t="s">
        <v>3446</v>
      </c>
      <c r="G11" s="465">
        <f>E11-C11</f>
        <v>29.900000000000006</v>
      </c>
      <c r="K11" s="16" t="s">
        <v>7684</v>
      </c>
      <c r="L11">
        <v>4</v>
      </c>
      <c r="M11" s="465">
        <f>SUM(G89:G95)</f>
        <v>185</v>
      </c>
    </row>
    <row r="12" spans="1:15">
      <c r="A12" s="185" t="s">
        <v>2726</v>
      </c>
      <c r="B12" s="149" t="s">
        <v>9454</v>
      </c>
      <c r="C12" s="462">
        <v>79.900000000000006</v>
      </c>
      <c r="D12" s="295" t="s">
        <v>12313</v>
      </c>
      <c r="E12" s="462">
        <v>99.9</v>
      </c>
      <c r="F12" s="149" t="s">
        <v>3446</v>
      </c>
      <c r="G12" s="465">
        <f t="shared" si="0"/>
        <v>20</v>
      </c>
      <c r="K12" s="16" t="s">
        <v>2715</v>
      </c>
      <c r="L12">
        <v>14</v>
      </c>
      <c r="M12" s="465">
        <f>SUM(G97:G111)</f>
        <v>324.8</v>
      </c>
    </row>
    <row r="13" spans="1:15">
      <c r="A13" s="185" t="s">
        <v>3266</v>
      </c>
      <c r="B13" s="149" t="s">
        <v>9454</v>
      </c>
      <c r="C13" s="462">
        <v>79.900000000000006</v>
      </c>
      <c r="D13" s="295" t="s">
        <v>12313</v>
      </c>
      <c r="E13" s="462">
        <v>99</v>
      </c>
      <c r="F13" s="149" t="s">
        <v>3446</v>
      </c>
      <c r="G13" s="465">
        <f t="shared" si="0"/>
        <v>19.099999999999994</v>
      </c>
      <c r="K13" s="16" t="s">
        <v>2738</v>
      </c>
      <c r="L13">
        <v>12</v>
      </c>
      <c r="M13" s="465">
        <f>SUM(G113:G124)</f>
        <v>234.9</v>
      </c>
    </row>
    <row r="14" spans="1:15">
      <c r="A14" s="185" t="s">
        <v>437</v>
      </c>
      <c r="B14" s="149" t="s">
        <v>9454</v>
      </c>
      <c r="C14" s="462">
        <v>79.900000000000006</v>
      </c>
      <c r="D14" s="295" t="s">
        <v>12313</v>
      </c>
      <c r="E14" s="462">
        <v>99.9</v>
      </c>
      <c r="F14" s="149" t="s">
        <v>3446</v>
      </c>
      <c r="G14" s="465">
        <f t="shared" si="0"/>
        <v>20</v>
      </c>
      <c r="K14" s="533" t="s">
        <v>2755</v>
      </c>
      <c r="L14">
        <v>16</v>
      </c>
      <c r="M14" s="465">
        <f>SUM(G126:G142)</f>
        <v>325</v>
      </c>
    </row>
    <row r="15" spans="1:15">
      <c r="A15" s="185" t="s">
        <v>2730</v>
      </c>
      <c r="B15" s="149" t="s">
        <v>9454</v>
      </c>
      <c r="C15" s="462">
        <v>79.900000000000006</v>
      </c>
      <c r="D15" s="295" t="s">
        <v>12313</v>
      </c>
      <c r="E15" s="462">
        <v>99.9</v>
      </c>
      <c r="F15" s="149" t="s">
        <v>3446</v>
      </c>
      <c r="G15" s="465">
        <f t="shared" si="0"/>
        <v>20</v>
      </c>
      <c r="K15" s="16" t="s">
        <v>7720</v>
      </c>
      <c r="L15">
        <v>11</v>
      </c>
      <c r="M15" s="465">
        <f>SUM(G144:G158)</f>
        <v>294.89999999999998</v>
      </c>
    </row>
    <row r="16" spans="1:15">
      <c r="A16" s="185" t="s">
        <v>3690</v>
      </c>
      <c r="B16" s="149" t="s">
        <v>9454</v>
      </c>
      <c r="C16" s="462">
        <v>79.900000000000006</v>
      </c>
      <c r="D16" s="295" t="s">
        <v>12313</v>
      </c>
      <c r="E16" s="462">
        <v>99.9</v>
      </c>
      <c r="F16" s="149" t="s">
        <v>3446</v>
      </c>
      <c r="G16" s="465">
        <f t="shared" si="0"/>
        <v>20</v>
      </c>
      <c r="K16" s="16" t="s">
        <v>7543</v>
      </c>
      <c r="L16">
        <v>14</v>
      </c>
      <c r="M16" s="465">
        <f>SUM(G160:G173)</f>
        <v>374.8</v>
      </c>
    </row>
    <row r="17" spans="1:13">
      <c r="A17" s="185" t="s">
        <v>3766</v>
      </c>
      <c r="B17" s="149" t="s">
        <v>12309</v>
      </c>
      <c r="C17" s="462">
        <v>99.9</v>
      </c>
      <c r="D17" s="295" t="s">
        <v>12315</v>
      </c>
      <c r="E17" s="462">
        <v>114.9</v>
      </c>
      <c r="F17" s="149" t="s">
        <v>3446</v>
      </c>
      <c r="G17" s="465">
        <f t="shared" si="0"/>
        <v>15</v>
      </c>
      <c r="K17" s="16" t="s">
        <v>4357</v>
      </c>
      <c r="L17">
        <v>18</v>
      </c>
      <c r="M17" s="465">
        <f>SUM(G175:G192)</f>
        <v>349.9</v>
      </c>
    </row>
    <row r="18" spans="1:13">
      <c r="A18" s="185" t="s">
        <v>12316</v>
      </c>
      <c r="B18" s="149" t="s">
        <v>9454</v>
      </c>
      <c r="C18" s="462">
        <v>79.900000000000006</v>
      </c>
      <c r="D18" s="295" t="s">
        <v>12313</v>
      </c>
      <c r="E18" s="462">
        <v>99.9</v>
      </c>
      <c r="F18" s="149" t="s">
        <v>3446</v>
      </c>
      <c r="G18" s="465">
        <f t="shared" si="0"/>
        <v>20</v>
      </c>
      <c r="K18" t="s">
        <v>8910</v>
      </c>
      <c r="L18">
        <f>COUNTA(A194:A205)</f>
        <v>12</v>
      </c>
      <c r="M18" s="465">
        <f>SUM(G194:G205)</f>
        <v>209.9</v>
      </c>
    </row>
    <row r="19" spans="1:13">
      <c r="A19" s="185" t="s">
        <v>3637</v>
      </c>
      <c r="B19" s="149" t="s">
        <v>12309</v>
      </c>
      <c r="C19" s="462">
        <v>99.9</v>
      </c>
      <c r="D19" s="295" t="s">
        <v>12310</v>
      </c>
      <c r="E19" s="462">
        <v>114.9</v>
      </c>
      <c r="F19" s="149" t="s">
        <v>3446</v>
      </c>
      <c r="G19" s="465">
        <f t="shared" si="0"/>
        <v>15</v>
      </c>
      <c r="K19" t="s">
        <v>7628</v>
      </c>
      <c r="L19">
        <v>14</v>
      </c>
      <c r="M19" s="273">
        <f>SUM(G207:G220)</f>
        <v>295</v>
      </c>
    </row>
    <row r="20" spans="1:13">
      <c r="A20" s="185" t="s">
        <v>5279</v>
      </c>
      <c r="B20" s="149" t="s">
        <v>9454</v>
      </c>
      <c r="C20" s="462">
        <v>79.900000000000006</v>
      </c>
      <c r="D20" s="295" t="s">
        <v>12313</v>
      </c>
      <c r="E20" s="462">
        <v>99.9</v>
      </c>
      <c r="F20" s="149" t="s">
        <v>3446</v>
      </c>
      <c r="G20" s="465">
        <f t="shared" si="0"/>
        <v>20</v>
      </c>
      <c r="K20" t="s">
        <v>7634</v>
      </c>
      <c r="L20">
        <v>18</v>
      </c>
      <c r="M20" s="273">
        <f>SUM(G222:G244)</f>
        <v>539.79999999999995</v>
      </c>
    </row>
    <row r="21" spans="1:13">
      <c r="A21" s="185" t="s">
        <v>5740</v>
      </c>
      <c r="B21" s="149" t="s">
        <v>9454</v>
      </c>
      <c r="C21" s="462">
        <v>79.900000000000006</v>
      </c>
      <c r="D21" s="295" t="s">
        <v>12313</v>
      </c>
      <c r="E21" s="462">
        <v>99.9</v>
      </c>
      <c r="F21" s="149" t="s">
        <v>3446</v>
      </c>
      <c r="G21" s="465">
        <f t="shared" si="0"/>
        <v>20</v>
      </c>
      <c r="K21" t="s">
        <v>7656</v>
      </c>
      <c r="L21">
        <v>14</v>
      </c>
      <c r="M21" s="273">
        <f>SUM(G246:G259)</f>
        <v>260</v>
      </c>
    </row>
    <row r="22" spans="1:13">
      <c r="A22" s="185"/>
      <c r="B22" s="149"/>
      <c r="C22" s="462"/>
      <c r="D22" s="295"/>
      <c r="E22" s="462"/>
      <c r="F22" s="149"/>
      <c r="G22" s="465"/>
      <c r="K22" t="s">
        <v>7672</v>
      </c>
      <c r="L22">
        <v>18</v>
      </c>
      <c r="M22" s="273">
        <f>SUM(G261:G278)</f>
        <v>329.8</v>
      </c>
    </row>
    <row r="23" spans="1:13">
      <c r="A23" s="185"/>
      <c r="B23" s="149"/>
      <c r="C23" s="462"/>
      <c r="D23" s="295"/>
      <c r="E23" s="462"/>
      <c r="F23" s="149"/>
      <c r="G23" s="465"/>
      <c r="K23" t="s">
        <v>7684</v>
      </c>
      <c r="L23">
        <v>10</v>
      </c>
      <c r="M23" s="273">
        <f>SUM(G280:G289)</f>
        <v>219.8</v>
      </c>
    </row>
    <row r="24" spans="1:13">
      <c r="A24" s="185"/>
      <c r="B24" s="149"/>
      <c r="C24" s="462"/>
      <c r="D24" s="295"/>
      <c r="E24" s="462"/>
      <c r="F24" s="149"/>
      <c r="G24" s="465"/>
      <c r="K24" t="s">
        <v>2715</v>
      </c>
      <c r="L24">
        <v>11</v>
      </c>
      <c r="M24" s="273">
        <f>SUM(G291:G303)</f>
        <v>229.70000000000002</v>
      </c>
    </row>
    <row r="25" spans="1:13">
      <c r="A25" s="185"/>
      <c r="B25" s="149"/>
      <c r="C25" s="462"/>
      <c r="D25" s="295"/>
      <c r="E25" s="462"/>
      <c r="F25" s="149"/>
      <c r="G25" s="465"/>
      <c r="K25" t="s">
        <v>10003</v>
      </c>
      <c r="L25">
        <v>7</v>
      </c>
      <c r="M25" s="273">
        <f>SUM(G305:G311)</f>
        <v>134.9</v>
      </c>
    </row>
    <row r="26" spans="1:13">
      <c r="A26" s="185"/>
      <c r="B26" s="149"/>
      <c r="C26" s="462"/>
      <c r="D26" s="295"/>
      <c r="E26" s="462"/>
      <c r="F26" s="149"/>
      <c r="G26" s="465"/>
      <c r="K26" t="s">
        <v>2755</v>
      </c>
      <c r="L26">
        <v>6</v>
      </c>
      <c r="M26" s="273">
        <f>SUM(G313:G324)</f>
        <v>319.79999999999995</v>
      </c>
    </row>
    <row r="27" spans="1:13">
      <c r="A27" s="185"/>
      <c r="B27" s="149"/>
      <c r="C27" s="462"/>
      <c r="D27" s="295"/>
      <c r="E27" s="462"/>
      <c r="F27" s="149"/>
      <c r="G27" s="465"/>
      <c r="K27" t="s">
        <v>7720</v>
      </c>
      <c r="L27">
        <v>20</v>
      </c>
      <c r="M27" s="273">
        <f>SUM(G326:G345)</f>
        <v>369.70000000000005</v>
      </c>
    </row>
    <row r="28" spans="1:13">
      <c r="A28" s="185"/>
      <c r="B28" s="149"/>
      <c r="C28" s="462"/>
      <c r="D28" s="295"/>
      <c r="E28" s="462"/>
      <c r="F28" s="149"/>
      <c r="G28" s="465"/>
      <c r="K28" t="s">
        <v>7543</v>
      </c>
      <c r="L28">
        <v>10</v>
      </c>
      <c r="M28" s="273">
        <f>SUM(G347:G356)</f>
        <v>220.1</v>
      </c>
    </row>
    <row r="29" spans="1:13">
      <c r="A29" s="185"/>
      <c r="B29" s="149"/>
      <c r="C29" s="462"/>
      <c r="D29" s="295"/>
      <c r="E29" s="462"/>
      <c r="F29" s="149"/>
      <c r="G29" s="465"/>
      <c r="K29" t="s">
        <v>4357</v>
      </c>
      <c r="L29">
        <v>18</v>
      </c>
      <c r="M29" s="273">
        <f>SUM(G358:G375)</f>
        <v>369.9</v>
      </c>
    </row>
    <row r="30" spans="1:13">
      <c r="A30" s="185"/>
      <c r="B30" s="149"/>
      <c r="C30" s="462"/>
      <c r="D30" s="295"/>
      <c r="E30" s="462"/>
      <c r="F30" s="149"/>
      <c r="G30" s="465"/>
      <c r="K30" t="s">
        <v>8910</v>
      </c>
      <c r="L30">
        <v>8</v>
      </c>
      <c r="M30" s="273">
        <f>SUM(G377:G393)</f>
        <v>160</v>
      </c>
    </row>
    <row r="31" spans="1:13">
      <c r="A31" s="185"/>
      <c r="B31" s="149"/>
      <c r="C31" s="462"/>
      <c r="D31" s="295"/>
      <c r="E31" s="462"/>
      <c r="F31" s="149"/>
      <c r="G31" s="465"/>
      <c r="M31" s="273"/>
    </row>
    <row r="32" spans="1:13">
      <c r="A32" s="185" t="s">
        <v>2498</v>
      </c>
      <c r="B32" s="149" t="s">
        <v>12317</v>
      </c>
      <c r="C32" s="462">
        <v>60</v>
      </c>
      <c r="D32" s="295" t="s">
        <v>9454</v>
      </c>
      <c r="E32" s="462">
        <v>79.900000000000006</v>
      </c>
      <c r="F32" s="149" t="s">
        <v>3446</v>
      </c>
      <c r="G32" s="465">
        <f>E32-C32</f>
        <v>19.900000000000006</v>
      </c>
      <c r="M32" s="564">
        <f>SUM(M7:M30)</f>
        <v>6386.5</v>
      </c>
    </row>
    <row r="33" spans="1:13">
      <c r="A33" s="185" t="s">
        <v>5046</v>
      </c>
      <c r="B33" s="149" t="s">
        <v>9454</v>
      </c>
      <c r="C33" s="462">
        <v>79.900000000000006</v>
      </c>
      <c r="D33" s="295" t="s">
        <v>12313</v>
      </c>
      <c r="E33" s="462">
        <v>99.9</v>
      </c>
      <c r="F33" s="149" t="s">
        <v>3446</v>
      </c>
      <c r="G33" s="465">
        <f>E33-C33</f>
        <v>20</v>
      </c>
    </row>
    <row r="34" spans="1:13">
      <c r="A34" s="185" t="s">
        <v>739</v>
      </c>
      <c r="B34" s="149" t="s">
        <v>9454</v>
      </c>
      <c r="C34" s="462">
        <v>79.900000000000006</v>
      </c>
      <c r="D34" s="295" t="s">
        <v>12313</v>
      </c>
      <c r="E34" s="462">
        <v>99.9</v>
      </c>
      <c r="F34" s="149" t="s">
        <v>3446</v>
      </c>
      <c r="G34" s="465">
        <f t="shared" ref="G34:G95" si="1">E34-C34</f>
        <v>20</v>
      </c>
      <c r="M34" s="465">
        <f>M32/(1883)</f>
        <v>3.3916622411046204</v>
      </c>
    </row>
    <row r="35" spans="1:13">
      <c r="A35" s="185" t="s">
        <v>5770</v>
      </c>
      <c r="B35" s="149" t="s">
        <v>9454</v>
      </c>
      <c r="C35" s="462">
        <v>79.900000000000006</v>
      </c>
      <c r="D35" s="295" t="s">
        <v>12313</v>
      </c>
      <c r="E35" s="462">
        <v>99.9</v>
      </c>
      <c r="F35" s="149" t="s">
        <v>3446</v>
      </c>
      <c r="G35" s="465">
        <f t="shared" si="1"/>
        <v>20</v>
      </c>
    </row>
    <row r="36" spans="1:13">
      <c r="A36" s="817" t="s">
        <v>7628</v>
      </c>
      <c r="B36" s="817"/>
      <c r="C36" s="817"/>
      <c r="D36" s="817"/>
      <c r="E36" s="817"/>
      <c r="F36" s="817"/>
    </row>
    <row r="37" spans="1:13">
      <c r="A37" s="185" t="s">
        <v>4000</v>
      </c>
      <c r="B37" s="149" t="s">
        <v>9454</v>
      </c>
      <c r="C37" s="462">
        <v>79.900000000000006</v>
      </c>
      <c r="D37" s="295" t="s">
        <v>12313</v>
      </c>
      <c r="E37" s="462">
        <v>99.9</v>
      </c>
      <c r="F37" s="149" t="s">
        <v>3446</v>
      </c>
      <c r="G37" s="465">
        <f t="shared" si="1"/>
        <v>20</v>
      </c>
    </row>
    <row r="38" spans="1:13">
      <c r="A38" s="185" t="s">
        <v>12318</v>
      </c>
      <c r="B38" s="149" t="s">
        <v>9454</v>
      </c>
      <c r="C38" s="462">
        <v>79.900000000000006</v>
      </c>
      <c r="D38" s="295" t="s">
        <v>12313</v>
      </c>
      <c r="E38" s="462">
        <v>99.9</v>
      </c>
      <c r="F38" s="149" t="s">
        <v>3446</v>
      </c>
      <c r="G38" s="465">
        <f t="shared" si="1"/>
        <v>20</v>
      </c>
    </row>
    <row r="39" spans="1:13">
      <c r="A39" s="185" t="s">
        <v>3811</v>
      </c>
      <c r="B39" s="149" t="s">
        <v>12307</v>
      </c>
      <c r="C39" s="462">
        <v>79.900000000000006</v>
      </c>
      <c r="D39" s="295" t="s">
        <v>12313</v>
      </c>
      <c r="E39" s="462">
        <v>99.9</v>
      </c>
      <c r="F39" s="149" t="s">
        <v>12319</v>
      </c>
      <c r="G39" s="465">
        <f>E39-C39</f>
        <v>20</v>
      </c>
    </row>
    <row r="40" spans="1:13">
      <c r="A40" s="185" t="s">
        <v>12320</v>
      </c>
      <c r="B40" s="149" t="s">
        <v>9467</v>
      </c>
      <c r="C40" s="462">
        <v>70</v>
      </c>
      <c r="D40" s="295" t="s">
        <v>9454</v>
      </c>
      <c r="E40" s="462">
        <v>79.900000000000006</v>
      </c>
      <c r="F40" s="149" t="s">
        <v>12319</v>
      </c>
      <c r="G40" s="465">
        <f t="shared" si="1"/>
        <v>9.9000000000000057</v>
      </c>
    </row>
    <row r="41" spans="1:13">
      <c r="A41" s="185" t="s">
        <v>5364</v>
      </c>
      <c r="B41" s="149" t="s">
        <v>9454</v>
      </c>
      <c r="C41" s="462">
        <v>59.9</v>
      </c>
      <c r="D41" s="295" t="s">
        <v>12313</v>
      </c>
      <c r="E41" s="462">
        <v>79.900000000000006</v>
      </c>
      <c r="F41" s="149" t="s">
        <v>3446</v>
      </c>
      <c r="G41" s="465">
        <f t="shared" si="1"/>
        <v>20.000000000000007</v>
      </c>
    </row>
    <row r="42" spans="1:13">
      <c r="A42" s="185" t="s">
        <v>12321</v>
      </c>
      <c r="B42" s="149" t="s">
        <v>9454</v>
      </c>
      <c r="C42" s="462">
        <v>79.900000000000006</v>
      </c>
      <c r="D42" s="295" t="s">
        <v>12313</v>
      </c>
      <c r="E42" s="462">
        <v>99.9</v>
      </c>
      <c r="F42" s="149" t="s">
        <v>3446</v>
      </c>
      <c r="G42" s="465">
        <f t="shared" si="1"/>
        <v>20</v>
      </c>
    </row>
    <row r="43" spans="1:13">
      <c r="A43" s="185" t="s">
        <v>12322</v>
      </c>
      <c r="B43" s="149" t="s">
        <v>9454</v>
      </c>
      <c r="C43" s="462">
        <v>79.900000000000006</v>
      </c>
      <c r="D43" s="295" t="s">
        <v>12323</v>
      </c>
      <c r="E43" s="462">
        <v>99.9</v>
      </c>
      <c r="F43" s="149" t="s">
        <v>3446</v>
      </c>
      <c r="G43" s="465">
        <f t="shared" si="1"/>
        <v>20</v>
      </c>
    </row>
    <row r="44" spans="1:13">
      <c r="A44" s="185" t="s">
        <v>4801</v>
      </c>
      <c r="B44" s="149" t="s">
        <v>9467</v>
      </c>
      <c r="C44" s="462">
        <v>70</v>
      </c>
      <c r="D44" s="295" t="s">
        <v>9454</v>
      </c>
      <c r="E44" s="462">
        <v>79.900000000000006</v>
      </c>
      <c r="F44" s="149" t="s">
        <v>3446</v>
      </c>
      <c r="G44" s="465">
        <f t="shared" si="1"/>
        <v>9.9000000000000057</v>
      </c>
    </row>
    <row r="45" spans="1:13">
      <c r="A45" s="185" t="s">
        <v>12324</v>
      </c>
      <c r="B45" s="149" t="s">
        <v>9454</v>
      </c>
      <c r="C45" s="462">
        <v>79.900000000000006</v>
      </c>
      <c r="D45" s="295" t="s">
        <v>12310</v>
      </c>
      <c r="E45" s="462">
        <v>130</v>
      </c>
      <c r="F45" s="149" t="s">
        <v>3446</v>
      </c>
      <c r="G45" s="465">
        <f t="shared" si="1"/>
        <v>50.099999999999994</v>
      </c>
    </row>
    <row r="46" spans="1:13">
      <c r="A46" s="185" t="s">
        <v>3604</v>
      </c>
      <c r="B46" s="149" t="s">
        <v>9454</v>
      </c>
      <c r="C46" s="462">
        <v>79.900000000000006</v>
      </c>
      <c r="D46" s="295" t="s">
        <v>12313</v>
      </c>
      <c r="E46" s="462">
        <v>99.9</v>
      </c>
      <c r="F46" s="149" t="s">
        <v>3446</v>
      </c>
      <c r="G46" s="465">
        <f t="shared" si="1"/>
        <v>20</v>
      </c>
    </row>
    <row r="47" spans="1:13">
      <c r="A47" s="185" t="s">
        <v>12325</v>
      </c>
      <c r="B47" s="149" t="s">
        <v>9467</v>
      </c>
      <c r="C47" s="462">
        <v>60</v>
      </c>
      <c r="D47" s="295" t="s">
        <v>9454</v>
      </c>
      <c r="E47" s="462">
        <v>79.900000000000006</v>
      </c>
      <c r="F47" s="149" t="s">
        <v>3446</v>
      </c>
      <c r="G47" s="465">
        <f t="shared" si="1"/>
        <v>19.900000000000006</v>
      </c>
    </row>
    <row r="48" spans="1:13">
      <c r="A48" s="185" t="s">
        <v>12326</v>
      </c>
      <c r="B48" s="149" t="s">
        <v>12327</v>
      </c>
      <c r="C48" s="462">
        <v>79.900000000000006</v>
      </c>
      <c r="D48" s="295" t="s">
        <v>12313</v>
      </c>
      <c r="E48" s="462">
        <v>99.9</v>
      </c>
      <c r="F48" s="149" t="s">
        <v>3446</v>
      </c>
      <c r="G48" s="465">
        <f t="shared" si="1"/>
        <v>20</v>
      </c>
    </row>
    <row r="49" spans="1:7">
      <c r="A49" s="185" t="s">
        <v>12328</v>
      </c>
      <c r="B49" s="149" t="s">
        <v>9454</v>
      </c>
      <c r="C49" s="462">
        <v>79.900000000000006</v>
      </c>
      <c r="D49" s="295" t="s">
        <v>12323</v>
      </c>
      <c r="E49" s="462">
        <v>99.9</v>
      </c>
      <c r="F49" s="149" t="s">
        <v>3446</v>
      </c>
      <c r="G49" s="465">
        <f t="shared" si="1"/>
        <v>20</v>
      </c>
    </row>
    <row r="50" spans="1:7">
      <c r="A50" s="185" t="s">
        <v>3817</v>
      </c>
      <c r="B50" s="149" t="s">
        <v>9454</v>
      </c>
      <c r="C50" s="462">
        <v>79.900000000000006</v>
      </c>
      <c r="D50" s="295" t="s">
        <v>12313</v>
      </c>
      <c r="E50" s="462">
        <v>99.9</v>
      </c>
      <c r="F50" s="149" t="s">
        <v>3446</v>
      </c>
      <c r="G50" s="465">
        <f t="shared" si="1"/>
        <v>20</v>
      </c>
    </row>
    <row r="51" spans="1:7">
      <c r="A51" s="820" t="s">
        <v>7634</v>
      </c>
      <c r="B51" s="820"/>
      <c r="C51" s="820"/>
      <c r="D51" s="820"/>
      <c r="E51" s="820"/>
      <c r="F51" s="820"/>
      <c r="G51" s="465"/>
    </row>
    <row r="52" spans="1:7" hidden="1">
      <c r="A52" s="149" t="s">
        <v>12329</v>
      </c>
      <c r="B52" s="185" t="s">
        <v>12309</v>
      </c>
      <c r="C52" s="462">
        <v>99.9</v>
      </c>
      <c r="D52" s="295" t="s">
        <v>12310</v>
      </c>
      <c r="E52" s="462">
        <v>114.9</v>
      </c>
      <c r="F52" s="149" t="s">
        <v>3446</v>
      </c>
      <c r="G52" s="465">
        <f t="shared" si="1"/>
        <v>15</v>
      </c>
    </row>
    <row r="53" spans="1:7" hidden="1">
      <c r="A53" s="149" t="s">
        <v>5483</v>
      </c>
      <c r="B53" s="185" t="s">
        <v>12309</v>
      </c>
      <c r="C53" s="462">
        <v>99.9</v>
      </c>
      <c r="D53" s="295" t="s">
        <v>12308</v>
      </c>
      <c r="E53" s="462">
        <v>114.9</v>
      </c>
      <c r="F53" s="149" t="s">
        <v>3446</v>
      </c>
      <c r="G53" s="465">
        <f t="shared" si="1"/>
        <v>15</v>
      </c>
    </row>
    <row r="54" spans="1:7" hidden="1">
      <c r="A54" s="149" t="s">
        <v>5856</v>
      </c>
      <c r="B54" s="185" t="s">
        <v>9454</v>
      </c>
      <c r="C54" s="462">
        <v>79.900000000000006</v>
      </c>
      <c r="D54" s="295" t="s">
        <v>12313</v>
      </c>
      <c r="E54" s="462">
        <v>99.9</v>
      </c>
      <c r="F54" s="149" t="s">
        <v>12319</v>
      </c>
      <c r="G54" s="465">
        <f t="shared" si="1"/>
        <v>20</v>
      </c>
    </row>
    <row r="55" spans="1:7" hidden="1">
      <c r="A55" s="149" t="s">
        <v>3659</v>
      </c>
      <c r="B55" s="185" t="s">
        <v>12309</v>
      </c>
      <c r="C55" s="462">
        <v>99.9</v>
      </c>
      <c r="D55" s="295" t="s">
        <v>12330</v>
      </c>
      <c r="E55" s="462">
        <v>114.9</v>
      </c>
      <c r="F55" s="149" t="s">
        <v>12319</v>
      </c>
      <c r="G55" s="465">
        <f t="shared" si="1"/>
        <v>15</v>
      </c>
    </row>
    <row r="56" spans="1:7" hidden="1">
      <c r="A56" s="149" t="s">
        <v>2720</v>
      </c>
      <c r="B56" s="185" t="s">
        <v>9454</v>
      </c>
      <c r="C56" s="462">
        <v>69.900000000000006</v>
      </c>
      <c r="D56" s="295" t="s">
        <v>12313</v>
      </c>
      <c r="E56" s="462">
        <v>99.9</v>
      </c>
      <c r="F56" s="149" t="s">
        <v>12319</v>
      </c>
      <c r="G56" s="465">
        <f t="shared" si="1"/>
        <v>30</v>
      </c>
    </row>
    <row r="57" spans="1:7" hidden="1">
      <c r="A57" s="149" t="s">
        <v>3692</v>
      </c>
      <c r="B57" s="185" t="s">
        <v>12310</v>
      </c>
      <c r="C57" s="462">
        <v>114.9</v>
      </c>
      <c r="D57" s="295" t="s">
        <v>12315</v>
      </c>
      <c r="E57" s="462">
        <v>139.9</v>
      </c>
      <c r="F57" s="149" t="s">
        <v>3446</v>
      </c>
      <c r="G57" s="465">
        <f t="shared" si="1"/>
        <v>25</v>
      </c>
    </row>
    <row r="58" spans="1:7" hidden="1">
      <c r="A58" s="149" t="s">
        <v>2732</v>
      </c>
      <c r="B58" s="185" t="s">
        <v>12307</v>
      </c>
      <c r="C58" s="462">
        <v>79.900000000000006</v>
      </c>
      <c r="D58" s="295" t="s">
        <v>12313</v>
      </c>
      <c r="E58" s="462">
        <v>99.9</v>
      </c>
      <c r="F58" s="149" t="s">
        <v>3446</v>
      </c>
      <c r="G58" s="465">
        <f>E58-C58</f>
        <v>20</v>
      </c>
    </row>
    <row r="59" spans="1:7" hidden="1">
      <c r="A59" s="149" t="s">
        <v>12331</v>
      </c>
      <c r="B59" s="185" t="s">
        <v>12317</v>
      </c>
      <c r="C59" s="462">
        <v>60</v>
      </c>
      <c r="D59" s="295" t="s">
        <v>12313</v>
      </c>
      <c r="E59" s="462">
        <v>99.9</v>
      </c>
      <c r="F59" s="149" t="s">
        <v>3446</v>
      </c>
      <c r="G59" s="465">
        <f>E59-C59</f>
        <v>39.900000000000006</v>
      </c>
    </row>
    <row r="60" spans="1:7" hidden="1">
      <c r="A60" s="149" t="s">
        <v>12332</v>
      </c>
      <c r="B60" s="185" t="s">
        <v>12333</v>
      </c>
      <c r="C60" s="462">
        <v>60</v>
      </c>
      <c r="D60" s="295" t="s">
        <v>9454</v>
      </c>
      <c r="E60" s="462">
        <v>79.900000000000006</v>
      </c>
      <c r="F60" s="149" t="s">
        <v>12319</v>
      </c>
      <c r="G60" s="465">
        <f t="shared" ref="G60:G81" si="2">E60-C60</f>
        <v>19.900000000000006</v>
      </c>
    </row>
    <row r="61" spans="1:7" hidden="1">
      <c r="A61" s="149" t="s">
        <v>5433</v>
      </c>
      <c r="B61" s="185" t="s">
        <v>9454</v>
      </c>
      <c r="C61" s="462">
        <v>79.900000000000006</v>
      </c>
      <c r="D61" s="295" t="s">
        <v>12313</v>
      </c>
      <c r="E61" s="462">
        <v>99.9</v>
      </c>
      <c r="F61" s="149" t="s">
        <v>12319</v>
      </c>
      <c r="G61" s="465">
        <f t="shared" si="2"/>
        <v>20</v>
      </c>
    </row>
    <row r="62" spans="1:7" hidden="1">
      <c r="A62" s="149" t="s">
        <v>5349</v>
      </c>
      <c r="B62" s="185" t="s">
        <v>9454</v>
      </c>
      <c r="C62" s="462">
        <v>79.900000000000006</v>
      </c>
      <c r="D62" s="295" t="s">
        <v>12313</v>
      </c>
      <c r="E62" s="462">
        <v>99.9</v>
      </c>
      <c r="F62" s="149" t="s">
        <v>12319</v>
      </c>
      <c r="G62" s="465">
        <f t="shared" si="2"/>
        <v>20</v>
      </c>
    </row>
    <row r="63" spans="1:7" hidden="1">
      <c r="A63" s="149" t="s">
        <v>3622</v>
      </c>
      <c r="B63" s="185" t="s">
        <v>9454</v>
      </c>
      <c r="C63" s="462">
        <v>70</v>
      </c>
      <c r="D63" s="295" t="s">
        <v>9454</v>
      </c>
      <c r="E63" s="462">
        <v>79.900000000000006</v>
      </c>
      <c r="F63" s="149" t="s">
        <v>12319</v>
      </c>
      <c r="G63" s="465">
        <f t="shared" si="2"/>
        <v>9.9000000000000057</v>
      </c>
    </row>
    <row r="64" spans="1:7" hidden="1">
      <c r="A64" s="149" t="s">
        <v>984</v>
      </c>
      <c r="B64" s="185" t="s">
        <v>9467</v>
      </c>
      <c r="C64" s="462">
        <v>70</v>
      </c>
      <c r="D64" s="295" t="s">
        <v>9454</v>
      </c>
      <c r="E64" s="462">
        <v>79.900000000000006</v>
      </c>
      <c r="F64" s="149" t="s">
        <v>12319</v>
      </c>
      <c r="G64" s="465">
        <f t="shared" si="2"/>
        <v>9.9000000000000057</v>
      </c>
    </row>
    <row r="65" spans="1:7" hidden="1">
      <c r="A65" s="149" t="s">
        <v>1911</v>
      </c>
      <c r="B65" s="185" t="s">
        <v>9467</v>
      </c>
      <c r="C65" s="462">
        <v>70</v>
      </c>
      <c r="D65" s="295" t="s">
        <v>9454</v>
      </c>
      <c r="E65" s="462">
        <v>79.900000000000006</v>
      </c>
      <c r="F65" s="149" t="s">
        <v>12319</v>
      </c>
      <c r="G65" s="465">
        <f t="shared" si="2"/>
        <v>9.9000000000000057</v>
      </c>
    </row>
    <row r="66" spans="1:7" hidden="1">
      <c r="A66" s="149" t="s">
        <v>1350</v>
      </c>
      <c r="B66" s="185" t="s">
        <v>9467</v>
      </c>
      <c r="C66" s="462">
        <v>70</v>
      </c>
      <c r="D66" s="295" t="s">
        <v>9454</v>
      </c>
      <c r="E66" s="462">
        <v>79.900000000000006</v>
      </c>
      <c r="F66" s="149" t="s">
        <v>12319</v>
      </c>
      <c r="G66" s="465">
        <f t="shared" si="2"/>
        <v>9.9000000000000057</v>
      </c>
    </row>
    <row r="67" spans="1:7" hidden="1">
      <c r="A67" s="149" t="s">
        <v>735</v>
      </c>
      <c r="B67" s="185" t="s">
        <v>12333</v>
      </c>
      <c r="C67" s="462">
        <v>60</v>
      </c>
      <c r="D67" s="295" t="s">
        <v>9454</v>
      </c>
      <c r="E67" s="462">
        <v>79.900000000000006</v>
      </c>
      <c r="F67" s="149"/>
      <c r="G67" s="465">
        <f t="shared" si="2"/>
        <v>19.900000000000006</v>
      </c>
    </row>
    <row r="68" spans="1:7" hidden="1">
      <c r="A68" s="820" t="s">
        <v>7656</v>
      </c>
      <c r="B68" s="820"/>
      <c r="C68" s="820"/>
      <c r="D68" s="820"/>
      <c r="E68" s="820"/>
      <c r="F68" s="820"/>
      <c r="G68" s="465">
        <f t="shared" si="2"/>
        <v>0</v>
      </c>
    </row>
    <row r="69" spans="1:7" hidden="1">
      <c r="A69" s="149" t="s">
        <v>5870</v>
      </c>
      <c r="B69" s="185" t="s">
        <v>9454</v>
      </c>
      <c r="C69" s="462">
        <v>79.900000000000006</v>
      </c>
      <c r="D69" s="295" t="s">
        <v>12313</v>
      </c>
      <c r="E69" s="462">
        <v>99.9</v>
      </c>
      <c r="F69" s="149" t="s">
        <v>12319</v>
      </c>
      <c r="G69" s="465">
        <f t="shared" si="2"/>
        <v>20</v>
      </c>
    </row>
    <row r="70" spans="1:7" hidden="1">
      <c r="A70" s="149" t="s">
        <v>5115</v>
      </c>
      <c r="B70" s="185" t="s">
        <v>9454</v>
      </c>
      <c r="C70" s="462">
        <v>79.900000000000006</v>
      </c>
      <c r="D70" s="295" t="s">
        <v>12313</v>
      </c>
      <c r="E70" s="462">
        <v>99.9</v>
      </c>
      <c r="F70" s="149" t="s">
        <v>12319</v>
      </c>
      <c r="G70" s="465">
        <f t="shared" si="2"/>
        <v>20</v>
      </c>
    </row>
    <row r="71" spans="1:7" hidden="1">
      <c r="A71" s="149" t="s">
        <v>5418</v>
      </c>
      <c r="B71" s="185" t="s">
        <v>9454</v>
      </c>
      <c r="C71" s="462">
        <v>79.900000000000006</v>
      </c>
      <c r="D71" s="295" t="s">
        <v>12313</v>
      </c>
      <c r="E71" s="462">
        <v>99.9</v>
      </c>
      <c r="F71" s="149" t="s">
        <v>12319</v>
      </c>
      <c r="G71" s="465">
        <f t="shared" si="2"/>
        <v>20</v>
      </c>
    </row>
    <row r="72" spans="1:7" hidden="1">
      <c r="A72" s="149" t="s">
        <v>2275</v>
      </c>
      <c r="B72" s="185" t="s">
        <v>12333</v>
      </c>
      <c r="C72" s="462">
        <v>60</v>
      </c>
      <c r="D72" s="295" t="s">
        <v>9454</v>
      </c>
      <c r="E72" s="462">
        <v>79.900000000000006</v>
      </c>
      <c r="F72" s="149" t="s">
        <v>12319</v>
      </c>
      <c r="G72" s="465">
        <f t="shared" si="2"/>
        <v>19.900000000000006</v>
      </c>
    </row>
    <row r="73" spans="1:7" hidden="1">
      <c r="A73" s="149" t="s">
        <v>613</v>
      </c>
      <c r="B73" s="185" t="s">
        <v>12333</v>
      </c>
      <c r="C73" s="462">
        <v>60</v>
      </c>
      <c r="D73" s="295" t="s">
        <v>9454</v>
      </c>
      <c r="E73" s="462">
        <v>79.900000000000006</v>
      </c>
      <c r="F73" s="149" t="s">
        <v>12319</v>
      </c>
      <c r="G73" s="465">
        <f t="shared" si="2"/>
        <v>19.900000000000006</v>
      </c>
    </row>
    <row r="74" spans="1:7" hidden="1">
      <c r="A74" s="149" t="s">
        <v>5961</v>
      </c>
      <c r="B74" s="185" t="s">
        <v>9454</v>
      </c>
      <c r="C74" s="462">
        <v>79.900000000000006</v>
      </c>
      <c r="D74" s="295" t="s">
        <v>12313</v>
      </c>
      <c r="E74" s="462">
        <v>99.9</v>
      </c>
      <c r="F74" s="149" t="s">
        <v>12319</v>
      </c>
      <c r="G74" s="465">
        <f t="shared" si="2"/>
        <v>20</v>
      </c>
    </row>
    <row r="75" spans="1:7" hidden="1">
      <c r="A75" s="820" t="s">
        <v>7672</v>
      </c>
      <c r="B75" s="820"/>
      <c r="C75" s="820"/>
      <c r="D75" s="820"/>
      <c r="E75" s="820"/>
      <c r="F75" s="820"/>
      <c r="G75" s="465">
        <f t="shared" ref="G75" si="3">E75-C75</f>
        <v>0</v>
      </c>
    </row>
    <row r="76" spans="1:7" hidden="1">
      <c r="A76" s="185" t="s">
        <v>4034</v>
      </c>
      <c r="B76" s="149" t="s">
        <v>12308</v>
      </c>
      <c r="C76" s="510">
        <v>139.9</v>
      </c>
      <c r="D76" s="295" t="s">
        <v>12334</v>
      </c>
      <c r="E76" s="462">
        <v>159.9</v>
      </c>
      <c r="F76" s="149" t="s">
        <v>12319</v>
      </c>
      <c r="G76" s="465">
        <f t="shared" si="2"/>
        <v>20</v>
      </c>
    </row>
    <row r="77" spans="1:7" hidden="1">
      <c r="A77" t="s">
        <v>3824</v>
      </c>
      <c r="B77" s="149" t="s">
        <v>12309</v>
      </c>
      <c r="C77" s="510">
        <v>99.9</v>
      </c>
      <c r="D77" s="295" t="s">
        <v>12330</v>
      </c>
      <c r="E77" s="462">
        <v>114.9</v>
      </c>
      <c r="F77" s="149" t="s">
        <v>12319</v>
      </c>
      <c r="G77" s="465">
        <f t="shared" si="2"/>
        <v>15</v>
      </c>
    </row>
    <row r="78" spans="1:7" hidden="1">
      <c r="A78" s="185" t="s">
        <v>2906</v>
      </c>
      <c r="B78" s="149" t="s">
        <v>12309</v>
      </c>
      <c r="C78" s="510">
        <v>99.9</v>
      </c>
      <c r="D78" s="295" t="s">
        <v>12330</v>
      </c>
      <c r="E78" s="462">
        <v>114.9</v>
      </c>
      <c r="F78" s="149" t="s">
        <v>12319</v>
      </c>
      <c r="G78" s="465">
        <f t="shared" si="2"/>
        <v>15</v>
      </c>
    </row>
    <row r="79" spans="1:7" hidden="1">
      <c r="A79" s="149" t="s">
        <v>3843</v>
      </c>
      <c r="B79" s="149" t="s">
        <v>9454</v>
      </c>
      <c r="C79" s="510">
        <v>79.900000000000006</v>
      </c>
      <c r="D79" s="295" t="s">
        <v>12330</v>
      </c>
      <c r="E79" s="462">
        <v>114.9</v>
      </c>
      <c r="F79" s="149" t="s">
        <v>12319</v>
      </c>
      <c r="G79" s="465">
        <f t="shared" si="2"/>
        <v>35</v>
      </c>
    </row>
    <row r="80" spans="1:7" hidden="1">
      <c r="A80" s="185" t="s">
        <v>10557</v>
      </c>
      <c r="B80" s="185" t="s">
        <v>9454</v>
      </c>
      <c r="C80" s="510">
        <v>79.900000000000006</v>
      </c>
      <c r="D80" s="295" t="s">
        <v>12313</v>
      </c>
      <c r="E80" s="462">
        <v>99.9</v>
      </c>
      <c r="F80" s="149" t="s">
        <v>12319</v>
      </c>
      <c r="G80" s="465">
        <f t="shared" si="2"/>
        <v>20</v>
      </c>
    </row>
    <row r="81" spans="1:8" hidden="1">
      <c r="A81" s="185" t="s">
        <v>3753</v>
      </c>
      <c r="B81" s="149" t="s">
        <v>12323</v>
      </c>
      <c r="C81" s="509">
        <v>99.9</v>
      </c>
      <c r="D81" s="295" t="s">
        <v>12335</v>
      </c>
      <c r="E81" s="509">
        <v>114.9</v>
      </c>
      <c r="F81" s="149" t="s">
        <v>12319</v>
      </c>
      <c r="G81" s="465">
        <f t="shared" si="2"/>
        <v>15</v>
      </c>
    </row>
    <row r="82" spans="1:8" hidden="1">
      <c r="A82" s="185" t="s">
        <v>3448</v>
      </c>
      <c r="B82" s="149" t="s">
        <v>12323</v>
      </c>
      <c r="C82" s="509">
        <v>99.9</v>
      </c>
      <c r="D82" s="295" t="s">
        <v>12335</v>
      </c>
      <c r="E82" s="509">
        <v>114.9</v>
      </c>
      <c r="F82" s="149"/>
      <c r="G82" s="465">
        <f t="shared" si="1"/>
        <v>15</v>
      </c>
    </row>
    <row r="83" spans="1:8" hidden="1">
      <c r="A83" s="185" t="s">
        <v>12336</v>
      </c>
      <c r="B83" s="149" t="s">
        <v>12337</v>
      </c>
      <c r="C83" s="462">
        <v>70</v>
      </c>
      <c r="D83" s="295" t="s">
        <v>12327</v>
      </c>
      <c r="E83" s="509">
        <v>79.900000000000006</v>
      </c>
      <c r="F83" s="149"/>
      <c r="G83" s="465">
        <f t="shared" si="1"/>
        <v>9.9000000000000057</v>
      </c>
    </row>
    <row r="84" spans="1:8" hidden="1">
      <c r="A84" s="185" t="s">
        <v>12338</v>
      </c>
      <c r="B84" s="149" t="s">
        <v>12339</v>
      </c>
      <c r="C84" s="509">
        <v>60</v>
      </c>
      <c r="D84" s="295" t="s">
        <v>9454</v>
      </c>
      <c r="E84" s="509">
        <v>79.900000000000006</v>
      </c>
      <c r="F84" s="149"/>
      <c r="G84" s="465">
        <f t="shared" si="1"/>
        <v>19.900000000000006</v>
      </c>
    </row>
    <row r="85" spans="1:8" hidden="1">
      <c r="A85" s="185" t="s">
        <v>12340</v>
      </c>
      <c r="B85" s="149" t="s">
        <v>12309</v>
      </c>
      <c r="C85" s="509">
        <v>99.9</v>
      </c>
      <c r="D85" s="295" t="s">
        <v>12335</v>
      </c>
      <c r="E85" s="509">
        <v>114.9</v>
      </c>
      <c r="F85" s="149"/>
      <c r="G85" s="465">
        <f t="shared" si="1"/>
        <v>15</v>
      </c>
    </row>
    <row r="86" spans="1:8" hidden="1">
      <c r="A86" s="185" t="s">
        <v>5995</v>
      </c>
      <c r="B86" s="149" t="s">
        <v>12307</v>
      </c>
      <c r="C86" s="509">
        <v>79.900000000000006</v>
      </c>
      <c r="D86" s="295" t="s">
        <v>12323</v>
      </c>
      <c r="E86" s="509">
        <v>99.9</v>
      </c>
      <c r="F86" s="149"/>
      <c r="G86" s="465">
        <f t="shared" si="1"/>
        <v>20</v>
      </c>
    </row>
    <row r="87" spans="1:8" hidden="1">
      <c r="A87" s="185" t="s">
        <v>3634</v>
      </c>
      <c r="B87" s="149" t="s">
        <v>12333</v>
      </c>
      <c r="C87" s="509">
        <v>60</v>
      </c>
      <c r="D87" s="295" t="s">
        <v>12327</v>
      </c>
      <c r="E87" s="509">
        <v>79.900000000000006</v>
      </c>
      <c r="F87" s="149"/>
      <c r="G87" s="465">
        <f t="shared" si="1"/>
        <v>19.900000000000006</v>
      </c>
    </row>
    <row r="88" spans="1:8" hidden="1">
      <c r="A88" s="820" t="s">
        <v>7684</v>
      </c>
      <c r="B88" s="820"/>
      <c r="C88" s="820"/>
      <c r="D88" s="820"/>
      <c r="E88" s="820"/>
      <c r="F88" s="820"/>
      <c r="G88" s="465">
        <f t="shared" si="1"/>
        <v>0</v>
      </c>
    </row>
    <row r="89" spans="1:8" hidden="1">
      <c r="A89" s="149" t="s">
        <v>3551</v>
      </c>
      <c r="B89" s="149" t="s">
        <v>9454</v>
      </c>
      <c r="C89" s="513">
        <v>79.900000000000006</v>
      </c>
      <c r="D89" s="295" t="s">
        <v>12313</v>
      </c>
      <c r="E89" s="462">
        <v>99.9</v>
      </c>
      <c r="F89" s="149" t="s">
        <v>12319</v>
      </c>
      <c r="G89" s="465">
        <f t="shared" si="1"/>
        <v>20</v>
      </c>
    </row>
    <row r="90" spans="1:8" hidden="1">
      <c r="A90" s="149" t="s">
        <v>3508</v>
      </c>
      <c r="B90" s="149" t="s">
        <v>9454</v>
      </c>
      <c r="C90" s="514">
        <v>79.900000000000006</v>
      </c>
      <c r="D90" s="295" t="s">
        <v>12335</v>
      </c>
      <c r="E90" s="509">
        <v>114.9</v>
      </c>
      <c r="F90" s="149" t="s">
        <v>12319</v>
      </c>
      <c r="G90" s="465">
        <f t="shared" si="1"/>
        <v>35</v>
      </c>
      <c r="H90" t="s">
        <v>12341</v>
      </c>
    </row>
    <row r="91" spans="1:8" hidden="1">
      <c r="A91" s="517" t="s">
        <v>3731</v>
      </c>
      <c r="B91" s="192" t="s">
        <v>12307</v>
      </c>
      <c r="C91" s="518">
        <v>79.900000000000006</v>
      </c>
      <c r="D91" s="519" t="s">
        <v>12335</v>
      </c>
      <c r="E91" s="518">
        <v>99.9</v>
      </c>
      <c r="F91" s="149" t="s">
        <v>3446</v>
      </c>
      <c r="G91" s="465">
        <f t="shared" si="1"/>
        <v>20</v>
      </c>
      <c r="H91" t="s">
        <v>12342</v>
      </c>
    </row>
    <row r="92" spans="1:8" hidden="1">
      <c r="A92" s="185" t="s">
        <v>12343</v>
      </c>
      <c r="B92" s="149" t="s">
        <v>9454</v>
      </c>
      <c r="C92" s="513">
        <v>79.900000000000006</v>
      </c>
      <c r="D92" s="295" t="s">
        <v>12330</v>
      </c>
      <c r="E92" s="509">
        <v>114.9</v>
      </c>
      <c r="F92" s="149" t="s">
        <v>3446</v>
      </c>
      <c r="G92" s="465">
        <f t="shared" si="1"/>
        <v>35</v>
      </c>
    </row>
    <row r="93" spans="1:8" hidden="1">
      <c r="A93" s="149" t="s">
        <v>12344</v>
      </c>
      <c r="B93" s="149" t="s">
        <v>9454</v>
      </c>
      <c r="C93" s="513">
        <v>79.900000000000006</v>
      </c>
      <c r="D93" s="295" t="s">
        <v>12313</v>
      </c>
      <c r="E93" s="462">
        <v>99.9</v>
      </c>
      <c r="F93" s="149" t="s">
        <v>3446</v>
      </c>
      <c r="G93" s="465">
        <f t="shared" si="1"/>
        <v>20</v>
      </c>
    </row>
    <row r="94" spans="1:8" hidden="1">
      <c r="A94" s="185" t="s">
        <v>1862</v>
      </c>
      <c r="B94" s="149" t="s">
        <v>9454</v>
      </c>
      <c r="C94" s="513">
        <v>79.900000000000006</v>
      </c>
      <c r="D94" s="295" t="s">
        <v>12313</v>
      </c>
      <c r="E94" s="462">
        <v>99.9</v>
      </c>
      <c r="F94" s="149" t="s">
        <v>12319</v>
      </c>
      <c r="G94" s="465">
        <f t="shared" si="1"/>
        <v>20</v>
      </c>
    </row>
    <row r="95" spans="1:8" hidden="1">
      <c r="A95" s="185" t="s">
        <v>3685</v>
      </c>
      <c r="B95" s="149" t="s">
        <v>12313</v>
      </c>
      <c r="C95" s="513">
        <v>79.900000000000006</v>
      </c>
      <c r="D95" s="295" t="s">
        <v>12334</v>
      </c>
      <c r="E95" s="509">
        <v>114.9</v>
      </c>
      <c r="F95" s="149" t="s">
        <v>3446</v>
      </c>
      <c r="G95" s="465">
        <f t="shared" si="1"/>
        <v>35</v>
      </c>
    </row>
    <row r="96" spans="1:8" hidden="1">
      <c r="A96" s="820" t="s">
        <v>2715</v>
      </c>
      <c r="B96" s="820"/>
      <c r="C96" s="820"/>
      <c r="D96" s="820"/>
      <c r="E96" s="820"/>
      <c r="F96" s="820"/>
      <c r="G96" s="465">
        <f t="shared" ref="G96:G226" si="4">E96-C96</f>
        <v>0</v>
      </c>
    </row>
    <row r="97" spans="1:7" hidden="1">
      <c r="A97" s="185" t="s">
        <v>5722</v>
      </c>
      <c r="B97" s="149" t="s">
        <v>9454</v>
      </c>
      <c r="C97" s="510">
        <v>79.900000000000006</v>
      </c>
      <c r="D97" s="295" t="s">
        <v>12330</v>
      </c>
      <c r="E97" s="462">
        <v>114.9</v>
      </c>
      <c r="F97" s="149" t="s">
        <v>3446</v>
      </c>
      <c r="G97" s="465">
        <f t="shared" si="4"/>
        <v>35</v>
      </c>
    </row>
    <row r="98" spans="1:7" hidden="1">
      <c r="A98" s="185" t="s">
        <v>6071</v>
      </c>
      <c r="B98" s="149" t="s">
        <v>9454</v>
      </c>
      <c r="C98" s="513">
        <v>79.900000000000006</v>
      </c>
      <c r="D98" s="295" t="s">
        <v>12313</v>
      </c>
      <c r="E98" s="462">
        <v>99.9</v>
      </c>
      <c r="F98" s="149" t="s">
        <v>3446</v>
      </c>
      <c r="G98" s="465">
        <f t="shared" si="4"/>
        <v>20</v>
      </c>
    </row>
    <row r="99" spans="1:7" hidden="1">
      <c r="A99" s="185" t="s">
        <v>4649</v>
      </c>
      <c r="B99" s="149" t="s">
        <v>9454</v>
      </c>
      <c r="C99" s="513">
        <v>79.900000000000006</v>
      </c>
      <c r="D99" s="295" t="s">
        <v>12313</v>
      </c>
      <c r="E99" s="462">
        <v>99.9</v>
      </c>
      <c r="F99" s="149" t="s">
        <v>3446</v>
      </c>
      <c r="G99" s="465">
        <f t="shared" si="4"/>
        <v>20</v>
      </c>
    </row>
    <row r="100" spans="1:7" hidden="1">
      <c r="A100" s="185" t="s">
        <v>3248</v>
      </c>
      <c r="B100" s="149" t="s">
        <v>9454</v>
      </c>
      <c r="C100" s="513">
        <v>79.900000000000006</v>
      </c>
      <c r="D100" s="295" t="s">
        <v>12313</v>
      </c>
      <c r="E100" s="462">
        <v>99.9</v>
      </c>
      <c r="F100" s="149" t="s">
        <v>3446</v>
      </c>
      <c r="G100" s="465">
        <f t="shared" si="4"/>
        <v>20</v>
      </c>
    </row>
    <row r="101" spans="1:7" hidden="1">
      <c r="A101" s="185" t="s">
        <v>3558</v>
      </c>
      <c r="B101" s="185" t="s">
        <v>12333</v>
      </c>
      <c r="C101" s="462">
        <v>60</v>
      </c>
      <c r="D101" s="295" t="s">
        <v>12313</v>
      </c>
      <c r="E101" s="462">
        <v>99.9</v>
      </c>
      <c r="F101" s="149" t="s">
        <v>3446</v>
      </c>
      <c r="G101" s="465">
        <f t="shared" si="4"/>
        <v>39.900000000000006</v>
      </c>
    </row>
    <row r="102" spans="1:7" hidden="1">
      <c r="A102" s="185" t="s">
        <v>5983</v>
      </c>
      <c r="B102" s="149" t="s">
        <v>9454</v>
      </c>
      <c r="C102" s="513">
        <v>79.900000000000006</v>
      </c>
      <c r="D102" s="295" t="s">
        <v>12313</v>
      </c>
      <c r="E102" s="462">
        <v>99.9</v>
      </c>
      <c r="F102" s="149" t="s">
        <v>3446</v>
      </c>
      <c r="G102" s="465">
        <f t="shared" si="4"/>
        <v>20</v>
      </c>
    </row>
    <row r="103" spans="1:7" hidden="1">
      <c r="A103" s="185" t="s">
        <v>5868</v>
      </c>
      <c r="B103" s="149" t="s">
        <v>9454</v>
      </c>
      <c r="C103" s="513">
        <v>79.900000000000006</v>
      </c>
      <c r="D103" s="295" t="s">
        <v>12313</v>
      </c>
      <c r="E103" s="149">
        <v>99.9</v>
      </c>
      <c r="F103" s="149" t="s">
        <v>12319</v>
      </c>
      <c r="G103" s="465">
        <f t="shared" si="4"/>
        <v>20</v>
      </c>
    </row>
    <row r="104" spans="1:7" hidden="1">
      <c r="A104" s="185" t="s">
        <v>2783</v>
      </c>
      <c r="B104" s="149" t="s">
        <v>9454</v>
      </c>
      <c r="C104" s="513">
        <v>79.900000000000006</v>
      </c>
      <c r="D104" s="295" t="s">
        <v>12313</v>
      </c>
      <c r="E104" s="462">
        <v>99.9</v>
      </c>
      <c r="F104" s="149" t="s">
        <v>3446</v>
      </c>
      <c r="G104" s="465">
        <f t="shared" si="4"/>
        <v>20</v>
      </c>
    </row>
    <row r="105" spans="1:7" hidden="1">
      <c r="A105" s="185" t="s">
        <v>3878</v>
      </c>
      <c r="B105" s="149" t="s">
        <v>12337</v>
      </c>
      <c r="C105" s="462">
        <v>70</v>
      </c>
      <c r="D105" s="295" t="s">
        <v>12327</v>
      </c>
      <c r="E105" s="509">
        <v>79.900000000000006</v>
      </c>
      <c r="F105" s="149" t="s">
        <v>3446</v>
      </c>
      <c r="G105" s="465">
        <f t="shared" si="4"/>
        <v>9.9000000000000057</v>
      </c>
    </row>
    <row r="106" spans="1:7" hidden="1">
      <c r="A106" s="287" t="s">
        <v>3536</v>
      </c>
      <c r="B106" s="149" t="s">
        <v>9454</v>
      </c>
      <c r="C106" s="513">
        <v>79.900000000000006</v>
      </c>
      <c r="D106" s="295" t="s">
        <v>12313</v>
      </c>
      <c r="E106" s="462">
        <v>99.9</v>
      </c>
      <c r="F106" s="149" t="s">
        <v>3446</v>
      </c>
      <c r="G106" s="465">
        <f t="shared" si="4"/>
        <v>20</v>
      </c>
    </row>
    <row r="107" spans="1:7" hidden="1">
      <c r="A107" s="287" t="s">
        <v>12345</v>
      </c>
      <c r="B107" s="149" t="s">
        <v>12323</v>
      </c>
      <c r="C107" s="462">
        <v>79.900000000000006</v>
      </c>
      <c r="D107" s="149" t="s">
        <v>12330</v>
      </c>
      <c r="E107" s="462">
        <v>99.9</v>
      </c>
      <c r="F107" s="149" t="s">
        <v>12319</v>
      </c>
      <c r="G107" s="465">
        <f t="shared" si="4"/>
        <v>20</v>
      </c>
    </row>
    <row r="108" spans="1:7" hidden="1">
      <c r="A108" s="287" t="s">
        <v>12346</v>
      </c>
      <c r="B108" s="149" t="s">
        <v>9454</v>
      </c>
      <c r="C108" s="462">
        <v>79.900000000000006</v>
      </c>
      <c r="D108" s="295" t="s">
        <v>12323</v>
      </c>
      <c r="E108" s="462">
        <v>99.9</v>
      </c>
      <c r="F108" s="149" t="s">
        <v>12319</v>
      </c>
      <c r="G108" s="465">
        <f t="shared" si="4"/>
        <v>20</v>
      </c>
    </row>
    <row r="109" spans="1:7" hidden="1">
      <c r="A109" s="287" t="s">
        <v>5951</v>
      </c>
      <c r="B109" s="149" t="s">
        <v>9454</v>
      </c>
      <c r="C109" s="462">
        <v>79.900000000000006</v>
      </c>
      <c r="D109" s="295" t="s">
        <v>12313</v>
      </c>
      <c r="E109" s="462">
        <v>99.9</v>
      </c>
      <c r="F109" s="149" t="s">
        <v>12319</v>
      </c>
      <c r="G109" s="465">
        <f t="shared" si="4"/>
        <v>20</v>
      </c>
    </row>
    <row r="110" spans="1:7" hidden="1">
      <c r="A110" s="287" t="s">
        <v>12347</v>
      </c>
      <c r="B110" s="149" t="s">
        <v>12327</v>
      </c>
      <c r="C110" s="462">
        <v>79.900000000000006</v>
      </c>
      <c r="D110" s="295" t="s">
        <v>12323</v>
      </c>
      <c r="E110" s="462">
        <v>99.9</v>
      </c>
      <c r="F110" s="149" t="s">
        <v>12319</v>
      </c>
      <c r="G110" s="465">
        <f t="shared" si="4"/>
        <v>20</v>
      </c>
    </row>
    <row r="111" spans="1:7" hidden="1">
      <c r="A111" s="185" t="s">
        <v>3381</v>
      </c>
      <c r="B111" s="149" t="s">
        <v>12327</v>
      </c>
      <c r="C111" s="462">
        <v>79.900000000000006</v>
      </c>
      <c r="D111" s="295" t="s">
        <v>12323</v>
      </c>
      <c r="E111" s="462">
        <v>99.9</v>
      </c>
      <c r="F111" s="149" t="s">
        <v>12319</v>
      </c>
      <c r="G111" s="465">
        <f t="shared" si="4"/>
        <v>20</v>
      </c>
    </row>
    <row r="112" spans="1:7" hidden="1">
      <c r="A112" s="820" t="s">
        <v>2738</v>
      </c>
      <c r="B112" s="820"/>
      <c r="C112" s="820"/>
      <c r="D112" s="820"/>
      <c r="E112" s="820"/>
      <c r="F112" s="820"/>
      <c r="G112" s="465"/>
    </row>
    <row r="113" spans="1:7" hidden="1">
      <c r="A113" s="149"/>
      <c r="B113" s="185" t="s">
        <v>12327</v>
      </c>
      <c r="C113" s="462">
        <v>79.900000000000006</v>
      </c>
      <c r="D113" s="295" t="s">
        <v>12323</v>
      </c>
      <c r="E113" s="462">
        <v>99.9</v>
      </c>
      <c r="F113" s="149" t="s">
        <v>12319</v>
      </c>
      <c r="G113" s="465">
        <f>E113-C113</f>
        <v>20</v>
      </c>
    </row>
    <row r="114" spans="1:7" hidden="1">
      <c r="A114" s="149" t="s">
        <v>10518</v>
      </c>
      <c r="B114" s="185" t="s">
        <v>12327</v>
      </c>
      <c r="C114" s="462">
        <v>79.900000000000006</v>
      </c>
      <c r="D114" s="295" t="s">
        <v>12323</v>
      </c>
      <c r="E114" s="462">
        <v>99.9</v>
      </c>
      <c r="F114" s="149" t="s">
        <v>3446</v>
      </c>
      <c r="G114" s="465">
        <f>E114-C114</f>
        <v>20</v>
      </c>
    </row>
    <row r="115" spans="1:7" hidden="1">
      <c r="A115" s="149" t="s">
        <v>3772</v>
      </c>
      <c r="B115" s="185" t="s">
        <v>12327</v>
      </c>
      <c r="C115" s="462">
        <v>79.900000000000006</v>
      </c>
      <c r="D115" s="295" t="s">
        <v>12323</v>
      </c>
      <c r="E115" s="462">
        <v>99.9</v>
      </c>
      <c r="F115" s="149" t="s">
        <v>3446</v>
      </c>
      <c r="G115" s="465">
        <f>E115-C115</f>
        <v>20</v>
      </c>
    </row>
    <row r="116" spans="1:7" hidden="1">
      <c r="A116" s="149" t="s">
        <v>3750</v>
      </c>
      <c r="B116" s="185" t="s">
        <v>12327</v>
      </c>
      <c r="C116" s="462">
        <v>79.900000000000006</v>
      </c>
      <c r="D116" s="295" t="s">
        <v>12323</v>
      </c>
      <c r="E116" s="462">
        <v>99.9</v>
      </c>
      <c r="F116" s="149" t="s">
        <v>3446</v>
      </c>
      <c r="G116" s="465">
        <f t="shared" si="4"/>
        <v>20</v>
      </c>
    </row>
    <row r="117" spans="1:7" hidden="1">
      <c r="A117" s="149" t="s">
        <v>4032</v>
      </c>
      <c r="B117" s="185" t="s">
        <v>12310</v>
      </c>
      <c r="C117" s="509">
        <v>99.9</v>
      </c>
      <c r="D117" s="295" t="s">
        <v>12315</v>
      </c>
      <c r="E117" s="462">
        <v>139.9</v>
      </c>
      <c r="F117" s="149" t="s">
        <v>3446</v>
      </c>
      <c r="G117" s="465">
        <f t="shared" si="4"/>
        <v>40</v>
      </c>
    </row>
    <row r="118" spans="1:7" hidden="1">
      <c r="A118" s="149" t="s">
        <v>12348</v>
      </c>
      <c r="B118" s="185" t="s">
        <v>12327</v>
      </c>
      <c r="C118" s="462">
        <v>79.900000000000006</v>
      </c>
      <c r="D118" s="295" t="s">
        <v>12323</v>
      </c>
      <c r="E118" s="462">
        <v>99.9</v>
      </c>
      <c r="F118" s="149" t="s">
        <v>12319</v>
      </c>
      <c r="G118" s="465">
        <f t="shared" si="4"/>
        <v>20</v>
      </c>
    </row>
    <row r="119" spans="1:7" hidden="1">
      <c r="A119" s="149" t="s">
        <v>3960</v>
      </c>
      <c r="B119" s="185" t="s">
        <v>12327</v>
      </c>
      <c r="C119" s="462">
        <v>79.900000000000006</v>
      </c>
      <c r="D119" s="295" t="s">
        <v>12323</v>
      </c>
      <c r="E119" s="462">
        <v>99.9</v>
      </c>
      <c r="F119" s="149" t="s">
        <v>3446</v>
      </c>
      <c r="G119" s="465">
        <f t="shared" si="4"/>
        <v>20</v>
      </c>
    </row>
    <row r="120" spans="1:7" hidden="1">
      <c r="A120" s="149" t="s">
        <v>1325</v>
      </c>
      <c r="B120" s="185" t="s">
        <v>12309</v>
      </c>
      <c r="C120" s="510">
        <v>99.9</v>
      </c>
      <c r="D120" s="295" t="s">
        <v>12330</v>
      </c>
      <c r="E120" s="462">
        <v>114.9</v>
      </c>
      <c r="F120" s="149" t="s">
        <v>3446</v>
      </c>
      <c r="G120" s="465">
        <f t="shared" si="4"/>
        <v>15</v>
      </c>
    </row>
    <row r="121" spans="1:7" hidden="1">
      <c r="A121" s="149" t="s">
        <v>6101</v>
      </c>
      <c r="B121" s="185" t="s">
        <v>12327</v>
      </c>
      <c r="C121" s="462">
        <v>79.900000000000006</v>
      </c>
      <c r="D121" s="295" t="s">
        <v>12323</v>
      </c>
      <c r="E121" s="462">
        <v>99.9</v>
      </c>
      <c r="F121" s="149" t="s">
        <v>3446</v>
      </c>
      <c r="G121" s="465">
        <f t="shared" si="4"/>
        <v>20</v>
      </c>
    </row>
    <row r="122" spans="1:7" hidden="1">
      <c r="A122" s="149" t="s">
        <v>3509</v>
      </c>
      <c r="B122" s="185" t="s">
        <v>12327</v>
      </c>
      <c r="C122" s="462">
        <v>79.900000000000006</v>
      </c>
      <c r="D122" s="295" t="s">
        <v>12323</v>
      </c>
      <c r="E122" s="462">
        <v>99.9</v>
      </c>
      <c r="F122" s="149" t="s">
        <v>3446</v>
      </c>
      <c r="G122" s="465">
        <f t="shared" si="4"/>
        <v>20</v>
      </c>
    </row>
    <row r="123" spans="1:7" hidden="1">
      <c r="A123" s="149" t="s">
        <v>1800</v>
      </c>
      <c r="B123" s="185" t="s">
        <v>12337</v>
      </c>
      <c r="C123" s="462">
        <v>70</v>
      </c>
      <c r="D123" s="295" t="s">
        <v>12327</v>
      </c>
      <c r="E123" s="509">
        <v>79.900000000000006</v>
      </c>
      <c r="F123" s="149" t="s">
        <v>3446</v>
      </c>
      <c r="G123" s="465">
        <f t="shared" si="4"/>
        <v>9.9000000000000057</v>
      </c>
    </row>
    <row r="124" spans="1:7" hidden="1">
      <c r="A124" s="149" t="s">
        <v>2029</v>
      </c>
      <c r="B124" s="185" t="s">
        <v>12337</v>
      </c>
      <c r="C124" s="462">
        <v>60</v>
      </c>
      <c r="D124" s="295" t="s">
        <v>12327</v>
      </c>
      <c r="E124" s="462">
        <v>70</v>
      </c>
      <c r="F124" s="149" t="s">
        <v>3446</v>
      </c>
      <c r="G124" s="465">
        <f t="shared" si="4"/>
        <v>10</v>
      </c>
    </row>
    <row r="125" spans="1:7" hidden="1">
      <c r="A125" s="820" t="s">
        <v>2755</v>
      </c>
      <c r="B125" s="820"/>
      <c r="C125" s="820"/>
      <c r="D125" s="820"/>
      <c r="E125" s="820"/>
      <c r="F125" s="820"/>
      <c r="G125" s="465">
        <f t="shared" si="4"/>
        <v>0</v>
      </c>
    </row>
    <row r="126" spans="1:7" hidden="1">
      <c r="A126" s="534" t="s">
        <v>12349</v>
      </c>
      <c r="B126" s="185" t="s">
        <v>12309</v>
      </c>
      <c r="C126" s="510">
        <v>99.9</v>
      </c>
      <c r="D126" s="295" t="s">
        <v>12330</v>
      </c>
      <c r="E126" s="462">
        <v>114.9</v>
      </c>
      <c r="F126" s="149"/>
      <c r="G126" s="465">
        <f t="shared" si="4"/>
        <v>15</v>
      </c>
    </row>
    <row r="127" spans="1:7" hidden="1">
      <c r="A127" s="534" t="s">
        <v>3646</v>
      </c>
      <c r="B127" s="185" t="s">
        <v>12327</v>
      </c>
      <c r="C127" s="462">
        <v>79.900000000000006</v>
      </c>
      <c r="D127" s="295" t="s">
        <v>12323</v>
      </c>
      <c r="E127" s="462">
        <v>99.9</v>
      </c>
      <c r="F127" s="149"/>
      <c r="G127" s="465">
        <f t="shared" si="4"/>
        <v>20</v>
      </c>
    </row>
    <row r="128" spans="1:7" hidden="1">
      <c r="A128" s="534" t="s">
        <v>2919</v>
      </c>
      <c r="B128" s="185" t="s">
        <v>12327</v>
      </c>
      <c r="C128" s="462">
        <v>79.900000000000006</v>
      </c>
      <c r="D128" s="295" t="s">
        <v>12350</v>
      </c>
      <c r="E128" s="462">
        <v>99.9</v>
      </c>
      <c r="F128" s="149"/>
      <c r="G128" s="465">
        <f t="shared" si="4"/>
        <v>20</v>
      </c>
    </row>
    <row r="129" spans="1:7" hidden="1">
      <c r="A129" s="534" t="s">
        <v>2782</v>
      </c>
      <c r="B129" s="149" t="s">
        <v>12323</v>
      </c>
      <c r="C129" s="509">
        <v>99.9</v>
      </c>
      <c r="D129" s="295" t="s">
        <v>12335</v>
      </c>
      <c r="E129" s="509">
        <v>114.9</v>
      </c>
      <c r="F129" s="149"/>
      <c r="G129" s="465">
        <f t="shared" si="4"/>
        <v>15</v>
      </c>
    </row>
    <row r="130" spans="1:7" hidden="1">
      <c r="A130" s="534" t="s">
        <v>6132</v>
      </c>
      <c r="B130" s="185" t="s">
        <v>12327</v>
      </c>
      <c r="C130" s="462">
        <v>79.900000000000006</v>
      </c>
      <c r="D130" s="295" t="s">
        <v>12350</v>
      </c>
      <c r="E130" s="462">
        <v>99.9</v>
      </c>
      <c r="F130" s="149"/>
      <c r="G130" s="465">
        <f t="shared" si="4"/>
        <v>20</v>
      </c>
    </row>
    <row r="131" spans="1:7" hidden="1">
      <c r="A131" s="534" t="s">
        <v>12351</v>
      </c>
      <c r="B131" s="185" t="s">
        <v>12327</v>
      </c>
      <c r="C131" s="462">
        <v>79.900000000000006</v>
      </c>
      <c r="D131" s="295" t="s">
        <v>12350</v>
      </c>
      <c r="E131" s="462">
        <v>99.9</v>
      </c>
      <c r="F131" s="149"/>
      <c r="G131" s="465">
        <f t="shared" si="4"/>
        <v>20</v>
      </c>
    </row>
    <row r="132" spans="1:7" hidden="1">
      <c r="A132" s="534" t="s">
        <v>8290</v>
      </c>
      <c r="B132" s="185" t="s">
        <v>12327</v>
      </c>
      <c r="C132" s="462">
        <v>79.900000000000006</v>
      </c>
      <c r="D132" s="295" t="s">
        <v>12323</v>
      </c>
      <c r="E132" s="462">
        <v>99.9</v>
      </c>
      <c r="F132" s="149"/>
      <c r="G132" s="465">
        <f t="shared" si="4"/>
        <v>20</v>
      </c>
    </row>
    <row r="133" spans="1:7" hidden="1">
      <c r="A133" s="534" t="s">
        <v>4358</v>
      </c>
      <c r="B133" s="149" t="s">
        <v>12323</v>
      </c>
      <c r="C133" s="509">
        <v>99.9</v>
      </c>
      <c r="D133" s="295" t="s">
        <v>12352</v>
      </c>
      <c r="E133" s="509">
        <v>114.9</v>
      </c>
      <c r="F133" s="149"/>
      <c r="G133" s="465">
        <f t="shared" si="4"/>
        <v>15</v>
      </c>
    </row>
    <row r="134" spans="1:7" hidden="1">
      <c r="A134" s="22" t="s">
        <v>3347</v>
      </c>
      <c r="B134" s="185" t="s">
        <v>12327</v>
      </c>
      <c r="C134" s="462">
        <v>79.900000000000006</v>
      </c>
      <c r="D134" s="295" t="s">
        <v>12323</v>
      </c>
      <c r="E134" s="462">
        <v>99.9</v>
      </c>
      <c r="F134" s="149"/>
      <c r="G134" s="465">
        <f t="shared" si="4"/>
        <v>20</v>
      </c>
    </row>
    <row r="135" spans="1:7" hidden="1">
      <c r="A135" s="534" t="s">
        <v>5269</v>
      </c>
      <c r="B135" s="185" t="s">
        <v>12327</v>
      </c>
      <c r="C135" s="462">
        <v>79.900000000000006</v>
      </c>
      <c r="D135" s="295" t="s">
        <v>12323</v>
      </c>
      <c r="E135" s="509">
        <v>119.9</v>
      </c>
      <c r="F135" s="149"/>
      <c r="G135" s="465">
        <f t="shared" si="4"/>
        <v>40</v>
      </c>
    </row>
    <row r="136" spans="1:7" hidden="1">
      <c r="A136" s="534" t="s">
        <v>4041</v>
      </c>
      <c r="B136" s="149" t="s">
        <v>12323</v>
      </c>
      <c r="C136" s="509">
        <v>99.9</v>
      </c>
      <c r="D136" s="295" t="s">
        <v>12352</v>
      </c>
      <c r="E136" s="509">
        <v>109.9</v>
      </c>
      <c r="F136" s="149"/>
      <c r="G136" s="465">
        <f t="shared" ref="G136:G142" si="5">E136-C136</f>
        <v>10</v>
      </c>
    </row>
    <row r="137" spans="1:7" hidden="1">
      <c r="A137" s="534" t="s">
        <v>3959</v>
      </c>
      <c r="B137" s="185" t="s">
        <v>12327</v>
      </c>
      <c r="C137" s="462">
        <v>79.900000000000006</v>
      </c>
      <c r="D137" s="295" t="s">
        <v>12323</v>
      </c>
      <c r="E137" s="462">
        <v>99.9</v>
      </c>
      <c r="F137" s="149"/>
      <c r="G137" s="465">
        <f t="shared" si="5"/>
        <v>20</v>
      </c>
    </row>
    <row r="138" spans="1:7" hidden="1">
      <c r="A138" s="185" t="s">
        <v>6218</v>
      </c>
      <c r="B138" s="185" t="s">
        <v>12309</v>
      </c>
      <c r="C138" s="510">
        <v>99.9</v>
      </c>
      <c r="D138" s="295" t="s">
        <v>12330</v>
      </c>
      <c r="E138" s="462">
        <v>114.9</v>
      </c>
      <c r="F138" s="149"/>
      <c r="G138" s="465">
        <f t="shared" si="5"/>
        <v>15</v>
      </c>
    </row>
    <row r="139" spans="1:7" hidden="1">
      <c r="A139" s="185" t="s">
        <v>2883</v>
      </c>
      <c r="B139" s="185" t="s">
        <v>12327</v>
      </c>
      <c r="C139" s="462">
        <v>79.900000000000006</v>
      </c>
      <c r="D139" s="295" t="s">
        <v>12323</v>
      </c>
      <c r="E139" s="462">
        <v>99.9</v>
      </c>
      <c r="F139" s="149"/>
      <c r="G139" s="465">
        <f t="shared" si="5"/>
        <v>20</v>
      </c>
    </row>
    <row r="140" spans="1:7" hidden="1">
      <c r="A140" s="199" t="s">
        <v>6234</v>
      </c>
      <c r="B140" s="199" t="s">
        <v>12327</v>
      </c>
      <c r="C140" s="568">
        <v>79.900000000000006</v>
      </c>
      <c r="D140" s="353" t="s">
        <v>12323</v>
      </c>
      <c r="E140" s="568">
        <v>99.9</v>
      </c>
      <c r="F140" s="186"/>
      <c r="G140" s="465">
        <f t="shared" si="5"/>
        <v>20</v>
      </c>
    </row>
    <row r="141" spans="1:7" hidden="1">
      <c r="A141" s="149" t="s">
        <v>6156</v>
      </c>
      <c r="B141" s="149" t="s">
        <v>12327</v>
      </c>
      <c r="C141" s="462">
        <v>79.900000000000006</v>
      </c>
      <c r="D141" s="149" t="s">
        <v>12323</v>
      </c>
      <c r="E141" s="462">
        <v>99.9</v>
      </c>
      <c r="F141" s="149"/>
      <c r="G141" s="465">
        <f t="shared" si="5"/>
        <v>20</v>
      </c>
    </row>
    <row r="142" spans="1:7" hidden="1">
      <c r="A142" s="149" t="s">
        <v>5726</v>
      </c>
      <c r="B142" s="149" t="s">
        <v>12309</v>
      </c>
      <c r="C142" s="510">
        <v>99.9</v>
      </c>
      <c r="D142" s="149" t="s">
        <v>12330</v>
      </c>
      <c r="E142" s="462">
        <v>114.9</v>
      </c>
      <c r="F142" s="149"/>
      <c r="G142" s="465">
        <f t="shared" si="5"/>
        <v>15</v>
      </c>
    </row>
    <row r="143" spans="1:7" hidden="1">
      <c r="A143" s="816" t="s">
        <v>7720</v>
      </c>
      <c r="B143" s="816"/>
      <c r="C143" s="816"/>
      <c r="D143" s="816"/>
      <c r="E143" s="816"/>
      <c r="F143" s="816"/>
      <c r="G143" s="465">
        <f t="shared" ref="G143" si="6">E143-C143</f>
        <v>0</v>
      </c>
    </row>
    <row r="144" spans="1:7" hidden="1">
      <c r="A144" s="149" t="s">
        <v>3403</v>
      </c>
      <c r="B144" s="149" t="s">
        <v>12323</v>
      </c>
      <c r="C144" s="509">
        <v>99.9</v>
      </c>
      <c r="D144" s="149" t="s">
        <v>12352</v>
      </c>
      <c r="E144" s="509">
        <v>114.9</v>
      </c>
      <c r="F144" s="149"/>
      <c r="G144" s="465">
        <f t="shared" ref="G144:G211" si="7">E144-C144</f>
        <v>15</v>
      </c>
    </row>
    <row r="145" spans="1:7" hidden="1">
      <c r="A145" s="149" t="s">
        <v>2720</v>
      </c>
      <c r="B145" s="149" t="s">
        <v>12327</v>
      </c>
      <c r="C145" s="462">
        <v>79.900000000000006</v>
      </c>
      <c r="D145" s="149" t="s">
        <v>12335</v>
      </c>
      <c r="E145" s="462">
        <v>99.9</v>
      </c>
      <c r="F145" s="149"/>
      <c r="G145" s="465">
        <f t="shared" si="7"/>
        <v>20</v>
      </c>
    </row>
    <row r="146" spans="1:7" hidden="1">
      <c r="A146" s="149" t="s">
        <v>3362</v>
      </c>
      <c r="B146" s="149" t="s">
        <v>12309</v>
      </c>
      <c r="C146" s="510">
        <v>99.9</v>
      </c>
      <c r="D146" s="149" t="s">
        <v>12330</v>
      </c>
      <c r="E146" s="462">
        <v>114.9</v>
      </c>
      <c r="F146" s="149"/>
      <c r="G146" s="465">
        <f>E146-C146</f>
        <v>15</v>
      </c>
    </row>
    <row r="147" spans="1:7" hidden="1">
      <c r="A147" s="205" t="s">
        <v>12353</v>
      </c>
      <c r="B147" s="185" t="s">
        <v>12327</v>
      </c>
      <c r="C147" s="462">
        <v>79.900000000000006</v>
      </c>
      <c r="D147" s="295" t="s">
        <v>12335</v>
      </c>
      <c r="E147" s="462">
        <v>114.9</v>
      </c>
      <c r="F147" s="149"/>
      <c r="G147" s="465">
        <f>E147-C147</f>
        <v>35</v>
      </c>
    </row>
    <row r="148" spans="1:7" hidden="1">
      <c r="A148" t="s">
        <v>2163</v>
      </c>
      <c r="B148" s="149" t="s">
        <v>12327</v>
      </c>
      <c r="C148" s="462">
        <v>79.900000000000006</v>
      </c>
      <c r="D148" s="149" t="s">
        <v>12335</v>
      </c>
      <c r="E148" s="462">
        <v>99.9</v>
      </c>
      <c r="F148" s="187"/>
      <c r="G148" s="465">
        <f t="shared" si="7"/>
        <v>20</v>
      </c>
    </row>
    <row r="149" spans="1:7" hidden="1">
      <c r="A149" s="185" t="s">
        <v>3574</v>
      </c>
      <c r="B149" s="149" t="s">
        <v>12327</v>
      </c>
      <c r="C149" s="462">
        <v>79.900000000000006</v>
      </c>
      <c r="D149" s="149" t="s">
        <v>12335</v>
      </c>
      <c r="E149" s="462">
        <v>99.9</v>
      </c>
      <c r="F149" s="149"/>
      <c r="G149" s="465">
        <f t="shared" si="7"/>
        <v>20</v>
      </c>
    </row>
    <row r="150" spans="1:7" hidden="1">
      <c r="A150" s="185" t="s">
        <v>3780</v>
      </c>
      <c r="B150" s="185" t="s">
        <v>12310</v>
      </c>
      <c r="C150" s="462">
        <v>114.9</v>
      </c>
      <c r="D150" s="295" t="s">
        <v>12334</v>
      </c>
      <c r="E150" s="462">
        <v>159.9</v>
      </c>
      <c r="F150" s="149"/>
      <c r="G150" s="465">
        <f t="shared" si="7"/>
        <v>45</v>
      </c>
    </row>
    <row r="151" spans="1:7" hidden="1">
      <c r="A151" s="185" t="s">
        <v>12354</v>
      </c>
      <c r="B151" s="185" t="s">
        <v>12327</v>
      </c>
      <c r="C151" s="462">
        <v>79.900000000000006</v>
      </c>
      <c r="D151" s="295" t="s">
        <v>12352</v>
      </c>
      <c r="E151" s="462">
        <v>99.9</v>
      </c>
      <c r="F151" s="149"/>
      <c r="G151" s="465">
        <f t="shared" si="7"/>
        <v>20</v>
      </c>
    </row>
    <row r="152" spans="1:7" hidden="1">
      <c r="A152" s="185" t="s">
        <v>3492</v>
      </c>
      <c r="B152" s="185" t="s">
        <v>12327</v>
      </c>
      <c r="C152" s="462">
        <v>79.900000000000006</v>
      </c>
      <c r="D152" s="295" t="s">
        <v>12334</v>
      </c>
      <c r="E152" s="462">
        <v>99.9</v>
      </c>
      <c r="F152" s="149"/>
      <c r="G152" s="465">
        <f t="shared" si="7"/>
        <v>20</v>
      </c>
    </row>
    <row r="153" spans="1:7" hidden="1">
      <c r="A153" s="185" t="s">
        <v>5746</v>
      </c>
      <c r="B153" s="185" t="s">
        <v>12309</v>
      </c>
      <c r="C153" s="462">
        <v>79.900000000000006</v>
      </c>
      <c r="D153" s="295" t="s">
        <v>12330</v>
      </c>
      <c r="E153" s="462">
        <v>89.9</v>
      </c>
      <c r="F153" s="149"/>
      <c r="G153" s="465">
        <f t="shared" si="7"/>
        <v>10</v>
      </c>
    </row>
    <row r="154" spans="1:7" hidden="1">
      <c r="A154" s="185" t="s">
        <v>3688</v>
      </c>
      <c r="B154" s="185" t="s">
        <v>12327</v>
      </c>
      <c r="C154" s="462">
        <v>79.900000000000006</v>
      </c>
      <c r="D154" s="295" t="s">
        <v>12352</v>
      </c>
      <c r="E154" s="462">
        <v>99.9</v>
      </c>
      <c r="F154" s="149"/>
      <c r="G154" s="465">
        <f t="shared" si="7"/>
        <v>20</v>
      </c>
    </row>
    <row r="155" spans="1:7" hidden="1">
      <c r="A155" s="185" t="s">
        <v>12355</v>
      </c>
      <c r="B155" s="185" t="s">
        <v>12327</v>
      </c>
      <c r="C155" s="462">
        <v>79.900000000000006</v>
      </c>
      <c r="D155" s="295" t="s">
        <v>12330</v>
      </c>
      <c r="E155" s="462">
        <v>99.9</v>
      </c>
      <c r="F155" s="149"/>
      <c r="G155" s="465">
        <f t="shared" si="7"/>
        <v>20</v>
      </c>
    </row>
    <row r="156" spans="1:7" hidden="1">
      <c r="A156" s="185" t="s">
        <v>12356</v>
      </c>
      <c r="B156" s="185" t="s">
        <v>12307</v>
      </c>
      <c r="C156" s="462">
        <v>79.900000000000006</v>
      </c>
      <c r="D156" s="295" t="s">
        <v>12330</v>
      </c>
      <c r="E156" s="462">
        <v>89.9</v>
      </c>
      <c r="F156" s="149"/>
      <c r="G156" s="465">
        <f t="shared" si="7"/>
        <v>10</v>
      </c>
    </row>
    <row r="157" spans="1:7" hidden="1">
      <c r="A157" s="185" t="s">
        <v>1104</v>
      </c>
      <c r="B157" s="185" t="s">
        <v>12357</v>
      </c>
      <c r="C157" s="462">
        <v>70</v>
      </c>
      <c r="D157" s="295" t="s">
        <v>12309</v>
      </c>
      <c r="E157" s="462">
        <v>79.900000000000006</v>
      </c>
      <c r="F157" s="149"/>
      <c r="G157" s="465">
        <f t="shared" si="7"/>
        <v>9.9000000000000057</v>
      </c>
    </row>
    <row r="158" spans="1:7" hidden="1">
      <c r="A158" s="185" t="s">
        <v>5366</v>
      </c>
      <c r="B158" s="149" t="s">
        <v>12309</v>
      </c>
      <c r="C158" s="510">
        <v>99.9</v>
      </c>
      <c r="D158" s="149" t="s">
        <v>12330</v>
      </c>
      <c r="E158" s="462">
        <v>114.9</v>
      </c>
      <c r="F158" s="149"/>
      <c r="G158" s="465">
        <f t="shared" si="7"/>
        <v>15</v>
      </c>
    </row>
    <row r="159" spans="1:7" hidden="1">
      <c r="A159" s="816" t="s">
        <v>7543</v>
      </c>
      <c r="B159" s="816"/>
      <c r="C159" s="816"/>
      <c r="D159" s="816"/>
      <c r="E159" s="816"/>
      <c r="F159" s="816"/>
      <c r="G159" s="465">
        <f t="shared" si="7"/>
        <v>0</v>
      </c>
    </row>
    <row r="160" spans="1:7" hidden="1">
      <c r="A160" s="185" t="s">
        <v>6318</v>
      </c>
      <c r="B160" s="149" t="s">
        <v>12327</v>
      </c>
      <c r="C160" s="462">
        <v>79.900000000000006</v>
      </c>
      <c r="D160" s="149" t="s">
        <v>12335</v>
      </c>
      <c r="E160" s="462">
        <v>99.9</v>
      </c>
      <c r="F160" s="149"/>
      <c r="G160" s="465">
        <f t="shared" si="7"/>
        <v>20</v>
      </c>
    </row>
    <row r="161" spans="1:7" hidden="1">
      <c r="A161" s="185" t="s">
        <v>1223</v>
      </c>
      <c r="B161" s="185" t="s">
        <v>12357</v>
      </c>
      <c r="C161" s="462">
        <v>70</v>
      </c>
      <c r="D161" s="295" t="s">
        <v>9454</v>
      </c>
      <c r="E161" s="462">
        <v>79.900000000000006</v>
      </c>
      <c r="F161" s="149"/>
      <c r="G161" s="465">
        <f t="shared" si="7"/>
        <v>9.9000000000000057</v>
      </c>
    </row>
    <row r="162" spans="1:7" hidden="1">
      <c r="A162" s="185" t="s">
        <v>307</v>
      </c>
      <c r="B162" s="185" t="s">
        <v>12327</v>
      </c>
      <c r="C162" s="462">
        <v>79.900000000000006</v>
      </c>
      <c r="D162" s="295" t="s">
        <v>12330</v>
      </c>
      <c r="E162" s="462">
        <v>114.9</v>
      </c>
      <c r="F162" s="149"/>
      <c r="G162" s="465">
        <f t="shared" si="7"/>
        <v>35</v>
      </c>
    </row>
    <row r="163" spans="1:7" hidden="1">
      <c r="A163" t="s">
        <v>854</v>
      </c>
      <c r="B163" s="185" t="s">
        <v>12357</v>
      </c>
      <c r="C163" s="462">
        <v>70</v>
      </c>
      <c r="D163" s="295" t="s">
        <v>12309</v>
      </c>
      <c r="E163" s="462">
        <v>79.900000000000006</v>
      </c>
      <c r="F163" s="149"/>
      <c r="G163" s="465">
        <f t="shared" si="7"/>
        <v>9.9000000000000057</v>
      </c>
    </row>
    <row r="164" spans="1:7" hidden="1">
      <c r="A164" s="185" t="s">
        <v>6330</v>
      </c>
      <c r="B164" s="185" t="s">
        <v>12327</v>
      </c>
      <c r="C164" s="462">
        <v>79.900000000000006</v>
      </c>
      <c r="D164" s="295" t="s">
        <v>12313</v>
      </c>
      <c r="E164" s="462">
        <v>99.9</v>
      </c>
      <c r="F164" s="149"/>
      <c r="G164" s="465">
        <f t="shared" si="7"/>
        <v>20</v>
      </c>
    </row>
    <row r="165" spans="1:7" hidden="1">
      <c r="A165" s="185" t="s">
        <v>12358</v>
      </c>
      <c r="B165" s="185" t="s">
        <v>12327</v>
      </c>
      <c r="C165" s="462">
        <v>79.900000000000006</v>
      </c>
      <c r="D165" s="295" t="s">
        <v>12313</v>
      </c>
      <c r="E165" s="462">
        <v>99.9</v>
      </c>
      <c r="F165" s="149"/>
      <c r="G165" s="465">
        <f t="shared" si="7"/>
        <v>20</v>
      </c>
    </row>
    <row r="166" spans="1:7" hidden="1">
      <c r="A166" s="185" t="s">
        <v>12359</v>
      </c>
      <c r="B166" s="185" t="s">
        <v>12327</v>
      </c>
      <c r="C166" s="462">
        <v>79.900000000000006</v>
      </c>
      <c r="D166" s="295" t="s">
        <v>12313</v>
      </c>
      <c r="E166" s="462">
        <v>99.9</v>
      </c>
      <c r="F166" s="149"/>
      <c r="G166" s="465">
        <f t="shared" si="7"/>
        <v>20</v>
      </c>
    </row>
    <row r="167" spans="1:7" hidden="1">
      <c r="A167" s="185" t="s">
        <v>3543</v>
      </c>
      <c r="B167" s="185" t="s">
        <v>12327</v>
      </c>
      <c r="C167" s="462">
        <v>79.900000000000006</v>
      </c>
      <c r="D167" s="295" t="s">
        <v>12330</v>
      </c>
      <c r="E167" s="462">
        <v>99.9</v>
      </c>
      <c r="F167" s="149"/>
      <c r="G167" s="465">
        <f t="shared" si="7"/>
        <v>20</v>
      </c>
    </row>
    <row r="168" spans="1:7" hidden="1">
      <c r="A168" s="185" t="s">
        <v>3969</v>
      </c>
      <c r="B168" s="185" t="s">
        <v>12327</v>
      </c>
      <c r="C168" s="462">
        <v>79.900000000000006</v>
      </c>
      <c r="D168" s="295" t="s">
        <v>12313</v>
      </c>
      <c r="E168" s="462">
        <v>99.9</v>
      </c>
      <c r="F168" s="149"/>
      <c r="G168" s="465">
        <f t="shared" si="7"/>
        <v>20</v>
      </c>
    </row>
    <row r="169" spans="1:7" hidden="1">
      <c r="A169" s="185" t="s">
        <v>816</v>
      </c>
      <c r="B169" s="185" t="s">
        <v>12327</v>
      </c>
      <c r="C169" s="462">
        <v>79.900000000000006</v>
      </c>
      <c r="D169" s="295" t="s">
        <v>12315</v>
      </c>
      <c r="E169" s="462">
        <v>139.9</v>
      </c>
      <c r="F169" s="149"/>
      <c r="G169" s="465">
        <f t="shared" si="7"/>
        <v>60</v>
      </c>
    </row>
    <row r="170" spans="1:7" hidden="1">
      <c r="A170" s="185" t="s">
        <v>3606</v>
      </c>
      <c r="B170" s="185" t="s">
        <v>12327</v>
      </c>
      <c r="C170" s="462">
        <v>79.900000000000006</v>
      </c>
      <c r="D170" s="295" t="s">
        <v>12313</v>
      </c>
      <c r="E170" s="462">
        <v>99.9</v>
      </c>
      <c r="F170" s="149"/>
      <c r="G170" s="465">
        <f t="shared" ref="G170:G228" si="8">E170-C170</f>
        <v>20</v>
      </c>
    </row>
    <row r="171" spans="1:7" hidden="1">
      <c r="A171" s="185" t="s">
        <v>9214</v>
      </c>
      <c r="B171" s="185" t="s">
        <v>12327</v>
      </c>
      <c r="C171" s="462">
        <v>79.900000000000006</v>
      </c>
      <c r="D171" s="295" t="s">
        <v>12313</v>
      </c>
      <c r="E171" s="462">
        <v>99.9</v>
      </c>
      <c r="F171" s="149"/>
      <c r="G171" s="465">
        <f t="shared" si="8"/>
        <v>20</v>
      </c>
    </row>
    <row r="172" spans="1:7" ht="15.75" hidden="1">
      <c r="A172" s="577" t="s">
        <v>12360</v>
      </c>
      <c r="B172" s="185" t="s">
        <v>12361</v>
      </c>
      <c r="C172" s="462">
        <v>79.900000000000006</v>
      </c>
      <c r="D172" s="295" t="s">
        <v>12334</v>
      </c>
      <c r="E172" s="462">
        <v>159.9</v>
      </c>
      <c r="F172" s="149"/>
      <c r="G172" s="465">
        <f t="shared" si="8"/>
        <v>80</v>
      </c>
    </row>
    <row r="173" spans="1:7" hidden="1">
      <c r="A173" s="185" t="s">
        <v>5917</v>
      </c>
      <c r="B173" s="185" t="s">
        <v>12307</v>
      </c>
      <c r="C173" s="462">
        <v>79.900000000000006</v>
      </c>
      <c r="D173" s="295" t="s">
        <v>12330</v>
      </c>
      <c r="E173" s="462">
        <v>99.9</v>
      </c>
      <c r="F173" s="149"/>
      <c r="G173" s="465">
        <f t="shared" si="8"/>
        <v>20</v>
      </c>
    </row>
    <row r="174" spans="1:7" hidden="1">
      <c r="A174" s="816" t="s">
        <v>4357</v>
      </c>
      <c r="B174" s="816"/>
      <c r="C174" s="816"/>
      <c r="D174" s="816"/>
      <c r="E174" s="816"/>
      <c r="F174" s="816"/>
      <c r="G174" s="465">
        <f t="shared" si="8"/>
        <v>0</v>
      </c>
    </row>
    <row r="175" spans="1:7" hidden="1">
      <c r="A175" s="199" t="s">
        <v>3543</v>
      </c>
      <c r="B175" s="186" t="s">
        <v>12310</v>
      </c>
      <c r="C175" s="462">
        <v>99.9</v>
      </c>
      <c r="D175" s="353" t="s">
        <v>12315</v>
      </c>
      <c r="E175" s="462">
        <v>114.9</v>
      </c>
      <c r="F175" s="149"/>
      <c r="G175" s="465">
        <f t="shared" si="8"/>
        <v>15</v>
      </c>
    </row>
    <row r="176" spans="1:7" hidden="1">
      <c r="A176" s="149" t="s">
        <v>3246</v>
      </c>
      <c r="B176" s="149" t="s">
        <v>12327</v>
      </c>
      <c r="C176" s="462">
        <v>79.900000000000006</v>
      </c>
      <c r="D176" s="149" t="s">
        <v>12313</v>
      </c>
      <c r="E176" s="581">
        <v>99.9</v>
      </c>
      <c r="F176" s="149"/>
      <c r="G176" s="465">
        <f t="shared" si="8"/>
        <v>20</v>
      </c>
    </row>
    <row r="177" spans="1:7" ht="15.75" hidden="1">
      <c r="A177" s="580" t="s">
        <v>5333</v>
      </c>
      <c r="B177" s="149" t="s">
        <v>12327</v>
      </c>
      <c r="C177" s="462">
        <v>79.900000000000006</v>
      </c>
      <c r="D177" s="149" t="s">
        <v>12313</v>
      </c>
      <c r="E177" s="581">
        <v>99.9</v>
      </c>
      <c r="F177" s="149"/>
      <c r="G177" s="465">
        <f t="shared" si="8"/>
        <v>20</v>
      </c>
    </row>
    <row r="178" spans="1:7" hidden="1">
      <c r="A178" s="149" t="s">
        <v>6152</v>
      </c>
      <c r="B178" s="149" t="s">
        <v>12309</v>
      </c>
      <c r="C178" s="510">
        <v>99.9</v>
      </c>
      <c r="D178" s="149" t="s">
        <v>12330</v>
      </c>
      <c r="E178" s="581">
        <v>114.9</v>
      </c>
      <c r="F178" s="149"/>
      <c r="G178" s="465">
        <f t="shared" si="8"/>
        <v>15</v>
      </c>
    </row>
    <row r="179" spans="1:7" hidden="1">
      <c r="A179" s="149" t="s">
        <v>3586</v>
      </c>
      <c r="B179" s="149" t="s">
        <v>12327</v>
      </c>
      <c r="C179" s="462">
        <v>79.900000000000006</v>
      </c>
      <c r="D179" s="149" t="s">
        <v>12313</v>
      </c>
      <c r="E179" s="581">
        <v>99.9</v>
      </c>
      <c r="F179" s="149"/>
      <c r="G179" s="465">
        <f t="shared" si="8"/>
        <v>20</v>
      </c>
    </row>
    <row r="180" spans="1:7" hidden="1">
      <c r="A180" s="149" t="s">
        <v>862</v>
      </c>
      <c r="B180" s="149" t="s">
        <v>12327</v>
      </c>
      <c r="C180" s="462">
        <v>79.900000000000006</v>
      </c>
      <c r="D180" s="149" t="s">
        <v>12313</v>
      </c>
      <c r="E180" s="581">
        <v>99.9</v>
      </c>
      <c r="F180" s="149"/>
      <c r="G180" s="465">
        <f t="shared" si="8"/>
        <v>20</v>
      </c>
    </row>
    <row r="181" spans="1:7" hidden="1">
      <c r="A181" s="205" t="s">
        <v>5927</v>
      </c>
      <c r="B181" s="149" t="s">
        <v>12309</v>
      </c>
      <c r="C181" s="510">
        <v>99.9</v>
      </c>
      <c r="D181" s="149" t="s">
        <v>12330</v>
      </c>
      <c r="E181" s="581">
        <v>114.9</v>
      </c>
      <c r="F181" s="149"/>
      <c r="G181" s="465">
        <f t="shared" si="8"/>
        <v>15</v>
      </c>
    </row>
    <row r="182" spans="1:7" hidden="1">
      <c r="A182" s="185" t="s">
        <v>3668</v>
      </c>
      <c r="B182" s="149" t="s">
        <v>12327</v>
      </c>
      <c r="C182" s="462">
        <v>79.900000000000006</v>
      </c>
      <c r="D182" s="149" t="s">
        <v>12330</v>
      </c>
      <c r="E182" s="581">
        <v>114.9</v>
      </c>
      <c r="F182" s="149"/>
      <c r="G182" s="465">
        <f t="shared" si="8"/>
        <v>35</v>
      </c>
    </row>
    <row r="183" spans="1:7" hidden="1">
      <c r="A183" s="185" t="s">
        <v>3928</v>
      </c>
      <c r="B183" s="149" t="s">
        <v>12327</v>
      </c>
      <c r="C183" s="462">
        <v>79.900000000000006</v>
      </c>
      <c r="D183" s="149" t="s">
        <v>12313</v>
      </c>
      <c r="E183" s="581">
        <v>99.9</v>
      </c>
      <c r="F183" s="149"/>
      <c r="G183" s="465">
        <f t="shared" si="8"/>
        <v>20</v>
      </c>
    </row>
    <row r="184" spans="1:7" hidden="1">
      <c r="A184" s="185" t="s">
        <v>6093</v>
      </c>
      <c r="B184" s="149" t="s">
        <v>12327</v>
      </c>
      <c r="C184" s="462">
        <v>79.900000000000006</v>
      </c>
      <c r="D184" s="149" t="s">
        <v>12313</v>
      </c>
      <c r="E184" s="581">
        <v>99.9</v>
      </c>
      <c r="F184" s="149"/>
      <c r="G184" s="465">
        <f t="shared" si="8"/>
        <v>20</v>
      </c>
    </row>
    <row r="185" spans="1:7" hidden="1">
      <c r="A185" s="185" t="s">
        <v>12362</v>
      </c>
      <c r="B185" s="185" t="s">
        <v>12337</v>
      </c>
      <c r="C185" s="462">
        <v>60</v>
      </c>
      <c r="D185" s="295" t="s">
        <v>12327</v>
      </c>
      <c r="E185" s="462">
        <v>70</v>
      </c>
      <c r="F185" s="149"/>
      <c r="G185" s="465">
        <f t="shared" si="8"/>
        <v>10</v>
      </c>
    </row>
    <row r="186" spans="1:7" hidden="1">
      <c r="A186" s="185" t="s">
        <v>1013</v>
      </c>
      <c r="B186" s="149" t="s">
        <v>12327</v>
      </c>
      <c r="C186" s="462">
        <v>79.900000000000006</v>
      </c>
      <c r="D186" s="149" t="s">
        <v>12313</v>
      </c>
      <c r="E186" s="581">
        <v>99.9</v>
      </c>
      <c r="F186" s="149"/>
      <c r="G186" s="465">
        <f t="shared" si="7"/>
        <v>20</v>
      </c>
    </row>
    <row r="187" spans="1:7" hidden="1">
      <c r="A187" s="185" t="s">
        <v>3751</v>
      </c>
      <c r="B187" s="149" t="s">
        <v>12327</v>
      </c>
      <c r="C187" s="462">
        <v>79.900000000000006</v>
      </c>
      <c r="D187" s="295" t="s">
        <v>12315</v>
      </c>
      <c r="E187" s="581">
        <v>99.9</v>
      </c>
      <c r="F187" s="149"/>
      <c r="G187" s="465">
        <f>E187-C187</f>
        <v>20</v>
      </c>
    </row>
    <row r="188" spans="1:7" hidden="1">
      <c r="A188" s="185" t="s">
        <v>3910</v>
      </c>
      <c r="B188" s="149" t="s">
        <v>12327</v>
      </c>
      <c r="C188" s="462">
        <v>79.900000000000006</v>
      </c>
      <c r="D188" s="149" t="s">
        <v>12330</v>
      </c>
      <c r="E188" s="581">
        <v>99.9</v>
      </c>
      <c r="F188" s="149"/>
      <c r="G188" s="465">
        <f>E188-C188</f>
        <v>20</v>
      </c>
    </row>
    <row r="189" spans="1:7" hidden="1">
      <c r="A189" s="185" t="s">
        <v>2932</v>
      </c>
      <c r="B189" s="149" t="s">
        <v>12323</v>
      </c>
      <c r="C189" s="462">
        <v>79.900000000000006</v>
      </c>
      <c r="D189" s="149" t="s">
        <v>12330</v>
      </c>
      <c r="E189" s="581">
        <v>99.9</v>
      </c>
      <c r="F189" s="149"/>
      <c r="G189" s="465">
        <f t="shared" si="8"/>
        <v>20</v>
      </c>
    </row>
    <row r="190" spans="1:7" hidden="1">
      <c r="A190" s="185" t="s">
        <v>3872</v>
      </c>
      <c r="B190" s="185" t="s">
        <v>12339</v>
      </c>
      <c r="C190" s="462">
        <v>60</v>
      </c>
      <c r="D190" s="295" t="s">
        <v>9454</v>
      </c>
      <c r="E190" s="462">
        <v>79.900000000000006</v>
      </c>
      <c r="F190" s="149"/>
      <c r="G190" s="465">
        <f t="shared" si="8"/>
        <v>19.900000000000006</v>
      </c>
    </row>
    <row r="191" spans="1:7" hidden="1">
      <c r="A191" s="185" t="s">
        <v>3345</v>
      </c>
      <c r="B191" s="149" t="s">
        <v>12327</v>
      </c>
      <c r="C191" s="462">
        <v>79.900000000000006</v>
      </c>
      <c r="D191" s="149" t="s">
        <v>12313</v>
      </c>
      <c r="E191" s="581">
        <v>99.9</v>
      </c>
      <c r="F191" s="149"/>
      <c r="G191" s="465">
        <f t="shared" si="7"/>
        <v>20</v>
      </c>
    </row>
    <row r="192" spans="1:7" hidden="1">
      <c r="A192" s="185" t="s">
        <v>12363</v>
      </c>
      <c r="B192" s="149" t="s">
        <v>12327</v>
      </c>
      <c r="C192" s="462">
        <v>79.900000000000006</v>
      </c>
      <c r="D192" s="149" t="s">
        <v>12313</v>
      </c>
      <c r="E192" s="581">
        <v>99.9</v>
      </c>
      <c r="F192" s="149"/>
      <c r="G192" s="465">
        <f t="shared" si="7"/>
        <v>20</v>
      </c>
    </row>
    <row r="193" spans="1:7" hidden="1">
      <c r="A193" s="816" t="s">
        <v>8910</v>
      </c>
      <c r="B193" s="816"/>
      <c r="C193" s="816"/>
      <c r="D193" s="816"/>
      <c r="E193" s="816"/>
      <c r="F193" s="816"/>
      <c r="G193" s="465"/>
    </row>
    <row r="194" spans="1:7" hidden="1">
      <c r="A194" s="185" t="s">
        <v>5554</v>
      </c>
      <c r="B194" s="149" t="s">
        <v>12327</v>
      </c>
      <c r="C194" s="593">
        <v>79.900000000000006</v>
      </c>
      <c r="D194" s="149" t="s">
        <v>12313</v>
      </c>
      <c r="E194" s="462">
        <v>99.9</v>
      </c>
      <c r="F194" s="185"/>
      <c r="G194" s="465">
        <f t="shared" si="8"/>
        <v>20</v>
      </c>
    </row>
    <row r="195" spans="1:7" hidden="1">
      <c r="A195" s="185" t="s">
        <v>1278</v>
      </c>
      <c r="B195" s="149" t="s">
        <v>12327</v>
      </c>
      <c r="C195" s="593">
        <v>79.900000000000006</v>
      </c>
      <c r="D195" s="149" t="s">
        <v>12313</v>
      </c>
      <c r="E195" s="462">
        <v>99.9</v>
      </c>
      <c r="F195" s="185"/>
      <c r="G195" s="465">
        <f t="shared" si="7"/>
        <v>20</v>
      </c>
    </row>
    <row r="196" spans="1:7" hidden="1">
      <c r="A196" s="185" t="s">
        <v>1390</v>
      </c>
      <c r="B196" s="149" t="s">
        <v>12317</v>
      </c>
      <c r="C196" s="593">
        <v>60</v>
      </c>
      <c r="D196" s="149" t="s">
        <v>12313</v>
      </c>
      <c r="E196" s="462">
        <v>99.9</v>
      </c>
      <c r="F196" s="185"/>
      <c r="G196" s="465">
        <f t="shared" si="7"/>
        <v>39.900000000000006</v>
      </c>
    </row>
    <row r="197" spans="1:7" hidden="1">
      <c r="A197" s="185" t="s">
        <v>12364</v>
      </c>
      <c r="B197" s="149" t="s">
        <v>12323</v>
      </c>
      <c r="C197" s="593">
        <v>79.900000000000006</v>
      </c>
      <c r="D197" s="149" t="s">
        <v>12313</v>
      </c>
      <c r="E197" s="462">
        <v>99.9</v>
      </c>
      <c r="F197" s="185"/>
      <c r="G197" s="465">
        <f t="shared" si="4"/>
        <v>20</v>
      </c>
    </row>
    <row r="198" spans="1:7" hidden="1">
      <c r="A198" s="185" t="s">
        <v>3347</v>
      </c>
      <c r="B198" s="149" t="s">
        <v>12310</v>
      </c>
      <c r="C198" s="462">
        <v>99.9</v>
      </c>
      <c r="D198" s="149" t="s">
        <v>12315</v>
      </c>
      <c r="E198" s="462">
        <v>114.9</v>
      </c>
      <c r="F198" s="185"/>
      <c r="G198" s="465">
        <f t="shared" si="8"/>
        <v>15</v>
      </c>
    </row>
    <row r="199" spans="1:7" hidden="1">
      <c r="A199" s="185" t="s">
        <v>5975</v>
      </c>
      <c r="B199" s="149" t="s">
        <v>12327</v>
      </c>
      <c r="C199" s="593">
        <v>79.900000000000006</v>
      </c>
      <c r="D199" s="149" t="s">
        <v>12313</v>
      </c>
      <c r="E199" s="462">
        <v>99.9</v>
      </c>
      <c r="F199" s="185"/>
      <c r="G199" s="465">
        <f t="shared" si="8"/>
        <v>20</v>
      </c>
    </row>
    <row r="200" spans="1:7" hidden="1">
      <c r="A200" s="185" t="s">
        <v>3412</v>
      </c>
      <c r="B200" s="149" t="s">
        <v>12327</v>
      </c>
      <c r="C200" s="593">
        <v>79.900000000000006</v>
      </c>
      <c r="D200" s="149" t="s">
        <v>12313</v>
      </c>
      <c r="E200" s="462">
        <v>99.9</v>
      </c>
      <c r="F200" s="185"/>
      <c r="G200" s="465">
        <f t="shared" si="7"/>
        <v>20</v>
      </c>
    </row>
    <row r="201" spans="1:7" hidden="1">
      <c r="A201" s="185" t="s">
        <v>12365</v>
      </c>
      <c r="B201" s="149" t="s">
        <v>12327</v>
      </c>
      <c r="C201" s="593">
        <v>79.900000000000006</v>
      </c>
      <c r="D201" s="149" t="s">
        <v>12313</v>
      </c>
      <c r="E201" s="462">
        <v>99.9</v>
      </c>
      <c r="F201" s="199"/>
      <c r="G201" s="465">
        <f t="shared" si="7"/>
        <v>20</v>
      </c>
    </row>
    <row r="202" spans="1:7" ht="15.75" hidden="1">
      <c r="A202" s="599" t="s">
        <v>3710</v>
      </c>
      <c r="B202" s="149" t="s">
        <v>12352</v>
      </c>
      <c r="C202" s="600" t="s">
        <v>12366</v>
      </c>
      <c r="D202" s="149" t="s">
        <v>12367</v>
      </c>
      <c r="E202" s="602" t="s">
        <v>12368</v>
      </c>
      <c r="F202" s="186"/>
      <c r="G202" s="465" t="s">
        <v>12369</v>
      </c>
    </row>
    <row r="203" spans="1:7" ht="15.75" hidden="1">
      <c r="A203" s="601" t="s">
        <v>12370</v>
      </c>
      <c r="B203" s="149" t="s">
        <v>12327</v>
      </c>
      <c r="C203" s="593" t="s">
        <v>12371</v>
      </c>
      <c r="D203" s="295" t="s">
        <v>12330</v>
      </c>
      <c r="E203" s="462" t="s">
        <v>12372</v>
      </c>
      <c r="F203" s="185"/>
      <c r="G203" s="465" t="s">
        <v>12373</v>
      </c>
    </row>
    <row r="204" spans="1:7" hidden="1">
      <c r="A204" s="185" t="s">
        <v>3994</v>
      </c>
      <c r="B204" s="149" t="s">
        <v>12327</v>
      </c>
      <c r="C204" s="593">
        <v>79.900000000000006</v>
      </c>
      <c r="D204" s="149" t="s">
        <v>12313</v>
      </c>
      <c r="E204" s="462">
        <v>99.9</v>
      </c>
      <c r="F204" s="205"/>
      <c r="G204" s="465">
        <f t="shared" si="8"/>
        <v>20</v>
      </c>
    </row>
    <row r="205" spans="1:7" hidden="1">
      <c r="A205" s="185" t="s">
        <v>2783</v>
      </c>
      <c r="B205" s="149" t="s">
        <v>12309</v>
      </c>
      <c r="C205" s="510">
        <v>99.9</v>
      </c>
      <c r="D205" s="149" t="s">
        <v>12330</v>
      </c>
      <c r="E205" s="581">
        <v>114.9</v>
      </c>
      <c r="F205" s="185"/>
      <c r="G205" s="465">
        <f t="shared" si="7"/>
        <v>15</v>
      </c>
    </row>
    <row r="206" spans="1:7" hidden="1">
      <c r="A206" s="816" t="s">
        <v>7628</v>
      </c>
      <c r="B206" s="816"/>
      <c r="C206" s="816"/>
      <c r="D206" s="816"/>
      <c r="E206" s="816"/>
      <c r="F206" s="816"/>
      <c r="G206" s="465"/>
    </row>
    <row r="207" spans="1:7" hidden="1">
      <c r="A207" s="185" t="s">
        <v>12374</v>
      </c>
      <c r="B207" s="149" t="s">
        <v>12309</v>
      </c>
      <c r="C207" s="510">
        <v>99.9</v>
      </c>
      <c r="D207" s="149" t="s">
        <v>12330</v>
      </c>
      <c r="E207" s="581">
        <v>114.9</v>
      </c>
      <c r="F207" s="185"/>
      <c r="G207" s="465">
        <f>E207-C207</f>
        <v>15</v>
      </c>
    </row>
    <row r="208" spans="1:7" hidden="1">
      <c r="A208" s="185" t="s">
        <v>3865</v>
      </c>
      <c r="B208" s="149" t="s">
        <v>12309</v>
      </c>
      <c r="C208" s="510">
        <v>99.9</v>
      </c>
      <c r="D208" s="149" t="s">
        <v>12330</v>
      </c>
      <c r="E208" s="581">
        <v>114.9</v>
      </c>
      <c r="F208" s="185"/>
      <c r="G208" s="465">
        <f t="shared" si="8"/>
        <v>15</v>
      </c>
    </row>
    <row r="209" spans="1:7" hidden="1">
      <c r="A209" s="185" t="s">
        <v>3498</v>
      </c>
      <c r="B209" s="185" t="s">
        <v>12310</v>
      </c>
      <c r="C209" s="462">
        <v>114.9</v>
      </c>
      <c r="D209" s="295" t="s">
        <v>12334</v>
      </c>
      <c r="E209" s="633">
        <v>139.9</v>
      </c>
      <c r="F209" s="185"/>
      <c r="G209" s="465">
        <f>E209-C209</f>
        <v>25</v>
      </c>
    </row>
    <row r="210" spans="1:7" hidden="1">
      <c r="A210" t="s">
        <v>4542</v>
      </c>
      <c r="B210" s="149" t="s">
        <v>12307</v>
      </c>
      <c r="C210" s="593">
        <v>50</v>
      </c>
      <c r="D210" s="149" t="s">
        <v>12313</v>
      </c>
      <c r="E210" s="462">
        <v>79.900000000000006</v>
      </c>
      <c r="F210" s="185"/>
      <c r="G210" s="465">
        <f t="shared" si="8"/>
        <v>29.900000000000006</v>
      </c>
    </row>
    <row r="211" spans="1:7" hidden="1">
      <c r="A211" s="185" t="s">
        <v>12375</v>
      </c>
      <c r="B211" s="149" t="s">
        <v>12309</v>
      </c>
      <c r="C211" s="462">
        <v>99.9</v>
      </c>
      <c r="D211" s="149" t="s">
        <v>12315</v>
      </c>
      <c r="E211" s="509">
        <v>130</v>
      </c>
      <c r="F211" s="185"/>
      <c r="G211" s="465">
        <f t="shared" si="7"/>
        <v>30.099999999999994</v>
      </c>
    </row>
    <row r="212" spans="1:7" hidden="1">
      <c r="A212" s="185" t="s">
        <v>5917</v>
      </c>
      <c r="B212" s="149" t="s">
        <v>12310</v>
      </c>
      <c r="C212" s="462">
        <v>99.9</v>
      </c>
      <c r="D212" s="149" t="s">
        <v>12315</v>
      </c>
      <c r="E212" s="462">
        <v>114.9</v>
      </c>
      <c r="F212" s="185"/>
      <c r="G212" s="465">
        <f t="shared" si="4"/>
        <v>15</v>
      </c>
    </row>
    <row r="213" spans="1:7" hidden="1">
      <c r="A213" s="185" t="s">
        <v>1278</v>
      </c>
      <c r="B213" s="149" t="s">
        <v>12309</v>
      </c>
      <c r="C213" s="462">
        <v>99.9</v>
      </c>
      <c r="D213" s="149" t="s">
        <v>12330</v>
      </c>
      <c r="E213" s="462">
        <v>114.9</v>
      </c>
      <c r="F213" s="185"/>
      <c r="G213" s="465">
        <f t="shared" si="8"/>
        <v>15</v>
      </c>
    </row>
    <row r="214" spans="1:7" hidden="1">
      <c r="A214" s="185" t="s">
        <v>10201</v>
      </c>
      <c r="B214" s="149" t="s">
        <v>12323</v>
      </c>
      <c r="C214" s="593">
        <v>79.900000000000006</v>
      </c>
      <c r="D214" s="149" t="s">
        <v>12330</v>
      </c>
      <c r="E214" s="462">
        <v>99.9</v>
      </c>
      <c r="F214" s="185"/>
      <c r="G214" s="465">
        <f t="shared" si="8"/>
        <v>20</v>
      </c>
    </row>
    <row r="215" spans="1:7" hidden="1">
      <c r="A215" s="185" t="s">
        <v>6342</v>
      </c>
      <c r="B215" s="149" t="s">
        <v>12323</v>
      </c>
      <c r="C215" s="593">
        <v>79.900000000000006</v>
      </c>
      <c r="D215" s="149" t="s">
        <v>12330</v>
      </c>
      <c r="E215" s="462">
        <v>99.9</v>
      </c>
      <c r="F215" s="185"/>
      <c r="G215" s="465">
        <f>E215-C215</f>
        <v>20</v>
      </c>
    </row>
    <row r="216" spans="1:7" hidden="1">
      <c r="A216" s="185" t="s">
        <v>12376</v>
      </c>
      <c r="B216" s="149" t="s">
        <v>12327</v>
      </c>
      <c r="C216" s="593">
        <v>79.900000000000006</v>
      </c>
      <c r="D216" s="149" t="s">
        <v>12313</v>
      </c>
      <c r="E216" s="462">
        <v>99.9</v>
      </c>
      <c r="F216" s="185"/>
      <c r="G216" s="465">
        <f>E216-C216</f>
        <v>20</v>
      </c>
    </row>
    <row r="217" spans="1:7" hidden="1">
      <c r="A217" s="185" t="s">
        <v>10992</v>
      </c>
      <c r="B217" s="149" t="s">
        <v>12335</v>
      </c>
      <c r="C217" s="593">
        <v>89.9</v>
      </c>
      <c r="D217" s="149" t="s">
        <v>12315</v>
      </c>
      <c r="E217" s="462">
        <v>114.9</v>
      </c>
      <c r="F217" s="185"/>
      <c r="G217" s="465">
        <f>E217-C217</f>
        <v>25</v>
      </c>
    </row>
    <row r="218" spans="1:7" hidden="1">
      <c r="A218" s="185" t="s">
        <v>3577</v>
      </c>
      <c r="B218" s="149" t="s">
        <v>12309</v>
      </c>
      <c r="C218" s="462">
        <v>99.9</v>
      </c>
      <c r="D218" s="149" t="s">
        <v>12330</v>
      </c>
      <c r="E218" s="462">
        <v>114.9</v>
      </c>
      <c r="F218" s="185"/>
      <c r="G218" s="465">
        <f>E219-C218</f>
        <v>15</v>
      </c>
    </row>
    <row r="219" spans="1:7" hidden="1">
      <c r="A219" s="185" t="s">
        <v>3987</v>
      </c>
      <c r="B219" s="149" t="s">
        <v>12307</v>
      </c>
      <c r="C219" s="593">
        <v>79.900000000000006</v>
      </c>
      <c r="D219" s="149" t="s">
        <v>12330</v>
      </c>
      <c r="E219" s="462">
        <v>114.9</v>
      </c>
      <c r="F219" s="185"/>
      <c r="G219" s="465">
        <f>E219-C219</f>
        <v>35</v>
      </c>
    </row>
    <row r="220" spans="1:7" hidden="1">
      <c r="A220" s="185" t="s">
        <v>3660</v>
      </c>
      <c r="B220" s="149" t="s">
        <v>12310</v>
      </c>
      <c r="C220" s="462">
        <v>99.9</v>
      </c>
      <c r="D220" s="149" t="s">
        <v>12315</v>
      </c>
      <c r="E220" s="462">
        <v>114.9</v>
      </c>
      <c r="F220" s="185"/>
      <c r="G220" s="465">
        <f t="shared" si="8"/>
        <v>15</v>
      </c>
    </row>
    <row r="221" spans="1:7">
      <c r="A221" s="816" t="s">
        <v>7634</v>
      </c>
      <c r="B221" s="816"/>
      <c r="C221" s="816"/>
      <c r="D221" s="816"/>
      <c r="E221" s="816"/>
      <c r="F221" s="816"/>
      <c r="G221" s="465"/>
    </row>
    <row r="222" spans="1:7">
      <c r="A222" s="185" t="s">
        <v>1862</v>
      </c>
      <c r="B222" s="149" t="s">
        <v>12323</v>
      </c>
      <c r="C222" s="602">
        <v>79.900000000000006</v>
      </c>
      <c r="D222" s="186" t="s">
        <v>12330</v>
      </c>
      <c r="E222" s="568">
        <v>99.9</v>
      </c>
      <c r="F222" s="199"/>
      <c r="G222" s="465">
        <f t="shared" si="8"/>
        <v>20</v>
      </c>
    </row>
    <row r="223" spans="1:7">
      <c r="A223" s="185" t="s">
        <v>5456</v>
      </c>
      <c r="B223" s="295" t="s">
        <v>12327</v>
      </c>
      <c r="C223" s="462">
        <v>79.900000000000006</v>
      </c>
      <c r="D223" s="149" t="s">
        <v>12313</v>
      </c>
      <c r="E223" s="462">
        <v>99.9</v>
      </c>
      <c r="F223" s="149"/>
      <c r="G223" s="465">
        <f t="shared" si="8"/>
        <v>20</v>
      </c>
    </row>
    <row r="224" spans="1:7">
      <c r="A224" s="185" t="s">
        <v>6580</v>
      </c>
      <c r="B224" s="616" t="s">
        <v>12310</v>
      </c>
      <c r="C224" s="462">
        <v>114.9</v>
      </c>
      <c r="D224" s="149" t="s">
        <v>12315</v>
      </c>
      <c r="E224" s="509">
        <v>139.9</v>
      </c>
      <c r="F224" s="149"/>
      <c r="G224" s="465">
        <f t="shared" si="4"/>
        <v>25</v>
      </c>
    </row>
    <row r="225" spans="1:7">
      <c r="A225" s="199" t="s">
        <v>2968</v>
      </c>
      <c r="B225" s="353" t="s">
        <v>12307</v>
      </c>
      <c r="C225" s="462">
        <v>79.900000000000006</v>
      </c>
      <c r="D225" s="149" t="s">
        <v>12334</v>
      </c>
      <c r="E225" s="509">
        <v>139.9</v>
      </c>
      <c r="F225" s="149"/>
      <c r="G225" s="465">
        <f t="shared" si="8"/>
        <v>60</v>
      </c>
    </row>
    <row r="226" spans="1:7">
      <c r="A226" s="149" t="s">
        <v>3938</v>
      </c>
      <c r="B226" s="295" t="s">
        <v>12309</v>
      </c>
      <c r="C226" s="462">
        <v>99.9</v>
      </c>
      <c r="D226" s="149" t="s">
        <v>12330</v>
      </c>
      <c r="E226" s="462">
        <v>114.9</v>
      </c>
      <c r="F226" s="149"/>
      <c r="G226" s="465">
        <f t="shared" si="4"/>
        <v>15</v>
      </c>
    </row>
    <row r="227" spans="1:7">
      <c r="A227" s="149" t="s">
        <v>12377</v>
      </c>
      <c r="B227" s="149" t="s">
        <v>12309</v>
      </c>
      <c r="C227" s="643">
        <v>99.9</v>
      </c>
      <c r="D227" s="187" t="s">
        <v>12330</v>
      </c>
      <c r="E227" s="643">
        <v>114.9</v>
      </c>
      <c r="F227" s="187"/>
      <c r="G227" s="465">
        <f t="shared" si="8"/>
        <v>15</v>
      </c>
    </row>
    <row r="228" spans="1:7">
      <c r="A228" s="149" t="s">
        <v>2791</v>
      </c>
      <c r="B228" s="149" t="s">
        <v>12307</v>
      </c>
      <c r="C228" s="462">
        <v>79.900000000000006</v>
      </c>
      <c r="D228" s="149" t="s">
        <v>12330</v>
      </c>
      <c r="E228" s="509">
        <v>109.9</v>
      </c>
      <c r="F228" s="149"/>
      <c r="G228" s="465">
        <f t="shared" si="8"/>
        <v>30</v>
      </c>
    </row>
    <row r="229" spans="1:7">
      <c r="A229" s="149" t="s">
        <v>6246</v>
      </c>
      <c r="B229" s="149" t="s">
        <v>12309</v>
      </c>
      <c r="C229" s="462">
        <v>99.9</v>
      </c>
      <c r="D229" s="149" t="s">
        <v>12330</v>
      </c>
      <c r="E229" s="462">
        <v>114.9</v>
      </c>
      <c r="F229" s="149"/>
      <c r="G229" s="465">
        <f t="shared" ref="G229:G244" si="9">E229-C229</f>
        <v>15</v>
      </c>
    </row>
    <row r="230" spans="1:7">
      <c r="A230" s="149" t="s">
        <v>12378</v>
      </c>
      <c r="B230" s="149" t="s">
        <v>12327</v>
      </c>
      <c r="C230" s="462">
        <v>79.900000000000006</v>
      </c>
      <c r="D230" s="149" t="s">
        <v>12313</v>
      </c>
      <c r="E230" s="462">
        <v>99.9</v>
      </c>
      <c r="F230" s="149"/>
      <c r="G230" s="465">
        <f t="shared" si="9"/>
        <v>20</v>
      </c>
    </row>
    <row r="231" spans="1:7">
      <c r="A231" s="149" t="s">
        <v>4041</v>
      </c>
      <c r="B231" s="149" t="s">
        <v>12335</v>
      </c>
      <c r="C231" s="509">
        <v>109.9</v>
      </c>
      <c r="D231" s="149" t="s">
        <v>12315</v>
      </c>
      <c r="E231" s="509">
        <v>129.9</v>
      </c>
      <c r="F231" s="149"/>
      <c r="G231" s="465">
        <f t="shared" si="9"/>
        <v>20</v>
      </c>
    </row>
    <row r="232" spans="1:7">
      <c r="A232" s="149" t="s">
        <v>5788</v>
      </c>
      <c r="B232" s="149" t="s">
        <v>12315</v>
      </c>
      <c r="C232" s="462">
        <v>99.9</v>
      </c>
      <c r="D232" s="149" t="s">
        <v>12334</v>
      </c>
      <c r="E232" s="509">
        <v>119.9</v>
      </c>
      <c r="F232" s="149"/>
      <c r="G232" s="465">
        <f t="shared" si="9"/>
        <v>20</v>
      </c>
    </row>
    <row r="233" spans="1:7">
      <c r="A233" s="205" t="s">
        <v>3842</v>
      </c>
      <c r="B233" s="205" t="s">
        <v>12317</v>
      </c>
      <c r="C233" s="462">
        <v>60</v>
      </c>
      <c r="D233" s="187" t="s">
        <v>12313</v>
      </c>
      <c r="E233" s="462">
        <v>79.900000000000006</v>
      </c>
      <c r="F233" s="205"/>
      <c r="G233" s="465">
        <f t="shared" si="9"/>
        <v>19.900000000000006</v>
      </c>
    </row>
    <row r="234" spans="1:7">
      <c r="A234" s="185" t="s">
        <v>3685</v>
      </c>
      <c r="B234" s="149" t="s">
        <v>12309</v>
      </c>
      <c r="C234" s="462">
        <v>79.900000000000006</v>
      </c>
      <c r="D234" s="149" t="s">
        <v>12330</v>
      </c>
      <c r="E234" s="462">
        <v>99.9</v>
      </c>
      <c r="F234" s="185"/>
      <c r="G234" s="465">
        <f t="shared" si="9"/>
        <v>20</v>
      </c>
    </row>
    <row r="235" spans="1:7">
      <c r="A235" s="517" t="s">
        <v>3805</v>
      </c>
      <c r="B235" s="205" t="s">
        <v>12315</v>
      </c>
      <c r="C235" s="642">
        <v>99.9</v>
      </c>
      <c r="D235" s="187" t="s">
        <v>12315</v>
      </c>
      <c r="E235" s="643">
        <v>129.9</v>
      </c>
      <c r="F235" s="205"/>
      <c r="G235" s="465">
        <f t="shared" si="9"/>
        <v>30</v>
      </c>
    </row>
    <row r="236" spans="1:7">
      <c r="A236" s="502" t="s">
        <v>6442</v>
      </c>
      <c r="B236" s="502" t="s">
        <v>12379</v>
      </c>
      <c r="C236" s="462">
        <v>99.9</v>
      </c>
      <c r="D236" s="188" t="s">
        <v>12315</v>
      </c>
      <c r="E236" s="509">
        <v>139.9</v>
      </c>
      <c r="F236" s="205"/>
      <c r="G236" s="465">
        <f t="shared" si="9"/>
        <v>40</v>
      </c>
    </row>
    <row r="237" spans="1:7">
      <c r="A237" s="149" t="s">
        <v>3421</v>
      </c>
      <c r="B237" s="149" t="s">
        <v>12307</v>
      </c>
      <c r="C237" s="462">
        <v>79.900000000000006</v>
      </c>
      <c r="D237" s="149" t="s">
        <v>12313</v>
      </c>
      <c r="E237" s="462">
        <v>99.9</v>
      </c>
      <c r="F237" s="205"/>
      <c r="G237" s="465">
        <f t="shared" si="9"/>
        <v>20</v>
      </c>
    </row>
    <row r="238" spans="1:7">
      <c r="A238" s="205" t="s">
        <v>4037</v>
      </c>
      <c r="B238" s="149" t="s">
        <v>12309</v>
      </c>
      <c r="C238" s="462">
        <v>99.9</v>
      </c>
      <c r="D238" s="149" t="s">
        <v>12330</v>
      </c>
      <c r="E238" s="462">
        <v>114.9</v>
      </c>
      <c r="F238" s="205"/>
      <c r="G238" s="465">
        <f t="shared" si="9"/>
        <v>15</v>
      </c>
    </row>
    <row r="239" spans="1:7">
      <c r="A239" s="205" t="s">
        <v>5402</v>
      </c>
      <c r="B239" s="205" t="s">
        <v>9454</v>
      </c>
      <c r="C239" s="462">
        <v>79.900000000000006</v>
      </c>
      <c r="D239" s="149" t="s">
        <v>12330</v>
      </c>
      <c r="E239" s="462">
        <v>114.9</v>
      </c>
      <c r="F239" s="205"/>
      <c r="G239" s="465">
        <f t="shared" si="9"/>
        <v>35</v>
      </c>
    </row>
    <row r="240" spans="1:7">
      <c r="A240" s="517" t="s">
        <v>3652</v>
      </c>
      <c r="B240" s="205" t="s">
        <v>9454</v>
      </c>
      <c r="C240" s="462">
        <v>79.900000000000006</v>
      </c>
      <c r="D240" s="149" t="s">
        <v>12313</v>
      </c>
      <c r="E240" s="462">
        <v>109.9</v>
      </c>
      <c r="F240" s="205"/>
      <c r="G240" s="465">
        <f t="shared" si="9"/>
        <v>30</v>
      </c>
    </row>
    <row r="241" spans="1:8">
      <c r="A241" s="205" t="s">
        <v>12380</v>
      </c>
      <c r="B241" s="185" t="s">
        <v>12357</v>
      </c>
      <c r="C241" s="462">
        <v>70</v>
      </c>
      <c r="D241" s="295" t="s">
        <v>12309</v>
      </c>
      <c r="E241" s="462">
        <v>79.900000000000006</v>
      </c>
      <c r="F241" s="205"/>
      <c r="G241" s="465">
        <f t="shared" si="9"/>
        <v>9.9000000000000057</v>
      </c>
    </row>
    <row r="242" spans="1:8">
      <c r="A242" s="502" t="s">
        <v>6095</v>
      </c>
      <c r="B242" s="149" t="s">
        <v>12307</v>
      </c>
      <c r="C242" s="462">
        <v>79.900000000000006</v>
      </c>
      <c r="D242" s="149" t="s">
        <v>12313</v>
      </c>
      <c r="E242" s="462">
        <v>99.9</v>
      </c>
      <c r="F242" s="205"/>
      <c r="G242" s="465">
        <f t="shared" si="9"/>
        <v>20</v>
      </c>
    </row>
    <row r="243" spans="1:8" ht="15.75">
      <c r="A243" s="580" t="s">
        <v>5858</v>
      </c>
      <c r="B243" s="185" t="s">
        <v>12309</v>
      </c>
      <c r="C243" s="462">
        <v>79.900000000000006</v>
      </c>
      <c r="D243" s="149" t="s">
        <v>12330</v>
      </c>
      <c r="E243" s="462">
        <v>99.9</v>
      </c>
      <c r="F243" s="205"/>
      <c r="G243" s="465">
        <f t="shared" si="9"/>
        <v>20</v>
      </c>
    </row>
    <row r="244" spans="1:8">
      <c r="A244" s="149" t="s">
        <v>5256</v>
      </c>
      <c r="B244" s="149" t="s">
        <v>12307</v>
      </c>
      <c r="C244" s="462">
        <v>79.900000000000006</v>
      </c>
      <c r="D244" s="149" t="s">
        <v>12313</v>
      </c>
      <c r="E244" s="462">
        <v>99.9</v>
      </c>
      <c r="F244" s="205"/>
      <c r="G244" s="465">
        <f t="shared" si="9"/>
        <v>20</v>
      </c>
    </row>
    <row r="245" spans="1:8">
      <c r="A245" s="816" t="s">
        <v>7656</v>
      </c>
      <c r="B245" s="816"/>
      <c r="C245" s="816"/>
      <c r="D245" s="816"/>
      <c r="E245" s="816"/>
      <c r="F245" s="816"/>
      <c r="G245" s="465"/>
    </row>
    <row r="246" spans="1:8">
      <c r="A246" s="205" t="s">
        <v>12381</v>
      </c>
      <c r="B246" s="205" t="s">
        <v>9454</v>
      </c>
      <c r="C246" s="462">
        <v>79.900000000000006</v>
      </c>
      <c r="D246" s="149" t="s">
        <v>12330</v>
      </c>
      <c r="E246" s="462">
        <v>99.9</v>
      </c>
      <c r="F246" s="205"/>
      <c r="G246" s="465">
        <f>E246-C246</f>
        <v>20</v>
      </c>
    </row>
    <row r="247" spans="1:8">
      <c r="A247" s="205" t="s">
        <v>12382</v>
      </c>
      <c r="B247" s="205" t="s">
        <v>12309</v>
      </c>
      <c r="C247" s="462">
        <v>65.900000000000006</v>
      </c>
      <c r="D247" s="149" t="s">
        <v>12330</v>
      </c>
      <c r="E247" s="462">
        <v>85.9</v>
      </c>
      <c r="F247" s="205"/>
      <c r="G247" s="465">
        <f>E247-C247</f>
        <v>20</v>
      </c>
    </row>
    <row r="248" spans="1:8">
      <c r="A248" s="205" t="s">
        <v>3983</v>
      </c>
      <c r="B248" s="205" t="s">
        <v>12313</v>
      </c>
      <c r="C248" s="462">
        <v>79.900000000000006</v>
      </c>
      <c r="D248" s="149" t="s">
        <v>12315</v>
      </c>
      <c r="E248" s="462">
        <v>99.9</v>
      </c>
      <c r="F248" s="205"/>
      <c r="G248" s="465">
        <f t="shared" ref="G248:G287" si="10">E248-C248</f>
        <v>20</v>
      </c>
    </row>
    <row r="249" spans="1:8">
      <c r="A249" s="205" t="s">
        <v>6825</v>
      </c>
      <c r="B249" s="205" t="s">
        <v>12315</v>
      </c>
      <c r="C249" s="642">
        <v>99.9</v>
      </c>
      <c r="D249" s="187" t="s">
        <v>12315</v>
      </c>
      <c r="E249" s="643">
        <v>109.9</v>
      </c>
      <c r="F249" s="205"/>
      <c r="G249" s="465">
        <f t="shared" si="10"/>
        <v>10</v>
      </c>
      <c r="H249" t="s">
        <v>12383</v>
      </c>
    </row>
    <row r="250" spans="1:8">
      <c r="A250" s="205" t="s">
        <v>12384</v>
      </c>
      <c r="B250" s="205" t="s">
        <v>12315</v>
      </c>
      <c r="C250" s="642">
        <v>99.9</v>
      </c>
      <c r="D250" s="187" t="s">
        <v>12315</v>
      </c>
      <c r="E250" s="643">
        <v>109.9</v>
      </c>
      <c r="F250" s="205"/>
      <c r="G250" s="465">
        <f t="shared" si="10"/>
        <v>10</v>
      </c>
      <c r="H250" t="s">
        <v>12383</v>
      </c>
    </row>
    <row r="251" spans="1:8">
      <c r="A251" s="205" t="s">
        <v>3789</v>
      </c>
      <c r="B251" s="205" t="s">
        <v>12313</v>
      </c>
      <c r="C251" s="462">
        <v>79.900000000000006</v>
      </c>
      <c r="D251" s="149" t="s">
        <v>12315</v>
      </c>
      <c r="E251" s="462">
        <v>99.9</v>
      </c>
      <c r="F251" s="205"/>
      <c r="G251" s="465">
        <f t="shared" si="10"/>
        <v>20</v>
      </c>
    </row>
    <row r="252" spans="1:8">
      <c r="A252" s="205" t="s">
        <v>3681</v>
      </c>
      <c r="B252" s="205" t="s">
        <v>12313</v>
      </c>
      <c r="C252" s="462">
        <v>79.900000000000006</v>
      </c>
      <c r="D252" s="149" t="s">
        <v>12315</v>
      </c>
      <c r="E252" s="462">
        <v>99.9</v>
      </c>
      <c r="F252" s="205"/>
      <c r="G252" s="465">
        <f>E252-C252</f>
        <v>20</v>
      </c>
    </row>
    <row r="253" spans="1:8">
      <c r="A253" s="205" t="s">
        <v>3662</v>
      </c>
      <c r="B253" s="205" t="s">
        <v>12313</v>
      </c>
      <c r="C253" s="462">
        <v>79.900000000000006</v>
      </c>
      <c r="D253" s="149" t="s">
        <v>12315</v>
      </c>
      <c r="E253" s="462">
        <v>99.9</v>
      </c>
      <c r="F253" s="205"/>
      <c r="G253" s="465">
        <f>E253-C253</f>
        <v>20</v>
      </c>
    </row>
    <row r="254" spans="1:8">
      <c r="A254" s="205" t="s">
        <v>3683</v>
      </c>
      <c r="B254" s="205" t="s">
        <v>12313</v>
      </c>
      <c r="C254" s="462">
        <v>79.900000000000006</v>
      </c>
      <c r="D254" s="149" t="s">
        <v>12315</v>
      </c>
      <c r="E254" s="462">
        <v>99.9</v>
      </c>
      <c r="F254" s="205"/>
      <c r="G254" s="465">
        <f t="shared" si="10"/>
        <v>20</v>
      </c>
    </row>
    <row r="255" spans="1:8">
      <c r="A255" s="205" t="s">
        <v>6402</v>
      </c>
      <c r="B255" s="205" t="s">
        <v>12315</v>
      </c>
      <c r="C255" s="462">
        <v>99.9</v>
      </c>
      <c r="D255" s="149" t="s">
        <v>12334</v>
      </c>
      <c r="E255" s="462">
        <v>119.9</v>
      </c>
      <c r="F255" s="205"/>
      <c r="G255" s="465">
        <f t="shared" si="10"/>
        <v>20</v>
      </c>
    </row>
    <row r="256" spans="1:8">
      <c r="A256" t="s">
        <v>3683</v>
      </c>
      <c r="B256" s="205" t="s">
        <v>12313</v>
      </c>
      <c r="C256" s="642">
        <v>79.900000000000006</v>
      </c>
      <c r="D256" s="187" t="s">
        <v>12315</v>
      </c>
      <c r="E256" s="643">
        <v>99.9</v>
      </c>
      <c r="F256" s="205"/>
      <c r="G256" s="465">
        <f t="shared" si="10"/>
        <v>20</v>
      </c>
    </row>
    <row r="257" spans="1:7">
      <c r="A257" s="205" t="s">
        <v>6342</v>
      </c>
      <c r="B257" s="205" t="s">
        <v>12330</v>
      </c>
      <c r="C257" s="642">
        <v>99.9</v>
      </c>
      <c r="D257" s="187" t="s">
        <v>12334</v>
      </c>
      <c r="E257" s="643">
        <v>119.9</v>
      </c>
      <c r="F257" s="205"/>
      <c r="G257" s="465">
        <f t="shared" si="10"/>
        <v>20</v>
      </c>
    </row>
    <row r="258" spans="1:7">
      <c r="A258" s="205" t="s">
        <v>5554</v>
      </c>
      <c r="B258" s="205" t="s">
        <v>12315</v>
      </c>
      <c r="C258" s="462">
        <v>99.9</v>
      </c>
      <c r="D258" s="149" t="s">
        <v>12334</v>
      </c>
      <c r="E258" s="462">
        <v>119.9</v>
      </c>
      <c r="F258" s="205"/>
      <c r="G258" s="465">
        <f t="shared" si="10"/>
        <v>20</v>
      </c>
    </row>
    <row r="259" spans="1:7">
      <c r="A259" s="205" t="s">
        <v>5375</v>
      </c>
      <c r="B259" s="205" t="s">
        <v>12315</v>
      </c>
      <c r="C259" s="462">
        <v>99.9</v>
      </c>
      <c r="D259" s="149" t="s">
        <v>12334</v>
      </c>
      <c r="E259" s="462">
        <v>119.9</v>
      </c>
      <c r="F259" s="205"/>
      <c r="G259" s="465">
        <f>E259-C259</f>
        <v>20</v>
      </c>
    </row>
    <row r="260" spans="1:7">
      <c r="A260" s="816" t="s">
        <v>7672</v>
      </c>
      <c r="B260" s="816"/>
      <c r="C260" s="816"/>
      <c r="D260" s="816"/>
      <c r="E260" s="816"/>
      <c r="F260" s="816"/>
      <c r="G260" s="465">
        <f>SUM(G246:G259)</f>
        <v>260</v>
      </c>
    </row>
    <row r="261" spans="1:7">
      <c r="A261" s="205" t="s">
        <v>12385</v>
      </c>
      <c r="B261" s="205" t="s">
        <v>12315</v>
      </c>
      <c r="C261" s="462">
        <v>99.9</v>
      </c>
      <c r="D261" s="149" t="s">
        <v>12334</v>
      </c>
      <c r="E261" s="462">
        <v>119.9</v>
      </c>
      <c r="F261" s="205"/>
      <c r="G261" s="465">
        <f t="shared" si="10"/>
        <v>20</v>
      </c>
    </row>
    <row r="262" spans="1:7">
      <c r="A262" s="205" t="s">
        <v>12386</v>
      </c>
      <c r="B262" s="205" t="s">
        <v>12357</v>
      </c>
      <c r="C262" s="462">
        <v>70</v>
      </c>
      <c r="D262" s="187" t="s">
        <v>12313</v>
      </c>
      <c r="E262" s="642">
        <v>79.900000000000006</v>
      </c>
      <c r="F262" s="205"/>
      <c r="G262" s="465">
        <f t="shared" si="10"/>
        <v>9.9000000000000057</v>
      </c>
    </row>
    <row r="263" spans="1:7">
      <c r="A263" s="205" t="s">
        <v>3812</v>
      </c>
      <c r="B263" s="205" t="s">
        <v>12315</v>
      </c>
      <c r="C263" s="462">
        <v>99.9</v>
      </c>
      <c r="D263" s="149" t="s">
        <v>12334</v>
      </c>
      <c r="E263" s="462">
        <v>119.9</v>
      </c>
      <c r="F263" s="205"/>
      <c r="G263" s="465">
        <f t="shared" si="10"/>
        <v>20</v>
      </c>
    </row>
    <row r="264" spans="1:7">
      <c r="A264" s="205" t="s">
        <v>1576</v>
      </c>
      <c r="B264" s="205" t="s">
        <v>12313</v>
      </c>
      <c r="C264" s="642">
        <v>79.900000000000006</v>
      </c>
      <c r="D264" s="187" t="s">
        <v>12315</v>
      </c>
      <c r="E264" s="643">
        <v>99.9</v>
      </c>
      <c r="F264" s="205"/>
      <c r="G264" s="465">
        <f t="shared" si="10"/>
        <v>20</v>
      </c>
    </row>
    <row r="265" spans="1:7" ht="15.75">
      <c r="A265" s="577" t="s">
        <v>3845</v>
      </c>
      <c r="B265" s="205" t="s">
        <v>12313</v>
      </c>
      <c r="C265" s="642">
        <v>79.900000000000006</v>
      </c>
      <c r="D265" s="187" t="s">
        <v>12315</v>
      </c>
      <c r="E265" s="643">
        <v>99.9</v>
      </c>
      <c r="F265" s="205"/>
      <c r="G265" s="465">
        <f t="shared" si="10"/>
        <v>20</v>
      </c>
    </row>
    <row r="266" spans="1:7">
      <c r="A266" s="205" t="s">
        <v>12387</v>
      </c>
      <c r="B266" s="205" t="s">
        <v>12367</v>
      </c>
      <c r="C266" s="642">
        <v>139.9</v>
      </c>
      <c r="D266" s="187" t="s">
        <v>12388</v>
      </c>
      <c r="E266" s="643">
        <v>159.9</v>
      </c>
      <c r="F266" s="205"/>
      <c r="G266" s="465">
        <f t="shared" si="10"/>
        <v>20</v>
      </c>
    </row>
    <row r="267" spans="1:7">
      <c r="A267" s="205" t="s">
        <v>12389</v>
      </c>
      <c r="B267" s="205" t="s">
        <v>12313</v>
      </c>
      <c r="C267" s="642">
        <v>79.900000000000006</v>
      </c>
      <c r="D267" s="187" t="s">
        <v>12315</v>
      </c>
      <c r="E267" s="643">
        <v>99.9</v>
      </c>
      <c r="F267" s="205"/>
      <c r="G267" s="465">
        <f t="shared" si="10"/>
        <v>20</v>
      </c>
    </row>
    <row r="268" spans="1:7">
      <c r="A268" s="205" t="s">
        <v>6450</v>
      </c>
      <c r="B268" s="205" t="s">
        <v>12367</v>
      </c>
      <c r="C268" s="642">
        <v>99.9</v>
      </c>
      <c r="D268" s="187" t="s">
        <v>12388</v>
      </c>
      <c r="E268" s="643">
        <v>119.9</v>
      </c>
      <c r="F268" s="205"/>
      <c r="G268" s="465">
        <f t="shared" si="10"/>
        <v>20</v>
      </c>
    </row>
    <row r="269" spans="1:7">
      <c r="A269" s="205" t="s">
        <v>3947</v>
      </c>
      <c r="B269" s="205" t="s">
        <v>12313</v>
      </c>
      <c r="C269" s="642">
        <v>79.900000000000006</v>
      </c>
      <c r="D269" s="187" t="s">
        <v>12315</v>
      </c>
      <c r="E269" s="643">
        <v>99.9</v>
      </c>
      <c r="F269" s="205"/>
      <c r="G269" s="465">
        <f t="shared" si="10"/>
        <v>20</v>
      </c>
    </row>
    <row r="270" spans="1:7">
      <c r="A270" s="205" t="s">
        <v>3910</v>
      </c>
      <c r="B270" s="205" t="s">
        <v>12334</v>
      </c>
      <c r="C270" s="642">
        <v>99.9</v>
      </c>
      <c r="D270" s="187" t="s">
        <v>12388</v>
      </c>
      <c r="E270" s="643">
        <v>119.9</v>
      </c>
      <c r="F270" s="205"/>
      <c r="G270" s="465">
        <f>E270-C270</f>
        <v>20</v>
      </c>
    </row>
    <row r="271" spans="1:7">
      <c r="A271" s="205" t="s">
        <v>12390</v>
      </c>
      <c r="B271" s="205" t="s">
        <v>12313</v>
      </c>
      <c r="C271" s="642">
        <v>79.900000000000006</v>
      </c>
      <c r="D271" s="187" t="s">
        <v>12315</v>
      </c>
      <c r="E271" s="643">
        <v>99.9</v>
      </c>
      <c r="F271" s="205"/>
      <c r="G271" s="465">
        <f t="shared" si="10"/>
        <v>20</v>
      </c>
    </row>
    <row r="272" spans="1:7">
      <c r="A272" s="205" t="s">
        <v>12391</v>
      </c>
      <c r="B272" s="205" t="s">
        <v>12392</v>
      </c>
      <c r="C272" s="642">
        <v>114.9</v>
      </c>
      <c r="D272" s="187" t="s">
        <v>12334</v>
      </c>
      <c r="E272" s="643">
        <v>134.9</v>
      </c>
      <c r="F272" s="205"/>
      <c r="G272" s="465">
        <f t="shared" si="10"/>
        <v>20</v>
      </c>
    </row>
    <row r="273" spans="1:7">
      <c r="A273" s="205" t="s">
        <v>3653</v>
      </c>
      <c r="B273" s="205" t="s">
        <v>12313</v>
      </c>
      <c r="C273" s="642">
        <v>79.900000000000006</v>
      </c>
      <c r="D273" s="187" t="s">
        <v>12330</v>
      </c>
      <c r="E273" s="643">
        <v>89.9</v>
      </c>
      <c r="F273" s="205"/>
      <c r="G273" s="465">
        <f t="shared" si="10"/>
        <v>10</v>
      </c>
    </row>
    <row r="274" spans="1:7">
      <c r="A274" s="205" t="s">
        <v>1256</v>
      </c>
      <c r="B274" s="205" t="s">
        <v>12357</v>
      </c>
      <c r="C274" s="642">
        <v>70</v>
      </c>
      <c r="D274" s="187" t="s">
        <v>12313</v>
      </c>
      <c r="E274" s="643">
        <v>79.900000000000006</v>
      </c>
      <c r="F274" s="205"/>
      <c r="G274" s="465">
        <f t="shared" si="10"/>
        <v>9.9000000000000057</v>
      </c>
    </row>
    <row r="275" spans="1:7">
      <c r="A275" s="205" t="s">
        <v>3386</v>
      </c>
      <c r="B275" s="205" t="s">
        <v>12313</v>
      </c>
      <c r="C275" s="642">
        <v>79.900000000000006</v>
      </c>
      <c r="D275" s="187" t="s">
        <v>12315</v>
      </c>
      <c r="E275" s="643">
        <v>99.9</v>
      </c>
      <c r="F275" s="205"/>
      <c r="G275" s="465">
        <f t="shared" si="10"/>
        <v>20</v>
      </c>
    </row>
    <row r="276" spans="1:7">
      <c r="A276" s="205" t="s">
        <v>12393</v>
      </c>
      <c r="B276" s="205" t="s">
        <v>12313</v>
      </c>
      <c r="C276" s="642">
        <v>79.900000000000006</v>
      </c>
      <c r="D276" s="187" t="s">
        <v>12315</v>
      </c>
      <c r="E276" s="643">
        <v>99.9</v>
      </c>
      <c r="F276" s="205"/>
      <c r="G276" s="465">
        <f t="shared" si="10"/>
        <v>20</v>
      </c>
    </row>
    <row r="277" spans="1:7">
      <c r="A277" s="205" t="s">
        <v>12394</v>
      </c>
      <c r="B277" s="205" t="s">
        <v>12313</v>
      </c>
      <c r="C277" s="642">
        <v>79.900000000000006</v>
      </c>
      <c r="D277" s="187" t="s">
        <v>12334</v>
      </c>
      <c r="E277" s="643">
        <v>109.9</v>
      </c>
      <c r="F277" s="205"/>
      <c r="G277" s="465">
        <f t="shared" si="10"/>
        <v>30</v>
      </c>
    </row>
    <row r="278" spans="1:7">
      <c r="A278" s="205" t="s">
        <v>12395</v>
      </c>
      <c r="B278" s="205" t="s">
        <v>12313</v>
      </c>
      <c r="C278" s="642">
        <v>79.900000000000006</v>
      </c>
      <c r="D278" s="187" t="s">
        <v>12330</v>
      </c>
      <c r="E278" s="643">
        <v>89.9</v>
      </c>
      <c r="F278" s="205"/>
      <c r="G278" s="465">
        <f t="shared" si="10"/>
        <v>10</v>
      </c>
    </row>
    <row r="279" spans="1:7">
      <c r="A279" s="816" t="s">
        <v>7684</v>
      </c>
      <c r="B279" s="816"/>
      <c r="C279" s="816"/>
      <c r="D279" s="816"/>
      <c r="E279" s="816"/>
      <c r="F279" s="816"/>
      <c r="G279" s="465">
        <f>SUM(G261:G278)</f>
        <v>329.8</v>
      </c>
    </row>
    <row r="280" spans="1:7">
      <c r="A280" s="205" t="s">
        <v>5456</v>
      </c>
      <c r="B280" s="205" t="s">
        <v>12315</v>
      </c>
      <c r="C280" s="509">
        <v>129.9</v>
      </c>
      <c r="D280" s="149" t="s">
        <v>12396</v>
      </c>
      <c r="E280" s="643">
        <v>159.9</v>
      </c>
      <c r="F280" s="205"/>
      <c r="G280" s="465">
        <f t="shared" si="10"/>
        <v>30</v>
      </c>
    </row>
    <row r="281" spans="1:7">
      <c r="A281" s="205" t="s">
        <v>6974</v>
      </c>
      <c r="B281" s="205" t="s">
        <v>12313</v>
      </c>
      <c r="C281" s="642">
        <v>79.900000000000006</v>
      </c>
      <c r="D281" s="187" t="s">
        <v>12334</v>
      </c>
      <c r="E281" s="643">
        <v>109.9</v>
      </c>
      <c r="F281" s="205"/>
      <c r="G281" s="465">
        <f t="shared" si="10"/>
        <v>30</v>
      </c>
    </row>
    <row r="282" spans="1:7">
      <c r="A282" s="205" t="s">
        <v>6366</v>
      </c>
      <c r="B282" s="205" t="s">
        <v>12313</v>
      </c>
      <c r="C282" s="642">
        <v>79.900000000000006</v>
      </c>
      <c r="D282" s="187" t="s">
        <v>12315</v>
      </c>
      <c r="E282" s="643">
        <v>99.9</v>
      </c>
      <c r="F282" s="205"/>
      <c r="G282" s="465">
        <f t="shared" si="10"/>
        <v>20</v>
      </c>
    </row>
    <row r="283" spans="1:7">
      <c r="A283" s="205" t="s">
        <v>3615</v>
      </c>
      <c r="B283" s="205" t="s">
        <v>12313</v>
      </c>
      <c r="C283" s="642">
        <v>79.900000000000006</v>
      </c>
      <c r="D283" s="187" t="s">
        <v>12315</v>
      </c>
      <c r="E283" s="643">
        <v>99.9</v>
      </c>
      <c r="F283" s="205"/>
      <c r="G283" s="465">
        <f t="shared" si="10"/>
        <v>20</v>
      </c>
    </row>
    <row r="284" spans="1:7">
      <c r="A284" s="205" t="s">
        <v>3702</v>
      </c>
      <c r="B284" s="205" t="s">
        <v>12313</v>
      </c>
      <c r="C284" s="642">
        <v>79.900000000000006</v>
      </c>
      <c r="D284" s="187" t="s">
        <v>12315</v>
      </c>
      <c r="E284" s="643">
        <v>119.9</v>
      </c>
      <c r="F284" s="205"/>
      <c r="G284" s="465">
        <f t="shared" si="10"/>
        <v>40</v>
      </c>
    </row>
    <row r="285" spans="1:7">
      <c r="A285" s="205" t="s">
        <v>6354</v>
      </c>
      <c r="B285" s="205" t="s">
        <v>12315</v>
      </c>
      <c r="C285" s="642">
        <v>99.9</v>
      </c>
      <c r="D285" s="187" t="s">
        <v>12334</v>
      </c>
      <c r="E285" s="643">
        <v>119.9</v>
      </c>
      <c r="F285" s="205"/>
      <c r="G285" s="465">
        <f t="shared" si="10"/>
        <v>20</v>
      </c>
    </row>
    <row r="286" spans="1:7">
      <c r="A286" s="205" t="s">
        <v>3772</v>
      </c>
      <c r="B286" s="205" t="s">
        <v>12315</v>
      </c>
      <c r="C286" s="642">
        <v>99.9</v>
      </c>
      <c r="D286" s="187" t="s">
        <v>12334</v>
      </c>
      <c r="E286" s="643">
        <v>119.9</v>
      </c>
      <c r="F286" s="205"/>
      <c r="G286" s="465">
        <f t="shared" si="10"/>
        <v>20</v>
      </c>
    </row>
    <row r="287" spans="1:7">
      <c r="A287" s="205" t="s">
        <v>5770</v>
      </c>
      <c r="B287" s="205" t="s">
        <v>12313</v>
      </c>
      <c r="C287" s="642">
        <v>79.900000000000006</v>
      </c>
      <c r="D287" s="187" t="s">
        <v>12315</v>
      </c>
      <c r="E287" s="643">
        <v>99.9</v>
      </c>
      <c r="F287" s="205"/>
      <c r="G287" s="465">
        <f t="shared" si="10"/>
        <v>20</v>
      </c>
    </row>
    <row r="288" spans="1:7">
      <c r="A288" s="703" t="s">
        <v>520</v>
      </c>
      <c r="B288" s="205" t="s">
        <v>12357</v>
      </c>
      <c r="C288" s="642">
        <v>70</v>
      </c>
      <c r="D288" s="187" t="s">
        <v>12313</v>
      </c>
      <c r="E288" s="643">
        <v>79.900000000000006</v>
      </c>
      <c r="F288" s="205"/>
      <c r="G288" s="465">
        <f>E288-C288</f>
        <v>9.9000000000000057</v>
      </c>
    </row>
    <row r="289" spans="1:7">
      <c r="A289" s="703" t="s">
        <v>379</v>
      </c>
      <c r="B289" s="205" t="s">
        <v>12357</v>
      </c>
      <c r="C289" s="642">
        <v>70</v>
      </c>
      <c r="D289" s="187" t="s">
        <v>12313</v>
      </c>
      <c r="E289" s="643">
        <v>79.900000000000006</v>
      </c>
      <c r="F289" s="205"/>
      <c r="G289" s="465">
        <f>E289-C289</f>
        <v>9.9000000000000057</v>
      </c>
    </row>
    <row r="290" spans="1:7">
      <c r="A290" s="816" t="s">
        <v>2715</v>
      </c>
      <c r="B290" s="816"/>
      <c r="C290" s="816"/>
      <c r="D290" s="816"/>
      <c r="E290" s="816"/>
      <c r="F290" s="816"/>
      <c r="G290" s="465">
        <f>SUM(G280:G289)</f>
        <v>219.8</v>
      </c>
    </row>
    <row r="291" spans="1:7" ht="14.25" customHeight="1">
      <c r="A291" s="205" t="s">
        <v>6061</v>
      </c>
      <c r="B291" s="205" t="s">
        <v>12313</v>
      </c>
      <c r="C291" s="642">
        <v>79.900000000000006</v>
      </c>
      <c r="D291" s="187" t="s">
        <v>12315</v>
      </c>
      <c r="E291" s="643">
        <v>99.9</v>
      </c>
      <c r="F291" s="205" t="s">
        <v>12397</v>
      </c>
      <c r="G291" s="465">
        <f t="shared" ref="G291:G364" si="11">E291-C291</f>
        <v>20</v>
      </c>
    </row>
    <row r="292" spans="1:7">
      <c r="A292" s="205" t="s">
        <v>1977</v>
      </c>
      <c r="B292" s="205" t="s">
        <v>12357</v>
      </c>
      <c r="C292" s="642">
        <v>50</v>
      </c>
      <c r="D292" s="187" t="s">
        <v>12313</v>
      </c>
      <c r="E292" s="643">
        <v>70</v>
      </c>
      <c r="F292" s="205"/>
      <c r="G292" s="465">
        <f t="shared" si="11"/>
        <v>20</v>
      </c>
    </row>
    <row r="293" spans="1:7">
      <c r="A293" s="199" t="s">
        <v>3793</v>
      </c>
      <c r="B293" s="186" t="s">
        <v>12315</v>
      </c>
      <c r="C293" s="602">
        <v>99.9</v>
      </c>
      <c r="D293" s="186" t="s">
        <v>12334</v>
      </c>
      <c r="E293" s="568">
        <v>119.9</v>
      </c>
      <c r="F293" s="199" t="s">
        <v>12398</v>
      </c>
      <c r="G293" s="465">
        <f t="shared" si="11"/>
        <v>20</v>
      </c>
    </row>
    <row r="294" spans="1:7">
      <c r="A294" s="149" t="s">
        <v>12399</v>
      </c>
      <c r="B294" s="149" t="s">
        <v>12313</v>
      </c>
      <c r="C294" s="642">
        <v>79.900000000000006</v>
      </c>
      <c r="D294" s="149" t="s">
        <v>12315</v>
      </c>
      <c r="E294" s="643">
        <v>99.9</v>
      </c>
      <c r="F294" s="149" t="s">
        <v>12398</v>
      </c>
      <c r="G294" s="465">
        <f t="shared" si="11"/>
        <v>20</v>
      </c>
    </row>
    <row r="295" spans="1:7">
      <c r="A295" s="149" t="s">
        <v>4576</v>
      </c>
      <c r="B295" s="205" t="s">
        <v>12357</v>
      </c>
      <c r="C295" s="642">
        <v>70</v>
      </c>
      <c r="D295" s="187" t="s">
        <v>12313</v>
      </c>
      <c r="E295" s="643">
        <v>79.900000000000006</v>
      </c>
      <c r="F295" s="149"/>
      <c r="G295" s="465">
        <f t="shared" si="11"/>
        <v>9.9000000000000057</v>
      </c>
    </row>
    <row r="296" spans="1:7">
      <c r="A296" s="149" t="s">
        <v>3530</v>
      </c>
      <c r="B296" s="149" t="s">
        <v>12315</v>
      </c>
      <c r="C296" s="654">
        <v>99.9</v>
      </c>
      <c r="D296" s="149" t="s">
        <v>12334</v>
      </c>
      <c r="E296" s="654">
        <v>119.9</v>
      </c>
      <c r="F296" s="149" t="s">
        <v>12400</v>
      </c>
      <c r="G296" s="465">
        <f t="shared" si="11"/>
        <v>20</v>
      </c>
    </row>
    <row r="297" spans="1:7">
      <c r="A297" s="149" t="s">
        <v>4508</v>
      </c>
      <c r="B297" s="205" t="s">
        <v>12313</v>
      </c>
      <c r="C297" s="642">
        <v>79.900000000000006</v>
      </c>
      <c r="D297" s="187" t="s">
        <v>12315</v>
      </c>
      <c r="E297" s="643">
        <v>99.9</v>
      </c>
      <c r="F297" s="149" t="s">
        <v>12401</v>
      </c>
      <c r="G297" s="465">
        <f t="shared" si="11"/>
        <v>20</v>
      </c>
    </row>
    <row r="298" spans="1:7">
      <c r="A298" s="149" t="s">
        <v>3857</v>
      </c>
      <c r="B298" s="205" t="s">
        <v>12357</v>
      </c>
      <c r="C298" s="642">
        <v>70</v>
      </c>
      <c r="D298" s="187" t="s">
        <v>12313</v>
      </c>
      <c r="E298" s="643">
        <v>79.900000000000006</v>
      </c>
      <c r="F298" s="149"/>
      <c r="G298" s="465">
        <f t="shared" si="11"/>
        <v>9.9000000000000057</v>
      </c>
    </row>
    <row r="299" spans="1:7">
      <c r="A299" s="149" t="s">
        <v>1824</v>
      </c>
      <c r="B299" s="205" t="s">
        <v>12357</v>
      </c>
      <c r="C299" s="642">
        <v>70</v>
      </c>
      <c r="D299" s="187" t="s">
        <v>12313</v>
      </c>
      <c r="E299" s="643">
        <v>79.900000000000006</v>
      </c>
      <c r="F299" s="149"/>
      <c r="G299" s="465">
        <f t="shared" si="11"/>
        <v>9.9000000000000057</v>
      </c>
    </row>
    <row r="300" spans="1:7">
      <c r="A300" s="149" t="s">
        <v>2740</v>
      </c>
      <c r="B300" s="149" t="s">
        <v>12313</v>
      </c>
      <c r="C300" s="642">
        <v>79.900000000000006</v>
      </c>
      <c r="D300" s="149" t="s">
        <v>12334</v>
      </c>
      <c r="E300" s="654">
        <v>119.9</v>
      </c>
      <c r="F300" s="149" t="s">
        <v>12402</v>
      </c>
      <c r="G300" s="465">
        <f t="shared" si="11"/>
        <v>40</v>
      </c>
    </row>
    <row r="301" spans="1:7">
      <c r="A301" s="149" t="s">
        <v>6877</v>
      </c>
      <c r="B301" s="149" t="s">
        <v>12403</v>
      </c>
      <c r="C301" s="642">
        <v>89.9</v>
      </c>
      <c r="D301" s="149" t="s">
        <v>12315</v>
      </c>
      <c r="E301" s="643">
        <v>99.9</v>
      </c>
      <c r="F301" s="149" t="s">
        <v>12398</v>
      </c>
      <c r="G301" s="465">
        <f t="shared" si="11"/>
        <v>10</v>
      </c>
    </row>
    <row r="302" spans="1:7">
      <c r="A302" s="149" t="s">
        <v>4027</v>
      </c>
      <c r="B302" s="149" t="s">
        <v>12315</v>
      </c>
      <c r="C302" s="654">
        <v>99.9</v>
      </c>
      <c r="D302" s="149" t="s">
        <v>12334</v>
      </c>
      <c r="E302" s="654">
        <v>119.9</v>
      </c>
      <c r="F302" s="149" t="s">
        <v>12400</v>
      </c>
      <c r="G302" s="465">
        <f t="shared" si="11"/>
        <v>20</v>
      </c>
    </row>
    <row r="303" spans="1:7">
      <c r="A303" s="149" t="s">
        <v>3726</v>
      </c>
      <c r="B303" s="149" t="s">
        <v>12334</v>
      </c>
      <c r="C303" s="643">
        <v>109.9</v>
      </c>
      <c r="D303" s="149" t="s">
        <v>12334</v>
      </c>
      <c r="E303" s="654">
        <v>119.9</v>
      </c>
      <c r="F303" s="149" t="s">
        <v>12400</v>
      </c>
      <c r="G303" s="465">
        <f t="shared" si="11"/>
        <v>10</v>
      </c>
    </row>
    <row r="304" spans="1:7">
      <c r="A304" s="816" t="s">
        <v>2738</v>
      </c>
      <c r="B304" s="816"/>
      <c r="C304" s="816"/>
      <c r="D304" s="816"/>
      <c r="E304" s="816"/>
      <c r="F304" s="816"/>
      <c r="G304" s="465">
        <f>SUM(G291:G303)</f>
        <v>229.70000000000002</v>
      </c>
    </row>
    <row r="305" spans="1:7">
      <c r="A305" s="149" t="s">
        <v>12404</v>
      </c>
      <c r="B305" s="149" t="s">
        <v>12334</v>
      </c>
      <c r="C305" s="642">
        <v>114.9</v>
      </c>
      <c r="D305" s="149" t="s">
        <v>12396</v>
      </c>
      <c r="E305" s="643">
        <v>130</v>
      </c>
      <c r="F305" s="149" t="s">
        <v>12398</v>
      </c>
      <c r="G305" s="465">
        <f>E305-C305</f>
        <v>15.099999999999994</v>
      </c>
    </row>
    <row r="306" spans="1:7">
      <c r="A306" s="149" t="s">
        <v>6950</v>
      </c>
      <c r="B306" s="205" t="s">
        <v>12330</v>
      </c>
      <c r="C306" s="642">
        <v>89.9</v>
      </c>
      <c r="D306" s="149" t="s">
        <v>12315</v>
      </c>
      <c r="E306" s="643">
        <v>109.9</v>
      </c>
      <c r="F306" s="149" t="s">
        <v>12401</v>
      </c>
      <c r="G306" s="465">
        <f t="shared" si="11"/>
        <v>20</v>
      </c>
    </row>
    <row r="307" spans="1:7">
      <c r="A307" s="149" t="s">
        <v>12405</v>
      </c>
      <c r="B307" s="149" t="s">
        <v>12313</v>
      </c>
      <c r="C307" s="642">
        <v>70</v>
      </c>
      <c r="D307" s="149" t="s">
        <v>12313</v>
      </c>
      <c r="E307" s="643">
        <v>79.900000000000006</v>
      </c>
      <c r="F307" s="149" t="s">
        <v>12406</v>
      </c>
      <c r="G307" s="465">
        <f t="shared" si="11"/>
        <v>9.9000000000000057</v>
      </c>
    </row>
    <row r="308" spans="1:7">
      <c r="A308" s="149" t="s">
        <v>5817</v>
      </c>
      <c r="B308" s="149" t="s">
        <v>12313</v>
      </c>
      <c r="C308" s="642">
        <v>79.900000000000006</v>
      </c>
      <c r="D308" s="149" t="s">
        <v>12315</v>
      </c>
      <c r="E308" s="643">
        <v>99.9</v>
      </c>
      <c r="F308" s="149" t="s">
        <v>12401</v>
      </c>
      <c r="G308" s="465">
        <f t="shared" si="11"/>
        <v>20</v>
      </c>
    </row>
    <row r="309" spans="1:7">
      <c r="A309" s="149" t="s">
        <v>6246</v>
      </c>
      <c r="B309" s="149" t="s">
        <v>12334</v>
      </c>
      <c r="C309" s="642">
        <v>109.9</v>
      </c>
      <c r="D309" s="149" t="s">
        <v>12334</v>
      </c>
      <c r="E309" s="654">
        <v>119.9</v>
      </c>
      <c r="F309" s="149" t="s">
        <v>12401</v>
      </c>
      <c r="G309" s="465">
        <f t="shared" si="11"/>
        <v>10</v>
      </c>
    </row>
    <row r="310" spans="1:7">
      <c r="A310" s="186" t="s">
        <v>12407</v>
      </c>
      <c r="B310" s="186" t="s">
        <v>12317</v>
      </c>
      <c r="C310" s="657">
        <v>60</v>
      </c>
      <c r="D310" s="186" t="s">
        <v>12315</v>
      </c>
      <c r="E310" s="657">
        <v>99.9</v>
      </c>
      <c r="F310" s="186" t="s">
        <v>12408</v>
      </c>
      <c r="G310" s="465">
        <f t="shared" si="11"/>
        <v>39.900000000000006</v>
      </c>
    </row>
    <row r="311" spans="1:7">
      <c r="A311" s="149" t="s">
        <v>5500</v>
      </c>
      <c r="B311" s="149" t="s">
        <v>12313</v>
      </c>
      <c r="C311" s="654">
        <v>65</v>
      </c>
      <c r="D311" s="149" t="s">
        <v>12310</v>
      </c>
      <c r="E311" s="654">
        <v>85</v>
      </c>
      <c r="F311" s="149" t="s">
        <v>12401</v>
      </c>
      <c r="G311" s="465">
        <f t="shared" si="11"/>
        <v>20</v>
      </c>
    </row>
    <row r="312" spans="1:7">
      <c r="A312" s="816" t="s">
        <v>2755</v>
      </c>
      <c r="B312" s="816"/>
      <c r="C312" s="816"/>
      <c r="D312" s="816"/>
      <c r="E312" s="816"/>
      <c r="F312" s="816"/>
      <c r="G312" s="465">
        <f>SUM(G305:G311)</f>
        <v>134.9</v>
      </c>
    </row>
    <row r="313" spans="1:7" ht="15.75">
      <c r="A313" s="639" t="s">
        <v>2723</v>
      </c>
      <c r="B313" s="205" t="s">
        <v>12313</v>
      </c>
      <c r="C313" s="642">
        <v>79.900000000000006</v>
      </c>
      <c r="D313" s="187" t="s">
        <v>12315</v>
      </c>
      <c r="E313" s="643">
        <v>99.9</v>
      </c>
      <c r="F313" s="149" t="s">
        <v>12401</v>
      </c>
      <c r="G313" s="465">
        <f t="shared" si="11"/>
        <v>20</v>
      </c>
    </row>
    <row r="314" spans="1:7">
      <c r="A314" s="22" t="s">
        <v>6575</v>
      </c>
      <c r="B314" s="149" t="s">
        <v>12334</v>
      </c>
      <c r="C314" s="642">
        <v>139.9</v>
      </c>
      <c r="D314" s="149" t="s">
        <v>12396</v>
      </c>
      <c r="E314" s="643">
        <v>159.9</v>
      </c>
      <c r="F314" s="149" t="s">
        <v>12409</v>
      </c>
      <c r="G314" s="465">
        <f t="shared" si="11"/>
        <v>20</v>
      </c>
    </row>
    <row r="315" spans="1:7">
      <c r="A315" s="192" t="s">
        <v>5829</v>
      </c>
      <c r="B315" s="149" t="s">
        <v>12315</v>
      </c>
      <c r="C315" s="654">
        <v>99.9</v>
      </c>
      <c r="D315" s="149" t="s">
        <v>12334</v>
      </c>
      <c r="E315" s="654">
        <v>119.9</v>
      </c>
      <c r="F315" s="149" t="s">
        <v>12410</v>
      </c>
      <c r="G315" s="465">
        <f t="shared" ref="G315:G321" si="12">E315-C315</f>
        <v>20</v>
      </c>
    </row>
    <row r="316" spans="1:7">
      <c r="A316" s="192" t="s">
        <v>12411</v>
      </c>
      <c r="B316" s="149" t="s">
        <v>12313</v>
      </c>
      <c r="C316" s="654">
        <v>79.900000000000006</v>
      </c>
      <c r="D316" s="149" t="s">
        <v>12334</v>
      </c>
      <c r="E316" s="654">
        <v>119.9</v>
      </c>
      <c r="F316" s="149" t="s">
        <v>12409</v>
      </c>
      <c r="G316" s="465">
        <f t="shared" si="12"/>
        <v>40</v>
      </c>
    </row>
    <row r="317" spans="1:7">
      <c r="A317" s="192" t="s">
        <v>6182</v>
      </c>
      <c r="B317" s="149" t="s">
        <v>12315</v>
      </c>
      <c r="C317" s="654">
        <v>99.9</v>
      </c>
      <c r="D317" s="149" t="s">
        <v>12396</v>
      </c>
      <c r="E317" s="643">
        <v>159.9</v>
      </c>
      <c r="F317" s="149" t="s">
        <v>12410</v>
      </c>
      <c r="G317" s="465">
        <f t="shared" si="12"/>
        <v>60</v>
      </c>
    </row>
    <row r="318" spans="1:7">
      <c r="A318" s="192" t="s">
        <v>7036</v>
      </c>
      <c r="B318" s="149" t="s">
        <v>12313</v>
      </c>
      <c r="C318" s="654">
        <v>79.900000000000006</v>
      </c>
      <c r="D318" s="149" t="s">
        <v>12315</v>
      </c>
      <c r="E318" s="654">
        <v>99.9</v>
      </c>
      <c r="F318" s="149" t="s">
        <v>12401</v>
      </c>
      <c r="G318" s="465">
        <f t="shared" si="12"/>
        <v>20</v>
      </c>
    </row>
    <row r="319" spans="1:7">
      <c r="A319" s="192" t="s">
        <v>6184</v>
      </c>
      <c r="B319" s="149" t="s">
        <v>12330</v>
      </c>
      <c r="C319" s="642">
        <v>114.9</v>
      </c>
      <c r="D319" s="149" t="s">
        <v>12315</v>
      </c>
      <c r="E319" s="509">
        <v>134.9</v>
      </c>
      <c r="F319" s="149" t="s">
        <v>12398</v>
      </c>
      <c r="G319" s="465">
        <f t="shared" si="12"/>
        <v>20</v>
      </c>
    </row>
    <row r="320" spans="1:7">
      <c r="A320" s="192" t="s">
        <v>6647</v>
      </c>
      <c r="B320" s="149" t="s">
        <v>12313</v>
      </c>
      <c r="C320" s="654">
        <v>79.900000000000006</v>
      </c>
      <c r="D320" s="187" t="s">
        <v>12315</v>
      </c>
      <c r="E320" s="643">
        <v>99.9</v>
      </c>
      <c r="F320" s="149" t="s">
        <v>12398</v>
      </c>
      <c r="G320" s="465">
        <f t="shared" si="12"/>
        <v>20</v>
      </c>
    </row>
    <row r="321" spans="1:7">
      <c r="A321" s="192" t="s">
        <v>5942</v>
      </c>
      <c r="B321" s="149" t="s">
        <v>12313</v>
      </c>
      <c r="C321" s="654">
        <v>79.900000000000006</v>
      </c>
      <c r="D321" s="187" t="s">
        <v>12315</v>
      </c>
      <c r="E321" s="643">
        <v>99.9</v>
      </c>
      <c r="F321" s="149" t="s">
        <v>12401</v>
      </c>
      <c r="G321" s="465">
        <f t="shared" si="12"/>
        <v>20</v>
      </c>
    </row>
    <row r="322" spans="1:7">
      <c r="A322" s="192" t="s">
        <v>4561</v>
      </c>
      <c r="B322" s="149" t="s">
        <v>12313</v>
      </c>
      <c r="C322" s="654">
        <v>79.900000000000006</v>
      </c>
      <c r="D322" s="187" t="s">
        <v>12315</v>
      </c>
      <c r="E322" s="643">
        <v>99.9</v>
      </c>
      <c r="F322" s="149" t="s">
        <v>12398</v>
      </c>
      <c r="G322" s="465">
        <f t="shared" si="11"/>
        <v>20</v>
      </c>
    </row>
    <row r="323" spans="1:7">
      <c r="A323" s="192" t="s">
        <v>5843</v>
      </c>
      <c r="B323" s="149" t="s">
        <v>12313</v>
      </c>
      <c r="C323" s="642">
        <v>70</v>
      </c>
      <c r="D323" s="187" t="s">
        <v>12315</v>
      </c>
      <c r="E323" s="643">
        <v>99.9</v>
      </c>
      <c r="F323" s="149" t="s">
        <v>12401</v>
      </c>
      <c r="G323" s="465">
        <f t="shared" si="11"/>
        <v>29.900000000000006</v>
      </c>
    </row>
    <row r="324" spans="1:7">
      <c r="A324" s="192" t="s">
        <v>5689</v>
      </c>
      <c r="B324" s="149" t="s">
        <v>12313</v>
      </c>
      <c r="C324" s="642">
        <v>70</v>
      </c>
      <c r="D324" s="187" t="s">
        <v>12315</v>
      </c>
      <c r="E324" s="643">
        <v>99.9</v>
      </c>
      <c r="F324" s="149" t="s">
        <v>12398</v>
      </c>
      <c r="G324" s="465">
        <f t="shared" si="11"/>
        <v>29.900000000000006</v>
      </c>
    </row>
    <row r="325" spans="1:7">
      <c r="A325" s="816" t="s">
        <v>7720</v>
      </c>
      <c r="B325" s="816"/>
      <c r="C325" s="816"/>
      <c r="D325" s="816"/>
      <c r="E325" s="816"/>
      <c r="F325" s="816"/>
      <c r="G325" s="465">
        <f>SUM(G313:G324)</f>
        <v>319.79999999999995</v>
      </c>
    </row>
    <row r="326" spans="1:7">
      <c r="A326" s="149" t="s">
        <v>12412</v>
      </c>
      <c r="B326" s="149" t="s">
        <v>12357</v>
      </c>
      <c r="C326" s="654">
        <v>70</v>
      </c>
      <c r="D326" s="149" t="s">
        <v>12313</v>
      </c>
      <c r="E326" s="654">
        <v>79.900000000000006</v>
      </c>
      <c r="F326" s="149" t="s">
        <v>12413</v>
      </c>
      <c r="G326" s="465">
        <f t="shared" si="11"/>
        <v>9.9000000000000057</v>
      </c>
    </row>
    <row r="327" spans="1:7">
      <c r="A327" s="269" t="s">
        <v>5969</v>
      </c>
      <c r="B327" s="269" t="s">
        <v>12313</v>
      </c>
      <c r="C327" s="753">
        <v>79.900000000000006</v>
      </c>
      <c r="D327" s="754" t="s">
        <v>12315</v>
      </c>
      <c r="E327" s="755">
        <v>99.9</v>
      </c>
      <c r="F327" s="192" t="s">
        <v>12398</v>
      </c>
      <c r="G327" s="465">
        <f t="shared" si="11"/>
        <v>20</v>
      </c>
    </row>
    <row r="328" spans="1:7">
      <c r="A328" s="269" t="s">
        <v>1232</v>
      </c>
      <c r="B328" s="269" t="s">
        <v>12357</v>
      </c>
      <c r="C328" s="753">
        <v>70</v>
      </c>
      <c r="D328" s="269" t="s">
        <v>12313</v>
      </c>
      <c r="E328" s="756">
        <v>79.900000000000006</v>
      </c>
      <c r="F328" s="534" t="s">
        <v>12413</v>
      </c>
      <c r="G328" s="465">
        <f t="shared" si="11"/>
        <v>9.9000000000000057</v>
      </c>
    </row>
    <row r="329" spans="1:7">
      <c r="A329" s="192" t="s">
        <v>1663</v>
      </c>
      <c r="B329" s="192" t="s">
        <v>12357</v>
      </c>
      <c r="C329" s="756">
        <v>70</v>
      </c>
      <c r="D329" s="192" t="s">
        <v>12315</v>
      </c>
      <c r="E329" s="757">
        <v>99.9</v>
      </c>
      <c r="F329" s="192" t="s">
        <v>12401</v>
      </c>
      <c r="G329" s="465">
        <f t="shared" si="11"/>
        <v>29.900000000000006</v>
      </c>
    </row>
    <row r="330" spans="1:7">
      <c r="A330" s="192" t="s">
        <v>3890</v>
      </c>
      <c r="B330" s="192" t="s">
        <v>12313</v>
      </c>
      <c r="C330" s="756">
        <v>79.900000000000006</v>
      </c>
      <c r="D330" s="192" t="s">
        <v>12315</v>
      </c>
      <c r="E330" s="757">
        <v>99.9</v>
      </c>
      <c r="F330" s="192" t="s">
        <v>12401</v>
      </c>
      <c r="G330" s="465">
        <f t="shared" si="11"/>
        <v>20</v>
      </c>
    </row>
    <row r="331" spans="1:7">
      <c r="A331" s="192" t="s">
        <v>393</v>
      </c>
      <c r="B331" s="192" t="s">
        <v>12313</v>
      </c>
      <c r="C331" s="756">
        <v>79.900000000000006</v>
      </c>
      <c r="D331" s="192" t="s">
        <v>12315</v>
      </c>
      <c r="E331" s="757">
        <v>99.9</v>
      </c>
      <c r="F331" s="192" t="s">
        <v>12398</v>
      </c>
      <c r="G331" s="465">
        <f t="shared" si="11"/>
        <v>20</v>
      </c>
    </row>
    <row r="332" spans="1:7">
      <c r="A332" s="192" t="s">
        <v>12414</v>
      </c>
      <c r="B332" s="192" t="s">
        <v>12315</v>
      </c>
      <c r="C332" s="756">
        <v>99.9</v>
      </c>
      <c r="D332" s="192" t="s">
        <v>12334</v>
      </c>
      <c r="E332" s="756">
        <v>119.9</v>
      </c>
      <c r="F332" s="192" t="s">
        <v>12397</v>
      </c>
      <c r="G332" s="465">
        <f t="shared" si="11"/>
        <v>20</v>
      </c>
    </row>
    <row r="333" spans="1:7">
      <c r="A333" s="499" t="s">
        <v>1285</v>
      </c>
      <c r="B333" s="499" t="s">
        <v>12317</v>
      </c>
      <c r="C333" s="756">
        <v>60</v>
      </c>
      <c r="D333" s="499" t="s">
        <v>12313</v>
      </c>
      <c r="E333" s="756">
        <v>79.900000000000006</v>
      </c>
      <c r="F333" s="499" t="s">
        <v>7339</v>
      </c>
      <c r="G333" s="465">
        <f t="shared" si="11"/>
        <v>19.900000000000006</v>
      </c>
    </row>
    <row r="334" spans="1:7">
      <c r="A334" s="22" t="s">
        <v>6181</v>
      </c>
      <c r="B334" s="192" t="s">
        <v>12313</v>
      </c>
      <c r="C334" s="756">
        <v>79.900000000000006</v>
      </c>
      <c r="D334" s="192" t="s">
        <v>12315</v>
      </c>
      <c r="E334" s="756">
        <v>99.9</v>
      </c>
      <c r="F334" s="192" t="s">
        <v>12408</v>
      </c>
      <c r="G334" s="465">
        <f t="shared" si="11"/>
        <v>20</v>
      </c>
    </row>
    <row r="335" spans="1:7">
      <c r="A335" s="192" t="s">
        <v>3620</v>
      </c>
      <c r="B335" s="534" t="s">
        <v>12315</v>
      </c>
      <c r="C335" s="756">
        <v>99.9</v>
      </c>
      <c r="D335" s="192" t="s">
        <v>12334</v>
      </c>
      <c r="E335" s="756">
        <v>119.9</v>
      </c>
      <c r="F335" s="192" t="s">
        <v>12408</v>
      </c>
      <c r="G335" s="465">
        <f t="shared" si="11"/>
        <v>20</v>
      </c>
    </row>
    <row r="336" spans="1:7">
      <c r="A336" s="499" t="s">
        <v>6396</v>
      </c>
      <c r="B336" s="192" t="s">
        <v>12315</v>
      </c>
      <c r="C336" s="756">
        <v>99.9</v>
      </c>
      <c r="D336" s="192" t="s">
        <v>12334</v>
      </c>
      <c r="E336" s="756">
        <v>119.9</v>
      </c>
      <c r="F336" s="192" t="s">
        <v>12408</v>
      </c>
      <c r="G336" s="465">
        <f t="shared" si="11"/>
        <v>20</v>
      </c>
    </row>
    <row r="337" spans="1:7">
      <c r="A337" s="22" t="s">
        <v>6018</v>
      </c>
      <c r="B337" s="192" t="s">
        <v>12315</v>
      </c>
      <c r="C337" s="756">
        <v>99.9</v>
      </c>
      <c r="D337" s="192" t="s">
        <v>12315</v>
      </c>
      <c r="E337" s="756">
        <v>110</v>
      </c>
      <c r="F337" s="192" t="s">
        <v>12415</v>
      </c>
      <c r="G337" s="465">
        <f t="shared" si="11"/>
        <v>10.099999999999994</v>
      </c>
    </row>
    <row r="338" spans="1:7">
      <c r="A338" s="192" t="s">
        <v>12416</v>
      </c>
      <c r="B338" s="192" t="s">
        <v>12313</v>
      </c>
      <c r="C338" s="756">
        <v>79.900000000000006</v>
      </c>
      <c r="D338" s="192" t="s">
        <v>12315</v>
      </c>
      <c r="E338" s="756">
        <v>99.9</v>
      </c>
      <c r="F338" s="192" t="s">
        <v>12408</v>
      </c>
      <c r="G338" s="465">
        <f t="shared" si="11"/>
        <v>20</v>
      </c>
    </row>
    <row r="339" spans="1:7">
      <c r="A339" s="192" t="s">
        <v>3685</v>
      </c>
      <c r="B339" s="192" t="s">
        <v>12313</v>
      </c>
      <c r="C339" s="756">
        <v>79.900000000000006</v>
      </c>
      <c r="D339" s="192" t="s">
        <v>12315</v>
      </c>
      <c r="E339" s="758">
        <v>89.9</v>
      </c>
      <c r="F339" s="192" t="s">
        <v>7339</v>
      </c>
      <c r="G339" s="465">
        <f t="shared" si="11"/>
        <v>10</v>
      </c>
    </row>
    <row r="340" spans="1:7">
      <c r="A340" s="192" t="s">
        <v>3746</v>
      </c>
      <c r="B340" s="192" t="s">
        <v>12313</v>
      </c>
      <c r="C340" s="756">
        <v>79.900000000000006</v>
      </c>
      <c r="D340" s="192" t="s">
        <v>12315</v>
      </c>
      <c r="E340" s="756">
        <v>99.9</v>
      </c>
      <c r="F340" s="192" t="s">
        <v>12408</v>
      </c>
      <c r="G340" s="465">
        <f t="shared" si="11"/>
        <v>20</v>
      </c>
    </row>
    <row r="341" spans="1:7">
      <c r="A341" s="192" t="s">
        <v>12417</v>
      </c>
      <c r="B341" s="192" t="s">
        <v>12313</v>
      </c>
      <c r="C341" s="756">
        <v>79.900000000000006</v>
      </c>
      <c r="D341" s="192" t="s">
        <v>12315</v>
      </c>
      <c r="E341" s="756">
        <v>99.9</v>
      </c>
      <c r="F341" s="192" t="s">
        <v>12415</v>
      </c>
      <c r="G341" s="465">
        <f t="shared" si="11"/>
        <v>20</v>
      </c>
    </row>
    <row r="342" spans="1:7">
      <c r="A342" s="192" t="s">
        <v>6958</v>
      </c>
      <c r="B342" s="192" t="s">
        <v>12313</v>
      </c>
      <c r="C342" s="756">
        <v>79.900000000000006</v>
      </c>
      <c r="D342" s="192" t="s">
        <v>12315</v>
      </c>
      <c r="E342" s="756">
        <v>99.9</v>
      </c>
      <c r="F342" s="192" t="s">
        <v>12401</v>
      </c>
      <c r="G342" s="465">
        <f t="shared" si="11"/>
        <v>20</v>
      </c>
    </row>
    <row r="343" spans="1:7">
      <c r="A343" s="192" t="s">
        <v>3689</v>
      </c>
      <c r="B343" s="192" t="s">
        <v>12315</v>
      </c>
      <c r="C343" s="756">
        <v>79.900000000000006</v>
      </c>
      <c r="D343" s="192" t="s">
        <v>12334</v>
      </c>
      <c r="E343" s="756">
        <v>99.9</v>
      </c>
      <c r="F343" s="192" t="s">
        <v>12408</v>
      </c>
      <c r="G343" s="465">
        <f t="shared" si="11"/>
        <v>20</v>
      </c>
    </row>
    <row r="344" spans="1:7">
      <c r="A344" s="192" t="s">
        <v>3770</v>
      </c>
      <c r="B344" s="192" t="s">
        <v>12315</v>
      </c>
      <c r="C344" s="756">
        <v>79.900000000000006</v>
      </c>
      <c r="D344" s="192" t="s">
        <v>12334</v>
      </c>
      <c r="E344" s="756">
        <v>99.9</v>
      </c>
      <c r="F344" s="192" t="s">
        <v>12401</v>
      </c>
      <c r="G344" s="465">
        <f t="shared" si="11"/>
        <v>20</v>
      </c>
    </row>
    <row r="345" spans="1:7">
      <c r="A345" s="192" t="s">
        <v>7055</v>
      </c>
      <c r="B345" s="192" t="s">
        <v>12334</v>
      </c>
      <c r="C345" s="756">
        <v>139.9</v>
      </c>
      <c r="D345" s="192" t="s">
        <v>12396</v>
      </c>
      <c r="E345" s="756">
        <v>159.9</v>
      </c>
      <c r="F345" s="192" t="s">
        <v>12410</v>
      </c>
      <c r="G345" s="465">
        <f t="shared" si="11"/>
        <v>20</v>
      </c>
    </row>
    <row r="346" spans="1:7">
      <c r="A346" s="816" t="s">
        <v>7543</v>
      </c>
      <c r="B346" s="816"/>
      <c r="C346" s="816"/>
      <c r="D346" s="816"/>
      <c r="E346" s="816"/>
      <c r="F346" s="816"/>
      <c r="G346" s="465">
        <f>SUM(G326:G345)</f>
        <v>369.70000000000005</v>
      </c>
    </row>
    <row r="347" spans="1:7">
      <c r="A347" s="149" t="s">
        <v>175</v>
      </c>
      <c r="B347" s="149" t="s">
        <v>12313</v>
      </c>
      <c r="C347" s="654">
        <v>79.900000000000006</v>
      </c>
      <c r="D347" s="149" t="s">
        <v>12315</v>
      </c>
      <c r="E347" s="654">
        <v>99.9</v>
      </c>
      <c r="F347" s="149" t="s">
        <v>12401</v>
      </c>
      <c r="G347" s="465">
        <f t="shared" si="11"/>
        <v>20</v>
      </c>
    </row>
    <row r="348" spans="1:7">
      <c r="A348" s="149" t="s">
        <v>7036</v>
      </c>
      <c r="B348" s="149" t="s">
        <v>12334</v>
      </c>
      <c r="C348" s="654">
        <v>119.9</v>
      </c>
      <c r="D348" s="149" t="s">
        <v>12396</v>
      </c>
      <c r="E348" s="654">
        <v>144.9</v>
      </c>
      <c r="F348" s="149" t="s">
        <v>12401</v>
      </c>
      <c r="G348" s="465">
        <f t="shared" si="11"/>
        <v>25</v>
      </c>
    </row>
    <row r="349" spans="1:7" ht="15.75">
      <c r="A349" s="577" t="s">
        <v>1862</v>
      </c>
      <c r="B349" s="149" t="s">
        <v>12315</v>
      </c>
      <c r="C349" s="654">
        <v>99.9</v>
      </c>
      <c r="D349" s="149" t="s">
        <v>12334</v>
      </c>
      <c r="E349" s="654">
        <v>135</v>
      </c>
      <c r="F349" s="149" t="s">
        <v>12413</v>
      </c>
      <c r="G349" s="465">
        <f t="shared" si="11"/>
        <v>35.099999999999994</v>
      </c>
    </row>
    <row r="350" spans="1:7">
      <c r="A350" s="149" t="s">
        <v>2725</v>
      </c>
      <c r="B350" s="149" t="s">
        <v>12313</v>
      </c>
      <c r="C350" s="654">
        <v>79.900000000000006</v>
      </c>
      <c r="D350" s="149" t="s">
        <v>12315</v>
      </c>
      <c r="E350" s="654">
        <v>99.9</v>
      </c>
      <c r="F350" s="149" t="s">
        <v>12401</v>
      </c>
      <c r="G350" s="465">
        <f t="shared" si="11"/>
        <v>20</v>
      </c>
    </row>
    <row r="351" spans="1:7">
      <c r="A351" s="149" t="s">
        <v>4358</v>
      </c>
      <c r="B351" s="149" t="s">
        <v>12334</v>
      </c>
      <c r="C351" s="654">
        <v>114.9</v>
      </c>
      <c r="D351" s="149" t="s">
        <v>12334</v>
      </c>
      <c r="E351" s="654">
        <v>134.9</v>
      </c>
      <c r="F351" s="149" t="s">
        <v>12401</v>
      </c>
      <c r="G351" s="465">
        <f t="shared" si="11"/>
        <v>20</v>
      </c>
    </row>
    <row r="352" spans="1:7">
      <c r="A352" s="149" t="s">
        <v>5046</v>
      </c>
      <c r="B352" s="149" t="s">
        <v>12313</v>
      </c>
      <c r="C352" s="654">
        <v>79.900000000000006</v>
      </c>
      <c r="D352" s="149" t="s">
        <v>12315</v>
      </c>
      <c r="E352" s="654">
        <v>99.9</v>
      </c>
      <c r="F352" s="149" t="s">
        <v>12401</v>
      </c>
      <c r="G352" s="465">
        <f t="shared" si="11"/>
        <v>20</v>
      </c>
    </row>
    <row r="353" spans="1:7">
      <c r="A353" s="149" t="s">
        <v>6154</v>
      </c>
      <c r="B353" s="149" t="s">
        <v>12313</v>
      </c>
      <c r="C353" s="654">
        <v>79.900000000000006</v>
      </c>
      <c r="D353" s="149" t="s">
        <v>12315</v>
      </c>
      <c r="E353" s="654">
        <v>99.9</v>
      </c>
      <c r="F353" s="149" t="s">
        <v>12401</v>
      </c>
      <c r="G353" s="465">
        <f t="shared" si="11"/>
        <v>20</v>
      </c>
    </row>
    <row r="354" spans="1:7">
      <c r="A354" s="149" t="s">
        <v>3970</v>
      </c>
      <c r="B354" s="149" t="s">
        <v>12313</v>
      </c>
      <c r="C354" s="654">
        <v>79.900000000000006</v>
      </c>
      <c r="D354" s="149" t="s">
        <v>12315</v>
      </c>
      <c r="E354" s="654">
        <v>99.9</v>
      </c>
      <c r="F354" s="149" t="s">
        <v>12401</v>
      </c>
      <c r="G354" s="465">
        <f t="shared" si="11"/>
        <v>20</v>
      </c>
    </row>
    <row r="355" spans="1:7">
      <c r="A355" s="149" t="s">
        <v>6330</v>
      </c>
      <c r="B355" s="149" t="s">
        <v>12315</v>
      </c>
      <c r="C355" s="654">
        <v>99.9</v>
      </c>
      <c r="D355" s="149" t="s">
        <v>12334</v>
      </c>
      <c r="E355" s="654">
        <v>119.9</v>
      </c>
      <c r="F355" s="149" t="s">
        <v>12397</v>
      </c>
      <c r="G355" s="465">
        <f t="shared" si="11"/>
        <v>20</v>
      </c>
    </row>
    <row r="356" spans="1:7">
      <c r="A356" s="149" t="s">
        <v>11104</v>
      </c>
      <c r="B356" s="149" t="s">
        <v>12315</v>
      </c>
      <c r="C356" s="654">
        <v>99.9</v>
      </c>
      <c r="D356" s="149" t="s">
        <v>12315</v>
      </c>
      <c r="E356" s="654">
        <v>119.9</v>
      </c>
      <c r="F356" s="149" t="s">
        <v>12408</v>
      </c>
      <c r="G356" s="465">
        <f t="shared" si="11"/>
        <v>20</v>
      </c>
    </row>
    <row r="357" spans="1:7">
      <c r="A357" s="816" t="s">
        <v>4357</v>
      </c>
      <c r="B357" s="816"/>
      <c r="C357" s="816"/>
      <c r="D357" s="816"/>
      <c r="E357" s="816"/>
      <c r="F357" s="816"/>
      <c r="G357" s="465">
        <f t="shared" si="11"/>
        <v>0</v>
      </c>
    </row>
    <row r="358" spans="1:7">
      <c r="A358" s="149" t="s">
        <v>12418</v>
      </c>
      <c r="B358" s="149" t="s">
        <v>12313</v>
      </c>
      <c r="C358" s="654">
        <v>79.900000000000006</v>
      </c>
      <c r="D358" s="149" t="s">
        <v>12315</v>
      </c>
      <c r="E358" s="654">
        <v>99.9</v>
      </c>
      <c r="F358" s="149" t="s">
        <v>12419</v>
      </c>
      <c r="G358" s="465">
        <f t="shared" si="11"/>
        <v>20</v>
      </c>
    </row>
    <row r="359" spans="1:7">
      <c r="A359" s="149" t="s">
        <v>5546</v>
      </c>
      <c r="B359" s="149" t="s">
        <v>12313</v>
      </c>
      <c r="C359" s="654">
        <v>79.900000000000006</v>
      </c>
      <c r="D359" s="149" t="s">
        <v>12315</v>
      </c>
      <c r="E359" s="654">
        <v>99.9</v>
      </c>
      <c r="F359" s="149" t="s">
        <v>12408</v>
      </c>
      <c r="G359" s="465">
        <f t="shared" si="11"/>
        <v>20</v>
      </c>
    </row>
    <row r="360" spans="1:7">
      <c r="A360" s="149" t="s">
        <v>3871</v>
      </c>
      <c r="B360" s="149" t="s">
        <v>12313</v>
      </c>
      <c r="C360" s="654">
        <v>79.900000000000006</v>
      </c>
      <c r="D360" s="149" t="s">
        <v>12315</v>
      </c>
      <c r="E360" s="654">
        <v>99.9</v>
      </c>
      <c r="F360" s="149" t="s">
        <v>12397</v>
      </c>
      <c r="G360" s="465">
        <f t="shared" si="11"/>
        <v>20</v>
      </c>
    </row>
    <row r="361" spans="1:7">
      <c r="A361" s="149" t="s">
        <v>12420</v>
      </c>
      <c r="B361" s="149" t="s">
        <v>12313</v>
      </c>
      <c r="C361" s="654">
        <v>79.900000000000006</v>
      </c>
      <c r="D361" s="149" t="s">
        <v>12334</v>
      </c>
      <c r="E361" s="654">
        <v>119.9</v>
      </c>
      <c r="F361" s="149" t="s">
        <v>12402</v>
      </c>
      <c r="G361" s="465">
        <f t="shared" si="11"/>
        <v>40</v>
      </c>
    </row>
    <row r="362" spans="1:7">
      <c r="A362" s="149" t="s">
        <v>3462</v>
      </c>
      <c r="B362" s="149" t="s">
        <v>12313</v>
      </c>
      <c r="C362" s="654">
        <v>79.900000000000006</v>
      </c>
      <c r="D362" s="149" t="s">
        <v>12315</v>
      </c>
      <c r="E362" s="654">
        <v>99.9</v>
      </c>
      <c r="F362" s="149" t="s">
        <v>12401</v>
      </c>
      <c r="G362" s="465">
        <f t="shared" si="11"/>
        <v>20</v>
      </c>
    </row>
    <row r="363" spans="1:7">
      <c r="A363" s="149" t="s">
        <v>4527</v>
      </c>
      <c r="B363" s="149" t="s">
        <v>12313</v>
      </c>
      <c r="C363" s="654">
        <v>79.900000000000006</v>
      </c>
      <c r="D363" s="149" t="s">
        <v>12315</v>
      </c>
      <c r="E363" s="654">
        <v>99.9</v>
      </c>
      <c r="F363" s="149" t="s">
        <v>12408</v>
      </c>
      <c r="G363" s="465">
        <f t="shared" si="11"/>
        <v>20</v>
      </c>
    </row>
    <row r="364" spans="1:7">
      <c r="A364" s="149" t="s">
        <v>5408</v>
      </c>
      <c r="B364" s="149" t="s">
        <v>12313</v>
      </c>
      <c r="C364" s="654">
        <v>79.900000000000006</v>
      </c>
      <c r="D364" s="149" t="s">
        <v>12310</v>
      </c>
      <c r="E364" s="654">
        <v>89.9</v>
      </c>
      <c r="F364" s="149" t="s">
        <v>7339</v>
      </c>
      <c r="G364" s="465">
        <f t="shared" si="11"/>
        <v>10</v>
      </c>
    </row>
    <row r="365" spans="1:7">
      <c r="A365" s="149" t="s">
        <v>4012</v>
      </c>
      <c r="B365" s="149" t="s">
        <v>12313</v>
      </c>
      <c r="C365" s="654">
        <v>79.900000000000006</v>
      </c>
      <c r="D365" s="149" t="s">
        <v>12315</v>
      </c>
      <c r="E365" s="654">
        <v>99.9</v>
      </c>
      <c r="F365" s="149" t="s">
        <v>12397</v>
      </c>
      <c r="G365" s="465">
        <f t="shared" ref="G365:G427" si="13">E365-C365</f>
        <v>20</v>
      </c>
    </row>
    <row r="366" spans="1:7">
      <c r="A366" s="149" t="s">
        <v>1169</v>
      </c>
      <c r="B366" s="149" t="s">
        <v>12313</v>
      </c>
      <c r="C366" s="654">
        <v>79.900000000000006</v>
      </c>
      <c r="D366" s="149" t="s">
        <v>12315</v>
      </c>
      <c r="E366" s="654">
        <v>99.9</v>
      </c>
      <c r="F366" s="149" t="s">
        <v>12401</v>
      </c>
      <c r="G366" s="465">
        <f t="shared" si="13"/>
        <v>20</v>
      </c>
    </row>
    <row r="367" spans="1:7">
      <c r="A367" s="149" t="s">
        <v>2181</v>
      </c>
      <c r="B367" s="149" t="s">
        <v>12421</v>
      </c>
      <c r="C367" s="654">
        <v>60</v>
      </c>
      <c r="D367" s="149" t="s">
        <v>12309</v>
      </c>
      <c r="E367" s="654">
        <v>79.900000000000006</v>
      </c>
      <c r="F367" s="149" t="s">
        <v>12422</v>
      </c>
      <c r="G367" s="465">
        <f t="shared" si="13"/>
        <v>19.900000000000006</v>
      </c>
    </row>
    <row r="368" spans="1:7">
      <c r="A368" s="149" t="s">
        <v>5315</v>
      </c>
      <c r="B368" s="149" t="s">
        <v>12313</v>
      </c>
      <c r="C368" s="654">
        <v>79.900000000000006</v>
      </c>
      <c r="D368" s="149" t="s">
        <v>12315</v>
      </c>
      <c r="E368" s="654">
        <v>99.9</v>
      </c>
      <c r="F368" s="149" t="s">
        <v>12408</v>
      </c>
      <c r="G368" s="465">
        <f t="shared" si="13"/>
        <v>20</v>
      </c>
    </row>
    <row r="369" spans="1:8">
      <c r="A369" s="149" t="s">
        <v>5338</v>
      </c>
      <c r="B369" s="149" t="s">
        <v>12313</v>
      </c>
      <c r="C369" s="654">
        <v>79.900000000000006</v>
      </c>
      <c r="D369" s="149" t="s">
        <v>12315</v>
      </c>
      <c r="E369" s="654">
        <v>99.9</v>
      </c>
      <c r="F369" s="149" t="s">
        <v>12397</v>
      </c>
      <c r="G369" s="465">
        <f t="shared" si="13"/>
        <v>20</v>
      </c>
    </row>
    <row r="370" spans="1:8">
      <c r="A370" s="149" t="s">
        <v>3827</v>
      </c>
      <c r="B370" s="149" t="s">
        <v>12313</v>
      </c>
      <c r="C370" s="654">
        <v>79.900000000000006</v>
      </c>
      <c r="D370" s="149" t="s">
        <v>12315</v>
      </c>
      <c r="E370" s="654">
        <v>99.9</v>
      </c>
      <c r="F370" s="149" t="s">
        <v>12401</v>
      </c>
      <c r="G370" s="465">
        <f t="shared" si="13"/>
        <v>20</v>
      </c>
    </row>
    <row r="371" spans="1:8">
      <c r="A371" s="149" t="s">
        <v>5971</v>
      </c>
      <c r="B371" s="149" t="s">
        <v>12313</v>
      </c>
      <c r="C371" s="654">
        <v>79.900000000000006</v>
      </c>
      <c r="D371" s="149" t="s">
        <v>12315</v>
      </c>
      <c r="E371" s="654">
        <v>99.9</v>
      </c>
      <c r="F371" s="149" t="s">
        <v>12401</v>
      </c>
      <c r="G371" s="465">
        <f t="shared" si="13"/>
        <v>20</v>
      </c>
    </row>
    <row r="372" spans="1:8">
      <c r="A372" s="149" t="s">
        <v>2830</v>
      </c>
      <c r="B372" s="149" t="s">
        <v>12313</v>
      </c>
      <c r="C372" s="654">
        <v>79.900000000000006</v>
      </c>
      <c r="D372" s="149" t="s">
        <v>12315</v>
      </c>
      <c r="E372" s="654">
        <v>99.9</v>
      </c>
      <c r="F372" s="149" t="s">
        <v>12423</v>
      </c>
      <c r="G372" s="465">
        <f t="shared" si="13"/>
        <v>20</v>
      </c>
    </row>
    <row r="373" spans="1:8">
      <c r="A373" s="149" t="s">
        <v>6725</v>
      </c>
      <c r="B373" s="149" t="s">
        <v>12315</v>
      </c>
      <c r="C373" s="654">
        <v>99.9</v>
      </c>
      <c r="D373" s="149" t="s">
        <v>12334</v>
      </c>
      <c r="E373" s="654">
        <v>119.9</v>
      </c>
      <c r="F373" s="149" t="s">
        <v>12408</v>
      </c>
      <c r="G373" s="465">
        <f t="shared" si="13"/>
        <v>20</v>
      </c>
    </row>
    <row r="374" spans="1:8">
      <c r="A374" s="149" t="s">
        <v>3572</v>
      </c>
      <c r="B374" s="149" t="s">
        <v>12313</v>
      </c>
      <c r="C374" s="654">
        <v>79.900000000000006</v>
      </c>
      <c r="D374" s="149" t="s">
        <v>12315</v>
      </c>
      <c r="E374" s="654">
        <v>99.9</v>
      </c>
      <c r="F374" s="149" t="s">
        <v>12401</v>
      </c>
      <c r="G374" s="465">
        <f t="shared" si="13"/>
        <v>20</v>
      </c>
    </row>
    <row r="375" spans="1:8">
      <c r="A375" s="149" t="s">
        <v>3867</v>
      </c>
      <c r="B375" s="149" t="s">
        <v>12313</v>
      </c>
      <c r="C375" s="654">
        <v>79.900000000000006</v>
      </c>
      <c r="D375" s="149" t="s">
        <v>12315</v>
      </c>
      <c r="E375" s="654">
        <v>99.9</v>
      </c>
      <c r="F375" s="149" t="s">
        <v>12415</v>
      </c>
      <c r="G375" s="465">
        <f t="shared" si="13"/>
        <v>20</v>
      </c>
    </row>
    <row r="376" spans="1:8">
      <c r="A376" s="816" t="s">
        <v>8910</v>
      </c>
      <c r="B376" s="816"/>
      <c r="C376" s="816"/>
      <c r="D376" s="816"/>
      <c r="E376" s="816"/>
      <c r="F376" s="816"/>
      <c r="G376" s="465">
        <f>SUM(G358:G375)</f>
        <v>369.9</v>
      </c>
      <c r="H376" s="465">
        <f>G376/80</f>
        <v>4.6237499999999994</v>
      </c>
    </row>
    <row r="377" spans="1:8">
      <c r="A377" s="149" t="s">
        <v>5902</v>
      </c>
      <c r="B377" s="149" t="s">
        <v>12313</v>
      </c>
      <c r="C377" s="149">
        <v>79.900000000000006</v>
      </c>
      <c r="D377" s="149" t="s">
        <v>12315</v>
      </c>
      <c r="E377" s="654">
        <v>99.9</v>
      </c>
      <c r="F377" s="149" t="s">
        <v>12415</v>
      </c>
      <c r="G377" s="465">
        <f t="shared" si="13"/>
        <v>20</v>
      </c>
    </row>
    <row r="378" spans="1:8">
      <c r="A378" s="149" t="s">
        <v>10495</v>
      </c>
      <c r="B378" s="149" t="s">
        <v>12313</v>
      </c>
      <c r="C378" s="654">
        <v>79.900000000000006</v>
      </c>
      <c r="D378" s="149" t="s">
        <v>12315</v>
      </c>
      <c r="E378" s="654">
        <v>99.9</v>
      </c>
      <c r="F378" s="149" t="s">
        <v>12415</v>
      </c>
      <c r="G378" s="465">
        <f t="shared" si="13"/>
        <v>20</v>
      </c>
    </row>
    <row r="379" spans="1:8">
      <c r="A379" s="149" t="s">
        <v>5825</v>
      </c>
      <c r="B379" s="149" t="s">
        <v>12315</v>
      </c>
      <c r="C379" s="654">
        <v>99.9</v>
      </c>
      <c r="D379" s="149" t="s">
        <v>12334</v>
      </c>
      <c r="E379" s="654">
        <v>119.9</v>
      </c>
      <c r="F379" s="149" t="s">
        <v>12415</v>
      </c>
      <c r="G379" s="465">
        <f t="shared" si="13"/>
        <v>20</v>
      </c>
    </row>
    <row r="380" spans="1:8">
      <c r="A380" s="149" t="s">
        <v>7076</v>
      </c>
      <c r="B380" s="149" t="s">
        <v>12315</v>
      </c>
      <c r="C380" s="654">
        <v>99.9</v>
      </c>
      <c r="D380" s="149" t="s">
        <v>12315</v>
      </c>
      <c r="E380" s="654">
        <v>119.9</v>
      </c>
      <c r="F380" s="149" t="s">
        <v>12408</v>
      </c>
      <c r="G380" s="465">
        <f t="shared" si="13"/>
        <v>20</v>
      </c>
    </row>
    <row r="381" spans="1:8">
      <c r="A381" s="149" t="s">
        <v>12424</v>
      </c>
      <c r="B381" s="149" t="s">
        <v>12313</v>
      </c>
      <c r="C381" s="654">
        <v>0</v>
      </c>
      <c r="D381" s="149" t="s">
        <v>12315</v>
      </c>
      <c r="E381" s="654">
        <v>20</v>
      </c>
      <c r="F381" s="149" t="s">
        <v>12415</v>
      </c>
      <c r="G381" s="465">
        <f t="shared" si="13"/>
        <v>20</v>
      </c>
    </row>
    <row r="382" spans="1:8">
      <c r="A382" s="149" t="s">
        <v>12425</v>
      </c>
      <c r="B382" s="149" t="s">
        <v>12313</v>
      </c>
      <c r="C382" s="654">
        <v>79.900000000000006</v>
      </c>
      <c r="D382" s="149" t="s">
        <v>12315</v>
      </c>
      <c r="E382" s="654">
        <v>99.9</v>
      </c>
      <c r="F382" s="149" t="s">
        <v>7339</v>
      </c>
      <c r="G382" s="465">
        <f t="shared" si="13"/>
        <v>20</v>
      </c>
    </row>
    <row r="383" spans="1:8">
      <c r="A383" s="149" t="s">
        <v>12426</v>
      </c>
      <c r="B383" s="149" t="s">
        <v>12313</v>
      </c>
      <c r="C383" s="654">
        <v>79.900000000000006</v>
      </c>
      <c r="D383" s="149" t="s">
        <v>12315</v>
      </c>
      <c r="E383" s="654">
        <v>99.9</v>
      </c>
      <c r="F383" s="149" t="s">
        <v>7339</v>
      </c>
      <c r="G383" s="465">
        <f t="shared" si="13"/>
        <v>20</v>
      </c>
    </row>
    <row r="384" spans="1:8">
      <c r="A384" s="149" t="s">
        <v>12427</v>
      </c>
      <c r="B384" s="149" t="s">
        <v>12313</v>
      </c>
      <c r="C384" s="654">
        <v>79.900000000000006</v>
      </c>
      <c r="D384" s="149" t="s">
        <v>12315</v>
      </c>
      <c r="E384" s="654">
        <v>99.9</v>
      </c>
      <c r="F384" s="149" t="s">
        <v>12408</v>
      </c>
      <c r="G384" s="465">
        <f t="shared" si="13"/>
        <v>20</v>
      </c>
    </row>
    <row r="385" spans="1:7">
      <c r="A385" s="149"/>
      <c r="B385" s="149"/>
      <c r="C385" s="654"/>
      <c r="D385" s="149"/>
      <c r="E385" s="654"/>
      <c r="F385" s="149"/>
      <c r="G385" s="465">
        <f t="shared" si="13"/>
        <v>0</v>
      </c>
    </row>
    <row r="386" spans="1:7">
      <c r="A386" s="149"/>
      <c r="B386" s="149"/>
      <c r="C386" s="654"/>
      <c r="D386" s="149"/>
      <c r="E386" s="654"/>
      <c r="F386" s="149"/>
      <c r="G386" s="465">
        <f t="shared" si="13"/>
        <v>0</v>
      </c>
    </row>
    <row r="387" spans="1:7">
      <c r="A387" s="149"/>
      <c r="B387" s="149"/>
      <c r="C387" s="654"/>
      <c r="D387" s="149"/>
      <c r="E387" s="149"/>
      <c r="F387" s="149"/>
      <c r="G387" s="465">
        <f t="shared" si="13"/>
        <v>0</v>
      </c>
    </row>
    <row r="388" spans="1:7">
      <c r="A388" s="149"/>
      <c r="B388" s="149"/>
      <c r="C388" s="654"/>
      <c r="D388" s="149"/>
      <c r="E388" s="149"/>
      <c r="F388" s="149"/>
      <c r="G388" s="465">
        <f t="shared" si="13"/>
        <v>0</v>
      </c>
    </row>
    <row r="389" spans="1:7">
      <c r="A389" s="149"/>
      <c r="B389" s="149"/>
      <c r="C389" s="654"/>
      <c r="D389" s="149"/>
      <c r="E389" s="149"/>
      <c r="F389" s="149"/>
      <c r="G389" s="465">
        <f t="shared" si="13"/>
        <v>0</v>
      </c>
    </row>
    <row r="390" spans="1:7">
      <c r="A390" s="149"/>
      <c r="B390" s="149"/>
      <c r="C390" s="149"/>
      <c r="D390" s="149"/>
      <c r="E390" s="149"/>
      <c r="F390" s="149"/>
      <c r="G390" s="465">
        <f t="shared" si="13"/>
        <v>0</v>
      </c>
    </row>
    <row r="391" spans="1:7">
      <c r="A391" s="149"/>
      <c r="B391" s="149"/>
      <c r="C391" s="149"/>
      <c r="D391" s="149"/>
      <c r="E391" s="149"/>
      <c r="F391" s="149"/>
      <c r="G391" s="465">
        <f t="shared" si="13"/>
        <v>0</v>
      </c>
    </row>
    <row r="392" spans="1:7">
      <c r="A392" s="149"/>
      <c r="B392" s="149"/>
      <c r="C392" s="654"/>
      <c r="D392" s="149"/>
      <c r="E392" s="654"/>
      <c r="F392" s="149"/>
      <c r="G392" s="465">
        <f t="shared" si="13"/>
        <v>0</v>
      </c>
    </row>
    <row r="393" spans="1:7">
      <c r="A393" s="149"/>
      <c r="B393" s="149"/>
      <c r="C393" s="654"/>
      <c r="D393" s="149"/>
      <c r="E393" s="654"/>
      <c r="F393" s="149"/>
      <c r="G393" s="465">
        <f t="shared" si="13"/>
        <v>0</v>
      </c>
    </row>
    <row r="394" spans="1:7">
      <c r="A394" s="149"/>
      <c r="B394" s="149"/>
      <c r="C394" s="654"/>
      <c r="D394" s="149"/>
      <c r="E394" s="654"/>
      <c r="F394" s="149"/>
      <c r="G394" s="465">
        <f t="shared" si="13"/>
        <v>0</v>
      </c>
    </row>
    <row r="395" spans="1:7">
      <c r="A395" s="149"/>
      <c r="B395" s="149"/>
      <c r="C395" s="654"/>
      <c r="D395" s="149"/>
      <c r="E395" s="654"/>
      <c r="F395" s="149"/>
      <c r="G395" s="465">
        <f t="shared" si="13"/>
        <v>0</v>
      </c>
    </row>
    <row r="396" spans="1:7">
      <c r="A396" s="149"/>
      <c r="B396" s="149"/>
      <c r="C396" s="654"/>
      <c r="D396" s="149"/>
      <c r="E396" s="654"/>
      <c r="F396" s="149"/>
      <c r="G396" s="465">
        <f t="shared" si="13"/>
        <v>0</v>
      </c>
    </row>
    <row r="397" spans="1:7">
      <c r="A397" s="149"/>
      <c r="B397" s="149"/>
      <c r="C397" s="654"/>
      <c r="D397" s="149"/>
      <c r="E397" s="654"/>
      <c r="F397" s="149"/>
      <c r="G397" s="465">
        <f t="shared" si="13"/>
        <v>0</v>
      </c>
    </row>
    <row r="398" spans="1:7">
      <c r="A398" s="149"/>
      <c r="B398" s="149"/>
      <c r="C398" s="654"/>
      <c r="D398" s="149"/>
      <c r="E398" s="654"/>
      <c r="F398" s="149"/>
      <c r="G398" s="465">
        <f t="shared" si="13"/>
        <v>0</v>
      </c>
    </row>
    <row r="399" spans="1:7">
      <c r="A399" s="149"/>
      <c r="B399" s="149"/>
      <c r="C399" s="654"/>
      <c r="D399" s="149"/>
      <c r="E399" s="654"/>
      <c r="F399" s="149"/>
      <c r="G399" s="465">
        <f t="shared" si="13"/>
        <v>0</v>
      </c>
    </row>
    <row r="400" spans="1:7">
      <c r="A400" s="149"/>
      <c r="B400" s="149"/>
      <c r="C400" s="654"/>
      <c r="D400" s="149"/>
      <c r="E400" s="654"/>
      <c r="F400" s="149"/>
      <c r="G400" s="465">
        <f t="shared" si="13"/>
        <v>0</v>
      </c>
    </row>
    <row r="401" spans="1:7">
      <c r="A401" s="149"/>
      <c r="B401" s="149"/>
      <c r="C401" s="654"/>
      <c r="D401" s="149"/>
      <c r="E401" s="149"/>
      <c r="F401" s="149"/>
      <c r="G401" s="465">
        <f t="shared" si="13"/>
        <v>0</v>
      </c>
    </row>
    <row r="402" spans="1:7">
      <c r="A402" s="149"/>
      <c r="B402" s="149"/>
      <c r="C402" s="654"/>
      <c r="D402" s="149"/>
      <c r="E402" s="149"/>
      <c r="F402" s="149"/>
      <c r="G402" s="465">
        <f t="shared" si="13"/>
        <v>0</v>
      </c>
    </row>
    <row r="403" spans="1:7">
      <c r="A403" s="149"/>
      <c r="B403" s="149"/>
      <c r="C403" s="654"/>
      <c r="D403" s="149"/>
      <c r="E403" s="149"/>
      <c r="F403" s="149"/>
      <c r="G403" s="465">
        <f t="shared" si="13"/>
        <v>0</v>
      </c>
    </row>
    <row r="404" spans="1:7">
      <c r="A404" s="149"/>
      <c r="B404" s="149"/>
      <c r="C404" s="149"/>
      <c r="D404" s="149"/>
      <c r="E404" s="149"/>
      <c r="F404" s="149"/>
      <c r="G404" s="465">
        <f t="shared" si="13"/>
        <v>0</v>
      </c>
    </row>
    <row r="405" spans="1:7" ht="13.5" customHeight="1">
      <c r="A405" s="149"/>
      <c r="B405" s="149"/>
      <c r="C405" s="149"/>
      <c r="D405" s="149"/>
      <c r="E405" s="149"/>
      <c r="F405" s="149"/>
      <c r="G405" s="465">
        <f t="shared" si="13"/>
        <v>0</v>
      </c>
    </row>
    <row r="406" spans="1:7">
      <c r="A406" s="149"/>
      <c r="B406" s="149"/>
      <c r="C406" s="654"/>
      <c r="D406" s="149"/>
      <c r="E406" s="654"/>
      <c r="F406" s="149"/>
      <c r="G406" s="465">
        <f t="shared" si="13"/>
        <v>0</v>
      </c>
    </row>
    <row r="407" spans="1:7">
      <c r="A407" s="149"/>
      <c r="B407" s="149"/>
      <c r="C407" s="654"/>
      <c r="D407" s="149"/>
      <c r="E407" s="654"/>
      <c r="F407" s="149"/>
      <c r="G407" s="465">
        <f t="shared" si="13"/>
        <v>0</v>
      </c>
    </row>
    <row r="408" spans="1:7">
      <c r="A408" s="149"/>
      <c r="B408" s="149"/>
      <c r="C408" s="654"/>
      <c r="D408" s="149"/>
      <c r="E408" s="654"/>
      <c r="F408" s="149"/>
      <c r="G408" s="465">
        <f t="shared" si="13"/>
        <v>0</v>
      </c>
    </row>
    <row r="409" spans="1:7">
      <c r="A409" s="149"/>
      <c r="B409" s="149"/>
      <c r="C409" s="654"/>
      <c r="D409" s="149"/>
      <c r="E409" s="654"/>
      <c r="F409" s="149"/>
      <c r="G409" s="465">
        <f t="shared" si="13"/>
        <v>0</v>
      </c>
    </row>
    <row r="410" spans="1:7">
      <c r="A410" s="149"/>
      <c r="B410" s="149"/>
      <c r="C410" s="654"/>
      <c r="D410" s="149"/>
      <c r="E410" s="654"/>
      <c r="F410" s="149"/>
      <c r="G410" s="465">
        <f t="shared" si="13"/>
        <v>0</v>
      </c>
    </row>
    <row r="411" spans="1:7">
      <c r="A411" s="149"/>
      <c r="B411" s="149"/>
      <c r="C411" s="654"/>
      <c r="D411" s="149"/>
      <c r="E411" s="654"/>
      <c r="F411" s="149"/>
      <c r="G411" s="465">
        <f t="shared" si="13"/>
        <v>0</v>
      </c>
    </row>
    <row r="412" spans="1:7">
      <c r="A412" s="149"/>
      <c r="B412" s="149"/>
      <c r="C412" s="654"/>
      <c r="D412" s="149"/>
      <c r="E412" s="654"/>
      <c r="F412" s="149"/>
      <c r="G412" s="465">
        <f t="shared" si="13"/>
        <v>0</v>
      </c>
    </row>
    <row r="413" spans="1:7">
      <c r="A413" s="149"/>
      <c r="B413" s="149"/>
      <c r="C413" s="654"/>
      <c r="D413" s="149"/>
      <c r="E413" s="654"/>
      <c r="F413" s="149"/>
      <c r="G413" s="465">
        <f t="shared" si="13"/>
        <v>0</v>
      </c>
    </row>
    <row r="414" spans="1:7">
      <c r="A414" s="149"/>
      <c r="B414" s="149"/>
      <c r="C414" s="654"/>
      <c r="D414" s="149"/>
      <c r="E414" s="654"/>
      <c r="F414" s="149"/>
      <c r="G414" s="465">
        <f t="shared" si="13"/>
        <v>0</v>
      </c>
    </row>
    <row r="415" spans="1:7">
      <c r="A415" s="149"/>
      <c r="B415" s="149"/>
      <c r="C415" s="654"/>
      <c r="D415" s="149"/>
      <c r="E415" s="149"/>
      <c r="F415" s="149"/>
      <c r="G415" s="465">
        <f t="shared" si="13"/>
        <v>0</v>
      </c>
    </row>
    <row r="416" spans="1:7">
      <c r="A416" s="149"/>
      <c r="B416" s="149"/>
      <c r="C416" s="654"/>
      <c r="D416" s="149"/>
      <c r="E416" s="149"/>
      <c r="F416" s="149"/>
      <c r="G416" s="465">
        <f t="shared" si="13"/>
        <v>0</v>
      </c>
    </row>
    <row r="417" spans="1:7">
      <c r="A417" s="149"/>
      <c r="B417" s="149"/>
      <c r="C417" s="654"/>
      <c r="D417" s="149"/>
      <c r="E417" s="149"/>
      <c r="F417" s="149"/>
      <c r="G417" s="465">
        <f t="shared" si="13"/>
        <v>0</v>
      </c>
    </row>
    <row r="418" spans="1:7">
      <c r="A418" s="149"/>
      <c r="B418" s="149"/>
      <c r="C418" s="149"/>
      <c r="D418" s="149"/>
      <c r="E418" s="149"/>
      <c r="F418" s="149"/>
      <c r="G418" s="465">
        <f t="shared" si="13"/>
        <v>0</v>
      </c>
    </row>
    <row r="419" spans="1:7">
      <c r="A419" s="149"/>
      <c r="B419" s="149"/>
      <c r="C419" s="149"/>
      <c r="D419" s="149"/>
      <c r="E419" s="149"/>
      <c r="F419" s="149"/>
      <c r="G419" s="465">
        <f t="shared" si="13"/>
        <v>0</v>
      </c>
    </row>
    <row r="420" spans="1:7">
      <c r="A420" s="149"/>
      <c r="B420" s="149"/>
      <c r="C420" s="654"/>
      <c r="D420" s="149"/>
      <c r="E420" s="654"/>
      <c r="F420" s="149"/>
      <c r="G420" s="465">
        <f t="shared" si="13"/>
        <v>0</v>
      </c>
    </row>
    <row r="421" spans="1:7">
      <c r="A421" s="149"/>
      <c r="B421" s="149"/>
      <c r="C421" s="654"/>
      <c r="D421" s="149"/>
      <c r="E421" s="654"/>
      <c r="F421" s="149"/>
      <c r="G421" s="465">
        <f t="shared" si="13"/>
        <v>0</v>
      </c>
    </row>
    <row r="422" spans="1:7">
      <c r="A422" s="149"/>
      <c r="B422" s="149"/>
      <c r="C422" s="654"/>
      <c r="D422" s="149"/>
      <c r="E422" s="654"/>
      <c r="F422" s="149"/>
      <c r="G422" s="465">
        <f t="shared" si="13"/>
        <v>0</v>
      </c>
    </row>
    <row r="423" spans="1:7">
      <c r="A423" s="149"/>
      <c r="B423" s="149"/>
      <c r="C423" s="654"/>
      <c r="D423" s="149"/>
      <c r="E423" s="654"/>
      <c r="F423" s="149"/>
      <c r="G423" s="465">
        <f t="shared" si="13"/>
        <v>0</v>
      </c>
    </row>
    <row r="424" spans="1:7">
      <c r="A424" s="149"/>
      <c r="B424" s="149"/>
      <c r="C424" s="654"/>
      <c r="D424" s="149"/>
      <c r="E424" s="654"/>
      <c r="F424" s="149"/>
      <c r="G424" s="465">
        <f t="shared" si="13"/>
        <v>0</v>
      </c>
    </row>
    <row r="425" spans="1:7">
      <c r="A425" s="149"/>
      <c r="B425" s="149"/>
      <c r="C425" s="654"/>
      <c r="D425" s="149"/>
      <c r="E425" s="654"/>
      <c r="F425" s="149"/>
      <c r="G425" s="465">
        <f t="shared" si="13"/>
        <v>0</v>
      </c>
    </row>
    <row r="426" spans="1:7">
      <c r="A426" s="149"/>
      <c r="B426" s="149"/>
      <c r="C426" s="654"/>
      <c r="D426" s="149"/>
      <c r="E426" s="654"/>
      <c r="F426" s="149"/>
      <c r="G426" s="465">
        <f t="shared" si="13"/>
        <v>0</v>
      </c>
    </row>
    <row r="427" spans="1:7">
      <c r="A427" s="149"/>
      <c r="B427" s="149"/>
      <c r="C427" s="654"/>
      <c r="D427" s="149"/>
      <c r="E427" s="654"/>
      <c r="F427" s="149"/>
      <c r="G427" s="465">
        <f t="shared" si="13"/>
        <v>0</v>
      </c>
    </row>
    <row r="428" spans="1:7">
      <c r="A428" s="149"/>
      <c r="B428" s="149"/>
      <c r="C428" s="654"/>
      <c r="D428" s="149"/>
      <c r="E428" s="654"/>
      <c r="F428" s="149"/>
      <c r="G428" s="465">
        <f t="shared" ref="G428:G433" si="14">E428-C428</f>
        <v>0</v>
      </c>
    </row>
    <row r="429" spans="1:7">
      <c r="A429" s="149"/>
      <c r="B429" s="149"/>
      <c r="C429" s="654"/>
      <c r="D429" s="149"/>
      <c r="E429" s="149"/>
      <c r="F429" s="149"/>
      <c r="G429" s="465">
        <f t="shared" si="14"/>
        <v>0</v>
      </c>
    </row>
    <row r="430" spans="1:7">
      <c r="A430" s="149"/>
      <c r="B430" s="149"/>
      <c r="C430" s="654"/>
      <c r="D430" s="149"/>
      <c r="E430" s="149"/>
      <c r="F430" s="149"/>
      <c r="G430" s="465">
        <f t="shared" si="14"/>
        <v>0</v>
      </c>
    </row>
    <row r="431" spans="1:7">
      <c r="A431" s="149"/>
      <c r="B431" s="149"/>
      <c r="C431" s="654"/>
      <c r="D431" s="149"/>
      <c r="E431" s="149"/>
      <c r="F431" s="149"/>
      <c r="G431" s="465">
        <f t="shared" si="14"/>
        <v>0</v>
      </c>
    </row>
    <row r="432" spans="1:7">
      <c r="A432" s="149"/>
      <c r="B432" s="149"/>
      <c r="C432" s="149"/>
      <c r="D432" s="149"/>
      <c r="E432" s="149"/>
      <c r="F432" s="149"/>
      <c r="G432" s="465">
        <f t="shared" si="14"/>
        <v>0</v>
      </c>
    </row>
    <row r="433" spans="1:7">
      <c r="A433" s="149"/>
      <c r="B433" s="149"/>
      <c r="C433" s="149"/>
      <c r="D433" s="149"/>
      <c r="E433" s="149"/>
      <c r="F433" s="149"/>
      <c r="G433" s="465">
        <f t="shared" si="14"/>
        <v>0</v>
      </c>
    </row>
  </sheetData>
  <mergeCells count="25">
    <mergeCell ref="A376:F376"/>
    <mergeCell ref="A357:F357"/>
    <mergeCell ref="A346:F346"/>
    <mergeCell ref="A325:F325"/>
    <mergeCell ref="A312:F312"/>
    <mergeCell ref="A245:F245"/>
    <mergeCell ref="A221:F221"/>
    <mergeCell ref="A206:F206"/>
    <mergeCell ref="A304:F304"/>
    <mergeCell ref="A290:F290"/>
    <mergeCell ref="A279:F279"/>
    <mergeCell ref="A260:F260"/>
    <mergeCell ref="A1:F1"/>
    <mergeCell ref="A36:F36"/>
    <mergeCell ref="A51:F51"/>
    <mergeCell ref="A68:F68"/>
    <mergeCell ref="A75:F75"/>
    <mergeCell ref="A193:F193"/>
    <mergeCell ref="A96:F96"/>
    <mergeCell ref="A88:F88"/>
    <mergeCell ref="A174:F174"/>
    <mergeCell ref="A159:F159"/>
    <mergeCell ref="A143:F143"/>
    <mergeCell ref="A125:F125"/>
    <mergeCell ref="A112:F112"/>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7C70F-DA2E-4E01-BF3E-5D6425F764ED}">
  <sheetPr codeName="Planilha8"/>
  <dimension ref="A1:Y1851"/>
  <sheetViews>
    <sheetView topLeftCell="E6" zoomScaleNormal="100" workbookViewId="0">
      <selection activeCell="D389" sqref="D389"/>
    </sheetView>
  </sheetViews>
  <sheetFormatPr defaultRowHeight="15"/>
  <cols>
    <col min="1" max="1" width="11" bestFit="1" customWidth="1"/>
    <col min="2" max="2" width="22" bestFit="1" customWidth="1"/>
    <col min="3" max="3" width="11.85546875" style="460" customWidth="1"/>
    <col min="4" max="4" width="61.42578125" customWidth="1"/>
    <col min="5" max="6" width="15.5703125" customWidth="1"/>
    <col min="7" max="7" width="22.85546875" customWidth="1"/>
    <col min="8" max="8" width="29" customWidth="1"/>
    <col min="11" max="11" width="11.85546875" customWidth="1"/>
    <col min="13" max="13" width="11.28515625" customWidth="1"/>
    <col min="14" max="14" width="11.140625" customWidth="1"/>
    <col min="16" max="16" width="9.5703125" customWidth="1"/>
    <col min="23" max="23" width="9.85546875" customWidth="1"/>
    <col min="25" max="25" width="10.5703125" customWidth="1"/>
  </cols>
  <sheetData>
    <row r="1" spans="1:25" ht="15.75">
      <c r="C1" s="521"/>
      <c r="D1" s="178" t="s">
        <v>10040</v>
      </c>
      <c r="E1" s="177" t="s">
        <v>8923</v>
      </c>
      <c r="F1" s="179" t="s">
        <v>12428</v>
      </c>
      <c r="G1" s="180" t="s">
        <v>12429</v>
      </c>
      <c r="H1" s="180" t="s">
        <v>12430</v>
      </c>
    </row>
    <row r="2" spans="1:25">
      <c r="C2" s="478"/>
      <c r="D2" s="421"/>
      <c r="E2" s="199"/>
      <c r="F2" s="149"/>
      <c r="G2" s="149"/>
      <c r="H2" s="149"/>
    </row>
    <row r="3" spans="1:25">
      <c r="A3" t="s">
        <v>12431</v>
      </c>
      <c r="B3" t="s">
        <v>12432</v>
      </c>
      <c r="C3" s="503" t="s">
        <v>7517</v>
      </c>
      <c r="D3" s="149" t="s">
        <v>12433</v>
      </c>
      <c r="E3" s="149" t="s">
        <v>12434</v>
      </c>
      <c r="F3" s="149" t="s">
        <v>7720</v>
      </c>
      <c r="G3" s="185" t="s">
        <v>12435</v>
      </c>
      <c r="H3" s="149" t="s">
        <v>10825</v>
      </c>
      <c r="J3" t="s">
        <v>7720</v>
      </c>
      <c r="K3" t="s">
        <v>7543</v>
      </c>
      <c r="L3" t="s">
        <v>4357</v>
      </c>
      <c r="M3" t="s">
        <v>8910</v>
      </c>
      <c r="N3" t="s">
        <v>7628</v>
      </c>
      <c r="O3" t="s">
        <v>12436</v>
      </c>
      <c r="P3" t="s">
        <v>12437</v>
      </c>
      <c r="Q3" t="s">
        <v>7672</v>
      </c>
      <c r="R3" t="s">
        <v>11012</v>
      </c>
      <c r="S3" t="s">
        <v>12438</v>
      </c>
      <c r="T3" t="s">
        <v>12439</v>
      </c>
      <c r="U3" t="s">
        <v>12440</v>
      </c>
      <c r="V3" t="s">
        <v>10040</v>
      </c>
      <c r="W3" t="s">
        <v>7543</v>
      </c>
      <c r="X3" t="s">
        <v>4357</v>
      </c>
      <c r="Y3" t="s">
        <v>10871</v>
      </c>
    </row>
    <row r="4" spans="1:25">
      <c r="A4" t="s">
        <v>12431</v>
      </c>
      <c r="B4" t="s">
        <v>12432</v>
      </c>
      <c r="C4" s="503" t="s">
        <v>7517</v>
      </c>
      <c r="D4" s="149" t="s">
        <v>6294</v>
      </c>
      <c r="E4" s="149" t="s">
        <v>12434</v>
      </c>
      <c r="F4" s="149" t="s">
        <v>7720</v>
      </c>
      <c r="G4" s="185" t="s">
        <v>12441</v>
      </c>
      <c r="H4" s="149" t="s">
        <v>12442</v>
      </c>
      <c r="J4">
        <v>11</v>
      </c>
      <c r="K4">
        <v>24</v>
      </c>
      <c r="L4">
        <v>30</v>
      </c>
      <c r="M4">
        <v>24</v>
      </c>
      <c r="N4">
        <v>35</v>
      </c>
      <c r="O4">
        <v>18</v>
      </c>
      <c r="P4">
        <v>21</v>
      </c>
      <c r="Q4">
        <v>25</v>
      </c>
      <c r="R4">
        <v>13</v>
      </c>
      <c r="S4">
        <v>13</v>
      </c>
      <c r="T4">
        <v>14</v>
      </c>
      <c r="U4">
        <v>20</v>
      </c>
      <c r="V4">
        <v>10</v>
      </c>
      <c r="W4">
        <v>14</v>
      </c>
      <c r="X4">
        <v>11</v>
      </c>
      <c r="Y4">
        <v>14</v>
      </c>
    </row>
    <row r="5" spans="1:25">
      <c r="A5" t="s">
        <v>12431</v>
      </c>
      <c r="B5" t="s">
        <v>12443</v>
      </c>
      <c r="C5" s="503" t="s">
        <v>7519</v>
      </c>
      <c r="D5" s="149" t="s">
        <v>6300</v>
      </c>
      <c r="E5" s="149" t="s">
        <v>12434</v>
      </c>
      <c r="F5" s="149" t="s">
        <v>7720</v>
      </c>
      <c r="G5" s="185" t="s">
        <v>12444</v>
      </c>
      <c r="H5" s="149" t="s">
        <v>10825</v>
      </c>
    </row>
    <row r="6" spans="1:25">
      <c r="C6" s="503" t="s">
        <v>7519</v>
      </c>
      <c r="D6" s="149" t="s">
        <v>12445</v>
      </c>
      <c r="E6" s="149" t="s">
        <v>12434</v>
      </c>
      <c r="F6" s="149" t="s">
        <v>7720</v>
      </c>
      <c r="G6" s="185" t="s">
        <v>12446</v>
      </c>
      <c r="H6" s="149" t="s">
        <v>12442</v>
      </c>
    </row>
    <row r="7" spans="1:25">
      <c r="A7" t="s">
        <v>12431</v>
      </c>
      <c r="B7" t="s">
        <v>12432</v>
      </c>
      <c r="C7" s="567" t="s">
        <v>7504</v>
      </c>
      <c r="D7" s="187" t="s">
        <v>12447</v>
      </c>
      <c r="E7" s="187" t="s">
        <v>12434</v>
      </c>
      <c r="F7" s="187" t="s">
        <v>7720</v>
      </c>
      <c r="G7" s="149" t="s">
        <v>12448</v>
      </c>
      <c r="H7" s="149" t="s">
        <v>7691</v>
      </c>
    </row>
    <row r="8" spans="1:25">
      <c r="A8" t="s">
        <v>12431</v>
      </c>
      <c r="B8" t="s">
        <v>12432</v>
      </c>
      <c r="C8" s="567" t="s">
        <v>7504</v>
      </c>
      <c r="D8" s="187" t="s">
        <v>12449</v>
      </c>
      <c r="E8" s="187" t="s">
        <v>12434</v>
      </c>
      <c r="F8" s="187" t="s">
        <v>7720</v>
      </c>
      <c r="G8" s="149" t="s">
        <v>12450</v>
      </c>
      <c r="H8" s="149" t="s">
        <v>12442</v>
      </c>
    </row>
    <row r="9" spans="1:25">
      <c r="A9" t="s">
        <v>12451</v>
      </c>
      <c r="C9" s="567" t="s">
        <v>12137</v>
      </c>
      <c r="D9" s="187" t="s">
        <v>12452</v>
      </c>
      <c r="E9" s="187" t="s">
        <v>12434</v>
      </c>
      <c r="F9" s="187" t="s">
        <v>7720</v>
      </c>
      <c r="G9" s="149" t="s">
        <v>12453</v>
      </c>
      <c r="H9" s="149" t="s">
        <v>12454</v>
      </c>
      <c r="J9" t="s">
        <v>12455</v>
      </c>
      <c r="K9">
        <f>SUM(J4:AA4)</f>
        <v>297</v>
      </c>
      <c r="M9">
        <f>400-K9</f>
        <v>103</v>
      </c>
    </row>
    <row r="10" spans="1:25">
      <c r="C10" s="503" t="s">
        <v>12137</v>
      </c>
      <c r="D10" s="149" t="s">
        <v>12456</v>
      </c>
      <c r="E10" s="149" t="s">
        <v>12434</v>
      </c>
      <c r="F10" s="149" t="s">
        <v>7720</v>
      </c>
      <c r="G10" s="149" t="s">
        <v>12457</v>
      </c>
      <c r="H10" s="149" t="s">
        <v>7691</v>
      </c>
      <c r="O10" t="s">
        <v>1643</v>
      </c>
      <c r="P10" t="s">
        <v>1643</v>
      </c>
    </row>
    <row r="11" spans="1:25">
      <c r="A11" t="s">
        <v>12431</v>
      </c>
      <c r="B11" t="s">
        <v>12432</v>
      </c>
      <c r="C11" s="503" t="s">
        <v>12137</v>
      </c>
      <c r="D11" s="149" t="s">
        <v>12458</v>
      </c>
      <c r="E11" s="149" t="s">
        <v>12434</v>
      </c>
      <c r="F11" s="149" t="s">
        <v>7720</v>
      </c>
      <c r="G11" s="149" t="s">
        <v>12459</v>
      </c>
      <c r="H11" s="149" t="s">
        <v>7691</v>
      </c>
      <c r="J11" t="s">
        <v>12438</v>
      </c>
      <c r="K11">
        <f>M9/5</f>
        <v>20.6</v>
      </c>
    </row>
    <row r="12" spans="1:25">
      <c r="C12" s="503" t="s">
        <v>12460</v>
      </c>
      <c r="D12" s="149" t="s">
        <v>12461</v>
      </c>
      <c r="E12" s="149" t="s">
        <v>12434</v>
      </c>
      <c r="F12" s="149" t="s">
        <v>7720</v>
      </c>
      <c r="G12" s="149" t="s">
        <v>12462</v>
      </c>
      <c r="H12" s="149" t="s">
        <v>12463</v>
      </c>
      <c r="J12" t="s">
        <v>2738</v>
      </c>
      <c r="K12">
        <f t="shared" ref="K12:K15" si="0">M10/5</f>
        <v>0</v>
      </c>
      <c r="S12" t="s">
        <v>1643</v>
      </c>
    </row>
    <row r="13" spans="1:25">
      <c r="C13" s="503" t="s">
        <v>12460</v>
      </c>
      <c r="D13" s="149" t="s">
        <v>12464</v>
      </c>
      <c r="E13" s="149" t="s">
        <v>12434</v>
      </c>
      <c r="F13" s="149" t="s">
        <v>7720</v>
      </c>
      <c r="G13" s="149" t="s">
        <v>12465</v>
      </c>
      <c r="H13" s="149" t="s">
        <v>12442</v>
      </c>
      <c r="J13" t="s">
        <v>2755</v>
      </c>
      <c r="K13">
        <f t="shared" si="0"/>
        <v>0</v>
      </c>
    </row>
    <row r="14" spans="1:25">
      <c r="A14" t="s">
        <v>12431</v>
      </c>
      <c r="B14" t="s">
        <v>12432</v>
      </c>
      <c r="C14" s="503" t="s">
        <v>12466</v>
      </c>
      <c r="D14" s="149" t="s">
        <v>6320</v>
      </c>
      <c r="E14" s="149" t="s">
        <v>12434</v>
      </c>
      <c r="F14" s="149" t="s">
        <v>7720</v>
      </c>
      <c r="G14" s="149" t="s">
        <v>12467</v>
      </c>
      <c r="H14" s="149" t="s">
        <v>12442</v>
      </c>
      <c r="J14" t="s">
        <v>7720</v>
      </c>
      <c r="K14">
        <f t="shared" si="0"/>
        <v>0</v>
      </c>
    </row>
    <row r="15" spans="1:25">
      <c r="A15" t="s">
        <v>12451</v>
      </c>
      <c r="C15" s="503" t="s">
        <v>12466</v>
      </c>
      <c r="D15" s="149" t="s">
        <v>12468</v>
      </c>
      <c r="E15" s="149" t="s">
        <v>12434</v>
      </c>
      <c r="F15" s="149" t="s">
        <v>7720</v>
      </c>
      <c r="G15" s="149" t="s">
        <v>12467</v>
      </c>
      <c r="H15" s="149" t="s">
        <v>12442</v>
      </c>
      <c r="J15" t="s">
        <v>7543</v>
      </c>
      <c r="K15">
        <f t="shared" si="0"/>
        <v>0</v>
      </c>
    </row>
    <row r="16" spans="1:25">
      <c r="A16" t="s">
        <v>3460</v>
      </c>
      <c r="B16" t="s">
        <v>12469</v>
      </c>
      <c r="C16" s="503" t="s">
        <v>12466</v>
      </c>
      <c r="D16" s="149" t="s">
        <v>6322</v>
      </c>
      <c r="E16" s="149" t="s">
        <v>12434</v>
      </c>
      <c r="F16" s="149" t="s">
        <v>7720</v>
      </c>
      <c r="G16" s="149" t="s">
        <v>12470</v>
      </c>
      <c r="H16" s="149" t="s">
        <v>12442</v>
      </c>
    </row>
    <row r="17" spans="1:8">
      <c r="A17" t="s">
        <v>3460</v>
      </c>
      <c r="B17" t="s">
        <v>12471</v>
      </c>
      <c r="C17" s="503" t="s">
        <v>12466</v>
      </c>
      <c r="D17" s="149" t="s">
        <v>12472</v>
      </c>
      <c r="E17" s="149" t="s">
        <v>12434</v>
      </c>
      <c r="F17" s="149" t="s">
        <v>7720</v>
      </c>
      <c r="G17" s="149" t="s">
        <v>12473</v>
      </c>
      <c r="H17" s="149" t="s">
        <v>12442</v>
      </c>
    </row>
    <row r="18" spans="1:8">
      <c r="C18" s="503"/>
      <c r="D18" s="149"/>
      <c r="E18" s="149"/>
      <c r="F18" s="149"/>
      <c r="G18" s="149"/>
      <c r="H18" s="149"/>
    </row>
    <row r="19" spans="1:8">
      <c r="C19" s="503"/>
      <c r="D19" s="503" t="s">
        <v>12474</v>
      </c>
      <c r="E19" s="503"/>
      <c r="F19" s="503"/>
      <c r="G19" s="503"/>
      <c r="H19" s="503"/>
    </row>
    <row r="20" spans="1:8">
      <c r="C20" s="478"/>
      <c r="D20" s="149"/>
      <c r="E20" s="199"/>
      <c r="F20" s="149"/>
      <c r="G20" s="149"/>
      <c r="H20" s="149"/>
    </row>
    <row r="21" spans="1:8">
      <c r="A21" t="s">
        <v>3460</v>
      </c>
      <c r="B21" t="s">
        <v>12471</v>
      </c>
      <c r="C21" s="503">
        <v>44935</v>
      </c>
      <c r="D21" s="149" t="s">
        <v>12475</v>
      </c>
      <c r="E21" s="149" t="s">
        <v>12434</v>
      </c>
      <c r="F21" s="149" t="s">
        <v>7543</v>
      </c>
      <c r="G21" s="149" t="s">
        <v>12476</v>
      </c>
      <c r="H21" s="149" t="s">
        <v>10977</v>
      </c>
    </row>
    <row r="22" spans="1:8">
      <c r="A22" t="s">
        <v>3460</v>
      </c>
      <c r="B22" t="s">
        <v>12471</v>
      </c>
      <c r="C22" s="503">
        <v>44935</v>
      </c>
      <c r="D22" s="149" t="s">
        <v>6326</v>
      </c>
      <c r="E22" s="149" t="s">
        <v>12434</v>
      </c>
      <c r="F22" s="149" t="s">
        <v>7543</v>
      </c>
      <c r="G22" s="149" t="s">
        <v>12477</v>
      </c>
      <c r="H22" s="149" t="s">
        <v>12442</v>
      </c>
    </row>
    <row r="23" spans="1:8">
      <c r="A23" t="s">
        <v>12431</v>
      </c>
      <c r="B23" t="s">
        <v>12432</v>
      </c>
      <c r="C23" s="503">
        <v>45025</v>
      </c>
      <c r="D23" s="149" t="s">
        <v>12478</v>
      </c>
      <c r="E23" s="149" t="s">
        <v>12434</v>
      </c>
      <c r="F23" s="149" t="s">
        <v>7543</v>
      </c>
      <c r="G23" s="149" t="s">
        <v>12479</v>
      </c>
      <c r="H23" s="149" t="s">
        <v>12442</v>
      </c>
    </row>
    <row r="24" spans="1:8">
      <c r="A24" t="s">
        <v>12451</v>
      </c>
      <c r="C24" s="503">
        <v>45025</v>
      </c>
      <c r="D24" s="149" t="s">
        <v>12480</v>
      </c>
      <c r="E24" s="149" t="s">
        <v>12434</v>
      </c>
      <c r="F24" s="149" t="s">
        <v>7543</v>
      </c>
      <c r="G24" s="149" t="s">
        <v>12479</v>
      </c>
      <c r="H24" s="149" t="s">
        <v>12442</v>
      </c>
    </row>
    <row r="25" spans="1:8">
      <c r="A25" t="s">
        <v>12451</v>
      </c>
      <c r="C25" s="503">
        <v>45025</v>
      </c>
      <c r="D25" s="149" t="s">
        <v>12481</v>
      </c>
      <c r="E25" s="149" t="s">
        <v>12434</v>
      </c>
      <c r="F25" s="149" t="s">
        <v>7543</v>
      </c>
      <c r="G25" s="149" t="s">
        <v>12482</v>
      </c>
      <c r="H25" s="149" t="s">
        <v>12442</v>
      </c>
    </row>
    <row r="26" spans="1:8">
      <c r="A26" t="s">
        <v>3460</v>
      </c>
      <c r="B26" t="s">
        <v>12471</v>
      </c>
      <c r="C26" s="503">
        <v>45086</v>
      </c>
      <c r="D26" s="149" t="s">
        <v>6348</v>
      </c>
      <c r="E26" s="149" t="s">
        <v>12434</v>
      </c>
      <c r="F26" s="149" t="s">
        <v>7543</v>
      </c>
      <c r="G26" s="149" t="s">
        <v>12483</v>
      </c>
      <c r="H26" s="149" t="s">
        <v>12442</v>
      </c>
    </row>
    <row r="27" spans="1:8">
      <c r="A27" t="s">
        <v>12451</v>
      </c>
      <c r="C27" s="503">
        <v>45086</v>
      </c>
      <c r="D27" s="149" t="s">
        <v>6350</v>
      </c>
      <c r="E27" s="149" t="s">
        <v>12434</v>
      </c>
      <c r="F27" s="149" t="s">
        <v>7543</v>
      </c>
      <c r="G27" s="149" t="s">
        <v>12484</v>
      </c>
      <c r="H27" s="149" t="s">
        <v>12442</v>
      </c>
    </row>
    <row r="28" spans="1:8">
      <c r="A28" t="s">
        <v>12451</v>
      </c>
      <c r="C28" s="503">
        <v>45086</v>
      </c>
      <c r="D28" s="149" t="s">
        <v>12485</v>
      </c>
      <c r="E28" s="149" t="s">
        <v>12434</v>
      </c>
      <c r="F28" s="149" t="s">
        <v>7543</v>
      </c>
      <c r="G28" s="149" t="s">
        <v>12486</v>
      </c>
      <c r="H28" s="149" t="s">
        <v>12442</v>
      </c>
    </row>
    <row r="29" spans="1:8">
      <c r="C29" s="503">
        <v>45086</v>
      </c>
      <c r="D29" s="149" t="s">
        <v>12487</v>
      </c>
      <c r="E29" s="149" t="s">
        <v>12434</v>
      </c>
      <c r="F29" s="149" t="s">
        <v>7543</v>
      </c>
      <c r="G29" s="149" t="s">
        <v>12488</v>
      </c>
      <c r="H29" s="149" t="s">
        <v>12442</v>
      </c>
    </row>
    <row r="30" spans="1:8">
      <c r="A30" t="s">
        <v>3460</v>
      </c>
      <c r="B30" t="s">
        <v>12471</v>
      </c>
      <c r="C30" s="503">
        <v>45269</v>
      </c>
      <c r="D30" s="149" t="s">
        <v>12489</v>
      </c>
      <c r="E30" s="149" t="s">
        <v>12434</v>
      </c>
      <c r="F30" s="149" t="s">
        <v>7543</v>
      </c>
      <c r="G30" s="149" t="s">
        <v>12490</v>
      </c>
      <c r="H30" s="149" t="s">
        <v>12491</v>
      </c>
    </row>
    <row r="31" spans="1:8">
      <c r="A31" t="s">
        <v>12431</v>
      </c>
      <c r="B31" t="s">
        <v>12432</v>
      </c>
      <c r="C31" s="503" t="s">
        <v>12492</v>
      </c>
      <c r="D31" s="149" t="s">
        <v>12493</v>
      </c>
      <c r="E31" s="149" t="s">
        <v>12434</v>
      </c>
      <c r="F31" s="149" t="s">
        <v>7543</v>
      </c>
      <c r="G31" s="149" t="s">
        <v>12494</v>
      </c>
      <c r="H31" s="149" t="s">
        <v>12442</v>
      </c>
    </row>
    <row r="32" spans="1:8">
      <c r="A32" t="s">
        <v>12431</v>
      </c>
      <c r="B32" t="s">
        <v>12432</v>
      </c>
      <c r="C32" s="503" t="s">
        <v>12492</v>
      </c>
      <c r="D32" s="149" t="s">
        <v>6364</v>
      </c>
      <c r="E32" s="149" t="s">
        <v>12434</v>
      </c>
      <c r="F32" s="149" t="s">
        <v>7543</v>
      </c>
      <c r="G32" s="149" t="s">
        <v>12495</v>
      </c>
      <c r="H32" s="149" t="s">
        <v>12496</v>
      </c>
    </row>
    <row r="33" spans="1:8">
      <c r="A33" t="s">
        <v>3460</v>
      </c>
      <c r="B33" t="s">
        <v>12469</v>
      </c>
      <c r="C33" s="503">
        <v>45269</v>
      </c>
      <c r="D33" s="149" t="s">
        <v>12497</v>
      </c>
      <c r="E33" s="149" t="s">
        <v>12434</v>
      </c>
      <c r="F33" s="149" t="s">
        <v>7543</v>
      </c>
      <c r="G33" s="149" t="s">
        <v>12498</v>
      </c>
      <c r="H33" s="149" t="s">
        <v>12496</v>
      </c>
    </row>
    <row r="34" spans="1:8">
      <c r="A34" t="s">
        <v>12499</v>
      </c>
      <c r="B34" t="s">
        <v>12469</v>
      </c>
      <c r="C34" s="503" t="s">
        <v>12000</v>
      </c>
      <c r="D34" s="149" t="s">
        <v>6368</v>
      </c>
      <c r="E34" s="149" t="s">
        <v>12434</v>
      </c>
      <c r="F34" s="149" t="s">
        <v>7543</v>
      </c>
      <c r="G34" s="149" t="s">
        <v>12500</v>
      </c>
      <c r="H34" s="149" t="s">
        <v>12496</v>
      </c>
    </row>
    <row r="35" spans="1:8">
      <c r="A35" t="s">
        <v>12431</v>
      </c>
      <c r="B35" t="s">
        <v>12432</v>
      </c>
      <c r="C35" s="566" t="s">
        <v>12501</v>
      </c>
      <c r="D35" s="186" t="s">
        <v>12502</v>
      </c>
      <c r="E35" s="186" t="s">
        <v>12434</v>
      </c>
      <c r="F35" s="186" t="s">
        <v>7543</v>
      </c>
      <c r="G35" s="186" t="s">
        <v>12503</v>
      </c>
      <c r="H35" s="186" t="s">
        <v>12442</v>
      </c>
    </row>
    <row r="36" spans="1:8">
      <c r="A36" t="s">
        <v>12431</v>
      </c>
      <c r="B36" t="s">
        <v>12432</v>
      </c>
      <c r="C36" s="503" t="s">
        <v>12501</v>
      </c>
      <c r="D36" s="149" t="s">
        <v>12504</v>
      </c>
      <c r="E36" s="149" t="s">
        <v>12434</v>
      </c>
      <c r="F36" s="149" t="s">
        <v>7543</v>
      </c>
      <c r="G36" s="149" t="s">
        <v>12505</v>
      </c>
      <c r="H36" s="149" t="s">
        <v>12442</v>
      </c>
    </row>
    <row r="37" spans="1:8">
      <c r="A37" t="s">
        <v>12431</v>
      </c>
      <c r="B37" t="s">
        <v>12432</v>
      </c>
      <c r="C37" s="503" t="s">
        <v>12506</v>
      </c>
      <c r="D37" s="149" t="s">
        <v>12507</v>
      </c>
      <c r="E37" s="149" t="s">
        <v>12434</v>
      </c>
      <c r="F37" s="149" t="s">
        <v>7543</v>
      </c>
      <c r="G37" s="149" t="s">
        <v>12508</v>
      </c>
      <c r="H37" s="149" t="s">
        <v>12496</v>
      </c>
    </row>
    <row r="38" spans="1:8">
      <c r="A38" t="s">
        <v>12431</v>
      </c>
      <c r="B38" t="s">
        <v>12432</v>
      </c>
      <c r="C38" s="503" t="s">
        <v>12506</v>
      </c>
      <c r="D38" s="149" t="s">
        <v>12509</v>
      </c>
      <c r="E38" s="149" t="s">
        <v>12434</v>
      </c>
      <c r="F38" s="149" t="s">
        <v>7543</v>
      </c>
      <c r="G38" s="149" t="s">
        <v>12510</v>
      </c>
      <c r="H38" s="149" t="s">
        <v>12496</v>
      </c>
    </row>
    <row r="39" spans="1:8">
      <c r="C39" s="503" t="s">
        <v>12506</v>
      </c>
      <c r="D39" s="149" t="s">
        <v>12511</v>
      </c>
      <c r="E39" s="149" t="s">
        <v>12434</v>
      </c>
      <c r="F39" s="149" t="s">
        <v>7543</v>
      </c>
      <c r="G39" s="149" t="s">
        <v>12512</v>
      </c>
      <c r="H39" s="149" t="s">
        <v>12442</v>
      </c>
    </row>
    <row r="40" spans="1:8">
      <c r="C40" s="503" t="s">
        <v>12513</v>
      </c>
      <c r="D40" s="149" t="s">
        <v>12514</v>
      </c>
      <c r="E40" s="149" t="s">
        <v>12434</v>
      </c>
      <c r="F40" s="149" t="s">
        <v>7543</v>
      </c>
      <c r="G40" s="149" t="s">
        <v>12515</v>
      </c>
      <c r="H40" s="149" t="s">
        <v>12496</v>
      </c>
    </row>
    <row r="41" spans="1:8">
      <c r="C41" s="503" t="s">
        <v>12516</v>
      </c>
      <c r="D41" s="149" t="s">
        <v>12517</v>
      </c>
      <c r="E41" s="149" t="s">
        <v>12434</v>
      </c>
      <c r="F41" s="149" t="s">
        <v>7543</v>
      </c>
      <c r="G41" s="149" t="s">
        <v>12518</v>
      </c>
      <c r="H41" s="149" t="s">
        <v>12463</v>
      </c>
    </row>
    <row r="42" spans="1:8">
      <c r="C42" s="503" t="s">
        <v>12139</v>
      </c>
      <c r="D42" s="149" t="s">
        <v>12519</v>
      </c>
      <c r="E42" s="149" t="s">
        <v>12434</v>
      </c>
      <c r="F42" s="149" t="s">
        <v>7543</v>
      </c>
      <c r="G42" s="149" t="s">
        <v>12520</v>
      </c>
      <c r="H42" s="149" t="s">
        <v>12496</v>
      </c>
    </row>
    <row r="43" spans="1:8">
      <c r="A43" t="s">
        <v>3460</v>
      </c>
      <c r="B43" t="s">
        <v>12521</v>
      </c>
      <c r="C43" s="503" t="s">
        <v>12522</v>
      </c>
      <c r="D43" s="149" t="s">
        <v>12523</v>
      </c>
      <c r="E43" s="149" t="s">
        <v>12434</v>
      </c>
      <c r="F43" s="149" t="s">
        <v>7543</v>
      </c>
      <c r="G43" s="149" t="s">
        <v>12524</v>
      </c>
      <c r="H43" s="149" t="s">
        <v>12491</v>
      </c>
    </row>
    <row r="44" spans="1:8">
      <c r="A44" t="s">
        <v>12525</v>
      </c>
      <c r="B44" t="s">
        <v>12526</v>
      </c>
      <c r="C44" s="503" t="s">
        <v>12522</v>
      </c>
      <c r="D44" s="149" t="s">
        <v>6392</v>
      </c>
      <c r="E44" s="149" t="s">
        <v>12434</v>
      </c>
      <c r="F44" s="149" t="s">
        <v>7543</v>
      </c>
      <c r="G44" s="149" t="s">
        <v>12527</v>
      </c>
      <c r="H44" s="149" t="s">
        <v>12491</v>
      </c>
    </row>
    <row r="45" spans="1:8" hidden="1">
      <c r="C45" s="503">
        <v>45196</v>
      </c>
      <c r="D45" s="149" t="s">
        <v>6392</v>
      </c>
      <c r="E45" s="149"/>
      <c r="F45" s="149"/>
      <c r="G45" s="149"/>
      <c r="H45" s="149"/>
    </row>
    <row r="46" spans="1:8">
      <c r="A46" t="s">
        <v>12451</v>
      </c>
      <c r="C46" s="503" t="s">
        <v>12139</v>
      </c>
      <c r="D46" s="149" t="s">
        <v>6386</v>
      </c>
      <c r="E46" s="149" t="s">
        <v>12434</v>
      </c>
      <c r="F46" s="149" t="s">
        <v>7543</v>
      </c>
      <c r="G46" s="149" t="s">
        <v>12528</v>
      </c>
      <c r="H46" s="149" t="s">
        <v>12496</v>
      </c>
    </row>
    <row r="47" spans="1:8">
      <c r="A47" t="s">
        <v>12431</v>
      </c>
      <c r="B47" t="s">
        <v>12529</v>
      </c>
      <c r="C47" s="503" t="s">
        <v>12139</v>
      </c>
      <c r="D47" s="149" t="s">
        <v>12530</v>
      </c>
      <c r="E47" s="149" t="s">
        <v>12434</v>
      </c>
      <c r="F47" s="149" t="s">
        <v>7543</v>
      </c>
      <c r="G47" s="149" t="s">
        <v>12531</v>
      </c>
      <c r="H47" s="149" t="s">
        <v>12496</v>
      </c>
    </row>
    <row r="48" spans="1:8">
      <c r="C48" s="503" t="s">
        <v>12522</v>
      </c>
      <c r="D48" s="149" t="s">
        <v>12532</v>
      </c>
      <c r="E48" s="149" t="s">
        <v>12434</v>
      </c>
      <c r="F48" s="149" t="s">
        <v>7543</v>
      </c>
      <c r="G48" s="149" t="s">
        <v>12531</v>
      </c>
      <c r="H48" s="149" t="s">
        <v>7691</v>
      </c>
    </row>
    <row r="49" spans="1:8">
      <c r="A49" t="s">
        <v>12451</v>
      </c>
      <c r="C49" s="503">
        <v>45025</v>
      </c>
      <c r="D49" s="149" t="s">
        <v>12475</v>
      </c>
      <c r="E49" s="149" t="s">
        <v>12434</v>
      </c>
      <c r="F49" s="149" t="s">
        <v>7543</v>
      </c>
      <c r="G49" s="149" t="s">
        <v>12533</v>
      </c>
      <c r="H49" s="149" t="s">
        <v>10951</v>
      </c>
    </row>
    <row r="50" spans="1:8">
      <c r="C50" s="503"/>
      <c r="D50" s="351"/>
      <c r="E50" s="149"/>
      <c r="F50" s="149"/>
      <c r="G50" s="149"/>
      <c r="H50" s="149"/>
    </row>
    <row r="51" spans="1:8">
      <c r="C51" s="503"/>
      <c r="D51" s="351" t="s">
        <v>12534</v>
      </c>
      <c r="E51" s="149"/>
      <c r="F51" s="149"/>
      <c r="G51" s="149"/>
      <c r="H51" s="149"/>
    </row>
    <row r="52" spans="1:8">
      <c r="C52" s="503"/>
      <c r="D52" s="149"/>
      <c r="E52" s="149"/>
      <c r="F52" s="149"/>
      <c r="G52" s="149"/>
      <c r="H52" s="149"/>
    </row>
    <row r="53" spans="1:8">
      <c r="C53" s="503">
        <v>44966</v>
      </c>
      <c r="D53" s="149" t="s">
        <v>12535</v>
      </c>
      <c r="E53" s="149" t="s">
        <v>12434</v>
      </c>
      <c r="F53" s="149" t="s">
        <v>4357</v>
      </c>
      <c r="G53" s="149" t="s">
        <v>12536</v>
      </c>
      <c r="H53" s="149" t="s">
        <v>12442</v>
      </c>
    </row>
    <row r="54" spans="1:8">
      <c r="A54" t="s">
        <v>12431</v>
      </c>
      <c r="B54" t="s">
        <v>12432</v>
      </c>
      <c r="C54" s="503">
        <v>44967</v>
      </c>
      <c r="D54" s="149" t="s">
        <v>6398</v>
      </c>
      <c r="E54" s="149" t="s">
        <v>12434</v>
      </c>
      <c r="F54" s="149" t="s">
        <v>4357</v>
      </c>
      <c r="G54" s="149" t="s">
        <v>12537</v>
      </c>
      <c r="H54" s="149" t="s">
        <v>12442</v>
      </c>
    </row>
    <row r="55" spans="1:8">
      <c r="C55" s="503">
        <v>44967</v>
      </c>
      <c r="D55" s="149" t="s">
        <v>12538</v>
      </c>
      <c r="E55" s="149" t="s">
        <v>12434</v>
      </c>
      <c r="F55" s="149" t="s">
        <v>4357</v>
      </c>
      <c r="G55" s="149" t="s">
        <v>12539</v>
      </c>
      <c r="H55" s="149" t="s">
        <v>12442</v>
      </c>
    </row>
    <row r="56" spans="1:8">
      <c r="A56" t="s">
        <v>12431</v>
      </c>
      <c r="B56" t="s">
        <v>12432</v>
      </c>
      <c r="C56" s="553">
        <v>44967</v>
      </c>
      <c r="D56" s="108" t="s">
        <v>12540</v>
      </c>
      <c r="E56" s="108" t="s">
        <v>12434</v>
      </c>
      <c r="F56" s="108" t="s">
        <v>4357</v>
      </c>
      <c r="G56" s="108" t="s">
        <v>12541</v>
      </c>
      <c r="H56" s="108" t="s">
        <v>12542</v>
      </c>
    </row>
    <row r="57" spans="1:8">
      <c r="A57" t="s">
        <v>12431</v>
      </c>
      <c r="B57" t="s">
        <v>12432</v>
      </c>
      <c r="C57" s="503">
        <v>44995</v>
      </c>
      <c r="D57" s="149" t="s">
        <v>6406</v>
      </c>
      <c r="E57" s="149" t="s">
        <v>12434</v>
      </c>
      <c r="F57" s="149" t="s">
        <v>4357</v>
      </c>
      <c r="G57" s="149" t="s">
        <v>12543</v>
      </c>
      <c r="H57" s="149" t="s">
        <v>12544</v>
      </c>
    </row>
    <row r="58" spans="1:8">
      <c r="C58" s="503">
        <v>45026</v>
      </c>
      <c r="D58" s="149" t="s">
        <v>12545</v>
      </c>
      <c r="E58" s="149" t="s">
        <v>12434</v>
      </c>
      <c r="F58" s="149" t="s">
        <v>4357</v>
      </c>
      <c r="G58" s="149" t="s">
        <v>12546</v>
      </c>
      <c r="H58" s="149" t="s">
        <v>12442</v>
      </c>
    </row>
    <row r="59" spans="1:8">
      <c r="C59" s="503">
        <v>45026</v>
      </c>
      <c r="D59" s="108" t="s">
        <v>12547</v>
      </c>
      <c r="E59" s="108" t="s">
        <v>12434</v>
      </c>
      <c r="F59" s="108" t="s">
        <v>4357</v>
      </c>
      <c r="G59" s="108" t="s">
        <v>12548</v>
      </c>
      <c r="H59" s="108" t="s">
        <v>12542</v>
      </c>
    </row>
    <row r="60" spans="1:8">
      <c r="A60" t="s">
        <v>12549</v>
      </c>
      <c r="B60" t="s">
        <v>12469</v>
      </c>
      <c r="C60" s="503">
        <v>45026</v>
      </c>
      <c r="D60" s="108" t="s">
        <v>12550</v>
      </c>
      <c r="E60" s="108" t="s">
        <v>12434</v>
      </c>
      <c r="F60" s="108" t="s">
        <v>4357</v>
      </c>
      <c r="G60" s="108" t="s">
        <v>12551</v>
      </c>
      <c r="H60" s="108" t="s">
        <v>12542</v>
      </c>
    </row>
    <row r="61" spans="1:8" hidden="1">
      <c r="C61" s="503">
        <v>45204</v>
      </c>
      <c r="D61" s="149" t="s">
        <v>12552</v>
      </c>
      <c r="E61" s="149"/>
      <c r="F61" s="149"/>
      <c r="G61" s="149"/>
      <c r="H61" s="149"/>
    </row>
    <row r="62" spans="1:8">
      <c r="A62" t="s">
        <v>12499</v>
      </c>
      <c r="B62" t="s">
        <v>12469</v>
      </c>
      <c r="C62" s="503">
        <v>45026</v>
      </c>
      <c r="D62" s="108" t="s">
        <v>12553</v>
      </c>
      <c r="E62" s="108" t="s">
        <v>12434</v>
      </c>
      <c r="F62" s="108" t="s">
        <v>4357</v>
      </c>
      <c r="G62" s="108" t="s">
        <v>12554</v>
      </c>
      <c r="H62" s="108" t="s">
        <v>12542</v>
      </c>
    </row>
    <row r="63" spans="1:8">
      <c r="A63" t="s">
        <v>12549</v>
      </c>
      <c r="B63" t="s">
        <v>12555</v>
      </c>
      <c r="C63" s="503">
        <v>45056</v>
      </c>
      <c r="D63" s="108" t="s">
        <v>6414</v>
      </c>
      <c r="E63" s="108" t="s">
        <v>12434</v>
      </c>
      <c r="F63" s="108" t="s">
        <v>4357</v>
      </c>
      <c r="G63" s="108" t="s">
        <v>12556</v>
      </c>
      <c r="H63" s="108" t="s">
        <v>12542</v>
      </c>
    </row>
    <row r="64" spans="1:8">
      <c r="A64" t="s">
        <v>12431</v>
      </c>
      <c r="B64" t="s">
        <v>12432</v>
      </c>
      <c r="C64" s="503">
        <v>45056</v>
      </c>
      <c r="D64" s="108" t="s">
        <v>6416</v>
      </c>
      <c r="E64" s="108" t="s">
        <v>12434</v>
      </c>
      <c r="F64" s="108" t="s">
        <v>4357</v>
      </c>
      <c r="G64" s="108" t="s">
        <v>12557</v>
      </c>
      <c r="H64" s="108" t="s">
        <v>12558</v>
      </c>
    </row>
    <row r="65" spans="1:8">
      <c r="C65" s="566">
        <v>45087</v>
      </c>
      <c r="D65" s="197" t="s">
        <v>12559</v>
      </c>
      <c r="E65" s="197" t="s">
        <v>12434</v>
      </c>
      <c r="F65" s="197" t="s">
        <v>4357</v>
      </c>
      <c r="G65" s="197" t="s">
        <v>12560</v>
      </c>
      <c r="H65" s="197" t="s">
        <v>12561</v>
      </c>
    </row>
    <row r="66" spans="1:8">
      <c r="A66" t="s">
        <v>12431</v>
      </c>
      <c r="B66" t="s">
        <v>12432</v>
      </c>
      <c r="C66" s="503">
        <v>45117</v>
      </c>
      <c r="D66" s="108" t="s">
        <v>6428</v>
      </c>
      <c r="E66" s="108" t="s">
        <v>12434</v>
      </c>
      <c r="F66" s="108" t="s">
        <v>4357</v>
      </c>
      <c r="G66" s="197" t="s">
        <v>12562</v>
      </c>
      <c r="H66" s="108" t="s">
        <v>12563</v>
      </c>
    </row>
    <row r="67" spans="1:8">
      <c r="A67" t="s">
        <v>12451</v>
      </c>
      <c r="C67" s="503">
        <v>45117</v>
      </c>
      <c r="D67" s="108" t="s">
        <v>12564</v>
      </c>
      <c r="E67" s="108" t="s">
        <v>12434</v>
      </c>
      <c r="F67" s="108" t="s">
        <v>4357</v>
      </c>
      <c r="G67" s="108" t="s">
        <v>12565</v>
      </c>
      <c r="H67" s="108" t="s">
        <v>12542</v>
      </c>
    </row>
    <row r="68" spans="1:8">
      <c r="A68" t="s">
        <v>12431</v>
      </c>
      <c r="B68" t="s">
        <v>12566</v>
      </c>
      <c r="C68" s="503">
        <v>45209</v>
      </c>
      <c r="D68" s="108" t="s">
        <v>12567</v>
      </c>
      <c r="E68" s="108" t="s">
        <v>12434</v>
      </c>
      <c r="F68" s="108" t="s">
        <v>4357</v>
      </c>
      <c r="G68" s="108" t="s">
        <v>12568</v>
      </c>
      <c r="H68" s="108" t="s">
        <v>12563</v>
      </c>
    </row>
    <row r="69" spans="1:8">
      <c r="A69" t="s">
        <v>12451</v>
      </c>
      <c r="C69" s="503">
        <v>45056</v>
      </c>
      <c r="D69" s="149" t="s">
        <v>12569</v>
      </c>
      <c r="E69" s="149" t="s">
        <v>12434</v>
      </c>
      <c r="F69" s="149" t="s">
        <v>4357</v>
      </c>
      <c r="G69" s="149" t="s">
        <v>12570</v>
      </c>
      <c r="H69" s="149" t="s">
        <v>12496</v>
      </c>
    </row>
    <row r="70" spans="1:8">
      <c r="C70" s="503" t="s">
        <v>11949</v>
      </c>
      <c r="D70" s="108" t="s">
        <v>12571</v>
      </c>
      <c r="E70" s="108" t="s">
        <v>12434</v>
      </c>
      <c r="F70" s="108" t="s">
        <v>4357</v>
      </c>
      <c r="G70" s="108" t="s">
        <v>12572</v>
      </c>
      <c r="H70" s="108" t="s">
        <v>12563</v>
      </c>
    </row>
    <row r="71" spans="1:8">
      <c r="C71" s="503" t="s">
        <v>11949</v>
      </c>
      <c r="D71" s="149" t="s">
        <v>12573</v>
      </c>
      <c r="E71" s="149" t="s">
        <v>12434</v>
      </c>
      <c r="F71" s="149" t="s">
        <v>4357</v>
      </c>
      <c r="G71" s="149" t="s">
        <v>12574</v>
      </c>
      <c r="H71" s="149" t="s">
        <v>12442</v>
      </c>
    </row>
    <row r="72" spans="1:8">
      <c r="A72" t="s">
        <v>12575</v>
      </c>
      <c r="B72" t="s">
        <v>12576</v>
      </c>
      <c r="C72" s="503" t="s">
        <v>11856</v>
      </c>
      <c r="D72" s="149" t="s">
        <v>6452</v>
      </c>
      <c r="E72" s="149" t="s">
        <v>12434</v>
      </c>
      <c r="F72" s="149" t="s">
        <v>4357</v>
      </c>
      <c r="G72" s="149" t="s">
        <v>12577</v>
      </c>
      <c r="H72" s="149" t="s">
        <v>12442</v>
      </c>
    </row>
    <row r="73" spans="1:8">
      <c r="C73" s="503" t="s">
        <v>11856</v>
      </c>
      <c r="D73" s="108" t="s">
        <v>12578</v>
      </c>
      <c r="E73" s="108" t="s">
        <v>12434</v>
      </c>
      <c r="F73" s="108" t="s">
        <v>4357</v>
      </c>
      <c r="G73" s="108" t="s">
        <v>12579</v>
      </c>
      <c r="H73" s="108" t="s">
        <v>12542</v>
      </c>
    </row>
    <row r="74" spans="1:8">
      <c r="C74" s="503" t="s">
        <v>11856</v>
      </c>
      <c r="D74" s="108" t="s">
        <v>6454</v>
      </c>
      <c r="E74" s="108" t="s">
        <v>12434</v>
      </c>
      <c r="F74" s="108" t="s">
        <v>4357</v>
      </c>
      <c r="G74" s="108" t="s">
        <v>12580</v>
      </c>
      <c r="H74" s="108" t="s">
        <v>12542</v>
      </c>
    </row>
    <row r="75" spans="1:8">
      <c r="A75" t="s">
        <v>12451</v>
      </c>
      <c r="C75" s="503" t="s">
        <v>11856</v>
      </c>
      <c r="D75" s="108" t="s">
        <v>6456</v>
      </c>
      <c r="E75" s="108" t="s">
        <v>12434</v>
      </c>
      <c r="F75" s="108" t="s">
        <v>4357</v>
      </c>
      <c r="G75" s="108" t="s">
        <v>12581</v>
      </c>
      <c r="H75" s="108" t="s">
        <v>12542</v>
      </c>
    </row>
    <row r="76" spans="1:8">
      <c r="A76" t="s">
        <v>12431</v>
      </c>
      <c r="B76" t="s">
        <v>12432</v>
      </c>
      <c r="C76" s="503" t="s">
        <v>11856</v>
      </c>
      <c r="D76" s="108" t="s">
        <v>12582</v>
      </c>
      <c r="E76" s="108" t="s">
        <v>12434</v>
      </c>
      <c r="F76" s="108" t="s">
        <v>4357</v>
      </c>
      <c r="G76" s="108" t="s">
        <v>12583</v>
      </c>
      <c r="H76" s="108" t="s">
        <v>12542</v>
      </c>
    </row>
    <row r="77" spans="1:8">
      <c r="A77" t="s">
        <v>12431</v>
      </c>
      <c r="B77" t="s">
        <v>12432</v>
      </c>
      <c r="C77" s="503" t="s">
        <v>11856</v>
      </c>
      <c r="D77" s="108" t="s">
        <v>12584</v>
      </c>
      <c r="E77" s="108" t="s">
        <v>12434</v>
      </c>
      <c r="F77" s="108" t="s">
        <v>4357</v>
      </c>
      <c r="G77" s="108" t="s">
        <v>12585</v>
      </c>
      <c r="H77" s="108" t="s">
        <v>12542</v>
      </c>
    </row>
    <row r="78" spans="1:8">
      <c r="A78" t="s">
        <v>12431</v>
      </c>
      <c r="B78" t="s">
        <v>12432</v>
      </c>
      <c r="C78" s="503" t="s">
        <v>7467</v>
      </c>
      <c r="D78" s="108" t="s">
        <v>12586</v>
      </c>
      <c r="E78" s="108" t="s">
        <v>12434</v>
      </c>
      <c r="F78" s="108" t="s">
        <v>4357</v>
      </c>
      <c r="G78" s="108" t="s">
        <v>12587</v>
      </c>
      <c r="H78" s="108" t="s">
        <v>12563</v>
      </c>
    </row>
    <row r="79" spans="1:8">
      <c r="C79" s="503" t="s">
        <v>7467</v>
      </c>
      <c r="D79" s="108" t="s">
        <v>12588</v>
      </c>
      <c r="E79" s="108" t="s">
        <v>12434</v>
      </c>
      <c r="F79" s="108" t="s">
        <v>4357</v>
      </c>
      <c r="G79" s="108" t="s">
        <v>12581</v>
      </c>
      <c r="H79" s="108" t="s">
        <v>12542</v>
      </c>
    </row>
    <row r="80" spans="1:8">
      <c r="A80" t="s">
        <v>12431</v>
      </c>
      <c r="B80" t="s">
        <v>12432</v>
      </c>
      <c r="C80" s="503" t="s">
        <v>12589</v>
      </c>
      <c r="D80" s="108" t="s">
        <v>12590</v>
      </c>
      <c r="E80" s="108" t="s">
        <v>12434</v>
      </c>
      <c r="F80" s="108" t="s">
        <v>4357</v>
      </c>
      <c r="G80" s="108" t="s">
        <v>12591</v>
      </c>
      <c r="H80" s="108" t="s">
        <v>12563</v>
      </c>
    </row>
    <row r="81" spans="1:8">
      <c r="A81" t="s">
        <v>12431</v>
      </c>
      <c r="B81" t="s">
        <v>12432</v>
      </c>
      <c r="C81" s="503" t="s">
        <v>12589</v>
      </c>
      <c r="D81" s="108" t="s">
        <v>12592</v>
      </c>
      <c r="E81" s="108" t="s">
        <v>12434</v>
      </c>
      <c r="F81" s="108" t="s">
        <v>4357</v>
      </c>
      <c r="G81" s="108" t="s">
        <v>12593</v>
      </c>
      <c r="H81" s="108" t="s">
        <v>12563</v>
      </c>
    </row>
    <row r="82" spans="1:8">
      <c r="A82" t="s">
        <v>12431</v>
      </c>
      <c r="B82" t="s">
        <v>12432</v>
      </c>
      <c r="C82" s="503" t="s">
        <v>12589</v>
      </c>
      <c r="D82" s="149" t="s">
        <v>12594</v>
      </c>
      <c r="E82" s="149" t="s">
        <v>12434</v>
      </c>
      <c r="F82" s="149" t="s">
        <v>11114</v>
      </c>
      <c r="G82" s="149" t="s">
        <v>12595</v>
      </c>
      <c r="H82" s="149" t="s">
        <v>12442</v>
      </c>
    </row>
    <row r="83" spans="1:8">
      <c r="A83" t="s">
        <v>12451</v>
      </c>
      <c r="C83" s="503" t="s">
        <v>12120</v>
      </c>
      <c r="D83" s="108" t="s">
        <v>12596</v>
      </c>
      <c r="E83" s="108" t="s">
        <v>12434</v>
      </c>
      <c r="F83" s="108" t="s">
        <v>4357</v>
      </c>
      <c r="G83" s="108" t="s">
        <v>12597</v>
      </c>
      <c r="H83" s="108" t="s">
        <v>12542</v>
      </c>
    </row>
    <row r="84" spans="1:8">
      <c r="A84" t="s">
        <v>12431</v>
      </c>
      <c r="B84" t="s">
        <v>12598</v>
      </c>
      <c r="C84" s="503" t="s">
        <v>11993</v>
      </c>
      <c r="D84" s="108" t="s">
        <v>12599</v>
      </c>
      <c r="E84" s="108" t="s">
        <v>12434</v>
      </c>
      <c r="F84" s="108" t="s">
        <v>4357</v>
      </c>
      <c r="G84" s="108" t="s">
        <v>12600</v>
      </c>
      <c r="H84" s="108" t="s">
        <v>12542</v>
      </c>
    </row>
    <row r="85" spans="1:8">
      <c r="C85" s="503" t="s">
        <v>11993</v>
      </c>
      <c r="D85" s="108" t="s">
        <v>12601</v>
      </c>
      <c r="E85" s="108" t="s">
        <v>12434</v>
      </c>
      <c r="F85" s="108" t="s">
        <v>4357</v>
      </c>
      <c r="G85" s="108" t="s">
        <v>12602</v>
      </c>
      <c r="H85" s="108" t="s">
        <v>12542</v>
      </c>
    </row>
    <row r="86" spans="1:8">
      <c r="C86" s="503" t="s">
        <v>11993</v>
      </c>
      <c r="D86" s="108" t="s">
        <v>12603</v>
      </c>
      <c r="E86" s="108" t="s">
        <v>12434</v>
      </c>
      <c r="F86" s="108" t="s">
        <v>4357</v>
      </c>
      <c r="G86" s="108" t="s">
        <v>12604</v>
      </c>
      <c r="H86" s="108" t="s">
        <v>12563</v>
      </c>
    </row>
    <row r="87" spans="1:8">
      <c r="A87" t="s">
        <v>12525</v>
      </c>
      <c r="B87" t="s">
        <v>12605</v>
      </c>
      <c r="C87" s="503" t="s">
        <v>11993</v>
      </c>
      <c r="D87" s="149" t="s">
        <v>12606</v>
      </c>
      <c r="E87" s="149" t="s">
        <v>12434</v>
      </c>
      <c r="F87" s="149" t="s">
        <v>4357</v>
      </c>
      <c r="G87" s="149" t="s">
        <v>12607</v>
      </c>
      <c r="H87" s="149" t="s">
        <v>12442</v>
      </c>
    </row>
    <row r="88" spans="1:8">
      <c r="A88" t="s">
        <v>12431</v>
      </c>
      <c r="B88" t="s">
        <v>12432</v>
      </c>
      <c r="C88" s="503" t="s">
        <v>12608</v>
      </c>
      <c r="D88" s="108" t="s">
        <v>12609</v>
      </c>
      <c r="E88" s="108" t="s">
        <v>12434</v>
      </c>
      <c r="F88" s="108" t="s">
        <v>11114</v>
      </c>
      <c r="G88" s="108" t="s">
        <v>12610</v>
      </c>
      <c r="H88" s="108" t="s">
        <v>12542</v>
      </c>
    </row>
    <row r="89" spans="1:8">
      <c r="A89" t="s">
        <v>12431</v>
      </c>
      <c r="B89" t="s">
        <v>12432</v>
      </c>
      <c r="C89" s="503" t="s">
        <v>12608</v>
      </c>
      <c r="D89" s="108" t="s">
        <v>12611</v>
      </c>
      <c r="E89" s="108" t="s">
        <v>12434</v>
      </c>
      <c r="F89" s="108" t="s">
        <v>4357</v>
      </c>
      <c r="G89" s="108" t="s">
        <v>12612</v>
      </c>
      <c r="H89" s="108" t="s">
        <v>12563</v>
      </c>
    </row>
    <row r="90" spans="1:8">
      <c r="A90" t="s">
        <v>12431</v>
      </c>
      <c r="B90" t="s">
        <v>12432</v>
      </c>
      <c r="C90" s="683" t="s">
        <v>11952</v>
      </c>
      <c r="D90" s="590" t="s">
        <v>12613</v>
      </c>
      <c r="E90" s="108" t="s">
        <v>12434</v>
      </c>
      <c r="F90" s="108" t="s">
        <v>4357</v>
      </c>
      <c r="G90" s="108" t="s">
        <v>12614</v>
      </c>
      <c r="H90" s="108" t="s">
        <v>12542</v>
      </c>
    </row>
    <row r="91" spans="1:8">
      <c r="A91" t="s">
        <v>12451</v>
      </c>
      <c r="C91" s="503" t="s">
        <v>12615</v>
      </c>
      <c r="D91" s="108" t="s">
        <v>12616</v>
      </c>
      <c r="E91" s="108" t="s">
        <v>12434</v>
      </c>
      <c r="F91" s="108" t="s">
        <v>4357</v>
      </c>
      <c r="G91" s="108" t="s">
        <v>12617</v>
      </c>
      <c r="H91" s="108" t="s">
        <v>12563</v>
      </c>
    </row>
    <row r="92" spans="1:8">
      <c r="A92" t="s">
        <v>12431</v>
      </c>
      <c r="B92" t="s">
        <v>12432</v>
      </c>
      <c r="C92" s="503" t="s">
        <v>12615</v>
      </c>
      <c r="D92" s="108" t="s">
        <v>6503</v>
      </c>
      <c r="E92" s="108" t="s">
        <v>12434</v>
      </c>
      <c r="F92" s="108" t="s">
        <v>4357</v>
      </c>
      <c r="G92" s="108" t="s">
        <v>12618</v>
      </c>
      <c r="H92" s="108" t="s">
        <v>12563</v>
      </c>
    </row>
    <row r="93" spans="1:8">
      <c r="C93" s="503"/>
      <c r="D93" s="341"/>
      <c r="E93" s="149"/>
      <c r="F93" s="149"/>
      <c r="G93" s="149"/>
      <c r="H93" s="149"/>
    </row>
    <row r="94" spans="1:8">
      <c r="C94" s="537"/>
      <c r="D94" s="720" t="s">
        <v>12619</v>
      </c>
      <c r="E94" s="502"/>
      <c r="F94" s="502"/>
      <c r="G94" s="502"/>
      <c r="H94" s="502"/>
    </row>
    <row r="95" spans="1:8">
      <c r="C95" s="503"/>
      <c r="D95" s="149"/>
      <c r="E95" s="149"/>
      <c r="F95" s="149"/>
      <c r="G95" s="149"/>
      <c r="H95" s="149"/>
    </row>
    <row r="96" spans="1:8">
      <c r="A96" t="s">
        <v>12431</v>
      </c>
      <c r="B96" t="s">
        <v>12432</v>
      </c>
      <c r="C96" s="503">
        <v>44937</v>
      </c>
      <c r="D96" s="149" t="s">
        <v>6513</v>
      </c>
      <c r="E96" s="149" t="s">
        <v>12434</v>
      </c>
      <c r="F96" s="149" t="s">
        <v>8910</v>
      </c>
      <c r="G96" s="149" t="s">
        <v>12620</v>
      </c>
      <c r="H96" s="149" t="s">
        <v>7632</v>
      </c>
    </row>
    <row r="97" spans="1:8">
      <c r="C97" s="503">
        <v>44937</v>
      </c>
      <c r="D97" s="108" t="s">
        <v>12621</v>
      </c>
      <c r="E97" s="108" t="s">
        <v>12434</v>
      </c>
      <c r="F97" s="108" t="s">
        <v>8910</v>
      </c>
      <c r="G97" s="108" t="s">
        <v>12622</v>
      </c>
      <c r="H97" s="108" t="s">
        <v>12542</v>
      </c>
    </row>
    <row r="98" spans="1:8">
      <c r="A98" t="s">
        <v>12431</v>
      </c>
      <c r="B98" t="s">
        <v>12432</v>
      </c>
      <c r="C98" s="503">
        <v>44937</v>
      </c>
      <c r="D98" s="108" t="s">
        <v>12623</v>
      </c>
      <c r="E98" s="108" t="s">
        <v>12434</v>
      </c>
      <c r="F98" s="108" t="s">
        <v>8910</v>
      </c>
      <c r="G98" s="108" t="s">
        <v>12624</v>
      </c>
      <c r="H98" s="108" t="s">
        <v>12563</v>
      </c>
    </row>
    <row r="99" spans="1:8">
      <c r="A99" t="s">
        <v>12431</v>
      </c>
      <c r="B99" t="s">
        <v>12432</v>
      </c>
      <c r="C99" s="503">
        <v>45088</v>
      </c>
      <c r="D99" s="108" t="s">
        <v>12625</v>
      </c>
      <c r="E99" s="108" t="s">
        <v>12434</v>
      </c>
      <c r="F99" s="108" t="s">
        <v>8910</v>
      </c>
      <c r="G99" s="108" t="s">
        <v>12626</v>
      </c>
      <c r="H99" s="108" t="s">
        <v>12627</v>
      </c>
    </row>
    <row r="100" spans="1:8">
      <c r="C100" s="503">
        <v>45118</v>
      </c>
      <c r="D100" s="108" t="s">
        <v>12628</v>
      </c>
      <c r="E100" s="108" t="s">
        <v>12434</v>
      </c>
      <c r="F100" s="108" t="s">
        <v>8910</v>
      </c>
      <c r="G100" s="108" t="s">
        <v>12629</v>
      </c>
      <c r="H100" s="108" t="s">
        <v>12563</v>
      </c>
    </row>
    <row r="101" spans="1:8">
      <c r="A101" t="s">
        <v>12431</v>
      </c>
      <c r="B101" t="s">
        <v>12432</v>
      </c>
      <c r="C101" s="503">
        <v>45118</v>
      </c>
      <c r="D101" s="108" t="s">
        <v>12630</v>
      </c>
      <c r="E101" s="108" t="s">
        <v>12434</v>
      </c>
      <c r="F101" s="108" t="s">
        <v>8910</v>
      </c>
      <c r="G101" s="108" t="s">
        <v>12631</v>
      </c>
      <c r="H101" s="108" t="s">
        <v>12563</v>
      </c>
    </row>
    <row r="102" spans="1:8">
      <c r="A102" t="s">
        <v>12431</v>
      </c>
      <c r="B102" t="s">
        <v>12432</v>
      </c>
      <c r="C102" s="503">
        <v>45115</v>
      </c>
      <c r="D102" s="149" t="s">
        <v>12632</v>
      </c>
      <c r="E102" s="149" t="s">
        <v>12434</v>
      </c>
      <c r="F102" s="149" t="s">
        <v>8910</v>
      </c>
      <c r="G102" s="149" t="s">
        <v>12633</v>
      </c>
      <c r="H102" s="149" t="s">
        <v>12634</v>
      </c>
    </row>
    <row r="103" spans="1:8">
      <c r="A103" t="s">
        <v>12451</v>
      </c>
      <c r="C103" s="503">
        <v>45180</v>
      </c>
      <c r="D103" s="149" t="s">
        <v>12635</v>
      </c>
      <c r="E103" s="149" t="s">
        <v>12434</v>
      </c>
      <c r="F103" s="149" t="s">
        <v>8910</v>
      </c>
      <c r="G103" s="149" t="s">
        <v>12636</v>
      </c>
      <c r="H103" s="149" t="s">
        <v>12442</v>
      </c>
    </row>
    <row r="104" spans="1:8">
      <c r="A104" t="s">
        <v>12431</v>
      </c>
      <c r="B104" t="s">
        <v>12432</v>
      </c>
      <c r="C104" s="503">
        <v>45210</v>
      </c>
      <c r="D104" s="108" t="s">
        <v>6537</v>
      </c>
      <c r="E104" s="108" t="s">
        <v>12434</v>
      </c>
      <c r="F104" s="108" t="s">
        <v>8910</v>
      </c>
      <c r="G104" s="108" t="s">
        <v>12637</v>
      </c>
      <c r="H104" s="108" t="s">
        <v>12542</v>
      </c>
    </row>
    <row r="105" spans="1:8">
      <c r="A105" t="s">
        <v>12451</v>
      </c>
      <c r="C105" s="503" t="s">
        <v>10868</v>
      </c>
      <c r="D105" s="149" t="s">
        <v>12638</v>
      </c>
      <c r="E105" s="149" t="s">
        <v>12434</v>
      </c>
      <c r="F105" s="149" t="s">
        <v>8910</v>
      </c>
      <c r="G105" s="149" t="s">
        <v>12639</v>
      </c>
      <c r="H105" s="149" t="s">
        <v>7691</v>
      </c>
    </row>
    <row r="106" spans="1:8">
      <c r="A106" t="s">
        <v>12451</v>
      </c>
      <c r="C106" s="566" t="s">
        <v>10872</v>
      </c>
      <c r="D106" s="673" t="s">
        <v>12640</v>
      </c>
      <c r="E106" s="186" t="s">
        <v>12434</v>
      </c>
      <c r="F106" s="186" t="s">
        <v>8910</v>
      </c>
      <c r="G106" s="186" t="s">
        <v>12641</v>
      </c>
      <c r="H106" s="186" t="s">
        <v>12634</v>
      </c>
    </row>
    <row r="107" spans="1:8">
      <c r="A107" t="s">
        <v>12451</v>
      </c>
      <c r="C107" s="503" t="s">
        <v>10875</v>
      </c>
      <c r="D107" s="108" t="s">
        <v>6550</v>
      </c>
      <c r="E107" s="108" t="s">
        <v>12434</v>
      </c>
      <c r="F107" s="108" t="s">
        <v>8910</v>
      </c>
      <c r="G107" s="108" t="s">
        <v>12642</v>
      </c>
      <c r="H107" s="108" t="s">
        <v>12563</v>
      </c>
    </row>
    <row r="108" spans="1:8">
      <c r="C108" s="503" t="s">
        <v>11806</v>
      </c>
      <c r="D108" s="149" t="s">
        <v>12643</v>
      </c>
      <c r="E108" s="149" t="s">
        <v>12434</v>
      </c>
      <c r="F108" s="149" t="s">
        <v>8910</v>
      </c>
      <c r="G108" s="149" t="s">
        <v>12644</v>
      </c>
      <c r="H108" s="149" t="s">
        <v>12634</v>
      </c>
    </row>
    <row r="109" spans="1:8">
      <c r="A109" t="s">
        <v>12431</v>
      </c>
      <c r="B109" t="s">
        <v>12432</v>
      </c>
      <c r="C109" s="567" t="s">
        <v>10880</v>
      </c>
      <c r="D109" s="476" t="s">
        <v>6559</v>
      </c>
      <c r="E109" s="476" t="s">
        <v>12434</v>
      </c>
      <c r="F109" s="476" t="s">
        <v>8910</v>
      </c>
      <c r="G109" s="476" t="s">
        <v>12645</v>
      </c>
      <c r="H109" s="476" t="s">
        <v>12563</v>
      </c>
    </row>
    <row r="110" spans="1:8">
      <c r="A110" t="s">
        <v>12431</v>
      </c>
      <c r="B110" t="s">
        <v>12432</v>
      </c>
      <c r="C110" s="503" t="s">
        <v>10880</v>
      </c>
      <c r="D110" s="108" t="s">
        <v>12646</v>
      </c>
      <c r="E110" s="108" t="s">
        <v>12434</v>
      </c>
      <c r="F110" s="108" t="s">
        <v>8910</v>
      </c>
      <c r="G110" s="108" t="s">
        <v>12647</v>
      </c>
      <c r="H110" s="108" t="s">
        <v>12563</v>
      </c>
    </row>
    <row r="111" spans="1:8">
      <c r="A111" t="s">
        <v>12431</v>
      </c>
      <c r="B111" t="s">
        <v>12432</v>
      </c>
      <c r="C111" s="503" t="s">
        <v>10880</v>
      </c>
      <c r="D111" s="108" t="s">
        <v>12648</v>
      </c>
      <c r="E111" s="108" t="s">
        <v>12434</v>
      </c>
      <c r="F111" s="108" t="s">
        <v>8910</v>
      </c>
      <c r="G111" s="108" t="s">
        <v>12649</v>
      </c>
      <c r="H111" s="108" t="s">
        <v>12563</v>
      </c>
    </row>
    <row r="112" spans="1:8">
      <c r="A112" t="s">
        <v>12431</v>
      </c>
      <c r="B112" t="s">
        <v>12432</v>
      </c>
      <c r="C112" s="503" t="s">
        <v>10880</v>
      </c>
      <c r="D112" s="108" t="s">
        <v>6563</v>
      </c>
      <c r="E112" s="108" t="s">
        <v>12434</v>
      </c>
      <c r="F112" s="108" t="s">
        <v>8910</v>
      </c>
      <c r="G112" s="108" t="s">
        <v>12650</v>
      </c>
      <c r="H112" s="108" t="s">
        <v>12563</v>
      </c>
    </row>
    <row r="113" spans="1:8">
      <c r="C113" s="503" t="s">
        <v>10880</v>
      </c>
      <c r="D113" s="149" t="s">
        <v>12651</v>
      </c>
      <c r="E113" s="149" t="s">
        <v>12434</v>
      </c>
      <c r="F113" s="149" t="s">
        <v>8910</v>
      </c>
      <c r="G113" s="149" t="s">
        <v>12652</v>
      </c>
      <c r="H113" s="149" t="s">
        <v>12442</v>
      </c>
    </row>
    <row r="114" spans="1:8">
      <c r="A114" t="s">
        <v>12451</v>
      </c>
      <c r="C114" s="503" t="s">
        <v>11803</v>
      </c>
      <c r="D114" s="149" t="s">
        <v>6569</v>
      </c>
      <c r="E114" s="149" t="s">
        <v>12434</v>
      </c>
      <c r="F114" s="149" t="s">
        <v>8910</v>
      </c>
      <c r="G114" s="149" t="s">
        <v>12653</v>
      </c>
      <c r="H114" s="149" t="s">
        <v>7691</v>
      </c>
    </row>
    <row r="115" spans="1:8">
      <c r="C115" s="503" t="s">
        <v>12654</v>
      </c>
      <c r="D115" s="108" t="s">
        <v>12655</v>
      </c>
      <c r="E115" s="108" t="s">
        <v>12656</v>
      </c>
      <c r="F115" s="108" t="s">
        <v>8910</v>
      </c>
      <c r="G115" s="108" t="s">
        <v>12657</v>
      </c>
      <c r="H115" s="108" t="s">
        <v>12563</v>
      </c>
    </row>
    <row r="116" spans="1:8">
      <c r="A116" t="s">
        <v>12451</v>
      </c>
      <c r="C116" s="503" t="s">
        <v>12654</v>
      </c>
      <c r="D116" s="149" t="s">
        <v>6577</v>
      </c>
      <c r="E116" s="149" t="s">
        <v>12656</v>
      </c>
      <c r="F116" s="149" t="s">
        <v>8910</v>
      </c>
      <c r="G116" s="149" t="s">
        <v>12658</v>
      </c>
      <c r="H116" s="149" t="s">
        <v>12442</v>
      </c>
    </row>
    <row r="117" spans="1:8">
      <c r="A117" t="s">
        <v>12431</v>
      </c>
      <c r="B117" t="s">
        <v>12659</v>
      </c>
      <c r="C117" s="503" t="s">
        <v>10788</v>
      </c>
      <c r="D117" s="149" t="s">
        <v>6571</v>
      </c>
      <c r="E117" s="149" t="s">
        <v>12434</v>
      </c>
      <c r="F117" s="149" t="s">
        <v>8910</v>
      </c>
      <c r="G117" s="149" t="s">
        <v>12660</v>
      </c>
      <c r="H117" s="149" t="s">
        <v>12661</v>
      </c>
    </row>
    <row r="118" spans="1:8">
      <c r="A118" t="s">
        <v>12451</v>
      </c>
      <c r="C118" s="503" t="s">
        <v>12662</v>
      </c>
      <c r="D118" s="108" t="s">
        <v>12663</v>
      </c>
      <c r="E118" s="108" t="s">
        <v>12434</v>
      </c>
      <c r="F118" s="108" t="s">
        <v>8910</v>
      </c>
      <c r="G118" s="108" t="s">
        <v>12664</v>
      </c>
      <c r="H118" s="108" t="s">
        <v>12542</v>
      </c>
    </row>
    <row r="119" spans="1:8">
      <c r="C119" s="503" t="s">
        <v>10888</v>
      </c>
      <c r="D119" s="108" t="s">
        <v>12665</v>
      </c>
      <c r="E119" s="108" t="s">
        <v>12434</v>
      </c>
      <c r="F119" s="108" t="s">
        <v>8910</v>
      </c>
      <c r="G119" s="108" t="s">
        <v>12666</v>
      </c>
      <c r="H119" s="108" t="s">
        <v>12563</v>
      </c>
    </row>
    <row r="120" spans="1:8">
      <c r="C120" s="503" t="s">
        <v>10888</v>
      </c>
      <c r="D120" s="108" t="s">
        <v>12667</v>
      </c>
      <c r="E120" s="108" t="s">
        <v>12434</v>
      </c>
      <c r="F120" s="108" t="s">
        <v>8910</v>
      </c>
      <c r="G120" s="108" t="s">
        <v>12668</v>
      </c>
      <c r="H120" s="108" t="s">
        <v>12542</v>
      </c>
    </row>
    <row r="121" spans="1:8">
      <c r="A121" t="s">
        <v>12451</v>
      </c>
      <c r="C121" s="503" t="s">
        <v>12669</v>
      </c>
      <c r="D121" s="149" t="s">
        <v>6584</v>
      </c>
      <c r="E121" s="149" t="s">
        <v>12434</v>
      </c>
      <c r="F121" s="149" t="s">
        <v>8910</v>
      </c>
      <c r="G121" s="149" t="s">
        <v>12670</v>
      </c>
      <c r="H121" s="149" t="s">
        <v>12442</v>
      </c>
    </row>
    <row r="122" spans="1:8">
      <c r="A122" t="s">
        <v>12431</v>
      </c>
      <c r="B122" t="s">
        <v>12432</v>
      </c>
      <c r="C122" s="503" t="s">
        <v>12669</v>
      </c>
      <c r="D122" s="108" t="s">
        <v>6586</v>
      </c>
      <c r="E122" s="108" t="s">
        <v>12434</v>
      </c>
      <c r="F122" s="108" t="s">
        <v>8910</v>
      </c>
      <c r="G122" s="108" t="s">
        <v>12671</v>
      </c>
      <c r="H122" s="108" t="s">
        <v>12542</v>
      </c>
    </row>
    <row r="123" spans="1:8">
      <c r="A123" t="s">
        <v>12451</v>
      </c>
      <c r="C123" s="503" t="s">
        <v>12672</v>
      </c>
      <c r="D123" s="149" t="s">
        <v>12673</v>
      </c>
      <c r="E123" s="149" t="s">
        <v>12434</v>
      </c>
      <c r="F123" s="149" t="s">
        <v>8910</v>
      </c>
      <c r="G123" s="149" t="s">
        <v>12674</v>
      </c>
      <c r="H123" s="149" t="s">
        <v>12442</v>
      </c>
    </row>
    <row r="124" spans="1:8">
      <c r="A124" t="s">
        <v>12451</v>
      </c>
      <c r="C124" s="503" t="s">
        <v>12675</v>
      </c>
      <c r="D124" s="149" t="s">
        <v>12676</v>
      </c>
      <c r="E124" s="149" t="s">
        <v>12434</v>
      </c>
      <c r="F124" s="149" t="s">
        <v>8910</v>
      </c>
      <c r="G124" s="149" t="s">
        <v>12677</v>
      </c>
      <c r="H124" s="149" t="s">
        <v>7632</v>
      </c>
    </row>
    <row r="125" spans="1:8">
      <c r="A125" t="s">
        <v>12431</v>
      </c>
      <c r="B125" t="s">
        <v>12432</v>
      </c>
      <c r="C125" s="503" t="s">
        <v>12675</v>
      </c>
      <c r="D125" s="108" t="s">
        <v>12678</v>
      </c>
      <c r="E125" s="108" t="s">
        <v>12434</v>
      </c>
      <c r="F125" s="108" t="s">
        <v>8910</v>
      </c>
      <c r="G125" s="108" t="s">
        <v>12679</v>
      </c>
      <c r="H125" s="108" t="s">
        <v>12563</v>
      </c>
    </row>
    <row r="126" spans="1:8">
      <c r="A126" t="s">
        <v>12451</v>
      </c>
      <c r="C126" s="503" t="s">
        <v>12680</v>
      </c>
      <c r="D126" s="108" t="s">
        <v>12681</v>
      </c>
      <c r="E126" s="108" t="s">
        <v>12434</v>
      </c>
      <c r="F126" s="108" t="s">
        <v>8910</v>
      </c>
      <c r="G126" s="108" t="s">
        <v>12677</v>
      </c>
      <c r="H126" s="108" t="s">
        <v>12542</v>
      </c>
    </row>
    <row r="127" spans="1:8">
      <c r="C127" s="503" t="s">
        <v>12675</v>
      </c>
      <c r="D127" s="108" t="s">
        <v>12682</v>
      </c>
      <c r="E127" s="108" t="s">
        <v>12434</v>
      </c>
      <c r="F127" s="108" t="s">
        <v>8910</v>
      </c>
      <c r="G127" s="108" t="s">
        <v>12683</v>
      </c>
      <c r="H127" s="108" t="s">
        <v>12542</v>
      </c>
    </row>
    <row r="128" spans="1:8">
      <c r="C128" s="503"/>
      <c r="D128" s="192"/>
      <c r="E128" s="192"/>
      <c r="F128" s="192"/>
      <c r="G128" s="192"/>
      <c r="H128" s="192"/>
    </row>
    <row r="129" spans="1:8">
      <c r="C129" s="503"/>
      <c r="D129" s="149"/>
      <c r="E129" s="149"/>
      <c r="F129" s="149"/>
      <c r="G129" s="149"/>
      <c r="H129" s="149"/>
    </row>
    <row r="130" spans="1:8">
      <c r="C130" s="566"/>
      <c r="D130" s="684" t="s">
        <v>12684</v>
      </c>
      <c r="E130" s="186"/>
      <c r="F130" s="186"/>
      <c r="G130" s="186"/>
      <c r="H130" s="186"/>
    </row>
    <row r="131" spans="1:8">
      <c r="C131" s="503"/>
      <c r="D131" s="149" t="s">
        <v>1643</v>
      </c>
      <c r="E131" s="149"/>
      <c r="F131" s="149"/>
      <c r="G131" s="149"/>
      <c r="H131" s="149"/>
    </row>
    <row r="132" spans="1:8">
      <c r="A132" t="s">
        <v>12431</v>
      </c>
      <c r="B132" t="s">
        <v>12432</v>
      </c>
      <c r="C132" s="503">
        <v>44938</v>
      </c>
      <c r="D132" s="149" t="s">
        <v>6542</v>
      </c>
      <c r="E132" s="149" t="s">
        <v>12434</v>
      </c>
      <c r="F132" s="149" t="s">
        <v>10897</v>
      </c>
      <c r="G132" s="149" t="s">
        <v>12685</v>
      </c>
      <c r="H132" s="149" t="s">
        <v>12442</v>
      </c>
    </row>
    <row r="133" spans="1:8">
      <c r="C133" s="503">
        <v>45058</v>
      </c>
      <c r="D133" s="108" t="s">
        <v>12686</v>
      </c>
      <c r="E133" s="108" t="s">
        <v>12434</v>
      </c>
      <c r="F133" s="108" t="s">
        <v>10897</v>
      </c>
      <c r="G133" s="108" t="s">
        <v>12687</v>
      </c>
      <c r="H133" s="108" t="s">
        <v>12688</v>
      </c>
    </row>
    <row r="134" spans="1:8">
      <c r="A134" t="s">
        <v>12431</v>
      </c>
      <c r="B134" t="s">
        <v>12432</v>
      </c>
      <c r="C134" s="503">
        <v>45089</v>
      </c>
      <c r="D134" s="108" t="s">
        <v>6608</v>
      </c>
      <c r="E134" s="108" t="s">
        <v>12656</v>
      </c>
      <c r="F134" s="108" t="s">
        <v>10897</v>
      </c>
      <c r="G134" s="108" t="s">
        <v>12689</v>
      </c>
      <c r="H134" s="108" t="s">
        <v>12688</v>
      </c>
    </row>
    <row r="135" spans="1:8">
      <c r="A135" t="s">
        <v>12451</v>
      </c>
      <c r="C135" s="503">
        <v>45089</v>
      </c>
      <c r="D135" s="149" t="s">
        <v>6612</v>
      </c>
      <c r="E135" s="149" t="s">
        <v>12434</v>
      </c>
      <c r="F135" s="149" t="s">
        <v>10897</v>
      </c>
      <c r="G135" s="149" t="s">
        <v>12690</v>
      </c>
      <c r="H135" s="149" t="s">
        <v>12661</v>
      </c>
    </row>
    <row r="136" spans="1:8">
      <c r="A136" t="s">
        <v>12451</v>
      </c>
      <c r="C136" s="503">
        <v>45119</v>
      </c>
      <c r="D136" s="149" t="s">
        <v>12691</v>
      </c>
      <c r="E136" s="149" t="s">
        <v>12656</v>
      </c>
      <c r="F136" s="149" t="s">
        <v>10897</v>
      </c>
      <c r="G136" s="149" t="s">
        <v>12692</v>
      </c>
      <c r="H136" s="149" t="s">
        <v>12442</v>
      </c>
    </row>
    <row r="137" spans="1:8">
      <c r="A137" t="s">
        <v>12451</v>
      </c>
      <c r="C137" s="503">
        <v>45119</v>
      </c>
      <c r="D137" s="149" t="s">
        <v>12693</v>
      </c>
      <c r="E137" s="149" t="s">
        <v>12656</v>
      </c>
      <c r="F137" s="149" t="s">
        <v>10897</v>
      </c>
      <c r="G137" s="149" t="s">
        <v>12694</v>
      </c>
      <c r="H137" s="149" t="s">
        <v>12442</v>
      </c>
    </row>
    <row r="138" spans="1:8">
      <c r="A138" t="s">
        <v>12451</v>
      </c>
      <c r="C138" s="503">
        <v>45119</v>
      </c>
      <c r="D138" s="108" t="s">
        <v>6614</v>
      </c>
      <c r="E138" s="108" t="s">
        <v>12434</v>
      </c>
      <c r="F138" s="108" t="s">
        <v>10897</v>
      </c>
      <c r="G138" s="108" t="s">
        <v>12695</v>
      </c>
      <c r="H138" s="108" t="s">
        <v>12542</v>
      </c>
    </row>
    <row r="139" spans="1:8">
      <c r="A139" t="s">
        <v>12451</v>
      </c>
      <c r="C139" s="553">
        <v>45181</v>
      </c>
      <c r="D139" s="631" t="s">
        <v>6619</v>
      </c>
      <c r="E139" s="631" t="s">
        <v>12656</v>
      </c>
      <c r="F139" s="631" t="s">
        <v>10897</v>
      </c>
      <c r="G139" s="631" t="s">
        <v>12696</v>
      </c>
      <c r="H139" s="631" t="s">
        <v>8918</v>
      </c>
    </row>
    <row r="140" spans="1:8">
      <c r="A140" t="s">
        <v>12451</v>
      </c>
      <c r="C140" s="503">
        <v>45179</v>
      </c>
      <c r="D140" s="108" t="s">
        <v>6623</v>
      </c>
      <c r="E140" s="108" t="s">
        <v>12656</v>
      </c>
      <c r="F140" s="108" t="s">
        <v>10897</v>
      </c>
      <c r="G140" s="108" t="s">
        <v>12697</v>
      </c>
      <c r="H140" s="108" t="s">
        <v>12542</v>
      </c>
    </row>
    <row r="141" spans="1:8">
      <c r="A141" t="s">
        <v>12431</v>
      </c>
      <c r="B141" t="s">
        <v>12432</v>
      </c>
      <c r="C141" s="503">
        <v>45179</v>
      </c>
      <c r="D141" s="108" t="s">
        <v>6505</v>
      </c>
      <c r="E141" s="108" t="s">
        <v>12656</v>
      </c>
      <c r="F141" s="108" t="s">
        <v>10897</v>
      </c>
      <c r="G141" s="108" t="s">
        <v>12698</v>
      </c>
      <c r="H141" s="108" t="s">
        <v>12563</v>
      </c>
    </row>
    <row r="142" spans="1:8">
      <c r="A142" t="s">
        <v>12431</v>
      </c>
      <c r="B142" t="s">
        <v>12598</v>
      </c>
      <c r="C142" s="503">
        <v>45272</v>
      </c>
      <c r="D142" s="108" t="s">
        <v>6627</v>
      </c>
      <c r="E142" s="108" t="s">
        <v>12434</v>
      </c>
      <c r="F142" s="108" t="s">
        <v>10897</v>
      </c>
      <c r="G142" s="108" t="s">
        <v>12699</v>
      </c>
      <c r="H142" s="108" t="s">
        <v>12542</v>
      </c>
    </row>
    <row r="143" spans="1:8">
      <c r="A143" t="s">
        <v>3460</v>
      </c>
      <c r="B143" t="s">
        <v>12469</v>
      </c>
      <c r="C143" s="503">
        <v>45242</v>
      </c>
      <c r="D143" s="149" t="s">
        <v>6479</v>
      </c>
      <c r="E143" s="149" t="s">
        <v>12656</v>
      </c>
      <c r="F143" s="149" t="s">
        <v>10897</v>
      </c>
      <c r="G143" s="149" t="s">
        <v>12700</v>
      </c>
      <c r="H143" s="149" t="s">
        <v>12442</v>
      </c>
    </row>
    <row r="144" spans="1:8">
      <c r="A144" t="s">
        <v>12451</v>
      </c>
      <c r="C144" s="503">
        <v>45272</v>
      </c>
      <c r="D144" s="149" t="s">
        <v>12701</v>
      </c>
      <c r="E144" s="149" t="s">
        <v>12656</v>
      </c>
      <c r="F144" s="149" t="s">
        <v>10897</v>
      </c>
      <c r="G144" s="149" t="s">
        <v>12702</v>
      </c>
      <c r="H144" s="149" t="s">
        <v>12661</v>
      </c>
    </row>
    <row r="145" spans="1:8">
      <c r="A145" t="s">
        <v>12451</v>
      </c>
      <c r="C145" s="503">
        <v>45272</v>
      </c>
      <c r="D145" s="108" t="s">
        <v>12703</v>
      </c>
      <c r="E145" s="108" t="s">
        <v>12656</v>
      </c>
      <c r="F145" s="108" t="s">
        <v>10897</v>
      </c>
      <c r="G145" s="108" t="s">
        <v>12704</v>
      </c>
      <c r="H145" s="108" t="s">
        <v>12542</v>
      </c>
    </row>
    <row r="146" spans="1:8">
      <c r="A146" t="s">
        <v>12451</v>
      </c>
      <c r="C146" s="503" t="s">
        <v>12705</v>
      </c>
      <c r="D146" s="149" t="s">
        <v>12706</v>
      </c>
      <c r="E146" s="149" t="s">
        <v>12656</v>
      </c>
      <c r="F146" s="149" t="s">
        <v>10897</v>
      </c>
      <c r="G146" s="149" t="s">
        <v>12707</v>
      </c>
      <c r="H146" s="149" t="s">
        <v>12661</v>
      </c>
    </row>
    <row r="147" spans="1:8">
      <c r="A147" t="s">
        <v>12451</v>
      </c>
      <c r="C147" s="503" t="s">
        <v>10900</v>
      </c>
      <c r="D147" s="149" t="s">
        <v>12708</v>
      </c>
      <c r="E147" s="149" t="s">
        <v>12656</v>
      </c>
      <c r="F147" s="149" t="s">
        <v>10897</v>
      </c>
      <c r="G147" s="149" t="s">
        <v>12709</v>
      </c>
      <c r="H147" s="149" t="s">
        <v>12661</v>
      </c>
    </row>
    <row r="148" spans="1:8">
      <c r="A148" t="s">
        <v>12710</v>
      </c>
      <c r="C148" s="503" t="s">
        <v>12711</v>
      </c>
      <c r="D148" s="108" t="s">
        <v>6643</v>
      </c>
      <c r="E148" s="108" t="s">
        <v>12434</v>
      </c>
      <c r="F148" s="108" t="s">
        <v>10897</v>
      </c>
      <c r="G148" s="108" t="s">
        <v>12712</v>
      </c>
      <c r="H148" s="108" t="s">
        <v>12542</v>
      </c>
    </row>
    <row r="149" spans="1:8">
      <c r="A149" t="s">
        <v>12431</v>
      </c>
      <c r="B149" t="s">
        <v>12432</v>
      </c>
      <c r="C149" s="503" t="s">
        <v>12711</v>
      </c>
      <c r="D149" s="149" t="s">
        <v>12713</v>
      </c>
      <c r="E149" s="149" t="s">
        <v>12656</v>
      </c>
      <c r="F149" s="149" t="s">
        <v>10897</v>
      </c>
      <c r="G149" s="149" t="s">
        <v>12714</v>
      </c>
      <c r="H149" s="149" t="s">
        <v>12661</v>
      </c>
    </row>
    <row r="150" spans="1:8">
      <c r="A150" t="s">
        <v>12451</v>
      </c>
      <c r="C150" s="566" t="s">
        <v>12711</v>
      </c>
      <c r="D150" s="186" t="s">
        <v>12715</v>
      </c>
      <c r="E150" s="186" t="s">
        <v>12656</v>
      </c>
      <c r="F150" s="186" t="s">
        <v>10897</v>
      </c>
      <c r="G150" s="186" t="s">
        <v>12702</v>
      </c>
      <c r="H150" s="186" t="s">
        <v>12442</v>
      </c>
    </row>
    <row r="151" spans="1:8">
      <c r="C151" s="503" t="s">
        <v>12711</v>
      </c>
      <c r="D151" s="149" t="s">
        <v>12716</v>
      </c>
      <c r="E151" s="149" t="s">
        <v>12656</v>
      </c>
      <c r="F151" s="149" t="s">
        <v>10897</v>
      </c>
      <c r="G151" s="149" t="s">
        <v>12717</v>
      </c>
      <c r="H151" s="149" t="s">
        <v>12661</v>
      </c>
    </row>
    <row r="152" spans="1:8">
      <c r="A152" t="s">
        <v>12575</v>
      </c>
      <c r="B152" t="s">
        <v>12576</v>
      </c>
      <c r="C152" s="503" t="s">
        <v>12718</v>
      </c>
      <c r="D152" s="149" t="s">
        <v>12719</v>
      </c>
      <c r="E152" s="149" t="s">
        <v>12656</v>
      </c>
      <c r="F152" s="149" t="s">
        <v>10897</v>
      </c>
      <c r="G152" s="149" t="s">
        <v>12720</v>
      </c>
      <c r="H152" s="149" t="s">
        <v>12661</v>
      </c>
    </row>
    <row r="153" spans="1:8">
      <c r="A153" t="s">
        <v>12451</v>
      </c>
      <c r="C153" s="503" t="s">
        <v>12721</v>
      </c>
      <c r="D153" s="149" t="s">
        <v>6659</v>
      </c>
      <c r="E153" s="149" t="s">
        <v>12656</v>
      </c>
      <c r="F153" s="149" t="s">
        <v>10897</v>
      </c>
      <c r="G153" s="149" t="s">
        <v>12722</v>
      </c>
      <c r="H153" s="149" t="s">
        <v>12634</v>
      </c>
    </row>
    <row r="154" spans="1:8">
      <c r="A154" t="s">
        <v>12431</v>
      </c>
      <c r="B154" t="s">
        <v>12723</v>
      </c>
      <c r="C154" s="503" t="s">
        <v>12721</v>
      </c>
      <c r="D154" s="149" t="s">
        <v>6661</v>
      </c>
      <c r="E154" s="341" t="s">
        <v>12656</v>
      </c>
      <c r="F154" s="149" t="s">
        <v>10897</v>
      </c>
      <c r="G154" s="149" t="s">
        <v>12724</v>
      </c>
      <c r="H154" s="149" t="s">
        <v>12442</v>
      </c>
    </row>
    <row r="155" spans="1:8">
      <c r="A155" t="s">
        <v>12451</v>
      </c>
      <c r="C155" s="503" t="s">
        <v>12721</v>
      </c>
      <c r="D155" s="149" t="s">
        <v>6663</v>
      </c>
      <c r="E155" s="149" t="s">
        <v>12656</v>
      </c>
      <c r="F155" s="149" t="s">
        <v>10897</v>
      </c>
      <c r="G155" s="149" t="s">
        <v>12725</v>
      </c>
      <c r="H155" s="149" t="s">
        <v>12442</v>
      </c>
    </row>
    <row r="156" spans="1:8">
      <c r="A156" t="s">
        <v>12451</v>
      </c>
      <c r="C156" s="503" t="s">
        <v>12726</v>
      </c>
      <c r="D156" s="108" t="s">
        <v>12727</v>
      </c>
      <c r="E156" s="108" t="s">
        <v>12656</v>
      </c>
      <c r="F156" s="108" t="s">
        <v>10897</v>
      </c>
      <c r="G156" s="108" t="s">
        <v>12728</v>
      </c>
      <c r="H156" s="108" t="s">
        <v>12542</v>
      </c>
    </row>
    <row r="157" spans="1:8">
      <c r="A157" t="s">
        <v>12451</v>
      </c>
      <c r="C157" s="503" t="s">
        <v>12726</v>
      </c>
      <c r="D157" s="149" t="s">
        <v>12729</v>
      </c>
      <c r="E157" s="149" t="s">
        <v>12656</v>
      </c>
      <c r="F157" s="149" t="s">
        <v>10897</v>
      </c>
      <c r="G157" s="149" t="s">
        <v>12730</v>
      </c>
      <c r="H157" s="149" t="s">
        <v>12442</v>
      </c>
    </row>
    <row r="158" spans="1:8">
      <c r="A158" t="s">
        <v>12451</v>
      </c>
      <c r="C158" s="503" t="s">
        <v>12731</v>
      </c>
      <c r="D158" s="149" t="s">
        <v>12732</v>
      </c>
      <c r="E158" s="149" t="s">
        <v>12656</v>
      </c>
      <c r="F158" s="149" t="s">
        <v>10897</v>
      </c>
      <c r="G158" s="149" t="s">
        <v>12733</v>
      </c>
      <c r="H158" s="149" t="s">
        <v>12442</v>
      </c>
    </row>
    <row r="159" spans="1:8">
      <c r="A159" t="s">
        <v>12431</v>
      </c>
      <c r="B159" t="s">
        <v>12734</v>
      </c>
      <c r="C159" s="503" t="s">
        <v>12735</v>
      </c>
      <c r="D159" s="149" t="s">
        <v>12736</v>
      </c>
      <c r="E159" s="149" t="s">
        <v>12656</v>
      </c>
      <c r="F159" s="149" t="s">
        <v>10897</v>
      </c>
      <c r="G159" s="149" t="s">
        <v>12737</v>
      </c>
      <c r="H159" s="149" t="s">
        <v>12442</v>
      </c>
    </row>
    <row r="160" spans="1:8">
      <c r="C160" s="503" t="s">
        <v>10912</v>
      </c>
      <c r="D160" s="192" t="s">
        <v>12738</v>
      </c>
      <c r="E160" s="149" t="s">
        <v>12656</v>
      </c>
      <c r="F160" s="149" t="s">
        <v>10897</v>
      </c>
      <c r="G160" s="149" t="s">
        <v>12739</v>
      </c>
      <c r="H160" s="149" t="s">
        <v>12442</v>
      </c>
    </row>
    <row r="161" spans="1:8">
      <c r="A161" t="s">
        <v>12451</v>
      </c>
      <c r="C161" s="503" t="s">
        <v>12735</v>
      </c>
      <c r="D161" s="149" t="s">
        <v>12740</v>
      </c>
      <c r="E161" s="149" t="s">
        <v>12434</v>
      </c>
      <c r="F161" s="149" t="s">
        <v>10897</v>
      </c>
      <c r="G161" s="149" t="s">
        <v>12741</v>
      </c>
      <c r="H161" s="149" t="s">
        <v>12442</v>
      </c>
    </row>
    <row r="162" spans="1:8">
      <c r="A162" t="s">
        <v>12451</v>
      </c>
      <c r="C162" s="503" t="s">
        <v>10912</v>
      </c>
      <c r="D162" s="108" t="s">
        <v>12742</v>
      </c>
      <c r="E162" s="108" t="s">
        <v>12656</v>
      </c>
      <c r="F162" s="108" t="s">
        <v>10897</v>
      </c>
      <c r="G162" s="108" t="s">
        <v>12743</v>
      </c>
      <c r="H162" s="108" t="s">
        <v>12542</v>
      </c>
    </row>
    <row r="163" spans="1:8">
      <c r="A163" t="s">
        <v>12451</v>
      </c>
      <c r="C163" s="503" t="s">
        <v>10917</v>
      </c>
      <c r="D163" s="149" t="s">
        <v>12744</v>
      </c>
      <c r="E163" s="149" t="s">
        <v>12656</v>
      </c>
      <c r="F163" s="149" t="s">
        <v>10897</v>
      </c>
      <c r="G163" s="149" t="s">
        <v>12745</v>
      </c>
      <c r="H163" s="149" t="s">
        <v>12442</v>
      </c>
    </row>
    <row r="164" spans="1:8" ht="15.75" customHeight="1">
      <c r="C164" s="503" t="s">
        <v>12746</v>
      </c>
      <c r="D164" s="149" t="s">
        <v>12747</v>
      </c>
      <c r="E164" s="149" t="s">
        <v>12656</v>
      </c>
      <c r="F164" s="149" t="s">
        <v>10897</v>
      </c>
      <c r="G164" s="149" t="s">
        <v>12748</v>
      </c>
      <c r="H164" s="149" t="s">
        <v>12749</v>
      </c>
    </row>
    <row r="165" spans="1:8">
      <c r="A165" t="s">
        <v>12750</v>
      </c>
      <c r="B165" t="s">
        <v>12555</v>
      </c>
      <c r="C165" s="503" t="s">
        <v>12746</v>
      </c>
      <c r="D165" s="149" t="s">
        <v>12751</v>
      </c>
      <c r="E165" s="149" t="s">
        <v>12656</v>
      </c>
      <c r="F165" s="149" t="s">
        <v>10897</v>
      </c>
      <c r="G165" s="149" t="s">
        <v>12752</v>
      </c>
      <c r="H165" s="149" t="s">
        <v>12442</v>
      </c>
    </row>
    <row r="166" spans="1:8">
      <c r="A166" t="s">
        <v>12451</v>
      </c>
      <c r="C166" s="566" t="s">
        <v>12746</v>
      </c>
      <c r="D166" s="197" t="s">
        <v>6716</v>
      </c>
      <c r="E166" s="197" t="s">
        <v>12656</v>
      </c>
      <c r="F166" s="197" t="s">
        <v>10897</v>
      </c>
      <c r="G166" s="197" t="s">
        <v>12753</v>
      </c>
      <c r="H166" s="197" t="s">
        <v>12542</v>
      </c>
    </row>
    <row r="167" spans="1:8">
      <c r="A167" t="s">
        <v>12451</v>
      </c>
      <c r="C167" s="503" t="s">
        <v>12754</v>
      </c>
      <c r="D167" s="149" t="s">
        <v>12755</v>
      </c>
      <c r="E167" s="149" t="s">
        <v>12656</v>
      </c>
      <c r="F167" s="149" t="s">
        <v>10897</v>
      </c>
      <c r="G167" s="149" t="s">
        <v>12756</v>
      </c>
      <c r="H167" s="149" t="s">
        <v>12442</v>
      </c>
    </row>
    <row r="168" spans="1:8">
      <c r="A168" t="s">
        <v>12451</v>
      </c>
      <c r="C168" s="503" t="s">
        <v>12754</v>
      </c>
      <c r="D168" s="149" t="s">
        <v>6699</v>
      </c>
      <c r="E168" s="149" t="s">
        <v>12656</v>
      </c>
      <c r="F168" s="149" t="s">
        <v>10897</v>
      </c>
      <c r="G168" s="149" t="s">
        <v>12757</v>
      </c>
      <c r="H168" s="149" t="s">
        <v>12442</v>
      </c>
    </row>
    <row r="169" spans="1:8">
      <c r="C169" s="503"/>
      <c r="D169" s="149"/>
      <c r="E169" s="149"/>
      <c r="F169" s="149"/>
      <c r="G169" s="149"/>
      <c r="H169" s="149"/>
    </row>
    <row r="170" spans="1:8">
      <c r="C170" s="503"/>
      <c r="D170" s="341" t="s">
        <v>12758</v>
      </c>
      <c r="E170" s="149"/>
      <c r="F170" s="149"/>
      <c r="G170" s="149"/>
      <c r="H170" s="149"/>
    </row>
    <row r="171" spans="1:8">
      <c r="C171" s="503"/>
      <c r="D171" s="149"/>
      <c r="E171" s="149"/>
      <c r="F171" s="149"/>
      <c r="G171" s="149"/>
      <c r="H171" s="149"/>
    </row>
    <row r="172" spans="1:8">
      <c r="C172" s="503">
        <v>45323</v>
      </c>
      <c r="D172" s="149" t="s">
        <v>12759</v>
      </c>
      <c r="E172" s="149" t="s">
        <v>12656</v>
      </c>
      <c r="F172" s="149" t="s">
        <v>12436</v>
      </c>
      <c r="G172" s="149" t="s">
        <v>12760</v>
      </c>
      <c r="H172" s="149" t="s">
        <v>12442</v>
      </c>
    </row>
    <row r="173" spans="1:8">
      <c r="A173" t="s">
        <v>12451</v>
      </c>
      <c r="C173" s="503">
        <v>45323</v>
      </c>
      <c r="D173" s="149" t="s">
        <v>12761</v>
      </c>
      <c r="E173" s="149" t="s">
        <v>12656</v>
      </c>
      <c r="F173" s="149" t="s">
        <v>12436</v>
      </c>
      <c r="G173" s="149" t="s">
        <v>12762</v>
      </c>
      <c r="H173" s="149" t="s">
        <v>12442</v>
      </c>
    </row>
    <row r="174" spans="1:8">
      <c r="A174" t="s">
        <v>12451</v>
      </c>
      <c r="C174" s="503">
        <v>45383</v>
      </c>
      <c r="D174" s="149" t="s">
        <v>12763</v>
      </c>
      <c r="E174" s="149" t="s">
        <v>12656</v>
      </c>
      <c r="F174" s="149" t="s">
        <v>12436</v>
      </c>
      <c r="G174" s="149" t="s">
        <v>12764</v>
      </c>
      <c r="H174" s="149" t="s">
        <v>12749</v>
      </c>
    </row>
    <row r="175" spans="1:8">
      <c r="C175" s="503">
        <v>45413</v>
      </c>
      <c r="D175" s="149" t="s">
        <v>12765</v>
      </c>
      <c r="E175" s="149" t="s">
        <v>12656</v>
      </c>
      <c r="F175" s="149" t="s">
        <v>12436</v>
      </c>
      <c r="G175" s="149" t="s">
        <v>12753</v>
      </c>
      <c r="H175" s="149" t="s">
        <v>12442</v>
      </c>
    </row>
    <row r="176" spans="1:8">
      <c r="A176" t="s">
        <v>12549</v>
      </c>
      <c r="B176" t="s">
        <v>12766</v>
      </c>
      <c r="C176" s="503">
        <v>45505</v>
      </c>
      <c r="D176" s="149" t="s">
        <v>12767</v>
      </c>
      <c r="E176" s="149" t="s">
        <v>12656</v>
      </c>
      <c r="F176" s="149" t="s">
        <v>12436</v>
      </c>
      <c r="G176" s="149" t="s">
        <v>12768</v>
      </c>
      <c r="H176" s="149" t="s">
        <v>12442</v>
      </c>
    </row>
    <row r="177" spans="1:8">
      <c r="C177" s="503">
        <v>45300</v>
      </c>
      <c r="D177" s="149" t="s">
        <v>6741</v>
      </c>
      <c r="E177" s="149" t="s">
        <v>12656</v>
      </c>
      <c r="F177" s="149" t="s">
        <v>12436</v>
      </c>
      <c r="G177" s="149" t="s">
        <v>12769</v>
      </c>
      <c r="H177" s="149" t="s">
        <v>12634</v>
      </c>
    </row>
    <row r="178" spans="1:8">
      <c r="A178" t="s">
        <v>12770</v>
      </c>
      <c r="B178" t="s">
        <v>12766</v>
      </c>
      <c r="C178" s="503">
        <v>45627</v>
      </c>
      <c r="D178" s="108" t="s">
        <v>12771</v>
      </c>
      <c r="E178" s="108" t="s">
        <v>12656</v>
      </c>
      <c r="F178" s="108" t="s">
        <v>12436</v>
      </c>
      <c r="G178" s="108" t="s">
        <v>12772</v>
      </c>
      <c r="H178" s="108" t="s">
        <v>12542</v>
      </c>
    </row>
    <row r="179" spans="1:8">
      <c r="A179" t="s">
        <v>12431</v>
      </c>
      <c r="B179" t="s">
        <v>12432</v>
      </c>
      <c r="C179" s="503" t="s">
        <v>12773</v>
      </c>
      <c r="D179" s="149" t="s">
        <v>12774</v>
      </c>
      <c r="E179" s="149" t="s">
        <v>12656</v>
      </c>
      <c r="F179" s="149" t="s">
        <v>12436</v>
      </c>
      <c r="G179" s="149" t="s">
        <v>12775</v>
      </c>
      <c r="H179" s="149" t="s">
        <v>12442</v>
      </c>
    </row>
    <row r="180" spans="1:8">
      <c r="A180" t="s">
        <v>12431</v>
      </c>
      <c r="B180" t="s">
        <v>12432</v>
      </c>
      <c r="C180" s="503" t="s">
        <v>12776</v>
      </c>
      <c r="D180" s="149" t="s">
        <v>12777</v>
      </c>
      <c r="E180" s="149" t="s">
        <v>12656</v>
      </c>
      <c r="F180" s="149" t="s">
        <v>12436</v>
      </c>
      <c r="G180" s="149" t="s">
        <v>12778</v>
      </c>
      <c r="H180" s="149" t="s">
        <v>12442</v>
      </c>
    </row>
    <row r="181" spans="1:8">
      <c r="A181" t="s">
        <v>12431</v>
      </c>
      <c r="B181" t="s">
        <v>12432</v>
      </c>
      <c r="C181" s="503" t="s">
        <v>12776</v>
      </c>
      <c r="D181" s="108" t="s">
        <v>12779</v>
      </c>
      <c r="E181" s="108" t="s">
        <v>12656</v>
      </c>
      <c r="F181" s="108" t="s">
        <v>12436</v>
      </c>
      <c r="G181" s="108" t="s">
        <v>12780</v>
      </c>
      <c r="H181" s="108" t="s">
        <v>12542</v>
      </c>
    </row>
    <row r="182" spans="1:8">
      <c r="C182" s="503" t="s">
        <v>12781</v>
      </c>
      <c r="D182" s="149" t="s">
        <v>12782</v>
      </c>
      <c r="E182" s="149" t="s">
        <v>12656</v>
      </c>
      <c r="F182" s="149" t="s">
        <v>12436</v>
      </c>
      <c r="G182" s="149" t="s">
        <v>12783</v>
      </c>
      <c r="H182" s="149" t="s">
        <v>12442</v>
      </c>
    </row>
    <row r="183" spans="1:8">
      <c r="A183" t="s">
        <v>12784</v>
      </c>
      <c r="B183" t="s">
        <v>12785</v>
      </c>
      <c r="C183" s="503" t="s">
        <v>12781</v>
      </c>
      <c r="D183" s="149" t="s">
        <v>12786</v>
      </c>
      <c r="E183" s="149" t="s">
        <v>12656</v>
      </c>
      <c r="F183" s="149" t="s">
        <v>12436</v>
      </c>
      <c r="G183" s="149" t="s">
        <v>12787</v>
      </c>
      <c r="H183" s="149" t="s">
        <v>12442</v>
      </c>
    </row>
    <row r="184" spans="1:8">
      <c r="A184" t="s">
        <v>12431</v>
      </c>
      <c r="B184" t="s">
        <v>12432</v>
      </c>
      <c r="C184" s="566" t="s">
        <v>12781</v>
      </c>
      <c r="D184" s="186" t="s">
        <v>12788</v>
      </c>
      <c r="E184" s="186" t="s">
        <v>12656</v>
      </c>
      <c r="F184" s="186" t="s">
        <v>12436</v>
      </c>
      <c r="G184" s="186" t="s">
        <v>12789</v>
      </c>
      <c r="H184" s="186" t="s">
        <v>12442</v>
      </c>
    </row>
    <row r="185" spans="1:8">
      <c r="A185" t="s">
        <v>12431</v>
      </c>
      <c r="B185" t="s">
        <v>12432</v>
      </c>
      <c r="C185" s="503" t="s">
        <v>12790</v>
      </c>
      <c r="D185" s="108" t="s">
        <v>12791</v>
      </c>
      <c r="E185" s="108" t="s">
        <v>12656</v>
      </c>
      <c r="F185" s="108" t="s">
        <v>12436</v>
      </c>
      <c r="G185" s="108" t="s">
        <v>12792</v>
      </c>
      <c r="H185" s="108" t="s">
        <v>12542</v>
      </c>
    </row>
    <row r="186" spans="1:8">
      <c r="A186" t="s">
        <v>12431</v>
      </c>
      <c r="B186" t="s">
        <v>12432</v>
      </c>
      <c r="C186" s="503" t="s">
        <v>12790</v>
      </c>
      <c r="D186" s="149" t="s">
        <v>12793</v>
      </c>
      <c r="E186" s="149" t="s">
        <v>12656</v>
      </c>
      <c r="F186" s="149" t="s">
        <v>12436</v>
      </c>
      <c r="G186" s="149" t="s">
        <v>12794</v>
      </c>
      <c r="H186" s="149" t="s">
        <v>12442</v>
      </c>
    </row>
    <row r="187" spans="1:8">
      <c r="C187" s="503" t="s">
        <v>12795</v>
      </c>
      <c r="D187" s="149" t="s">
        <v>12796</v>
      </c>
      <c r="E187" s="149" t="s">
        <v>12656</v>
      </c>
      <c r="F187" s="149" t="s">
        <v>12436</v>
      </c>
      <c r="G187" s="149" t="s">
        <v>12797</v>
      </c>
      <c r="H187" s="149" t="s">
        <v>12798</v>
      </c>
    </row>
    <row r="188" spans="1:8">
      <c r="A188" t="s">
        <v>12431</v>
      </c>
      <c r="B188" t="s">
        <v>12432</v>
      </c>
      <c r="C188" s="503" t="s">
        <v>12795</v>
      </c>
      <c r="D188" s="149" t="s">
        <v>12799</v>
      </c>
      <c r="E188" s="149" t="s">
        <v>12656</v>
      </c>
      <c r="F188" s="149" t="s">
        <v>12436</v>
      </c>
      <c r="G188" s="149" t="s">
        <v>12800</v>
      </c>
      <c r="H188" s="149" t="s">
        <v>12442</v>
      </c>
    </row>
    <row r="189" spans="1:8">
      <c r="A189" t="s">
        <v>12431</v>
      </c>
      <c r="B189" t="s">
        <v>12432</v>
      </c>
      <c r="C189" s="566" t="s">
        <v>12801</v>
      </c>
      <c r="D189" s="197" t="s">
        <v>6782</v>
      </c>
      <c r="E189" s="197" t="s">
        <v>12656</v>
      </c>
      <c r="F189" s="197" t="s">
        <v>12436</v>
      </c>
      <c r="G189" s="197" t="s">
        <v>12802</v>
      </c>
      <c r="H189" s="197" t="s">
        <v>12542</v>
      </c>
    </row>
    <row r="190" spans="1:8">
      <c r="A190" t="s">
        <v>12431</v>
      </c>
      <c r="B190" t="s">
        <v>12432</v>
      </c>
      <c r="C190" s="503" t="s">
        <v>12801</v>
      </c>
      <c r="D190" s="149" t="s">
        <v>6784</v>
      </c>
      <c r="E190" s="149" t="s">
        <v>12656</v>
      </c>
      <c r="F190" s="149" t="s">
        <v>12436</v>
      </c>
      <c r="G190" s="149" t="s">
        <v>12803</v>
      </c>
      <c r="H190" s="149" t="s">
        <v>7632</v>
      </c>
    </row>
    <row r="191" spans="1:8">
      <c r="A191" t="s">
        <v>12431</v>
      </c>
      <c r="C191" s="503" t="s">
        <v>12801</v>
      </c>
      <c r="D191" s="149" t="s">
        <v>12804</v>
      </c>
      <c r="E191" s="149" t="s">
        <v>12656</v>
      </c>
      <c r="F191" s="149" t="s">
        <v>12436</v>
      </c>
      <c r="G191" s="149" t="s">
        <v>12805</v>
      </c>
      <c r="H191" s="149" t="s">
        <v>12442</v>
      </c>
    </row>
    <row r="192" spans="1:8">
      <c r="A192" t="s">
        <v>12770</v>
      </c>
      <c r="B192" t="s">
        <v>12806</v>
      </c>
      <c r="C192" s="503" t="s">
        <v>12807</v>
      </c>
      <c r="D192" s="108" t="s">
        <v>12808</v>
      </c>
      <c r="E192" s="108" t="s">
        <v>12656</v>
      </c>
      <c r="F192" s="108" t="s">
        <v>12436</v>
      </c>
      <c r="G192" s="108" t="s">
        <v>12809</v>
      </c>
      <c r="H192" s="108" t="s">
        <v>12542</v>
      </c>
    </row>
    <row r="193" spans="1:8">
      <c r="A193" t="s">
        <v>12431</v>
      </c>
      <c r="B193" t="s">
        <v>12432</v>
      </c>
      <c r="C193" s="503" t="s">
        <v>12807</v>
      </c>
      <c r="D193" s="149" t="s">
        <v>6794</v>
      </c>
      <c r="E193" s="149" t="s">
        <v>12656</v>
      </c>
      <c r="F193" s="149" t="s">
        <v>12436</v>
      </c>
      <c r="G193" s="149" t="s">
        <v>12810</v>
      </c>
      <c r="H193" s="149" t="s">
        <v>12442</v>
      </c>
    </row>
    <row r="194" spans="1:8">
      <c r="C194" s="503"/>
      <c r="D194" s="149"/>
      <c r="E194" s="149"/>
      <c r="F194" s="149"/>
      <c r="G194" s="149"/>
      <c r="H194" s="149"/>
    </row>
    <row r="195" spans="1:8">
      <c r="C195" s="503"/>
      <c r="D195" s="341" t="s">
        <v>12811</v>
      </c>
      <c r="E195" s="149"/>
      <c r="F195" s="149"/>
      <c r="G195" s="149"/>
      <c r="H195" s="149"/>
    </row>
    <row r="196" spans="1:8">
      <c r="C196" s="503"/>
      <c r="D196" s="192"/>
      <c r="E196" s="192"/>
      <c r="F196" s="192"/>
      <c r="G196" s="651"/>
      <c r="H196" s="192"/>
    </row>
    <row r="197" spans="1:8">
      <c r="C197" s="503">
        <v>45293</v>
      </c>
      <c r="D197" s="108" t="s">
        <v>12812</v>
      </c>
      <c r="E197" s="108" t="s">
        <v>12656</v>
      </c>
      <c r="F197" s="108" t="s">
        <v>12437</v>
      </c>
      <c r="G197" s="644" t="s">
        <v>12813</v>
      </c>
      <c r="H197" s="108" t="s">
        <v>12542</v>
      </c>
    </row>
    <row r="198" spans="1:8">
      <c r="C198" s="503">
        <v>45293</v>
      </c>
      <c r="D198" s="149" t="s">
        <v>12814</v>
      </c>
      <c r="E198" s="650" t="s">
        <v>12656</v>
      </c>
      <c r="F198" s="192" t="s">
        <v>12437</v>
      </c>
      <c r="G198" s="149" t="s">
        <v>12815</v>
      </c>
      <c r="H198" s="186" t="s">
        <v>12749</v>
      </c>
    </row>
    <row r="199" spans="1:8">
      <c r="C199" s="566">
        <v>45293</v>
      </c>
      <c r="D199" s="186" t="s">
        <v>6809</v>
      </c>
      <c r="E199" s="186" t="s">
        <v>12656</v>
      </c>
      <c r="F199" s="186" t="s">
        <v>12437</v>
      </c>
      <c r="G199" s="186" t="s">
        <v>12816</v>
      </c>
      <c r="H199" s="186" t="s">
        <v>12442</v>
      </c>
    </row>
    <row r="200" spans="1:8">
      <c r="C200" s="503">
        <v>45293</v>
      </c>
      <c r="D200" s="192" t="s">
        <v>12817</v>
      </c>
      <c r="E200" s="192" t="s">
        <v>12656</v>
      </c>
      <c r="F200" s="192" t="s">
        <v>12437</v>
      </c>
      <c r="G200" s="192" t="s">
        <v>12818</v>
      </c>
      <c r="H200" s="192" t="s">
        <v>7632</v>
      </c>
    </row>
    <row r="201" spans="1:8">
      <c r="C201" s="503">
        <v>45324</v>
      </c>
      <c r="D201" s="108" t="s">
        <v>12819</v>
      </c>
      <c r="E201" s="108" t="s">
        <v>12656</v>
      </c>
      <c r="F201" s="108" t="s">
        <v>12437</v>
      </c>
      <c r="G201" s="108" t="s">
        <v>12820</v>
      </c>
      <c r="H201" s="108" t="s">
        <v>12542</v>
      </c>
    </row>
    <row r="202" spans="1:8">
      <c r="C202" s="503">
        <v>45353</v>
      </c>
      <c r="D202" s="108" t="s">
        <v>6813</v>
      </c>
      <c r="E202" s="108" t="s">
        <v>12656</v>
      </c>
      <c r="F202" s="108" t="s">
        <v>12437</v>
      </c>
      <c r="G202" s="108" t="s">
        <v>12821</v>
      </c>
      <c r="H202" s="108" t="s">
        <v>12542</v>
      </c>
    </row>
    <row r="203" spans="1:8">
      <c r="C203" s="503">
        <v>45414</v>
      </c>
      <c r="D203" s="108" t="s">
        <v>12822</v>
      </c>
      <c r="E203" s="108" t="s">
        <v>12656</v>
      </c>
      <c r="F203" s="108" t="s">
        <v>12437</v>
      </c>
      <c r="G203" s="108" t="s">
        <v>12823</v>
      </c>
      <c r="H203" s="108" t="s">
        <v>12542</v>
      </c>
    </row>
    <row r="204" spans="1:8">
      <c r="C204" s="503">
        <v>45414</v>
      </c>
      <c r="D204" s="108" t="s">
        <v>12824</v>
      </c>
      <c r="E204" s="108" t="s">
        <v>12656</v>
      </c>
      <c r="F204" s="108" t="s">
        <v>12437</v>
      </c>
      <c r="G204" s="108" t="s">
        <v>12825</v>
      </c>
      <c r="H204" s="108" t="s">
        <v>12542</v>
      </c>
    </row>
    <row r="205" spans="1:8">
      <c r="C205" s="503">
        <v>45445</v>
      </c>
      <c r="D205" s="149" t="s">
        <v>12826</v>
      </c>
      <c r="E205" s="149" t="s">
        <v>12656</v>
      </c>
      <c r="F205" s="149" t="s">
        <v>12437</v>
      </c>
      <c r="G205" s="149" t="s">
        <v>12827</v>
      </c>
      <c r="H205" s="149" t="s">
        <v>12442</v>
      </c>
    </row>
    <row r="206" spans="1:8">
      <c r="C206" s="503">
        <v>45475</v>
      </c>
      <c r="D206" s="108" t="s">
        <v>6823</v>
      </c>
      <c r="E206" s="108" t="s">
        <v>12656</v>
      </c>
      <c r="F206" s="108" t="s">
        <v>12437</v>
      </c>
      <c r="G206" s="108" t="s">
        <v>12828</v>
      </c>
      <c r="H206" s="108" t="s">
        <v>12542</v>
      </c>
    </row>
    <row r="207" spans="1:8">
      <c r="C207" s="503">
        <v>45329</v>
      </c>
      <c r="D207" s="149" t="s">
        <v>12829</v>
      </c>
      <c r="E207" s="149" t="s">
        <v>12656</v>
      </c>
      <c r="F207" s="149" t="s">
        <v>12437</v>
      </c>
      <c r="G207" s="149" t="s">
        <v>12830</v>
      </c>
      <c r="H207" s="149" t="s">
        <v>12634</v>
      </c>
    </row>
    <row r="208" spans="1:8">
      <c r="C208" s="503" t="s">
        <v>12831</v>
      </c>
      <c r="D208" s="108" t="s">
        <v>6831</v>
      </c>
      <c r="E208" s="108" t="s">
        <v>12656</v>
      </c>
      <c r="F208" s="108" t="s">
        <v>12437</v>
      </c>
      <c r="G208" s="108" t="s">
        <v>12832</v>
      </c>
      <c r="H208" s="108" t="s">
        <v>12542</v>
      </c>
    </row>
    <row r="209" spans="3:8">
      <c r="C209" s="503" t="s">
        <v>12833</v>
      </c>
      <c r="D209" s="149" t="s">
        <v>12834</v>
      </c>
      <c r="E209" s="149" t="s">
        <v>12656</v>
      </c>
      <c r="F209" s="149" t="s">
        <v>12437</v>
      </c>
      <c r="G209" s="149" t="s">
        <v>12835</v>
      </c>
      <c r="H209" s="149" t="s">
        <v>12442</v>
      </c>
    </row>
    <row r="210" spans="3:8">
      <c r="C210" s="503" t="s">
        <v>12836</v>
      </c>
      <c r="D210" s="149" t="s">
        <v>6840</v>
      </c>
      <c r="E210" s="149" t="s">
        <v>12656</v>
      </c>
      <c r="F210" s="149" t="s">
        <v>12437</v>
      </c>
      <c r="G210" s="192" t="s">
        <v>12837</v>
      </c>
      <c r="H210" s="149" t="s">
        <v>12442</v>
      </c>
    </row>
    <row r="211" spans="3:8">
      <c r="C211" s="503" t="s">
        <v>12836</v>
      </c>
      <c r="D211" s="108" t="s">
        <v>12838</v>
      </c>
      <c r="E211" s="108" t="s">
        <v>12656</v>
      </c>
      <c r="F211" s="108" t="s">
        <v>12437</v>
      </c>
      <c r="G211" s="108" t="s">
        <v>12839</v>
      </c>
      <c r="H211" s="108" t="s">
        <v>12542</v>
      </c>
    </row>
    <row r="212" spans="3:8">
      <c r="C212" s="503" t="s">
        <v>12840</v>
      </c>
      <c r="D212" s="108" t="s">
        <v>12841</v>
      </c>
      <c r="E212" s="108" t="s">
        <v>12656</v>
      </c>
      <c r="F212" s="108" t="s">
        <v>12437</v>
      </c>
      <c r="G212" s="108" t="s">
        <v>12842</v>
      </c>
      <c r="H212" s="108" t="s">
        <v>12542</v>
      </c>
    </row>
    <row r="213" spans="3:8">
      <c r="C213" s="503" t="s">
        <v>12843</v>
      </c>
      <c r="D213" s="108" t="s">
        <v>12844</v>
      </c>
      <c r="E213" s="108" t="s">
        <v>12656</v>
      </c>
      <c r="F213" s="108" t="s">
        <v>12437</v>
      </c>
      <c r="G213" s="108" t="s">
        <v>12845</v>
      </c>
      <c r="H213" s="108" t="s">
        <v>12542</v>
      </c>
    </row>
    <row r="214" spans="3:8">
      <c r="C214" s="503" t="s">
        <v>12843</v>
      </c>
      <c r="D214" s="149" t="s">
        <v>12846</v>
      </c>
      <c r="E214" s="149" t="s">
        <v>12656</v>
      </c>
      <c r="F214" s="149" t="s">
        <v>12437</v>
      </c>
      <c r="G214" s="149" t="s">
        <v>12847</v>
      </c>
      <c r="H214" s="149" t="s">
        <v>12442</v>
      </c>
    </row>
    <row r="215" spans="3:8">
      <c r="C215" s="566" t="s">
        <v>12848</v>
      </c>
      <c r="D215" s="186" t="s">
        <v>6848</v>
      </c>
      <c r="E215" s="186" t="s">
        <v>12656</v>
      </c>
      <c r="F215" s="186" t="s">
        <v>12437</v>
      </c>
      <c r="G215" s="186" t="s">
        <v>12849</v>
      </c>
      <c r="H215" s="186" t="s">
        <v>7632</v>
      </c>
    </row>
    <row r="216" spans="3:8">
      <c r="C216" s="503" t="s">
        <v>7353</v>
      </c>
      <c r="D216" s="149" t="s">
        <v>12850</v>
      </c>
      <c r="E216" s="149" t="s">
        <v>12656</v>
      </c>
      <c r="F216" s="149" t="s">
        <v>12437</v>
      </c>
      <c r="G216" s="149" t="s">
        <v>12851</v>
      </c>
      <c r="H216" s="149" t="s">
        <v>12442</v>
      </c>
    </row>
    <row r="217" spans="3:8">
      <c r="C217" s="503" t="s">
        <v>7353</v>
      </c>
      <c r="D217" s="108" t="s">
        <v>12852</v>
      </c>
      <c r="E217" s="108" t="s">
        <v>12656</v>
      </c>
      <c r="F217" s="108" t="s">
        <v>12437</v>
      </c>
      <c r="G217" s="108" t="s">
        <v>12853</v>
      </c>
      <c r="H217" s="108" t="s">
        <v>12542</v>
      </c>
    </row>
    <row r="218" spans="3:8">
      <c r="C218" s="503" t="s">
        <v>12854</v>
      </c>
      <c r="D218" s="108" t="s">
        <v>12855</v>
      </c>
      <c r="E218" s="108" t="s">
        <v>12656</v>
      </c>
      <c r="F218" s="108" t="s">
        <v>12437</v>
      </c>
      <c r="G218" s="108" t="s">
        <v>12856</v>
      </c>
      <c r="H218" s="108" t="s">
        <v>12542</v>
      </c>
    </row>
    <row r="219" spans="3:8">
      <c r="C219" s="503" t="s">
        <v>12857</v>
      </c>
      <c r="D219" s="149" t="s">
        <v>6304</v>
      </c>
      <c r="E219" s="149" t="s">
        <v>12656</v>
      </c>
      <c r="F219" s="149" t="s">
        <v>12437</v>
      </c>
      <c r="G219" s="149" t="s">
        <v>12858</v>
      </c>
      <c r="H219" s="149" t="s">
        <v>12442</v>
      </c>
    </row>
    <row r="220" spans="3:8">
      <c r="C220" s="503" t="s">
        <v>12859</v>
      </c>
      <c r="D220" s="149" t="s">
        <v>6869</v>
      </c>
      <c r="E220" s="149" t="s">
        <v>12656</v>
      </c>
      <c r="F220" s="149" t="s">
        <v>12437</v>
      </c>
      <c r="G220" s="149" t="s">
        <v>12860</v>
      </c>
      <c r="H220" s="149" t="s">
        <v>12442</v>
      </c>
    </row>
    <row r="221" spans="3:8">
      <c r="C221" s="503" t="s">
        <v>12859</v>
      </c>
      <c r="D221" s="149" t="s">
        <v>12861</v>
      </c>
      <c r="E221" s="149" t="s">
        <v>12656</v>
      </c>
      <c r="F221" s="149" t="s">
        <v>12437</v>
      </c>
      <c r="G221" s="149" t="s">
        <v>12862</v>
      </c>
      <c r="H221" s="149" t="s">
        <v>12442</v>
      </c>
    </row>
    <row r="222" spans="3:8">
      <c r="C222" s="503"/>
      <c r="D222" s="149"/>
      <c r="E222" s="149"/>
      <c r="F222" s="149"/>
      <c r="G222" s="149"/>
      <c r="H222" s="149"/>
    </row>
    <row r="223" spans="3:8">
      <c r="C223" s="503"/>
      <c r="D223" s="341" t="s">
        <v>12863</v>
      </c>
      <c r="E223" s="149"/>
      <c r="F223" s="149"/>
      <c r="G223" s="149"/>
      <c r="H223" s="149"/>
    </row>
    <row r="224" spans="3:8">
      <c r="C224" s="503"/>
      <c r="D224" s="149"/>
      <c r="E224" s="149"/>
      <c r="F224" s="149"/>
      <c r="G224" s="149"/>
      <c r="H224" s="149"/>
    </row>
    <row r="225" spans="3:9">
      <c r="C225" s="503">
        <v>45294</v>
      </c>
      <c r="D225" s="108" t="s">
        <v>12864</v>
      </c>
      <c r="E225" s="108" t="s">
        <v>12656</v>
      </c>
      <c r="F225" s="108" t="s">
        <v>12865</v>
      </c>
      <c r="G225" s="108" t="s">
        <v>12866</v>
      </c>
      <c r="H225" s="108" t="s">
        <v>12542</v>
      </c>
    </row>
    <row r="226" spans="3:9">
      <c r="C226" s="503">
        <v>45385</v>
      </c>
      <c r="D226" s="149" t="s">
        <v>12867</v>
      </c>
      <c r="E226" s="149" t="s">
        <v>12656</v>
      </c>
      <c r="F226" s="149" t="s">
        <v>12865</v>
      </c>
      <c r="G226" s="149" t="s">
        <v>12868</v>
      </c>
      <c r="H226" s="149" t="s">
        <v>12442</v>
      </c>
    </row>
    <row r="227" spans="3:9">
      <c r="C227" s="503">
        <v>45385</v>
      </c>
      <c r="D227" s="461" t="s">
        <v>12869</v>
      </c>
      <c r="E227" s="461" t="s">
        <v>12656</v>
      </c>
      <c r="F227" s="461" t="s">
        <v>12865</v>
      </c>
      <c r="G227" s="561" t="s">
        <v>12870</v>
      </c>
      <c r="H227" s="461" t="s">
        <v>8918</v>
      </c>
    </row>
    <row r="228" spans="3:9">
      <c r="C228" s="503">
        <v>45415</v>
      </c>
      <c r="D228" s="149" t="s">
        <v>12871</v>
      </c>
      <c r="E228" s="149" t="s">
        <v>12656</v>
      </c>
      <c r="F228" s="149" t="s">
        <v>12865</v>
      </c>
      <c r="G228" s="149" t="s">
        <v>12872</v>
      </c>
      <c r="H228" s="149" t="s">
        <v>12442</v>
      </c>
    </row>
    <row r="229" spans="3:9" hidden="1">
      <c r="C229" s="503">
        <v>45415</v>
      </c>
      <c r="D229" s="149" t="s">
        <v>12873</v>
      </c>
      <c r="E229" s="149"/>
      <c r="F229" s="149"/>
      <c r="G229" s="149"/>
      <c r="H229" s="149"/>
    </row>
    <row r="230" spans="3:9">
      <c r="C230" s="553">
        <v>45415</v>
      </c>
      <c r="D230" s="108" t="s">
        <v>12873</v>
      </c>
      <c r="E230" s="108" t="s">
        <v>12434</v>
      </c>
      <c r="F230" s="108" t="s">
        <v>12865</v>
      </c>
      <c r="G230" s="108" t="s">
        <v>12874</v>
      </c>
      <c r="H230" s="108" t="s">
        <v>12542</v>
      </c>
    </row>
    <row r="231" spans="3:9">
      <c r="C231" s="566">
        <v>45415</v>
      </c>
      <c r="D231" s="197" t="s">
        <v>12875</v>
      </c>
      <c r="E231" s="197" t="s">
        <v>12656</v>
      </c>
      <c r="F231" s="197" t="s">
        <v>12865</v>
      </c>
      <c r="G231" s="197" t="s">
        <v>12876</v>
      </c>
      <c r="H231" s="197" t="s">
        <v>12542</v>
      </c>
      <c r="I231" s="22"/>
    </row>
    <row r="232" spans="3:9">
      <c r="C232" s="503">
        <v>45415</v>
      </c>
      <c r="D232" s="108" t="s">
        <v>6831</v>
      </c>
      <c r="E232" s="108" t="s">
        <v>12656</v>
      </c>
      <c r="F232" s="108" t="s">
        <v>12865</v>
      </c>
      <c r="G232" s="108" t="s">
        <v>12877</v>
      </c>
      <c r="H232" s="108" t="s">
        <v>12542</v>
      </c>
      <c r="I232" s="22"/>
    </row>
    <row r="233" spans="3:9">
      <c r="C233" s="503">
        <v>45446</v>
      </c>
      <c r="D233" s="108" t="s">
        <v>12878</v>
      </c>
      <c r="E233" s="108" t="s">
        <v>12656</v>
      </c>
      <c r="F233" s="108" t="s">
        <v>12865</v>
      </c>
      <c r="G233" s="108" t="s">
        <v>12879</v>
      </c>
      <c r="H233" s="108" t="s">
        <v>12542</v>
      </c>
    </row>
    <row r="234" spans="3:9">
      <c r="C234" s="503">
        <v>45476</v>
      </c>
      <c r="D234" s="149" t="s">
        <v>12880</v>
      </c>
      <c r="E234" s="149" t="s">
        <v>12656</v>
      </c>
      <c r="F234" s="149" t="s">
        <v>12865</v>
      </c>
      <c r="G234" s="149" t="s">
        <v>12881</v>
      </c>
      <c r="H234" s="149" t="s">
        <v>12442</v>
      </c>
    </row>
    <row r="235" spans="3:9">
      <c r="C235" s="503">
        <v>45507</v>
      </c>
      <c r="D235" s="149" t="s">
        <v>12882</v>
      </c>
      <c r="E235" s="149" t="s">
        <v>12656</v>
      </c>
      <c r="F235" s="149" t="s">
        <v>12865</v>
      </c>
      <c r="G235" s="149" t="s">
        <v>12883</v>
      </c>
      <c r="H235" s="149" t="s">
        <v>12442</v>
      </c>
    </row>
    <row r="236" spans="3:9">
      <c r="C236" s="553">
        <v>45599</v>
      </c>
      <c r="D236" s="108" t="s">
        <v>12884</v>
      </c>
      <c r="E236" s="108" t="s">
        <v>12656</v>
      </c>
      <c r="F236" s="108" t="s">
        <v>12865</v>
      </c>
      <c r="G236" s="108" t="s">
        <v>12885</v>
      </c>
      <c r="H236" s="108" t="s">
        <v>12542</v>
      </c>
    </row>
    <row r="237" spans="3:9">
      <c r="C237" s="553">
        <v>45599</v>
      </c>
      <c r="D237" s="108" t="s">
        <v>6919</v>
      </c>
      <c r="E237" s="108" t="s">
        <v>12656</v>
      </c>
      <c r="F237" s="108" t="s">
        <v>12865</v>
      </c>
      <c r="G237" s="108" t="s">
        <v>12886</v>
      </c>
      <c r="H237" s="108" t="s">
        <v>12542</v>
      </c>
    </row>
    <row r="238" spans="3:9">
      <c r="C238" s="503">
        <v>45599</v>
      </c>
      <c r="D238" s="149" t="s">
        <v>12887</v>
      </c>
      <c r="E238" s="149" t="s">
        <v>12656</v>
      </c>
      <c r="F238" s="149" t="s">
        <v>12865</v>
      </c>
      <c r="G238" s="149" t="s">
        <v>12888</v>
      </c>
      <c r="H238" s="149" t="s">
        <v>12442</v>
      </c>
    </row>
    <row r="239" spans="3:9">
      <c r="C239" s="503">
        <v>45629</v>
      </c>
      <c r="D239" s="192" t="s">
        <v>12889</v>
      </c>
      <c r="E239" s="149" t="s">
        <v>12656</v>
      </c>
      <c r="F239" s="149" t="s">
        <v>12865</v>
      </c>
      <c r="G239" s="149" t="s">
        <v>12890</v>
      </c>
      <c r="H239" s="149" t="s">
        <v>7632</v>
      </c>
    </row>
    <row r="240" spans="3:9">
      <c r="C240" s="503">
        <v>45629</v>
      </c>
      <c r="D240" s="149" t="s">
        <v>12891</v>
      </c>
      <c r="E240" s="149" t="s">
        <v>12656</v>
      </c>
      <c r="F240" s="149" t="s">
        <v>12865</v>
      </c>
      <c r="G240" s="149" t="s">
        <v>12892</v>
      </c>
      <c r="H240" s="149" t="s">
        <v>12442</v>
      </c>
    </row>
    <row r="241" spans="3:8">
      <c r="C241" s="503" t="s">
        <v>12893</v>
      </c>
      <c r="D241" s="149" t="s">
        <v>6934</v>
      </c>
      <c r="E241" s="149" t="s">
        <v>12656</v>
      </c>
      <c r="F241" s="149" t="s">
        <v>12865</v>
      </c>
      <c r="G241" s="149" t="s">
        <v>12894</v>
      </c>
      <c r="H241" s="149" t="s">
        <v>12442</v>
      </c>
    </row>
    <row r="242" spans="3:8">
      <c r="C242" s="503" t="s">
        <v>12895</v>
      </c>
      <c r="D242" s="149" t="s">
        <v>12896</v>
      </c>
      <c r="E242" s="149" t="s">
        <v>12656</v>
      </c>
      <c r="F242" s="149" t="s">
        <v>12865</v>
      </c>
      <c r="G242" s="149" t="s">
        <v>12897</v>
      </c>
      <c r="H242" s="149" t="s">
        <v>12442</v>
      </c>
    </row>
    <row r="243" spans="3:8">
      <c r="C243" s="503" t="s">
        <v>11908</v>
      </c>
      <c r="D243" s="149" t="s">
        <v>6944</v>
      </c>
      <c r="E243" s="149" t="s">
        <v>12656</v>
      </c>
      <c r="F243" s="149" t="s">
        <v>12865</v>
      </c>
      <c r="G243" s="149" t="s">
        <v>12898</v>
      </c>
      <c r="H243" s="149" t="s">
        <v>12442</v>
      </c>
    </row>
    <row r="244" spans="3:8">
      <c r="C244" s="503" t="s">
        <v>12899</v>
      </c>
      <c r="D244" s="108" t="s">
        <v>6954</v>
      </c>
      <c r="E244" s="108" t="s">
        <v>12656</v>
      </c>
      <c r="F244" s="108" t="s">
        <v>12865</v>
      </c>
      <c r="G244" s="108" t="s">
        <v>12900</v>
      </c>
      <c r="H244" s="108" t="s">
        <v>12542</v>
      </c>
    </row>
    <row r="245" spans="3:8">
      <c r="C245" s="503" t="s">
        <v>12899</v>
      </c>
      <c r="D245" s="149" t="s">
        <v>12901</v>
      </c>
      <c r="E245" s="149" t="s">
        <v>12656</v>
      </c>
      <c r="F245" s="149" t="s">
        <v>12865</v>
      </c>
      <c r="G245" s="149" t="s">
        <v>12902</v>
      </c>
      <c r="H245" s="149" t="s">
        <v>12442</v>
      </c>
    </row>
    <row r="246" spans="3:8">
      <c r="C246" s="503" t="s">
        <v>12903</v>
      </c>
      <c r="D246" s="149" t="s">
        <v>12904</v>
      </c>
      <c r="E246" s="149" t="s">
        <v>12656</v>
      </c>
      <c r="F246" s="149" t="s">
        <v>12865</v>
      </c>
      <c r="G246" s="149" t="s">
        <v>12905</v>
      </c>
      <c r="H246" s="149" t="s">
        <v>12442</v>
      </c>
    </row>
    <row r="247" spans="3:8">
      <c r="C247" s="503" t="s">
        <v>12903</v>
      </c>
      <c r="D247" s="149" t="s">
        <v>12906</v>
      </c>
      <c r="E247" s="149" t="s">
        <v>12656</v>
      </c>
      <c r="F247" s="149" t="s">
        <v>12865</v>
      </c>
      <c r="G247" s="149" t="s">
        <v>12907</v>
      </c>
      <c r="H247" s="149" t="s">
        <v>12442</v>
      </c>
    </row>
    <row r="248" spans="3:8">
      <c r="C248" s="503" t="s">
        <v>12903</v>
      </c>
      <c r="D248" s="149" t="s">
        <v>12908</v>
      </c>
      <c r="E248" s="149" t="s">
        <v>12656</v>
      </c>
      <c r="F248" s="149" t="s">
        <v>12865</v>
      </c>
      <c r="G248" s="149" t="s">
        <v>12909</v>
      </c>
      <c r="H248" s="149" t="s">
        <v>12442</v>
      </c>
    </row>
    <row r="249" spans="3:8">
      <c r="C249" s="503" t="s">
        <v>12903</v>
      </c>
      <c r="D249" s="149" t="s">
        <v>12910</v>
      </c>
      <c r="E249" s="149" t="s">
        <v>12656</v>
      </c>
      <c r="F249" s="149" t="s">
        <v>12865</v>
      </c>
      <c r="G249" s="149" t="s">
        <v>12911</v>
      </c>
      <c r="H249" s="149" t="s">
        <v>12442</v>
      </c>
    </row>
    <row r="250" spans="3:8">
      <c r="C250" s="503" t="s">
        <v>12903</v>
      </c>
      <c r="D250" s="149" t="s">
        <v>12912</v>
      </c>
      <c r="E250" s="186" t="s">
        <v>12656</v>
      </c>
      <c r="F250" s="186" t="s">
        <v>12865</v>
      </c>
      <c r="G250" s="186" t="s">
        <v>12913</v>
      </c>
      <c r="H250" s="186" t="s">
        <v>12442</v>
      </c>
    </row>
    <row r="251" spans="3:8">
      <c r="C251" s="566" t="s">
        <v>12914</v>
      </c>
      <c r="D251" s="186" t="s">
        <v>12915</v>
      </c>
      <c r="E251" s="186" t="s">
        <v>12656</v>
      </c>
      <c r="F251" s="186" t="s">
        <v>12865</v>
      </c>
      <c r="G251" s="186" t="s">
        <v>12916</v>
      </c>
      <c r="H251" s="186" t="s">
        <v>12442</v>
      </c>
    </row>
    <row r="252" spans="3:8">
      <c r="C252" s="503" t="s">
        <v>12917</v>
      </c>
      <c r="D252" s="192" t="s">
        <v>12918</v>
      </c>
      <c r="E252" s="149" t="s">
        <v>12656</v>
      </c>
      <c r="F252" s="149" t="s">
        <v>12865</v>
      </c>
      <c r="G252" s="149" t="s">
        <v>12919</v>
      </c>
      <c r="H252" s="149" t="s">
        <v>12442</v>
      </c>
    </row>
    <row r="253" spans="3:8">
      <c r="C253" s="566" t="s">
        <v>12917</v>
      </c>
      <c r="D253" s="186" t="s">
        <v>6968</v>
      </c>
      <c r="E253" s="186" t="s">
        <v>12656</v>
      </c>
      <c r="F253" s="186" t="s">
        <v>12865</v>
      </c>
      <c r="G253" s="186" t="s">
        <v>12920</v>
      </c>
      <c r="H253" s="186" t="s">
        <v>12442</v>
      </c>
    </row>
    <row r="254" spans="3:8">
      <c r="C254" s="503" t="s">
        <v>12921</v>
      </c>
      <c r="D254" s="149" t="s">
        <v>12922</v>
      </c>
      <c r="E254" s="149" t="s">
        <v>12656</v>
      </c>
      <c r="F254" s="149" t="s">
        <v>12865</v>
      </c>
      <c r="G254" s="149" t="s">
        <v>12923</v>
      </c>
      <c r="H254" s="149" t="s">
        <v>12442</v>
      </c>
    </row>
    <row r="255" spans="3:8">
      <c r="C255" s="503"/>
      <c r="D255" s="149"/>
      <c r="E255" s="149"/>
      <c r="F255" s="149"/>
      <c r="G255" s="149"/>
      <c r="H255" s="149"/>
    </row>
    <row r="256" spans="3:8">
      <c r="C256" s="503"/>
      <c r="D256" s="695" t="s">
        <v>12924</v>
      </c>
      <c r="E256" s="149"/>
      <c r="F256" s="149"/>
      <c r="G256" s="149"/>
      <c r="H256" s="149"/>
    </row>
    <row r="257" spans="3:8">
      <c r="C257" s="503"/>
      <c r="D257" s="149"/>
      <c r="E257" s="149"/>
      <c r="F257" s="149"/>
      <c r="G257" s="149"/>
      <c r="H257" s="149"/>
    </row>
    <row r="258" spans="3:8">
      <c r="C258" s="503">
        <v>45295</v>
      </c>
      <c r="D258" s="108" t="s">
        <v>12925</v>
      </c>
      <c r="E258" s="108" t="s">
        <v>12656</v>
      </c>
      <c r="F258" s="108" t="s">
        <v>11012</v>
      </c>
      <c r="G258" s="108" t="s">
        <v>12926</v>
      </c>
      <c r="H258" s="108" t="s">
        <v>12542</v>
      </c>
    </row>
    <row r="259" spans="3:8">
      <c r="C259" s="503">
        <v>45508</v>
      </c>
      <c r="D259" s="149" t="s">
        <v>12927</v>
      </c>
      <c r="E259" s="149" t="s">
        <v>12656</v>
      </c>
      <c r="F259" s="149" t="s">
        <v>11012</v>
      </c>
      <c r="G259" s="149" t="s">
        <v>12928</v>
      </c>
      <c r="H259" s="149" t="s">
        <v>12442</v>
      </c>
    </row>
    <row r="260" spans="3:8">
      <c r="C260" s="503">
        <v>45508</v>
      </c>
      <c r="D260" s="697" t="s">
        <v>12929</v>
      </c>
      <c r="E260" s="149" t="s">
        <v>12656</v>
      </c>
      <c r="F260" s="149" t="s">
        <v>11012</v>
      </c>
      <c r="G260" s="149" t="s">
        <v>12930</v>
      </c>
      <c r="H260" s="149" t="s">
        <v>12442</v>
      </c>
    </row>
    <row r="261" spans="3:8">
      <c r="C261" s="503">
        <v>45508</v>
      </c>
      <c r="D261" s="149" t="s">
        <v>6992</v>
      </c>
      <c r="E261" s="149" t="s">
        <v>12656</v>
      </c>
      <c r="F261" s="149" t="s">
        <v>11012</v>
      </c>
      <c r="G261" s="149" t="s">
        <v>12931</v>
      </c>
      <c r="H261" s="149" t="s">
        <v>12749</v>
      </c>
    </row>
    <row r="262" spans="3:8">
      <c r="C262" s="503">
        <v>45508</v>
      </c>
      <c r="D262" s="149" t="s">
        <v>12932</v>
      </c>
      <c r="E262" s="149" t="s">
        <v>12656</v>
      </c>
      <c r="F262" s="149" t="s">
        <v>11012</v>
      </c>
      <c r="G262" s="149" t="s">
        <v>12933</v>
      </c>
      <c r="H262" s="149" t="s">
        <v>12442</v>
      </c>
    </row>
    <row r="263" spans="3:8">
      <c r="C263" s="503">
        <v>45508</v>
      </c>
      <c r="D263" s="192" t="s">
        <v>12934</v>
      </c>
      <c r="E263" s="149" t="s">
        <v>12656</v>
      </c>
      <c r="F263" s="149" t="s">
        <v>11012</v>
      </c>
      <c r="G263" s="149" t="s">
        <v>12935</v>
      </c>
      <c r="H263" s="149" t="s">
        <v>12442</v>
      </c>
    </row>
    <row r="264" spans="3:8">
      <c r="C264" s="503">
        <v>45569</v>
      </c>
      <c r="D264" s="149" t="s">
        <v>12936</v>
      </c>
      <c r="E264" s="149" t="s">
        <v>12656</v>
      </c>
      <c r="F264" s="149" t="s">
        <v>11012</v>
      </c>
      <c r="G264" s="149" t="s">
        <v>12937</v>
      </c>
      <c r="H264" s="149" t="s">
        <v>7632</v>
      </c>
    </row>
    <row r="265" spans="3:8">
      <c r="C265" s="503">
        <v>45630</v>
      </c>
      <c r="D265" s="108" t="s">
        <v>7014</v>
      </c>
      <c r="E265" s="108" t="s">
        <v>12656</v>
      </c>
      <c r="F265" s="108" t="s">
        <v>11012</v>
      </c>
      <c r="G265" s="108" t="s">
        <v>12938</v>
      </c>
      <c r="H265" s="108" t="s">
        <v>12542</v>
      </c>
    </row>
    <row r="266" spans="3:8">
      <c r="C266" s="503" t="s">
        <v>12939</v>
      </c>
      <c r="D266" s="149" t="s">
        <v>7016</v>
      </c>
      <c r="E266" s="149" t="s">
        <v>12656</v>
      </c>
      <c r="F266" s="149" t="s">
        <v>11012</v>
      </c>
      <c r="G266" s="149" t="s">
        <v>12940</v>
      </c>
      <c r="H266" s="149" t="s">
        <v>12442</v>
      </c>
    </row>
    <row r="267" spans="3:8">
      <c r="C267" s="503" t="s">
        <v>12939</v>
      </c>
      <c r="D267" s="149" t="s">
        <v>12941</v>
      </c>
      <c r="E267" s="149" t="s">
        <v>12656</v>
      </c>
      <c r="F267" s="149" t="s">
        <v>11012</v>
      </c>
      <c r="G267" s="149" t="s">
        <v>12942</v>
      </c>
      <c r="H267" s="149" t="s">
        <v>7632</v>
      </c>
    </row>
    <row r="268" spans="3:8">
      <c r="C268" s="566" t="s">
        <v>12943</v>
      </c>
      <c r="D268" s="108" t="s">
        <v>7024</v>
      </c>
      <c r="E268" s="197" t="s">
        <v>12656</v>
      </c>
      <c r="F268" s="197" t="s">
        <v>11012</v>
      </c>
      <c r="G268" s="197" t="s">
        <v>12944</v>
      </c>
      <c r="H268" s="197" t="s">
        <v>12542</v>
      </c>
    </row>
    <row r="269" spans="3:8">
      <c r="C269" s="503" t="s">
        <v>12945</v>
      </c>
      <c r="D269" s="149" t="s">
        <v>12946</v>
      </c>
      <c r="E269" s="149" t="s">
        <v>12656</v>
      </c>
      <c r="F269" s="149" t="s">
        <v>11012</v>
      </c>
      <c r="G269" s="149" t="s">
        <v>12947</v>
      </c>
      <c r="H269" s="149" t="s">
        <v>12442</v>
      </c>
    </row>
    <row r="270" spans="3:8">
      <c r="C270" s="503" t="s">
        <v>12948</v>
      </c>
      <c r="D270" s="149" t="s">
        <v>12949</v>
      </c>
      <c r="E270" s="149" t="s">
        <v>12656</v>
      </c>
      <c r="F270" s="149" t="s">
        <v>11012</v>
      </c>
      <c r="G270" s="149" t="s">
        <v>12950</v>
      </c>
      <c r="H270" s="149" t="s">
        <v>7632</v>
      </c>
    </row>
    <row r="271" spans="3:8">
      <c r="C271" s="503" t="s">
        <v>12948</v>
      </c>
      <c r="D271" s="149" t="s">
        <v>12951</v>
      </c>
      <c r="E271" s="149" t="s">
        <v>12656</v>
      </c>
      <c r="F271" s="149" t="s">
        <v>11012</v>
      </c>
      <c r="G271" s="149" t="s">
        <v>12952</v>
      </c>
      <c r="H271" s="149" t="s">
        <v>7632</v>
      </c>
    </row>
    <row r="272" spans="3:8">
      <c r="C272" s="503" t="s">
        <v>12953</v>
      </c>
      <c r="D272" s="149" t="s">
        <v>12954</v>
      </c>
      <c r="E272" s="149" t="s">
        <v>12656</v>
      </c>
      <c r="F272" s="149" t="s">
        <v>11012</v>
      </c>
      <c r="G272" s="149" t="s">
        <v>12955</v>
      </c>
      <c r="H272" s="149" t="s">
        <v>7632</v>
      </c>
    </row>
    <row r="273" spans="3:9">
      <c r="C273" s="503" t="s">
        <v>1643</v>
      </c>
      <c r="D273" s="186"/>
      <c r="E273" s="149"/>
      <c r="F273" s="149"/>
      <c r="G273" s="149"/>
      <c r="H273" s="149"/>
    </row>
    <row r="274" spans="3:9">
      <c r="C274" s="553"/>
      <c r="D274" s="695" t="s">
        <v>12956</v>
      </c>
      <c r="E274" s="149"/>
      <c r="F274" s="149"/>
      <c r="G274" s="149"/>
      <c r="H274" s="149"/>
    </row>
    <row r="275" spans="3:9">
      <c r="C275" s="699"/>
      <c r="D275" s="192"/>
      <c r="E275" s="192"/>
      <c r="F275" s="192"/>
      <c r="G275" s="192"/>
      <c r="H275" s="192"/>
    </row>
    <row r="276" spans="3:9">
      <c r="C276" s="699">
        <v>45420</v>
      </c>
      <c r="D276" s="149" t="s">
        <v>12957</v>
      </c>
      <c r="E276" s="149" t="s">
        <v>12656</v>
      </c>
      <c r="F276" s="149" t="s">
        <v>2715</v>
      </c>
      <c r="G276" s="149" t="s">
        <v>12958</v>
      </c>
      <c r="H276" s="149" t="s">
        <v>12442</v>
      </c>
    </row>
    <row r="277" spans="3:9">
      <c r="C277" s="699">
        <v>45420</v>
      </c>
      <c r="D277" s="149" t="s">
        <v>12959</v>
      </c>
      <c r="E277" s="149" t="s">
        <v>12434</v>
      </c>
      <c r="F277" s="149" t="s">
        <v>2715</v>
      </c>
      <c r="G277" s="149" t="s">
        <v>12960</v>
      </c>
      <c r="H277" s="149" t="s">
        <v>12749</v>
      </c>
    </row>
    <row r="278" spans="3:9">
      <c r="C278" s="699">
        <v>45420</v>
      </c>
      <c r="D278" s="108" t="s">
        <v>7074</v>
      </c>
      <c r="E278" s="108" t="s">
        <v>12656</v>
      </c>
      <c r="F278" s="108" t="s">
        <v>2715</v>
      </c>
      <c r="G278" s="108" t="s">
        <v>12961</v>
      </c>
      <c r="H278" s="108" t="s">
        <v>12542</v>
      </c>
    </row>
    <row r="279" spans="3:9">
      <c r="C279" s="699">
        <v>45420</v>
      </c>
      <c r="D279" s="108" t="s">
        <v>7078</v>
      </c>
      <c r="E279" s="108" t="s">
        <v>12656</v>
      </c>
      <c r="F279" s="108" t="s">
        <v>2715</v>
      </c>
      <c r="G279" s="108" t="s">
        <v>12962</v>
      </c>
      <c r="H279" s="108" t="s">
        <v>12542</v>
      </c>
    </row>
    <row r="280" spans="3:9">
      <c r="C280" s="699">
        <v>45422</v>
      </c>
      <c r="D280" s="108" t="s">
        <v>12963</v>
      </c>
      <c r="E280" s="108" t="s">
        <v>12656</v>
      </c>
      <c r="F280" s="108" t="s">
        <v>2715</v>
      </c>
      <c r="G280" s="108" t="s">
        <v>12964</v>
      </c>
      <c r="H280" s="108" t="s">
        <v>12542</v>
      </c>
      <c r="I280" s="22"/>
    </row>
    <row r="281" spans="3:9">
      <c r="C281" s="699">
        <v>45423</v>
      </c>
      <c r="D281" s="711" t="s">
        <v>12965</v>
      </c>
      <c r="E281" s="108" t="s">
        <v>12656</v>
      </c>
      <c r="F281" s="108" t="s">
        <v>2715</v>
      </c>
      <c r="G281" s="108" t="s">
        <v>12966</v>
      </c>
      <c r="H281" s="108" t="s">
        <v>12542</v>
      </c>
      <c r="I281" s="22"/>
    </row>
    <row r="282" spans="3:9">
      <c r="C282" s="713" t="s">
        <v>12967</v>
      </c>
      <c r="D282" s="108" t="s">
        <v>12968</v>
      </c>
      <c r="E282" s="108" t="s">
        <v>12656</v>
      </c>
      <c r="F282" s="108" t="s">
        <v>2715</v>
      </c>
      <c r="G282" s="108" t="s">
        <v>12969</v>
      </c>
      <c r="H282" s="108" t="s">
        <v>12542</v>
      </c>
    </row>
    <row r="283" spans="3:9">
      <c r="C283" s="699">
        <v>45426</v>
      </c>
      <c r="D283" s="108" t="s">
        <v>7090</v>
      </c>
      <c r="E283" s="108" t="s">
        <v>12656</v>
      </c>
      <c r="F283" s="108" t="s">
        <v>2715</v>
      </c>
      <c r="G283" s="108" t="s">
        <v>12970</v>
      </c>
      <c r="H283" s="108" t="s">
        <v>12542</v>
      </c>
    </row>
    <row r="284" spans="3:9">
      <c r="C284" s="699">
        <v>45426</v>
      </c>
      <c r="D284" s="149" t="s">
        <v>7092</v>
      </c>
      <c r="E284" s="149" t="s">
        <v>12656</v>
      </c>
      <c r="F284" s="149" t="s">
        <v>2715</v>
      </c>
      <c r="G284" s="149" t="s">
        <v>12971</v>
      </c>
      <c r="H284" s="149" t="s">
        <v>7632</v>
      </c>
    </row>
    <row r="285" spans="3:9">
      <c r="C285" s="699" t="s">
        <v>12972</v>
      </c>
      <c r="D285" s="149" t="s">
        <v>7102</v>
      </c>
      <c r="E285" s="149" t="s">
        <v>12434</v>
      </c>
      <c r="F285" s="149" t="s">
        <v>2715</v>
      </c>
      <c r="G285" s="149" t="s">
        <v>12973</v>
      </c>
      <c r="H285" s="149" t="s">
        <v>12442</v>
      </c>
    </row>
    <row r="286" spans="3:9">
      <c r="C286" s="712" t="s">
        <v>12974</v>
      </c>
      <c r="D286" s="197" t="s">
        <v>7106</v>
      </c>
      <c r="E286" s="197" t="s">
        <v>12656</v>
      </c>
      <c r="F286" s="197" t="s">
        <v>12438</v>
      </c>
      <c r="G286" s="197" t="s">
        <v>12975</v>
      </c>
      <c r="H286" s="197" t="s">
        <v>12542</v>
      </c>
    </row>
    <row r="287" spans="3:9">
      <c r="C287" s="699" t="s">
        <v>12976</v>
      </c>
      <c r="D287" s="149" t="s">
        <v>12977</v>
      </c>
      <c r="E287" s="149" t="s">
        <v>12656</v>
      </c>
      <c r="F287" s="149" t="s">
        <v>12438</v>
      </c>
      <c r="G287" s="149" t="s">
        <v>12978</v>
      </c>
      <c r="H287" s="149" t="s">
        <v>12442</v>
      </c>
    </row>
    <row r="288" spans="3:9">
      <c r="C288" s="699" t="s">
        <v>12979</v>
      </c>
      <c r="D288" s="149" t="s">
        <v>12980</v>
      </c>
      <c r="E288" s="149" t="s">
        <v>12656</v>
      </c>
      <c r="F288" s="149" t="s">
        <v>12438</v>
      </c>
      <c r="G288" s="149" t="s">
        <v>12981</v>
      </c>
      <c r="H288" s="149" t="s">
        <v>12442</v>
      </c>
    </row>
    <row r="289" spans="3:8">
      <c r="C289" s="699"/>
      <c r="D289" s="149"/>
      <c r="E289" s="149"/>
      <c r="F289" s="149"/>
      <c r="G289" s="149"/>
      <c r="H289" s="149"/>
    </row>
    <row r="290" spans="3:8">
      <c r="C290" s="699"/>
      <c r="D290" s="695" t="s">
        <v>12982</v>
      </c>
      <c r="E290" s="149"/>
      <c r="F290" s="149"/>
      <c r="G290" s="149"/>
      <c r="H290" s="149"/>
    </row>
    <row r="291" spans="3:8">
      <c r="C291" s="699"/>
      <c r="D291" s="695"/>
      <c r="E291" s="149"/>
      <c r="F291" s="149"/>
      <c r="G291" s="149"/>
      <c r="H291" s="149"/>
    </row>
    <row r="292" spans="3:8">
      <c r="C292" s="699">
        <v>45393</v>
      </c>
      <c r="D292" s="108" t="s">
        <v>7008</v>
      </c>
      <c r="E292" s="108" t="s">
        <v>12656</v>
      </c>
      <c r="F292" s="108" t="s">
        <v>2738</v>
      </c>
      <c r="G292" s="108" t="s">
        <v>12983</v>
      </c>
      <c r="H292" s="108" t="s">
        <v>12542</v>
      </c>
    </row>
    <row r="293" spans="3:8">
      <c r="C293" s="537">
        <v>45297</v>
      </c>
      <c r="D293" s="108" t="s">
        <v>12984</v>
      </c>
      <c r="E293" s="108" t="s">
        <v>12656</v>
      </c>
      <c r="F293" s="108" t="s">
        <v>12439</v>
      </c>
      <c r="G293" s="108" t="s">
        <v>12985</v>
      </c>
      <c r="H293" s="108" t="s">
        <v>12542</v>
      </c>
    </row>
    <row r="294" spans="3:8">
      <c r="C294" s="699">
        <v>45357</v>
      </c>
      <c r="D294" s="149" t="s">
        <v>12986</v>
      </c>
      <c r="E294" s="149" t="s">
        <v>12656</v>
      </c>
      <c r="F294" s="149" t="s">
        <v>12439</v>
      </c>
      <c r="G294" s="149" t="s">
        <v>12987</v>
      </c>
      <c r="H294" s="149" t="s">
        <v>7632</v>
      </c>
    </row>
    <row r="295" spans="3:8">
      <c r="C295" s="699">
        <v>45388</v>
      </c>
      <c r="D295" s="108" t="s">
        <v>12988</v>
      </c>
      <c r="E295" s="108" t="s">
        <v>12656</v>
      </c>
      <c r="F295" s="108" t="s">
        <v>12439</v>
      </c>
      <c r="G295" s="108" t="s">
        <v>12989</v>
      </c>
      <c r="H295" s="108" t="s">
        <v>12542</v>
      </c>
    </row>
    <row r="296" spans="3:8">
      <c r="C296" s="699">
        <v>45418</v>
      </c>
      <c r="D296" s="149" t="s">
        <v>12990</v>
      </c>
      <c r="E296" s="149" t="s">
        <v>12656</v>
      </c>
      <c r="F296" s="149" t="s">
        <v>12439</v>
      </c>
      <c r="G296" s="149" t="s">
        <v>12991</v>
      </c>
      <c r="H296" s="149" t="s">
        <v>12496</v>
      </c>
    </row>
    <row r="297" spans="3:8">
      <c r="C297" s="699">
        <v>45571</v>
      </c>
      <c r="D297" s="149" t="s">
        <v>7147</v>
      </c>
      <c r="E297" s="149" t="s">
        <v>12656</v>
      </c>
      <c r="F297" s="149" t="s">
        <v>2738</v>
      </c>
      <c r="G297" s="149" t="s">
        <v>12992</v>
      </c>
      <c r="H297" s="149" t="s">
        <v>7632</v>
      </c>
    </row>
    <row r="298" spans="3:8">
      <c r="C298" s="712">
        <v>45571</v>
      </c>
      <c r="D298" t="s">
        <v>12993</v>
      </c>
      <c r="E298" s="186" t="s">
        <v>12656</v>
      </c>
      <c r="F298" s="186" t="s">
        <v>2738</v>
      </c>
      <c r="G298" s="186" t="s">
        <v>12994</v>
      </c>
      <c r="H298" s="186" t="s">
        <v>7632</v>
      </c>
    </row>
    <row r="299" spans="3:8">
      <c r="C299" s="699">
        <v>45602</v>
      </c>
      <c r="D299" s="197" t="s">
        <v>12995</v>
      </c>
      <c r="E299" s="108" t="s">
        <v>12656</v>
      </c>
      <c r="F299" s="108" t="s">
        <v>2738</v>
      </c>
      <c r="G299" s="520" t="s">
        <v>12996</v>
      </c>
      <c r="H299" s="108" t="s">
        <v>12542</v>
      </c>
    </row>
    <row r="300" spans="3:8">
      <c r="C300" s="699" t="s">
        <v>12997</v>
      </c>
      <c r="D300" s="185" t="s">
        <v>12998</v>
      </c>
      <c r="E300" s="149" t="s">
        <v>12656</v>
      </c>
      <c r="F300" s="149" t="s">
        <v>12439</v>
      </c>
      <c r="G300" s="295" t="s">
        <v>12999</v>
      </c>
      <c r="H300" s="149" t="s">
        <v>12442</v>
      </c>
    </row>
    <row r="301" spans="3:8">
      <c r="C301" s="712" t="s">
        <v>13000</v>
      </c>
      <c r="D301" s="199" t="s">
        <v>7161</v>
      </c>
      <c r="E301" s="186" t="s">
        <v>12656</v>
      </c>
      <c r="F301" s="186" t="s">
        <v>2738</v>
      </c>
      <c r="G301" s="353" t="s">
        <v>13001</v>
      </c>
      <c r="H301" s="186" t="s">
        <v>12442</v>
      </c>
    </row>
    <row r="302" spans="3:8">
      <c r="C302" s="699" t="s">
        <v>13000</v>
      </c>
      <c r="D302" s="149" t="s">
        <v>13002</v>
      </c>
      <c r="E302" s="149" t="s">
        <v>12656</v>
      </c>
      <c r="F302" s="149" t="s">
        <v>12439</v>
      </c>
      <c r="G302" s="149" t="s">
        <v>13003</v>
      </c>
      <c r="H302" s="149" t="s">
        <v>13004</v>
      </c>
    </row>
    <row r="303" spans="3:8">
      <c r="C303" s="699" t="s">
        <v>13000</v>
      </c>
      <c r="D303" s="149" t="s">
        <v>13005</v>
      </c>
      <c r="E303" s="149" t="s">
        <v>12656</v>
      </c>
      <c r="F303" s="149" t="s">
        <v>12439</v>
      </c>
      <c r="G303" s="149" t="s">
        <v>13006</v>
      </c>
      <c r="H303" s="149" t="s">
        <v>12442</v>
      </c>
    </row>
    <row r="304" spans="3:8">
      <c r="C304" s="699" t="s">
        <v>13000</v>
      </c>
      <c r="D304" s="149" t="s">
        <v>13007</v>
      </c>
      <c r="E304" s="149" t="s">
        <v>12656</v>
      </c>
      <c r="F304" s="149" t="s">
        <v>12439</v>
      </c>
      <c r="G304" s="185" t="s">
        <v>13008</v>
      </c>
      <c r="H304" s="149" t="s">
        <v>12442</v>
      </c>
    </row>
    <row r="305" spans="3:8">
      <c r="C305" s="699" t="s">
        <v>13009</v>
      </c>
      <c r="D305" s="149" t="s">
        <v>7183</v>
      </c>
      <c r="E305" s="149" t="s">
        <v>12656</v>
      </c>
      <c r="F305" s="149" t="s">
        <v>12439</v>
      </c>
      <c r="G305" s="149" t="s">
        <v>13010</v>
      </c>
      <c r="H305" s="149" t="s">
        <v>13004</v>
      </c>
    </row>
    <row r="306" spans="3:8">
      <c r="C306" s="699"/>
      <c r="D306" s="149"/>
      <c r="E306" s="149"/>
      <c r="F306" s="149"/>
      <c r="G306" s="149"/>
      <c r="H306" s="149"/>
    </row>
    <row r="307" spans="3:8">
      <c r="C307" s="699"/>
      <c r="D307" s="729" t="s">
        <v>13011</v>
      </c>
      <c r="E307" s="149"/>
      <c r="F307" s="149"/>
      <c r="G307" s="149"/>
      <c r="H307" s="149"/>
    </row>
    <row r="308" spans="3:8">
      <c r="C308" s="712"/>
      <c r="D308" s="742"/>
      <c r="E308" s="186"/>
      <c r="F308" s="186"/>
      <c r="G308" s="186"/>
      <c r="H308" s="186"/>
    </row>
    <row r="309" spans="3:8">
      <c r="C309" s="712">
        <v>45474</v>
      </c>
      <c r="D309" s="197" t="s">
        <v>13012</v>
      </c>
      <c r="E309" s="197" t="s">
        <v>12656</v>
      </c>
      <c r="F309" s="197" t="s">
        <v>2755</v>
      </c>
      <c r="G309" s="197" t="s">
        <v>13013</v>
      </c>
      <c r="H309" s="197" t="s">
        <v>12542</v>
      </c>
    </row>
    <row r="310" spans="3:8">
      <c r="C310" s="699">
        <v>45449</v>
      </c>
      <c r="D310" s="108" t="s">
        <v>7197</v>
      </c>
      <c r="E310" s="108" t="s">
        <v>12656</v>
      </c>
      <c r="F310" s="108" t="s">
        <v>2755</v>
      </c>
      <c r="G310" s="108" t="s">
        <v>13014</v>
      </c>
      <c r="H310" s="108" t="s">
        <v>12542</v>
      </c>
    </row>
    <row r="311" spans="3:8">
      <c r="C311" s="699">
        <v>45298</v>
      </c>
      <c r="D311" s="108" t="s">
        <v>7203</v>
      </c>
      <c r="E311" s="108" t="s">
        <v>12434</v>
      </c>
      <c r="F311" s="108" t="s">
        <v>12440</v>
      </c>
      <c r="G311" s="108" t="s">
        <v>13015</v>
      </c>
      <c r="H311" s="108" t="s">
        <v>12542</v>
      </c>
    </row>
    <row r="312" spans="3:8">
      <c r="C312" s="699">
        <v>45298</v>
      </c>
      <c r="D312" s="149" t="s">
        <v>7205</v>
      </c>
      <c r="E312" s="149" t="s">
        <v>12656</v>
      </c>
      <c r="F312" s="149" t="s">
        <v>12440</v>
      </c>
      <c r="G312" s="149" t="s">
        <v>13016</v>
      </c>
      <c r="H312" s="149" t="s">
        <v>12442</v>
      </c>
    </row>
    <row r="313" spans="3:8">
      <c r="C313" s="699">
        <v>45329</v>
      </c>
      <c r="D313" s="149" t="s">
        <v>7207</v>
      </c>
      <c r="E313" s="149" t="s">
        <v>12656</v>
      </c>
      <c r="F313" s="149" t="s">
        <v>12440</v>
      </c>
      <c r="G313" s="149" t="s">
        <v>13017</v>
      </c>
      <c r="H313" s="149" t="s">
        <v>12634</v>
      </c>
    </row>
    <row r="314" spans="3:8">
      <c r="C314" s="699">
        <v>45476</v>
      </c>
      <c r="D314" s="149" t="s">
        <v>7212</v>
      </c>
      <c r="E314" s="149" t="s">
        <v>12656</v>
      </c>
      <c r="F314" s="149" t="s">
        <v>2755</v>
      </c>
      <c r="G314" s="149" t="s">
        <v>13018</v>
      </c>
      <c r="H314" s="149" t="s">
        <v>12634</v>
      </c>
    </row>
    <row r="315" spans="3:8">
      <c r="C315" s="712">
        <v>45476</v>
      </c>
      <c r="D315" s="186" t="s">
        <v>7214</v>
      </c>
      <c r="E315" s="186" t="s">
        <v>12656</v>
      </c>
      <c r="F315" s="186" t="s">
        <v>2755</v>
      </c>
      <c r="G315" s="149" t="s">
        <v>13019</v>
      </c>
      <c r="H315" s="149" t="s">
        <v>12634</v>
      </c>
    </row>
    <row r="316" spans="3:8">
      <c r="C316" s="503">
        <v>45358</v>
      </c>
      <c r="D316" s="149" t="s">
        <v>7216</v>
      </c>
      <c r="E316" s="149" t="s">
        <v>12656</v>
      </c>
      <c r="F316" s="149" t="s">
        <v>12440</v>
      </c>
      <c r="G316" s="149" t="s">
        <v>13020</v>
      </c>
      <c r="H316" s="149" t="s">
        <v>12442</v>
      </c>
    </row>
    <row r="317" spans="3:8">
      <c r="C317" s="503">
        <v>45389</v>
      </c>
      <c r="D317" s="149" t="s">
        <v>6595</v>
      </c>
      <c r="E317" s="149" t="s">
        <v>12656</v>
      </c>
      <c r="F317" s="149" t="s">
        <v>12440</v>
      </c>
      <c r="G317" s="149" t="s">
        <v>13021</v>
      </c>
      <c r="H317" s="149" t="s">
        <v>12442</v>
      </c>
    </row>
    <row r="318" spans="3:8">
      <c r="C318" s="503">
        <v>45419</v>
      </c>
      <c r="D318" s="149" t="s">
        <v>13022</v>
      </c>
      <c r="E318" s="149" t="s">
        <v>12434</v>
      </c>
      <c r="F318" s="149" t="s">
        <v>12440</v>
      </c>
      <c r="G318" s="149" t="s">
        <v>13023</v>
      </c>
      <c r="H318" s="149" t="s">
        <v>12442</v>
      </c>
    </row>
    <row r="319" spans="3:8">
      <c r="C319" s="503">
        <v>45511</v>
      </c>
      <c r="D319" s="108" t="s">
        <v>7226</v>
      </c>
      <c r="E319" s="108" t="s">
        <v>12434</v>
      </c>
      <c r="F319" s="108" t="s">
        <v>12440</v>
      </c>
      <c r="G319" s="108" t="s">
        <v>13024</v>
      </c>
      <c r="H319" s="108" t="s">
        <v>12542</v>
      </c>
    </row>
    <row r="320" spans="3:8">
      <c r="C320" s="566">
        <v>45511</v>
      </c>
      <c r="D320" s="197" t="s">
        <v>13025</v>
      </c>
      <c r="E320" s="197" t="s">
        <v>12434</v>
      </c>
      <c r="F320" s="197" t="s">
        <v>12440</v>
      </c>
      <c r="G320" s="197" t="s">
        <v>13026</v>
      </c>
      <c r="H320" s="197" t="s">
        <v>12542</v>
      </c>
    </row>
    <row r="321" spans="3:8">
      <c r="C321" s="503">
        <v>45511</v>
      </c>
      <c r="D321" s="108" t="s">
        <v>13027</v>
      </c>
      <c r="E321" s="108" t="s">
        <v>12656</v>
      </c>
      <c r="F321" s="108" t="s">
        <v>12440</v>
      </c>
      <c r="G321" s="108" t="s">
        <v>13028</v>
      </c>
      <c r="H321" s="108" t="s">
        <v>12542</v>
      </c>
    </row>
    <row r="322" spans="3:8">
      <c r="C322" s="566">
        <v>45572</v>
      </c>
      <c r="D322" s="186" t="s">
        <v>13029</v>
      </c>
      <c r="E322" s="186" t="s">
        <v>12656</v>
      </c>
      <c r="F322" s="186" t="s">
        <v>12440</v>
      </c>
      <c r="G322" s="186" t="s">
        <v>13030</v>
      </c>
      <c r="H322" s="186" t="s">
        <v>12442</v>
      </c>
    </row>
    <row r="323" spans="3:8">
      <c r="C323" s="503">
        <v>45603</v>
      </c>
      <c r="D323" s="149" t="s">
        <v>7242</v>
      </c>
      <c r="E323" s="149" t="s">
        <v>12656</v>
      </c>
      <c r="F323" s="149" t="s">
        <v>12440</v>
      </c>
      <c r="G323" s="149" t="s">
        <v>13031</v>
      </c>
      <c r="H323" s="149" t="s">
        <v>12634</v>
      </c>
    </row>
    <row r="324" spans="3:8">
      <c r="C324" s="566">
        <v>45633</v>
      </c>
      <c r="D324" s="197" t="s">
        <v>7244</v>
      </c>
      <c r="E324" s="197" t="s">
        <v>12656</v>
      </c>
      <c r="F324" s="197" t="s">
        <v>12440</v>
      </c>
      <c r="G324" s="197" t="s">
        <v>13032</v>
      </c>
      <c r="H324" s="197" t="s">
        <v>12542</v>
      </c>
    </row>
    <row r="325" spans="3:8">
      <c r="C325" s="503" t="s">
        <v>13033</v>
      </c>
      <c r="D325" s="149" t="s">
        <v>13034</v>
      </c>
      <c r="E325" s="149" t="s">
        <v>12434</v>
      </c>
      <c r="F325" s="149" t="s">
        <v>12440</v>
      </c>
      <c r="G325" s="149" t="s">
        <v>13035</v>
      </c>
      <c r="H325" s="149" t="s">
        <v>13004</v>
      </c>
    </row>
    <row r="326" spans="3:8">
      <c r="C326" s="503" t="s">
        <v>11073</v>
      </c>
      <c r="D326" s="149" t="s">
        <v>13036</v>
      </c>
      <c r="E326" s="149" t="s">
        <v>12656</v>
      </c>
      <c r="F326" s="149" t="s">
        <v>12440</v>
      </c>
      <c r="G326" s="149" t="s">
        <v>13037</v>
      </c>
      <c r="H326" s="149" t="s">
        <v>12442</v>
      </c>
    </row>
    <row r="327" spans="3:8">
      <c r="C327" s="503" t="s">
        <v>13038</v>
      </c>
      <c r="D327" s="149" t="s">
        <v>7254</v>
      </c>
      <c r="E327" s="149" t="s">
        <v>12434</v>
      </c>
      <c r="F327" s="149" t="s">
        <v>12440</v>
      </c>
      <c r="G327" s="149" t="s">
        <v>13039</v>
      </c>
      <c r="H327" s="149" t="s">
        <v>12442</v>
      </c>
    </row>
    <row r="328" spans="3:8">
      <c r="C328" s="566" t="s">
        <v>13040</v>
      </c>
      <c r="D328" s="186" t="s">
        <v>13041</v>
      </c>
      <c r="E328" s="186" t="s">
        <v>12656</v>
      </c>
      <c r="F328" s="186" t="s">
        <v>12440</v>
      </c>
      <c r="G328" s="186" t="s">
        <v>13042</v>
      </c>
      <c r="H328" s="186" t="s">
        <v>12442</v>
      </c>
    </row>
    <row r="329" spans="3:8">
      <c r="C329" s="503"/>
      <c r="D329" s="149"/>
      <c r="E329" s="149"/>
      <c r="F329" s="149"/>
      <c r="G329" s="149"/>
      <c r="H329" s="149"/>
    </row>
    <row r="330" spans="3:8">
      <c r="C330" s="503"/>
      <c r="D330" s="729" t="s">
        <v>13043</v>
      </c>
      <c r="E330" s="149"/>
      <c r="F330" s="149"/>
      <c r="G330" s="149"/>
      <c r="H330" s="149"/>
    </row>
    <row r="331" spans="3:8">
      <c r="C331" s="566">
        <v>45299</v>
      </c>
      <c r="D331" s="695" t="s">
        <v>13044</v>
      </c>
      <c r="E331" s="186" t="s">
        <v>12434</v>
      </c>
      <c r="F331" s="186" t="s">
        <v>10040</v>
      </c>
      <c r="G331" s="186" t="s">
        <v>13045</v>
      </c>
      <c r="H331" s="186" t="s">
        <v>12442</v>
      </c>
    </row>
    <row r="332" spans="3:8">
      <c r="C332" s="566">
        <v>45481</v>
      </c>
      <c r="D332" s="192" t="s">
        <v>7283</v>
      </c>
      <c r="E332" s="186" t="s">
        <v>12656</v>
      </c>
      <c r="F332" s="186" t="s">
        <v>10040</v>
      </c>
      <c r="G332" s="186" t="s">
        <v>13046</v>
      </c>
      <c r="H332" s="186" t="s">
        <v>12442</v>
      </c>
    </row>
    <row r="333" spans="3:8">
      <c r="C333" s="503">
        <v>45512</v>
      </c>
      <c r="D333" s="192" t="s">
        <v>7287</v>
      </c>
      <c r="E333" s="149" t="s">
        <v>12434</v>
      </c>
      <c r="F333" s="149" t="s">
        <v>10040</v>
      </c>
      <c r="G333" s="149" t="s">
        <v>13047</v>
      </c>
      <c r="H333" s="149" t="s">
        <v>12442</v>
      </c>
    </row>
    <row r="334" spans="3:8">
      <c r="C334" s="566">
        <v>45512</v>
      </c>
      <c r="D334" s="108" t="s">
        <v>13048</v>
      </c>
      <c r="E334" s="197" t="s">
        <v>12656</v>
      </c>
      <c r="F334" s="197" t="s">
        <v>10040</v>
      </c>
      <c r="G334" s="197" t="s">
        <v>13049</v>
      </c>
      <c r="H334" s="197" t="s">
        <v>12542</v>
      </c>
    </row>
    <row r="335" spans="3:8">
      <c r="C335" s="566">
        <v>45543</v>
      </c>
      <c r="D335" s="269" t="s">
        <v>13050</v>
      </c>
      <c r="E335" s="186" t="s">
        <v>12434</v>
      </c>
      <c r="F335" s="186" t="s">
        <v>10040</v>
      </c>
      <c r="G335" s="186" t="s">
        <v>13051</v>
      </c>
      <c r="H335" s="186" t="s">
        <v>12442</v>
      </c>
    </row>
    <row r="336" spans="3:8">
      <c r="C336" s="566">
        <v>45634</v>
      </c>
      <c r="D336" s="149" t="s">
        <v>13052</v>
      </c>
      <c r="E336" s="186" t="s">
        <v>12656</v>
      </c>
      <c r="F336" s="186" t="s">
        <v>10040</v>
      </c>
      <c r="G336" s="186" t="s">
        <v>13053</v>
      </c>
      <c r="H336" s="186" t="s">
        <v>12749</v>
      </c>
    </row>
    <row r="337" spans="3:8">
      <c r="C337" s="503" t="s">
        <v>13054</v>
      </c>
      <c r="D337" s="108" t="s">
        <v>13055</v>
      </c>
      <c r="E337" s="108" t="s">
        <v>12656</v>
      </c>
      <c r="F337" s="108" t="s">
        <v>10040</v>
      </c>
      <c r="G337" s="108" t="s">
        <v>13056</v>
      </c>
      <c r="H337" s="108" t="s">
        <v>12542</v>
      </c>
    </row>
    <row r="338" spans="3:8">
      <c r="C338" s="503" t="s">
        <v>13057</v>
      </c>
      <c r="D338" s="108" t="s">
        <v>13058</v>
      </c>
      <c r="E338" s="108" t="s">
        <v>12656</v>
      </c>
      <c r="F338" s="108" t="s">
        <v>10040</v>
      </c>
      <c r="G338" s="108" t="s">
        <v>13059</v>
      </c>
      <c r="H338" s="108" t="s">
        <v>12542</v>
      </c>
    </row>
    <row r="339" spans="3:8">
      <c r="C339" s="503" t="s">
        <v>13060</v>
      </c>
      <c r="D339" s="1" t="s">
        <v>13061</v>
      </c>
      <c r="E339" s="108" t="s">
        <v>12656</v>
      </c>
      <c r="F339" s="108" t="s">
        <v>10040</v>
      </c>
      <c r="G339" s="108" t="s">
        <v>13062</v>
      </c>
      <c r="H339" s="108" t="s">
        <v>12542</v>
      </c>
    </row>
    <row r="340" spans="3:8" hidden="1">
      <c r="C340" s="503" t="s">
        <v>13063</v>
      </c>
      <c r="D340" s="185" t="s">
        <v>13064</v>
      </c>
      <c r="E340" s="149"/>
      <c r="F340" s="149"/>
      <c r="G340" s="149"/>
      <c r="H340" s="149"/>
    </row>
    <row r="341" spans="3:8">
      <c r="C341" s="503" t="s">
        <v>13063</v>
      </c>
      <c r="D341" s="199" t="s">
        <v>13064</v>
      </c>
      <c r="E341" s="149" t="s">
        <v>12656</v>
      </c>
      <c r="F341" s="149" t="s">
        <v>10040</v>
      </c>
      <c r="G341" s="149" t="s">
        <v>13065</v>
      </c>
      <c r="H341" s="149" t="s">
        <v>12442</v>
      </c>
    </row>
    <row r="342" spans="3:8">
      <c r="C342" s="503"/>
      <c r="D342" s="149"/>
      <c r="E342" s="149"/>
      <c r="F342" s="149"/>
      <c r="G342" s="149"/>
      <c r="H342" s="149"/>
    </row>
    <row r="343" spans="3:8">
      <c r="C343" s="503"/>
      <c r="D343" s="729" t="s">
        <v>13066</v>
      </c>
      <c r="E343" s="149"/>
      <c r="F343" s="149"/>
      <c r="G343" s="149"/>
      <c r="H343" s="149"/>
    </row>
    <row r="344" spans="3:8">
      <c r="C344" s="503">
        <v>45537</v>
      </c>
      <c r="D344" s="108" t="s">
        <v>13067</v>
      </c>
      <c r="E344" s="108" t="s">
        <v>12656</v>
      </c>
      <c r="F344" s="108" t="s">
        <v>7543</v>
      </c>
      <c r="G344" s="108" t="s">
        <v>13068</v>
      </c>
      <c r="H344" s="108" t="s">
        <v>12542</v>
      </c>
    </row>
    <row r="345" spans="3:8">
      <c r="C345" s="566">
        <v>45452</v>
      </c>
      <c r="D345" s="197" t="s">
        <v>7328</v>
      </c>
      <c r="E345" s="197" t="s">
        <v>12434</v>
      </c>
      <c r="F345" s="197" t="s">
        <v>7543</v>
      </c>
      <c r="G345" s="197" t="s">
        <v>13069</v>
      </c>
      <c r="H345" s="197" t="s">
        <v>12542</v>
      </c>
    </row>
    <row r="346" spans="3:8">
      <c r="C346" s="503">
        <v>45544</v>
      </c>
      <c r="D346" s="149" t="s">
        <v>13070</v>
      </c>
      <c r="E346" s="149" t="s">
        <v>12656</v>
      </c>
      <c r="F346" s="149" t="s">
        <v>7543</v>
      </c>
      <c r="G346" s="149" t="s">
        <v>13071</v>
      </c>
      <c r="H346" s="149" t="s">
        <v>12442</v>
      </c>
    </row>
    <row r="347" spans="3:8">
      <c r="C347" s="503">
        <v>45635</v>
      </c>
      <c r="D347" s="149" t="s">
        <v>13072</v>
      </c>
      <c r="E347" s="149" t="s">
        <v>12434</v>
      </c>
      <c r="F347" s="149" t="s">
        <v>13073</v>
      </c>
      <c r="G347" s="149" t="s">
        <v>13074</v>
      </c>
      <c r="H347" s="149" t="s">
        <v>12442</v>
      </c>
    </row>
    <row r="348" spans="3:8">
      <c r="C348" s="503" t="s">
        <v>13075</v>
      </c>
      <c r="D348" s="108" t="s">
        <v>13076</v>
      </c>
      <c r="E348" s="108" t="s">
        <v>12656</v>
      </c>
      <c r="F348" s="108" t="s">
        <v>7543</v>
      </c>
      <c r="G348" s="108" t="s">
        <v>13077</v>
      </c>
      <c r="H348" s="108" t="s">
        <v>12542</v>
      </c>
    </row>
    <row r="349" spans="3:8">
      <c r="C349" s="503" t="s">
        <v>13078</v>
      </c>
      <c r="D349" s="149" t="s">
        <v>13079</v>
      </c>
      <c r="E349" s="149" t="s">
        <v>12656</v>
      </c>
      <c r="F349" s="149" t="s">
        <v>13073</v>
      </c>
      <c r="G349" s="149" t="s">
        <v>13080</v>
      </c>
      <c r="H349" s="149" t="s">
        <v>7632</v>
      </c>
    </row>
    <row r="350" spans="3:8">
      <c r="C350" s="503" t="s">
        <v>13078</v>
      </c>
      <c r="D350" s="149" t="s">
        <v>13081</v>
      </c>
      <c r="E350" s="149" t="s">
        <v>12656</v>
      </c>
      <c r="F350" s="149" t="s">
        <v>13073</v>
      </c>
      <c r="G350" s="149" t="s">
        <v>13082</v>
      </c>
      <c r="H350" s="149" t="s">
        <v>7632</v>
      </c>
    </row>
    <row r="351" spans="3:8">
      <c r="C351" s="503" t="s">
        <v>13078</v>
      </c>
      <c r="D351" s="149" t="s">
        <v>13083</v>
      </c>
      <c r="E351" s="149" t="s">
        <v>12656</v>
      </c>
      <c r="F351" s="149" t="s">
        <v>13073</v>
      </c>
      <c r="G351" s="149" t="s">
        <v>13084</v>
      </c>
      <c r="H351" s="149" t="s">
        <v>12442</v>
      </c>
    </row>
    <row r="352" spans="3:8">
      <c r="C352" s="503" t="s">
        <v>13085</v>
      </c>
      <c r="D352" s="149" t="s">
        <v>13086</v>
      </c>
      <c r="E352" s="149" t="s">
        <v>12656</v>
      </c>
      <c r="F352" s="149" t="s">
        <v>13073</v>
      </c>
      <c r="G352" s="149" t="s">
        <v>13087</v>
      </c>
      <c r="H352" s="149" t="s">
        <v>12442</v>
      </c>
    </row>
    <row r="353" spans="3:8">
      <c r="C353" s="503">
        <v>45558</v>
      </c>
      <c r="D353" s="149" t="s">
        <v>13088</v>
      </c>
      <c r="E353" s="149" t="s">
        <v>12656</v>
      </c>
      <c r="F353" s="149" t="s">
        <v>7543</v>
      </c>
      <c r="G353" s="149" t="s">
        <v>13089</v>
      </c>
      <c r="H353" s="149" t="s">
        <v>12634</v>
      </c>
    </row>
    <row r="354" spans="3:8">
      <c r="C354" s="503" t="s">
        <v>13090</v>
      </c>
      <c r="D354" s="149" t="s">
        <v>13091</v>
      </c>
      <c r="E354" s="149" t="s">
        <v>12656</v>
      </c>
      <c r="F354" s="149" t="s">
        <v>7543</v>
      </c>
      <c r="G354" s="149" t="s">
        <v>13092</v>
      </c>
      <c r="H354" s="149" t="s">
        <v>12442</v>
      </c>
    </row>
    <row r="355" spans="3:8">
      <c r="C355" s="503" t="s">
        <v>13090</v>
      </c>
      <c r="D355" s="149" t="s">
        <v>13093</v>
      </c>
      <c r="E355" s="149" t="s">
        <v>12656</v>
      </c>
      <c r="F355" s="149" t="s">
        <v>7543</v>
      </c>
      <c r="G355" s="149" t="s">
        <v>13094</v>
      </c>
      <c r="H355" s="149" t="s">
        <v>12749</v>
      </c>
    </row>
    <row r="356" spans="3:8">
      <c r="C356" s="503" t="s">
        <v>13095</v>
      </c>
      <c r="D356" s="149" t="s">
        <v>13096</v>
      </c>
      <c r="E356" s="149" t="s">
        <v>12656</v>
      </c>
      <c r="F356" s="149" t="s">
        <v>7543</v>
      </c>
      <c r="G356" s="149" t="s">
        <v>13097</v>
      </c>
      <c r="H356" s="149" t="s">
        <v>12442</v>
      </c>
    </row>
    <row r="357" spans="3:8">
      <c r="C357" s="503" t="s">
        <v>13098</v>
      </c>
      <c r="D357" s="149" t="s">
        <v>13099</v>
      </c>
      <c r="E357" s="149" t="s">
        <v>12656</v>
      </c>
      <c r="F357" s="149" t="s">
        <v>7543</v>
      </c>
      <c r="G357" s="149" t="s">
        <v>13100</v>
      </c>
      <c r="H357" s="149"/>
    </row>
    <row r="358" spans="3:8">
      <c r="C358" s="503"/>
      <c r="D358" s="149"/>
      <c r="E358" s="149"/>
      <c r="F358" s="149"/>
      <c r="G358" s="149"/>
      <c r="H358" s="149"/>
    </row>
    <row r="359" spans="3:8">
      <c r="C359" s="503"/>
      <c r="D359" s="729" t="s">
        <v>13101</v>
      </c>
      <c r="E359" s="149"/>
      <c r="F359" s="149"/>
      <c r="G359" s="149"/>
      <c r="H359" s="149"/>
    </row>
    <row r="360" spans="3:8">
      <c r="C360" s="503"/>
      <c r="D360" s="149"/>
      <c r="E360" s="149"/>
      <c r="F360" s="149"/>
      <c r="G360" s="149"/>
      <c r="H360" s="149"/>
    </row>
    <row r="361" spans="3:8">
      <c r="C361" s="503">
        <v>45566</v>
      </c>
      <c r="D361" s="149" t="s">
        <v>13102</v>
      </c>
      <c r="E361" s="149" t="s">
        <v>12656</v>
      </c>
      <c r="F361" s="149" t="s">
        <v>11114</v>
      </c>
      <c r="G361" s="149" t="s">
        <v>13103</v>
      </c>
      <c r="H361" s="149" t="s">
        <v>12442</v>
      </c>
    </row>
    <row r="362" spans="3:8">
      <c r="C362" s="503">
        <v>45566</v>
      </c>
      <c r="D362" s="108" t="s">
        <v>13104</v>
      </c>
      <c r="E362" s="108" t="s">
        <v>12656</v>
      </c>
      <c r="F362" s="108" t="s">
        <v>11114</v>
      </c>
      <c r="G362" s="108" t="s">
        <v>13105</v>
      </c>
      <c r="H362" s="108" t="s">
        <v>12542</v>
      </c>
    </row>
    <row r="363" spans="3:8">
      <c r="C363" s="503">
        <v>45566</v>
      </c>
      <c r="D363" s="149" t="s">
        <v>13106</v>
      </c>
      <c r="E363" s="149" t="s">
        <v>12656</v>
      </c>
      <c r="F363" s="149" t="s">
        <v>11114</v>
      </c>
      <c r="G363" s="149" t="s">
        <v>13107</v>
      </c>
      <c r="H363" s="149" t="s">
        <v>12442</v>
      </c>
    </row>
    <row r="364" spans="3:8">
      <c r="C364" s="503">
        <v>45568</v>
      </c>
      <c r="D364" s="149" t="s">
        <v>13108</v>
      </c>
      <c r="E364" s="149" t="s">
        <v>12656</v>
      </c>
      <c r="F364" s="149" t="s">
        <v>11114</v>
      </c>
      <c r="G364" s="149" t="s">
        <v>13109</v>
      </c>
      <c r="H364" s="149" t="s">
        <v>12442</v>
      </c>
    </row>
    <row r="365" spans="3:8">
      <c r="C365" s="503">
        <v>9</v>
      </c>
      <c r="D365" s="149" t="s">
        <v>13110</v>
      </c>
      <c r="E365" s="186" t="s">
        <v>12656</v>
      </c>
      <c r="F365" s="186" t="s">
        <v>11114</v>
      </c>
      <c r="G365" s="186" t="s">
        <v>13111</v>
      </c>
      <c r="H365" s="186" t="s">
        <v>12442</v>
      </c>
    </row>
    <row r="366" spans="3:8">
      <c r="C366" s="503">
        <v>45573</v>
      </c>
      <c r="D366" s="108" t="s">
        <v>13112</v>
      </c>
      <c r="E366" s="108" t="s">
        <v>12434</v>
      </c>
      <c r="F366" s="108" t="s">
        <v>11114</v>
      </c>
      <c r="G366" s="108" t="s">
        <v>13113</v>
      </c>
      <c r="H366" s="108" t="s">
        <v>12542</v>
      </c>
    </row>
    <row r="367" spans="3:8">
      <c r="C367" s="503">
        <v>45575</v>
      </c>
      <c r="D367" s="149" t="s">
        <v>13114</v>
      </c>
      <c r="E367" s="149" t="s">
        <v>12656</v>
      </c>
      <c r="F367" s="149" t="s">
        <v>11114</v>
      </c>
      <c r="G367" s="149" t="s">
        <v>13115</v>
      </c>
      <c r="H367" s="149" t="s">
        <v>12442</v>
      </c>
    </row>
    <row r="368" spans="3:8">
      <c r="C368" s="503" t="s">
        <v>13116</v>
      </c>
      <c r="D368" s="108" t="s">
        <v>13117</v>
      </c>
      <c r="E368" s="108" t="s">
        <v>12656</v>
      </c>
      <c r="F368" s="108" t="s">
        <v>11114</v>
      </c>
      <c r="G368" s="108" t="s">
        <v>13118</v>
      </c>
      <c r="H368" s="108" t="s">
        <v>12542</v>
      </c>
    </row>
    <row r="369" spans="3:8">
      <c r="C369" s="503" t="s">
        <v>13119</v>
      </c>
      <c r="D369" s="149" t="s">
        <v>6689</v>
      </c>
      <c r="E369" s="149" t="s">
        <v>12434</v>
      </c>
      <c r="F369" s="149" t="s">
        <v>11114</v>
      </c>
      <c r="G369" s="149" t="s">
        <v>13120</v>
      </c>
      <c r="H369" s="149" t="s">
        <v>12442</v>
      </c>
    </row>
    <row r="370" spans="3:8">
      <c r="C370" s="503" t="s">
        <v>11123</v>
      </c>
      <c r="D370" s="149" t="s">
        <v>13121</v>
      </c>
      <c r="E370" s="149" t="s">
        <v>12434</v>
      </c>
      <c r="F370" s="149" t="s">
        <v>11114</v>
      </c>
      <c r="G370" s="149" t="s">
        <v>13122</v>
      </c>
      <c r="H370" s="149" t="s">
        <v>12442</v>
      </c>
    </row>
    <row r="371" spans="3:8">
      <c r="C371" s="503" t="s">
        <v>13098</v>
      </c>
      <c r="D371" s="149" t="s">
        <v>13123</v>
      </c>
      <c r="E371" s="149" t="s">
        <v>12434</v>
      </c>
      <c r="F371" s="149" t="s">
        <v>11114</v>
      </c>
      <c r="G371" s="149" t="s">
        <v>13124</v>
      </c>
      <c r="H371" s="149" t="s">
        <v>7632</v>
      </c>
    </row>
    <row r="372" spans="3:8">
      <c r="C372" s="503"/>
      <c r="D372" s="149"/>
      <c r="E372" s="149"/>
      <c r="F372" s="149"/>
      <c r="G372" s="149"/>
      <c r="H372" s="149"/>
    </row>
    <row r="373" spans="3:8">
      <c r="C373" s="503"/>
      <c r="D373" s="729" t="s">
        <v>13125</v>
      </c>
      <c r="E373" s="149"/>
      <c r="F373" s="149"/>
      <c r="G373" s="149"/>
      <c r="H373" s="149"/>
    </row>
    <row r="374" spans="3:8">
      <c r="C374" s="503"/>
      <c r="D374" s="149"/>
      <c r="E374" s="149"/>
      <c r="F374" s="149"/>
      <c r="G374" s="149"/>
      <c r="H374" s="149"/>
    </row>
    <row r="375" spans="3:8">
      <c r="C375" s="503">
        <v>45302</v>
      </c>
      <c r="D375" s="108" t="s">
        <v>13126</v>
      </c>
      <c r="E375" s="108" t="s">
        <v>12434</v>
      </c>
      <c r="F375" s="108" t="s">
        <v>10871</v>
      </c>
      <c r="G375" s="108" t="s">
        <v>13127</v>
      </c>
      <c r="H375" s="108" t="s">
        <v>12542</v>
      </c>
    </row>
    <row r="376" spans="3:8">
      <c r="C376" s="503">
        <v>45302</v>
      </c>
      <c r="D376" s="108" t="s">
        <v>13128</v>
      </c>
      <c r="E376" s="108" t="s">
        <v>12656</v>
      </c>
      <c r="F376" s="108" t="s">
        <v>10871</v>
      </c>
      <c r="G376" s="108" t="s">
        <v>13129</v>
      </c>
      <c r="H376" s="108" t="s">
        <v>12542</v>
      </c>
    </row>
    <row r="377" spans="3:8">
      <c r="C377" s="503">
        <v>45597</v>
      </c>
      <c r="D377" s="697" t="s">
        <v>13130</v>
      </c>
      <c r="E377" s="149" t="s">
        <v>12656</v>
      </c>
      <c r="F377" s="149" t="s">
        <v>10871</v>
      </c>
      <c r="G377" s="149" t="s">
        <v>13131</v>
      </c>
      <c r="H377" s="149" t="s">
        <v>13132</v>
      </c>
    </row>
    <row r="378" spans="3:8">
      <c r="C378" s="503">
        <v>45393</v>
      </c>
      <c r="D378" s="149" t="s">
        <v>13133</v>
      </c>
      <c r="E378" s="149" t="s">
        <v>12434</v>
      </c>
      <c r="F378" s="149" t="s">
        <v>10871</v>
      </c>
      <c r="G378" s="149" t="s">
        <v>13134</v>
      </c>
      <c r="H378" s="149" t="s">
        <v>12442</v>
      </c>
    </row>
    <row r="379" spans="3:8">
      <c r="C379" s="503">
        <v>45423</v>
      </c>
      <c r="D379" s="631" t="s">
        <v>13135</v>
      </c>
      <c r="E379" s="631" t="s">
        <v>12656</v>
      </c>
      <c r="F379" s="631" t="s">
        <v>10871</v>
      </c>
      <c r="G379" s="631" t="s">
        <v>13136</v>
      </c>
      <c r="H379" s="631" t="s">
        <v>11009</v>
      </c>
    </row>
    <row r="380" spans="3:8">
      <c r="C380" s="503">
        <v>45484</v>
      </c>
      <c r="D380" s="108" t="s">
        <v>13137</v>
      </c>
      <c r="E380" s="108" t="s">
        <v>12656</v>
      </c>
      <c r="F380" s="108" t="s">
        <v>10871</v>
      </c>
      <c r="G380" s="108" t="s">
        <v>13138</v>
      </c>
      <c r="H380" s="108" t="s">
        <v>12542</v>
      </c>
    </row>
    <row r="381" spans="3:8">
      <c r="C381" s="503">
        <v>45484</v>
      </c>
      <c r="D381" s="108" t="s">
        <v>13137</v>
      </c>
      <c r="E381" s="108" t="s">
        <v>12656</v>
      </c>
      <c r="F381" s="108" t="s">
        <v>10871</v>
      </c>
      <c r="G381" s="108" t="s">
        <v>13139</v>
      </c>
      <c r="H381" s="108" t="s">
        <v>12542</v>
      </c>
    </row>
    <row r="382" spans="3:8">
      <c r="C382" s="503">
        <v>45607</v>
      </c>
      <c r="D382" s="149" t="s">
        <v>13140</v>
      </c>
      <c r="E382" s="149" t="s">
        <v>12656</v>
      </c>
      <c r="F382" s="149" t="s">
        <v>10871</v>
      </c>
      <c r="G382" s="149" t="s">
        <v>13141</v>
      </c>
      <c r="H382" s="149" t="s">
        <v>12442</v>
      </c>
    </row>
    <row r="383" spans="3:8">
      <c r="C383" s="503">
        <v>45607</v>
      </c>
      <c r="D383" s="149" t="s">
        <v>13142</v>
      </c>
      <c r="E383" s="149" t="s">
        <v>12656</v>
      </c>
      <c r="F383" s="149" t="s">
        <v>10871</v>
      </c>
      <c r="G383" s="149" t="s">
        <v>13143</v>
      </c>
      <c r="H383" s="149" t="s">
        <v>12442</v>
      </c>
    </row>
    <row r="384" spans="3:8">
      <c r="C384" s="503">
        <v>45607</v>
      </c>
      <c r="D384" s="108" t="s">
        <v>13144</v>
      </c>
      <c r="E384" s="108" t="s">
        <v>12656</v>
      </c>
      <c r="F384" s="108" t="s">
        <v>10871</v>
      </c>
      <c r="G384" s="108" t="s">
        <v>13145</v>
      </c>
      <c r="H384" s="108" t="s">
        <v>12542</v>
      </c>
    </row>
    <row r="385" spans="3:8">
      <c r="C385" s="566" t="s">
        <v>13146</v>
      </c>
      <c r="D385" s="186" t="s">
        <v>13147</v>
      </c>
      <c r="E385" s="186" t="s">
        <v>12434</v>
      </c>
      <c r="F385" s="186" t="s">
        <v>10871</v>
      </c>
      <c r="G385" s="186" t="s">
        <v>13148</v>
      </c>
      <c r="H385" s="186" t="s">
        <v>12442</v>
      </c>
    </row>
    <row r="386" spans="3:8">
      <c r="C386" s="503" t="s">
        <v>13149</v>
      </c>
      <c r="D386" s="149" t="s">
        <v>13150</v>
      </c>
      <c r="E386" s="149" t="s">
        <v>12656</v>
      </c>
      <c r="F386" s="149" t="s">
        <v>10871</v>
      </c>
      <c r="G386" s="149" t="s">
        <v>13151</v>
      </c>
      <c r="H386" s="149" t="s">
        <v>13132</v>
      </c>
    </row>
    <row r="387" spans="3:8">
      <c r="C387" s="503" t="s">
        <v>13149</v>
      </c>
      <c r="D387" s="108" t="s">
        <v>13152</v>
      </c>
      <c r="E387" s="108" t="s">
        <v>12434</v>
      </c>
      <c r="F387" s="108" t="s">
        <v>10871</v>
      </c>
      <c r="G387" s="108" t="s">
        <v>13153</v>
      </c>
      <c r="H387" s="108" t="s">
        <v>12542</v>
      </c>
    </row>
    <row r="388" spans="3:8">
      <c r="C388" s="503">
        <v>45610</v>
      </c>
      <c r="D388" s="149" t="s">
        <v>13154</v>
      </c>
      <c r="E388" s="149" t="s">
        <v>12656</v>
      </c>
      <c r="F388" s="149" t="s">
        <v>10871</v>
      </c>
      <c r="G388" s="149" t="s">
        <v>13155</v>
      </c>
      <c r="H388" s="186" t="s">
        <v>12442</v>
      </c>
    </row>
    <row r="389" spans="3:8">
      <c r="C389" s="503"/>
      <c r="D389" s="149"/>
      <c r="E389" s="149"/>
      <c r="F389" s="149"/>
      <c r="G389" s="149"/>
      <c r="H389" s="149"/>
    </row>
    <row r="390" spans="3:8">
      <c r="C390" s="503"/>
      <c r="D390" s="149"/>
      <c r="E390" s="149"/>
      <c r="F390" s="149"/>
      <c r="G390" s="149"/>
      <c r="H390" s="149"/>
    </row>
    <row r="391" spans="3:8">
      <c r="C391" s="503"/>
      <c r="D391" s="149"/>
      <c r="E391" s="149"/>
      <c r="F391" s="149"/>
      <c r="G391" s="149"/>
      <c r="H391" s="149"/>
    </row>
    <row r="392" spans="3:8">
      <c r="C392" s="503"/>
      <c r="D392" s="149"/>
      <c r="E392" s="149"/>
      <c r="F392" s="149"/>
      <c r="G392" s="149"/>
      <c r="H392" s="149"/>
    </row>
    <row r="393" spans="3:8">
      <c r="C393" s="503"/>
      <c r="D393" s="149"/>
      <c r="E393" s="149"/>
      <c r="F393" s="149"/>
      <c r="G393" s="149"/>
      <c r="H393" s="149"/>
    </row>
    <row r="394" spans="3:8">
      <c r="C394" s="503"/>
      <c r="D394" s="149"/>
      <c r="E394" s="149"/>
      <c r="F394" s="149"/>
      <c r="G394" s="149"/>
      <c r="H394" s="149"/>
    </row>
    <row r="395" spans="3:8">
      <c r="C395" s="503"/>
      <c r="D395" s="149"/>
      <c r="E395" s="149"/>
      <c r="F395" s="149"/>
      <c r="G395" s="149"/>
      <c r="H395" s="149"/>
    </row>
    <row r="396" spans="3:8">
      <c r="C396" s="503"/>
      <c r="D396" s="192"/>
      <c r="E396" s="149"/>
      <c r="F396" s="149"/>
      <c r="G396" s="149"/>
      <c r="H396" s="149"/>
    </row>
    <row r="397" spans="3:8">
      <c r="C397" s="503"/>
      <c r="D397" s="192"/>
      <c r="E397" s="149" t="s">
        <v>13156</v>
      </c>
      <c r="F397" s="149"/>
      <c r="G397" s="149"/>
      <c r="H397" s="149"/>
    </row>
    <row r="398" spans="3:8">
      <c r="C398" s="503"/>
      <c r="D398" s="192"/>
      <c r="E398" s="149"/>
      <c r="F398" s="149"/>
      <c r="G398" s="149"/>
      <c r="H398" s="149"/>
    </row>
    <row r="399" spans="3:8">
      <c r="C399" s="503"/>
      <c r="D399" s="149"/>
      <c r="E399" s="149"/>
      <c r="F399" s="149"/>
      <c r="G399" s="149"/>
      <c r="H399" s="149"/>
    </row>
    <row r="400" spans="3:8">
      <c r="C400" s="503"/>
      <c r="D400" s="149"/>
      <c r="E400" s="149"/>
      <c r="F400" s="149"/>
      <c r="G400" s="149"/>
      <c r="H400" s="149"/>
    </row>
    <row r="401" spans="3:8">
      <c r="C401" s="503"/>
      <c r="D401" s="149"/>
      <c r="E401" s="149"/>
      <c r="F401" s="149"/>
      <c r="G401" s="149"/>
      <c r="H401" s="149"/>
    </row>
    <row r="402" spans="3:8">
      <c r="C402" s="503"/>
      <c r="D402" s="149"/>
      <c r="E402" s="149"/>
      <c r="F402" s="149"/>
      <c r="G402" s="149"/>
      <c r="H402" s="149"/>
    </row>
    <row r="403" spans="3:8">
      <c r="C403" s="503"/>
      <c r="D403" s="149"/>
      <c r="E403" s="149"/>
      <c r="F403" s="149"/>
      <c r="G403" s="149"/>
      <c r="H403" s="149"/>
    </row>
    <row r="404" spans="3:8">
      <c r="C404" s="503"/>
      <c r="D404" s="149"/>
      <c r="E404" s="149"/>
      <c r="F404" s="149"/>
      <c r="G404" s="149"/>
      <c r="H404" s="149"/>
    </row>
    <row r="405" spans="3:8">
      <c r="C405" s="503"/>
      <c r="D405" s="149"/>
      <c r="E405" s="149"/>
      <c r="F405" s="149"/>
      <c r="G405" s="149"/>
      <c r="H405" s="149"/>
    </row>
    <row r="406" spans="3:8">
      <c r="C406" s="503"/>
      <c r="D406" s="149"/>
      <c r="E406" s="149"/>
      <c r="F406" s="149"/>
      <c r="G406" s="149"/>
      <c r="H406" s="149"/>
    </row>
    <row r="407" spans="3:8">
      <c r="C407" s="503"/>
      <c r="D407" s="149"/>
      <c r="E407" s="149"/>
      <c r="F407" s="149"/>
      <c r="G407" s="149"/>
      <c r="H407" s="149"/>
    </row>
    <row r="408" spans="3:8">
      <c r="C408" s="503"/>
      <c r="D408" s="149"/>
      <c r="E408" s="149"/>
      <c r="F408" s="149"/>
      <c r="G408" s="149"/>
      <c r="H408" s="149"/>
    </row>
    <row r="409" spans="3:8">
      <c r="C409" s="537"/>
    </row>
    <row r="410" spans="3:8">
      <c r="C410" s="537"/>
    </row>
    <row r="411" spans="3:8">
      <c r="C411" s="537"/>
    </row>
    <row r="412" spans="3:8">
      <c r="C412" s="537"/>
    </row>
    <row r="413" spans="3:8">
      <c r="C413" s="537"/>
    </row>
    <row r="414" spans="3:8">
      <c r="C414" s="537"/>
    </row>
    <row r="415" spans="3:8">
      <c r="C415" s="537"/>
    </row>
    <row r="416" spans="3:8">
      <c r="C416" s="537"/>
    </row>
    <row r="417" spans="3:3">
      <c r="C417" s="537"/>
    </row>
    <row r="418" spans="3:3">
      <c r="C418" s="537"/>
    </row>
    <row r="419" spans="3:3">
      <c r="C419" s="537"/>
    </row>
    <row r="420" spans="3:3">
      <c r="C420" s="537"/>
    </row>
    <row r="421" spans="3:3">
      <c r="C421" s="537"/>
    </row>
    <row r="422" spans="3:3">
      <c r="C422" s="537"/>
    </row>
    <row r="423" spans="3:3">
      <c r="C423" s="537"/>
    </row>
    <row r="424" spans="3:3">
      <c r="C424" s="537"/>
    </row>
    <row r="425" spans="3:3">
      <c r="C425" s="537"/>
    </row>
    <row r="426" spans="3:3">
      <c r="C426" s="537"/>
    </row>
    <row r="427" spans="3:3">
      <c r="C427" s="537"/>
    </row>
    <row r="428" spans="3:3">
      <c r="C428" s="537"/>
    </row>
    <row r="429" spans="3:3">
      <c r="C429" s="537"/>
    </row>
    <row r="430" spans="3:3">
      <c r="C430" s="537"/>
    </row>
    <row r="431" spans="3:3">
      <c r="C431" s="537"/>
    </row>
    <row r="432" spans="3:3">
      <c r="C432" s="537"/>
    </row>
    <row r="433" spans="3:3">
      <c r="C433" s="537"/>
    </row>
    <row r="434" spans="3:3">
      <c r="C434" s="537"/>
    </row>
    <row r="435" spans="3:3">
      <c r="C435" s="537"/>
    </row>
    <row r="436" spans="3:3">
      <c r="C436" s="537"/>
    </row>
    <row r="437" spans="3:3">
      <c r="C437" s="537"/>
    </row>
    <row r="438" spans="3:3">
      <c r="C438" s="537"/>
    </row>
    <row r="439" spans="3:3">
      <c r="C439" s="537"/>
    </row>
    <row r="440" spans="3:3">
      <c r="C440" s="537"/>
    </row>
    <row r="441" spans="3:3">
      <c r="C441" s="537"/>
    </row>
    <row r="442" spans="3:3">
      <c r="C442" s="537"/>
    </row>
    <row r="443" spans="3:3">
      <c r="C443" s="537"/>
    </row>
    <row r="444" spans="3:3">
      <c r="C444" s="537"/>
    </row>
    <row r="445" spans="3:3">
      <c r="C445" s="537"/>
    </row>
    <row r="446" spans="3:3">
      <c r="C446" s="537"/>
    </row>
    <row r="447" spans="3:3">
      <c r="C447" s="537"/>
    </row>
    <row r="448" spans="3:3">
      <c r="C448" s="537"/>
    </row>
    <row r="449" spans="3:3">
      <c r="C449" s="537"/>
    </row>
    <row r="450" spans="3:3">
      <c r="C450" s="537"/>
    </row>
    <row r="451" spans="3:3">
      <c r="C451" s="537"/>
    </row>
    <row r="452" spans="3:3">
      <c r="C452" s="537"/>
    </row>
    <row r="453" spans="3:3">
      <c r="C453" s="537"/>
    </row>
    <row r="454" spans="3:3">
      <c r="C454" s="537"/>
    </row>
    <row r="455" spans="3:3">
      <c r="C455" s="537"/>
    </row>
    <row r="456" spans="3:3">
      <c r="C456" s="537"/>
    </row>
    <row r="457" spans="3:3">
      <c r="C457" s="537"/>
    </row>
    <row r="458" spans="3:3">
      <c r="C458" s="537"/>
    </row>
    <row r="459" spans="3:3">
      <c r="C459" s="537"/>
    </row>
    <row r="460" spans="3:3">
      <c r="C460" s="537"/>
    </row>
    <row r="461" spans="3:3">
      <c r="C461" s="537"/>
    </row>
    <row r="462" spans="3:3">
      <c r="C462" s="537"/>
    </row>
    <row r="463" spans="3:3">
      <c r="C463" s="537"/>
    </row>
    <row r="464" spans="3:3">
      <c r="C464" s="537"/>
    </row>
    <row r="465" spans="3:3">
      <c r="C465" s="537"/>
    </row>
    <row r="466" spans="3:3">
      <c r="C466" s="537"/>
    </row>
    <row r="467" spans="3:3">
      <c r="C467" s="537"/>
    </row>
    <row r="468" spans="3:3">
      <c r="C468" s="537"/>
    </row>
    <row r="469" spans="3:3">
      <c r="C469" s="537"/>
    </row>
    <row r="470" spans="3:3">
      <c r="C470" s="537"/>
    </row>
    <row r="471" spans="3:3">
      <c r="C471" s="537"/>
    </row>
    <row r="472" spans="3:3">
      <c r="C472" s="537"/>
    </row>
    <row r="473" spans="3:3">
      <c r="C473" s="537"/>
    </row>
    <row r="474" spans="3:3">
      <c r="C474" s="537"/>
    </row>
    <row r="475" spans="3:3">
      <c r="C475" s="537"/>
    </row>
    <row r="476" spans="3:3">
      <c r="C476" s="537"/>
    </row>
    <row r="477" spans="3:3">
      <c r="C477" s="537"/>
    </row>
    <row r="478" spans="3:3">
      <c r="C478" s="537"/>
    </row>
    <row r="479" spans="3:3">
      <c r="C479" s="537"/>
    </row>
    <row r="480" spans="3:3">
      <c r="C480" s="537"/>
    </row>
    <row r="481" spans="3:3">
      <c r="C481" s="537"/>
    </row>
    <row r="482" spans="3:3">
      <c r="C482" s="537"/>
    </row>
    <row r="483" spans="3:3">
      <c r="C483" s="537"/>
    </row>
    <row r="484" spans="3:3">
      <c r="C484" s="537"/>
    </row>
    <row r="485" spans="3:3">
      <c r="C485" s="537"/>
    </row>
    <row r="486" spans="3:3">
      <c r="C486" s="537"/>
    </row>
    <row r="487" spans="3:3">
      <c r="C487" s="537"/>
    </row>
    <row r="488" spans="3:3">
      <c r="C488" s="537"/>
    </row>
    <row r="489" spans="3:3">
      <c r="C489" s="537"/>
    </row>
    <row r="490" spans="3:3">
      <c r="C490" s="537"/>
    </row>
    <row r="491" spans="3:3">
      <c r="C491" s="537"/>
    </row>
    <row r="492" spans="3:3">
      <c r="C492" s="537"/>
    </row>
    <row r="493" spans="3:3">
      <c r="C493" s="537"/>
    </row>
    <row r="494" spans="3:3">
      <c r="C494" s="537"/>
    </row>
    <row r="495" spans="3:3">
      <c r="C495" s="537"/>
    </row>
    <row r="496" spans="3:3">
      <c r="C496" s="537"/>
    </row>
    <row r="497" spans="3:3">
      <c r="C497" s="537"/>
    </row>
    <row r="498" spans="3:3">
      <c r="C498" s="537"/>
    </row>
    <row r="499" spans="3:3">
      <c r="C499" s="537"/>
    </row>
    <row r="500" spans="3:3">
      <c r="C500" s="537"/>
    </row>
    <row r="501" spans="3:3">
      <c r="C501" s="537"/>
    </row>
    <row r="502" spans="3:3">
      <c r="C502" s="537"/>
    </row>
    <row r="503" spans="3:3">
      <c r="C503" s="537"/>
    </row>
    <row r="504" spans="3:3">
      <c r="C504" s="537"/>
    </row>
    <row r="505" spans="3:3">
      <c r="C505" s="537"/>
    </row>
    <row r="506" spans="3:3">
      <c r="C506" s="537"/>
    </row>
    <row r="507" spans="3:3">
      <c r="C507" s="537"/>
    </row>
    <row r="508" spans="3:3">
      <c r="C508" s="537"/>
    </row>
    <row r="509" spans="3:3">
      <c r="C509" s="537"/>
    </row>
    <row r="510" spans="3:3">
      <c r="C510" s="537"/>
    </row>
    <row r="511" spans="3:3">
      <c r="C511" s="537"/>
    </row>
    <row r="512" spans="3:3">
      <c r="C512" s="537"/>
    </row>
    <row r="513" spans="3:3">
      <c r="C513" s="537"/>
    </row>
    <row r="514" spans="3:3">
      <c r="C514" s="537"/>
    </row>
    <row r="515" spans="3:3">
      <c r="C515" s="537"/>
    </row>
    <row r="516" spans="3:3">
      <c r="C516" s="537"/>
    </row>
    <row r="517" spans="3:3">
      <c r="C517" s="537"/>
    </row>
    <row r="518" spans="3:3">
      <c r="C518" s="537"/>
    </row>
    <row r="519" spans="3:3">
      <c r="C519" s="537"/>
    </row>
    <row r="520" spans="3:3">
      <c r="C520" s="537"/>
    </row>
    <row r="521" spans="3:3">
      <c r="C521" s="537"/>
    </row>
    <row r="522" spans="3:3">
      <c r="C522" s="537"/>
    </row>
    <row r="523" spans="3:3">
      <c r="C523" s="537"/>
    </row>
    <row r="524" spans="3:3">
      <c r="C524" s="537"/>
    </row>
    <row r="525" spans="3:3">
      <c r="C525" s="537"/>
    </row>
    <row r="526" spans="3:3">
      <c r="C526" s="537"/>
    </row>
    <row r="527" spans="3:3">
      <c r="C527" s="537"/>
    </row>
    <row r="528" spans="3:3">
      <c r="C528" s="537"/>
    </row>
    <row r="529" spans="3:3">
      <c r="C529" s="537"/>
    </row>
    <row r="530" spans="3:3">
      <c r="C530" s="537"/>
    </row>
    <row r="531" spans="3:3">
      <c r="C531" s="537"/>
    </row>
    <row r="532" spans="3:3">
      <c r="C532" s="537"/>
    </row>
    <row r="533" spans="3:3">
      <c r="C533" s="537"/>
    </row>
    <row r="534" spans="3:3">
      <c r="C534" s="537"/>
    </row>
    <row r="535" spans="3:3">
      <c r="C535" s="537"/>
    </row>
    <row r="536" spans="3:3">
      <c r="C536" s="537"/>
    </row>
    <row r="537" spans="3:3">
      <c r="C537" s="537"/>
    </row>
    <row r="538" spans="3:3">
      <c r="C538" s="537"/>
    </row>
    <row r="539" spans="3:3">
      <c r="C539" s="537"/>
    </row>
    <row r="540" spans="3:3">
      <c r="C540" s="537"/>
    </row>
    <row r="541" spans="3:3">
      <c r="C541" s="537"/>
    </row>
    <row r="542" spans="3:3">
      <c r="C542" s="537"/>
    </row>
    <row r="543" spans="3:3">
      <c r="C543" s="537"/>
    </row>
    <row r="544" spans="3:3">
      <c r="C544" s="537"/>
    </row>
    <row r="545" spans="3:3">
      <c r="C545" s="537"/>
    </row>
    <row r="546" spans="3:3">
      <c r="C546" s="537"/>
    </row>
    <row r="547" spans="3:3">
      <c r="C547" s="537"/>
    </row>
    <row r="548" spans="3:3">
      <c r="C548" s="537"/>
    </row>
    <row r="549" spans="3:3">
      <c r="C549" s="537"/>
    </row>
    <row r="550" spans="3:3">
      <c r="C550" s="537"/>
    </row>
    <row r="551" spans="3:3">
      <c r="C551" s="537"/>
    </row>
    <row r="552" spans="3:3">
      <c r="C552" s="537"/>
    </row>
    <row r="553" spans="3:3">
      <c r="C553" s="537"/>
    </row>
    <row r="554" spans="3:3">
      <c r="C554" s="537"/>
    </row>
    <row r="555" spans="3:3">
      <c r="C555" s="537"/>
    </row>
    <row r="556" spans="3:3">
      <c r="C556" s="537"/>
    </row>
    <row r="557" spans="3:3">
      <c r="C557" s="537"/>
    </row>
    <row r="558" spans="3:3">
      <c r="C558" s="537"/>
    </row>
    <row r="559" spans="3:3">
      <c r="C559" s="537"/>
    </row>
    <row r="560" spans="3:3">
      <c r="C560" s="537"/>
    </row>
    <row r="561" spans="3:3">
      <c r="C561" s="537"/>
    </row>
    <row r="562" spans="3:3">
      <c r="C562" s="537"/>
    </row>
    <row r="563" spans="3:3">
      <c r="C563" s="537"/>
    </row>
    <row r="564" spans="3:3">
      <c r="C564" s="537"/>
    </row>
    <row r="565" spans="3:3">
      <c r="C565" s="537"/>
    </row>
    <row r="566" spans="3:3">
      <c r="C566" s="537"/>
    </row>
    <row r="567" spans="3:3">
      <c r="C567" s="537"/>
    </row>
    <row r="568" spans="3:3">
      <c r="C568" s="537"/>
    </row>
    <row r="569" spans="3:3">
      <c r="C569" s="537"/>
    </row>
    <row r="570" spans="3:3">
      <c r="C570" s="537"/>
    </row>
    <row r="571" spans="3:3">
      <c r="C571" s="537"/>
    </row>
    <row r="572" spans="3:3">
      <c r="C572" s="537"/>
    </row>
    <row r="573" spans="3:3">
      <c r="C573" s="537"/>
    </row>
    <row r="574" spans="3:3">
      <c r="C574" s="537"/>
    </row>
    <row r="575" spans="3:3">
      <c r="C575" s="537"/>
    </row>
    <row r="576" spans="3:3">
      <c r="C576" s="537"/>
    </row>
    <row r="577" spans="3:3">
      <c r="C577" s="537"/>
    </row>
    <row r="578" spans="3:3">
      <c r="C578" s="537"/>
    </row>
    <row r="579" spans="3:3">
      <c r="C579" s="537"/>
    </row>
    <row r="580" spans="3:3">
      <c r="C580" s="537"/>
    </row>
    <row r="581" spans="3:3">
      <c r="C581" s="537"/>
    </row>
    <row r="582" spans="3:3">
      <c r="C582" s="537"/>
    </row>
    <row r="583" spans="3:3">
      <c r="C583" s="537"/>
    </row>
    <row r="584" spans="3:3">
      <c r="C584" s="537"/>
    </row>
    <row r="585" spans="3:3">
      <c r="C585" s="537"/>
    </row>
    <row r="586" spans="3:3">
      <c r="C586" s="537"/>
    </row>
    <row r="587" spans="3:3">
      <c r="C587" s="537"/>
    </row>
    <row r="588" spans="3:3">
      <c r="C588" s="537"/>
    </row>
    <row r="589" spans="3:3">
      <c r="C589" s="537"/>
    </row>
    <row r="590" spans="3:3">
      <c r="C590" s="537"/>
    </row>
    <row r="591" spans="3:3">
      <c r="C591" s="537"/>
    </row>
    <row r="592" spans="3:3">
      <c r="C592" s="537"/>
    </row>
    <row r="593" spans="3:3">
      <c r="C593" s="537"/>
    </row>
    <row r="594" spans="3:3">
      <c r="C594" s="537"/>
    </row>
    <row r="595" spans="3:3">
      <c r="C595" s="537"/>
    </row>
    <row r="596" spans="3:3">
      <c r="C596" s="537"/>
    </row>
    <row r="597" spans="3:3">
      <c r="C597" s="537"/>
    </row>
    <row r="598" spans="3:3">
      <c r="C598" s="537"/>
    </row>
    <row r="599" spans="3:3">
      <c r="C599" s="537"/>
    </row>
    <row r="600" spans="3:3">
      <c r="C600" s="537"/>
    </row>
    <row r="601" spans="3:3">
      <c r="C601" s="537"/>
    </row>
    <row r="602" spans="3:3">
      <c r="C602" s="537"/>
    </row>
    <row r="603" spans="3:3">
      <c r="C603" s="537"/>
    </row>
    <row r="604" spans="3:3">
      <c r="C604" s="537"/>
    </row>
    <row r="605" spans="3:3">
      <c r="C605" s="537"/>
    </row>
    <row r="606" spans="3:3">
      <c r="C606" s="537"/>
    </row>
    <row r="607" spans="3:3">
      <c r="C607" s="537"/>
    </row>
    <row r="608" spans="3:3">
      <c r="C608" s="537"/>
    </row>
    <row r="609" spans="3:3">
      <c r="C609" s="537"/>
    </row>
    <row r="610" spans="3:3">
      <c r="C610" s="537"/>
    </row>
    <row r="611" spans="3:3">
      <c r="C611" s="537"/>
    </row>
    <row r="612" spans="3:3">
      <c r="C612" s="537"/>
    </row>
    <row r="613" spans="3:3">
      <c r="C613" s="537"/>
    </row>
    <row r="614" spans="3:3">
      <c r="C614" s="537"/>
    </row>
    <row r="615" spans="3:3">
      <c r="C615" s="537"/>
    </row>
    <row r="616" spans="3:3">
      <c r="C616" s="537"/>
    </row>
    <row r="617" spans="3:3">
      <c r="C617" s="537"/>
    </row>
    <row r="618" spans="3:3">
      <c r="C618" s="537"/>
    </row>
    <row r="619" spans="3:3">
      <c r="C619" s="537"/>
    </row>
    <row r="620" spans="3:3">
      <c r="C620" s="537"/>
    </row>
    <row r="621" spans="3:3">
      <c r="C621" s="537"/>
    </row>
    <row r="622" spans="3:3">
      <c r="C622" s="537"/>
    </row>
    <row r="623" spans="3:3">
      <c r="C623" s="537"/>
    </row>
    <row r="624" spans="3:3">
      <c r="C624" s="537"/>
    </row>
    <row r="625" spans="3:3">
      <c r="C625" s="537"/>
    </row>
    <row r="626" spans="3:3">
      <c r="C626" s="537"/>
    </row>
    <row r="627" spans="3:3">
      <c r="C627" s="537"/>
    </row>
    <row r="628" spans="3:3">
      <c r="C628" s="537"/>
    </row>
    <row r="629" spans="3:3">
      <c r="C629" s="537"/>
    </row>
    <row r="630" spans="3:3">
      <c r="C630" s="537"/>
    </row>
    <row r="631" spans="3:3">
      <c r="C631" s="537"/>
    </row>
    <row r="632" spans="3:3">
      <c r="C632" s="537"/>
    </row>
    <row r="633" spans="3:3">
      <c r="C633" s="537"/>
    </row>
    <row r="634" spans="3:3">
      <c r="C634" s="537"/>
    </row>
    <row r="635" spans="3:3">
      <c r="C635" s="537"/>
    </row>
    <row r="636" spans="3:3">
      <c r="C636" s="537"/>
    </row>
    <row r="637" spans="3:3">
      <c r="C637" s="537"/>
    </row>
    <row r="638" spans="3:3">
      <c r="C638" s="537"/>
    </row>
    <row r="639" spans="3:3">
      <c r="C639" s="537"/>
    </row>
    <row r="640" spans="3:3">
      <c r="C640" s="537"/>
    </row>
    <row r="641" spans="3:3">
      <c r="C641" s="537"/>
    </row>
    <row r="642" spans="3:3">
      <c r="C642" s="537"/>
    </row>
    <row r="643" spans="3:3">
      <c r="C643" s="537"/>
    </row>
    <row r="644" spans="3:3">
      <c r="C644" s="537"/>
    </row>
    <row r="645" spans="3:3">
      <c r="C645" s="537"/>
    </row>
    <row r="646" spans="3:3">
      <c r="C646" s="537"/>
    </row>
    <row r="647" spans="3:3">
      <c r="C647" s="537"/>
    </row>
    <row r="648" spans="3:3">
      <c r="C648" s="537"/>
    </row>
    <row r="649" spans="3:3">
      <c r="C649" s="537"/>
    </row>
    <row r="650" spans="3:3">
      <c r="C650" s="537"/>
    </row>
    <row r="651" spans="3:3">
      <c r="C651" s="537"/>
    </row>
    <row r="652" spans="3:3">
      <c r="C652" s="537"/>
    </row>
    <row r="653" spans="3:3">
      <c r="C653" s="537"/>
    </row>
    <row r="654" spans="3:3">
      <c r="C654" s="537"/>
    </row>
    <row r="655" spans="3:3">
      <c r="C655" s="537"/>
    </row>
    <row r="656" spans="3:3">
      <c r="C656" s="537"/>
    </row>
    <row r="657" spans="3:3">
      <c r="C657" s="537"/>
    </row>
    <row r="658" spans="3:3">
      <c r="C658" s="537"/>
    </row>
    <row r="659" spans="3:3">
      <c r="C659" s="537"/>
    </row>
    <row r="660" spans="3:3">
      <c r="C660" s="537"/>
    </row>
    <row r="661" spans="3:3">
      <c r="C661" s="537"/>
    </row>
    <row r="662" spans="3:3">
      <c r="C662" s="537"/>
    </row>
    <row r="663" spans="3:3">
      <c r="C663" s="537"/>
    </row>
    <row r="664" spans="3:3">
      <c r="C664" s="537"/>
    </row>
    <row r="665" spans="3:3">
      <c r="C665" s="537"/>
    </row>
    <row r="666" spans="3:3">
      <c r="C666" s="537"/>
    </row>
    <row r="667" spans="3:3">
      <c r="C667" s="537"/>
    </row>
    <row r="668" spans="3:3">
      <c r="C668" s="537"/>
    </row>
    <row r="669" spans="3:3">
      <c r="C669" s="537"/>
    </row>
    <row r="670" spans="3:3">
      <c r="C670" s="537"/>
    </row>
    <row r="671" spans="3:3">
      <c r="C671" s="537"/>
    </row>
    <row r="672" spans="3:3">
      <c r="C672" s="537"/>
    </row>
    <row r="673" spans="3:3">
      <c r="C673" s="537"/>
    </row>
    <row r="674" spans="3:3">
      <c r="C674" s="537"/>
    </row>
    <row r="675" spans="3:3">
      <c r="C675" s="537"/>
    </row>
    <row r="676" spans="3:3">
      <c r="C676" s="537"/>
    </row>
    <row r="677" spans="3:3">
      <c r="C677" s="537"/>
    </row>
    <row r="678" spans="3:3">
      <c r="C678" s="537"/>
    </row>
    <row r="679" spans="3:3">
      <c r="C679" s="537"/>
    </row>
    <row r="680" spans="3:3">
      <c r="C680" s="537"/>
    </row>
    <row r="681" spans="3:3">
      <c r="C681" s="537"/>
    </row>
    <row r="682" spans="3:3">
      <c r="C682" s="537"/>
    </row>
    <row r="683" spans="3:3">
      <c r="C683" s="537"/>
    </row>
    <row r="684" spans="3:3">
      <c r="C684" s="537"/>
    </row>
    <row r="685" spans="3:3">
      <c r="C685" s="537"/>
    </row>
    <row r="686" spans="3:3">
      <c r="C686" s="537"/>
    </row>
    <row r="687" spans="3:3">
      <c r="C687" s="537"/>
    </row>
    <row r="688" spans="3:3">
      <c r="C688" s="537"/>
    </row>
    <row r="689" spans="3:3">
      <c r="C689" s="537"/>
    </row>
    <row r="690" spans="3:3">
      <c r="C690" s="537"/>
    </row>
    <row r="691" spans="3:3">
      <c r="C691" s="537"/>
    </row>
    <row r="692" spans="3:3">
      <c r="C692" s="537"/>
    </row>
    <row r="693" spans="3:3">
      <c r="C693" s="537"/>
    </row>
    <row r="694" spans="3:3">
      <c r="C694" s="537"/>
    </row>
    <row r="695" spans="3:3">
      <c r="C695" s="537"/>
    </row>
    <row r="696" spans="3:3">
      <c r="C696" s="537"/>
    </row>
    <row r="697" spans="3:3">
      <c r="C697" s="537"/>
    </row>
    <row r="698" spans="3:3">
      <c r="C698" s="537"/>
    </row>
    <row r="699" spans="3:3">
      <c r="C699" s="537"/>
    </row>
    <row r="700" spans="3:3">
      <c r="C700" s="537"/>
    </row>
    <row r="701" spans="3:3">
      <c r="C701" s="537"/>
    </row>
    <row r="702" spans="3:3">
      <c r="C702" s="537"/>
    </row>
    <row r="703" spans="3:3">
      <c r="C703" s="537"/>
    </row>
    <row r="704" spans="3:3">
      <c r="C704" s="537"/>
    </row>
    <row r="705" spans="3:3">
      <c r="C705" s="537"/>
    </row>
    <row r="706" spans="3:3">
      <c r="C706" s="537"/>
    </row>
    <row r="707" spans="3:3">
      <c r="C707" s="537"/>
    </row>
    <row r="708" spans="3:3">
      <c r="C708" s="537"/>
    </row>
    <row r="709" spans="3:3">
      <c r="C709" s="537"/>
    </row>
    <row r="710" spans="3:3">
      <c r="C710" s="537"/>
    </row>
    <row r="711" spans="3:3">
      <c r="C711" s="537"/>
    </row>
    <row r="712" spans="3:3">
      <c r="C712" s="537"/>
    </row>
    <row r="713" spans="3:3">
      <c r="C713" s="537"/>
    </row>
    <row r="714" spans="3:3">
      <c r="C714" s="537"/>
    </row>
    <row r="715" spans="3:3">
      <c r="C715" s="537"/>
    </row>
    <row r="716" spans="3:3">
      <c r="C716" s="537"/>
    </row>
    <row r="717" spans="3:3">
      <c r="C717" s="537"/>
    </row>
    <row r="718" spans="3:3">
      <c r="C718" s="537"/>
    </row>
    <row r="719" spans="3:3">
      <c r="C719" s="537"/>
    </row>
    <row r="720" spans="3:3">
      <c r="C720" s="537"/>
    </row>
    <row r="721" spans="3:3">
      <c r="C721" s="537"/>
    </row>
    <row r="722" spans="3:3">
      <c r="C722" s="537"/>
    </row>
    <row r="723" spans="3:3">
      <c r="C723" s="537"/>
    </row>
    <row r="724" spans="3:3">
      <c r="C724" s="537"/>
    </row>
    <row r="725" spans="3:3">
      <c r="C725" s="537"/>
    </row>
    <row r="726" spans="3:3">
      <c r="C726" s="537"/>
    </row>
    <row r="727" spans="3:3">
      <c r="C727" s="537"/>
    </row>
    <row r="728" spans="3:3">
      <c r="C728" s="537"/>
    </row>
    <row r="729" spans="3:3">
      <c r="C729" s="537"/>
    </row>
    <row r="730" spans="3:3">
      <c r="C730" s="537"/>
    </row>
    <row r="731" spans="3:3">
      <c r="C731" s="537"/>
    </row>
    <row r="732" spans="3:3">
      <c r="C732" s="537"/>
    </row>
    <row r="733" spans="3:3">
      <c r="C733" s="537"/>
    </row>
    <row r="734" spans="3:3">
      <c r="C734" s="537"/>
    </row>
    <row r="735" spans="3:3">
      <c r="C735" s="537"/>
    </row>
    <row r="736" spans="3:3">
      <c r="C736" s="537"/>
    </row>
    <row r="737" spans="3:3">
      <c r="C737" s="537"/>
    </row>
    <row r="738" spans="3:3">
      <c r="C738" s="537"/>
    </row>
    <row r="739" spans="3:3">
      <c r="C739" s="537"/>
    </row>
    <row r="740" spans="3:3">
      <c r="C740" s="537"/>
    </row>
    <row r="741" spans="3:3">
      <c r="C741" s="537"/>
    </row>
    <row r="742" spans="3:3">
      <c r="C742" s="537"/>
    </row>
    <row r="743" spans="3:3">
      <c r="C743" s="537"/>
    </row>
    <row r="744" spans="3:3">
      <c r="C744" s="537"/>
    </row>
    <row r="745" spans="3:3">
      <c r="C745" s="537"/>
    </row>
    <row r="746" spans="3:3">
      <c r="C746" s="537"/>
    </row>
    <row r="747" spans="3:3">
      <c r="C747" s="537"/>
    </row>
    <row r="748" spans="3:3">
      <c r="C748" s="537"/>
    </row>
    <row r="749" spans="3:3">
      <c r="C749" s="537"/>
    </row>
    <row r="750" spans="3:3">
      <c r="C750" s="537"/>
    </row>
    <row r="751" spans="3:3">
      <c r="C751" s="537"/>
    </row>
    <row r="752" spans="3:3">
      <c r="C752" s="537"/>
    </row>
    <row r="753" spans="3:3">
      <c r="C753" s="537"/>
    </row>
    <row r="754" spans="3:3">
      <c r="C754" s="537"/>
    </row>
    <row r="755" spans="3:3">
      <c r="C755" s="537"/>
    </row>
    <row r="756" spans="3:3">
      <c r="C756" s="537"/>
    </row>
    <row r="757" spans="3:3">
      <c r="C757" s="537"/>
    </row>
    <row r="758" spans="3:3">
      <c r="C758" s="537"/>
    </row>
    <row r="759" spans="3:3">
      <c r="C759" s="537"/>
    </row>
    <row r="760" spans="3:3">
      <c r="C760" s="537"/>
    </row>
    <row r="761" spans="3:3">
      <c r="C761" s="537"/>
    </row>
    <row r="762" spans="3:3">
      <c r="C762" s="537"/>
    </row>
    <row r="763" spans="3:3">
      <c r="C763" s="537"/>
    </row>
    <row r="764" spans="3:3">
      <c r="C764" s="537"/>
    </row>
    <row r="765" spans="3:3">
      <c r="C765" s="537"/>
    </row>
    <row r="766" spans="3:3">
      <c r="C766" s="537"/>
    </row>
    <row r="767" spans="3:3">
      <c r="C767" s="537"/>
    </row>
    <row r="768" spans="3:3">
      <c r="C768" s="537"/>
    </row>
    <row r="769" spans="3:3">
      <c r="C769" s="537"/>
    </row>
    <row r="770" spans="3:3">
      <c r="C770" s="537"/>
    </row>
    <row r="771" spans="3:3">
      <c r="C771" s="537"/>
    </row>
    <row r="772" spans="3:3">
      <c r="C772" s="537"/>
    </row>
    <row r="773" spans="3:3">
      <c r="C773" s="537"/>
    </row>
    <row r="774" spans="3:3">
      <c r="C774" s="537"/>
    </row>
    <row r="775" spans="3:3">
      <c r="C775" s="537"/>
    </row>
    <row r="776" spans="3:3">
      <c r="C776" s="537"/>
    </row>
    <row r="777" spans="3:3">
      <c r="C777" s="537"/>
    </row>
    <row r="778" spans="3:3">
      <c r="C778" s="537"/>
    </row>
    <row r="779" spans="3:3">
      <c r="C779" s="537"/>
    </row>
    <row r="780" spans="3:3">
      <c r="C780" s="537"/>
    </row>
    <row r="781" spans="3:3">
      <c r="C781" s="537"/>
    </row>
    <row r="782" spans="3:3">
      <c r="C782" s="537"/>
    </row>
    <row r="783" spans="3:3">
      <c r="C783" s="537"/>
    </row>
    <row r="784" spans="3:3">
      <c r="C784" s="537"/>
    </row>
    <row r="785" spans="3:3">
      <c r="C785" s="537"/>
    </row>
    <row r="786" spans="3:3">
      <c r="C786" s="537"/>
    </row>
    <row r="787" spans="3:3">
      <c r="C787" s="537"/>
    </row>
    <row r="788" spans="3:3">
      <c r="C788" s="537"/>
    </row>
    <row r="789" spans="3:3">
      <c r="C789" s="537"/>
    </row>
    <row r="790" spans="3:3">
      <c r="C790" s="537"/>
    </row>
    <row r="791" spans="3:3">
      <c r="C791" s="537"/>
    </row>
    <row r="792" spans="3:3">
      <c r="C792" s="537"/>
    </row>
    <row r="793" spans="3:3">
      <c r="C793" s="537"/>
    </row>
    <row r="794" spans="3:3">
      <c r="C794" s="537"/>
    </row>
    <row r="795" spans="3:3">
      <c r="C795" s="537"/>
    </row>
    <row r="796" spans="3:3">
      <c r="C796" s="537"/>
    </row>
    <row r="797" spans="3:3">
      <c r="C797" s="537"/>
    </row>
    <row r="798" spans="3:3">
      <c r="C798" s="537"/>
    </row>
    <row r="799" spans="3:3">
      <c r="C799" s="537"/>
    </row>
    <row r="800" spans="3:3">
      <c r="C800" s="537"/>
    </row>
    <row r="801" spans="3:3">
      <c r="C801" s="537"/>
    </row>
    <row r="802" spans="3:3">
      <c r="C802" s="537"/>
    </row>
    <row r="803" spans="3:3">
      <c r="C803" s="537"/>
    </row>
    <row r="804" spans="3:3">
      <c r="C804" s="537"/>
    </row>
    <row r="805" spans="3:3">
      <c r="C805" s="537"/>
    </row>
    <row r="806" spans="3:3">
      <c r="C806" s="537"/>
    </row>
    <row r="807" spans="3:3">
      <c r="C807" s="537"/>
    </row>
    <row r="808" spans="3:3">
      <c r="C808" s="537"/>
    </row>
    <row r="809" spans="3:3">
      <c r="C809" s="537"/>
    </row>
    <row r="810" spans="3:3">
      <c r="C810" s="537"/>
    </row>
    <row r="811" spans="3:3">
      <c r="C811" s="537"/>
    </row>
    <row r="812" spans="3:3">
      <c r="C812" s="537"/>
    </row>
    <row r="813" spans="3:3">
      <c r="C813" s="537"/>
    </row>
    <row r="814" spans="3:3">
      <c r="C814" s="537"/>
    </row>
    <row r="815" spans="3:3">
      <c r="C815" s="537"/>
    </row>
    <row r="816" spans="3:3">
      <c r="C816" s="537"/>
    </row>
    <row r="817" spans="3:3">
      <c r="C817" s="537"/>
    </row>
    <row r="818" spans="3:3">
      <c r="C818" s="537"/>
    </row>
    <row r="819" spans="3:3">
      <c r="C819" s="537"/>
    </row>
    <row r="820" spans="3:3">
      <c r="C820" s="537"/>
    </row>
    <row r="821" spans="3:3">
      <c r="C821" s="537"/>
    </row>
    <row r="822" spans="3:3">
      <c r="C822" s="537"/>
    </row>
    <row r="823" spans="3:3">
      <c r="C823" s="537"/>
    </row>
    <row r="824" spans="3:3">
      <c r="C824" s="537"/>
    </row>
    <row r="825" spans="3:3">
      <c r="C825" s="537"/>
    </row>
    <row r="826" spans="3:3">
      <c r="C826" s="537"/>
    </row>
    <row r="827" spans="3:3">
      <c r="C827" s="537"/>
    </row>
    <row r="828" spans="3:3">
      <c r="C828" s="537"/>
    </row>
    <row r="829" spans="3:3">
      <c r="C829" s="537"/>
    </row>
    <row r="830" spans="3:3">
      <c r="C830" s="537"/>
    </row>
    <row r="831" spans="3:3">
      <c r="C831" s="537"/>
    </row>
    <row r="832" spans="3:3">
      <c r="C832" s="537"/>
    </row>
    <row r="833" spans="3:3">
      <c r="C833" s="537"/>
    </row>
    <row r="834" spans="3:3">
      <c r="C834" s="537"/>
    </row>
    <row r="835" spans="3:3">
      <c r="C835" s="537"/>
    </row>
    <row r="836" spans="3:3">
      <c r="C836" s="537"/>
    </row>
    <row r="837" spans="3:3">
      <c r="C837" s="537"/>
    </row>
    <row r="838" spans="3:3">
      <c r="C838" s="537"/>
    </row>
    <row r="839" spans="3:3">
      <c r="C839" s="537"/>
    </row>
    <row r="840" spans="3:3">
      <c r="C840" s="537"/>
    </row>
    <row r="841" spans="3:3">
      <c r="C841" s="537"/>
    </row>
    <row r="842" spans="3:3">
      <c r="C842" s="537"/>
    </row>
    <row r="843" spans="3:3">
      <c r="C843" s="537"/>
    </row>
    <row r="844" spans="3:3">
      <c r="C844" s="537"/>
    </row>
    <row r="845" spans="3:3">
      <c r="C845" s="537"/>
    </row>
    <row r="846" spans="3:3">
      <c r="C846" s="537"/>
    </row>
    <row r="847" spans="3:3">
      <c r="C847" s="537"/>
    </row>
    <row r="848" spans="3:3">
      <c r="C848" s="537"/>
    </row>
    <row r="849" spans="3:3">
      <c r="C849" s="537"/>
    </row>
    <row r="850" spans="3:3">
      <c r="C850" s="537"/>
    </row>
    <row r="851" spans="3:3">
      <c r="C851" s="537"/>
    </row>
    <row r="852" spans="3:3">
      <c r="C852" s="537"/>
    </row>
    <row r="853" spans="3:3">
      <c r="C853" s="537"/>
    </row>
    <row r="854" spans="3:3">
      <c r="C854" s="537"/>
    </row>
    <row r="855" spans="3:3">
      <c r="C855" s="537"/>
    </row>
    <row r="856" spans="3:3">
      <c r="C856" s="537"/>
    </row>
    <row r="857" spans="3:3">
      <c r="C857" s="537"/>
    </row>
    <row r="858" spans="3:3">
      <c r="C858" s="537"/>
    </row>
    <row r="859" spans="3:3">
      <c r="C859" s="537"/>
    </row>
    <row r="860" spans="3:3">
      <c r="C860" s="537"/>
    </row>
    <row r="861" spans="3:3">
      <c r="C861" s="537"/>
    </row>
    <row r="862" spans="3:3">
      <c r="C862" s="537"/>
    </row>
    <row r="863" spans="3:3">
      <c r="C863" s="537"/>
    </row>
    <row r="864" spans="3:3">
      <c r="C864" s="537"/>
    </row>
    <row r="865" spans="3:3">
      <c r="C865" s="537"/>
    </row>
    <row r="866" spans="3:3">
      <c r="C866" s="537"/>
    </row>
    <row r="867" spans="3:3">
      <c r="C867" s="537"/>
    </row>
    <row r="868" spans="3:3">
      <c r="C868" s="537"/>
    </row>
    <row r="869" spans="3:3">
      <c r="C869" s="537"/>
    </row>
    <row r="870" spans="3:3">
      <c r="C870" s="537"/>
    </row>
    <row r="871" spans="3:3">
      <c r="C871" s="537"/>
    </row>
    <row r="872" spans="3:3">
      <c r="C872" s="537"/>
    </row>
    <row r="873" spans="3:3">
      <c r="C873" s="537"/>
    </row>
    <row r="874" spans="3:3">
      <c r="C874" s="537"/>
    </row>
    <row r="875" spans="3:3">
      <c r="C875" s="537"/>
    </row>
    <row r="876" spans="3:3">
      <c r="C876" s="537"/>
    </row>
    <row r="877" spans="3:3">
      <c r="C877" s="537"/>
    </row>
    <row r="878" spans="3:3">
      <c r="C878" s="537"/>
    </row>
    <row r="879" spans="3:3">
      <c r="C879" s="537"/>
    </row>
    <row r="880" spans="3:3">
      <c r="C880" s="537"/>
    </row>
    <row r="881" spans="3:3">
      <c r="C881" s="537"/>
    </row>
    <row r="882" spans="3:3">
      <c r="C882" s="537"/>
    </row>
    <row r="883" spans="3:3">
      <c r="C883" s="537"/>
    </row>
    <row r="884" spans="3:3">
      <c r="C884" s="537"/>
    </row>
    <row r="885" spans="3:3">
      <c r="C885" s="537"/>
    </row>
    <row r="886" spans="3:3">
      <c r="C886" s="537"/>
    </row>
    <row r="887" spans="3:3">
      <c r="C887" s="537"/>
    </row>
    <row r="888" spans="3:3">
      <c r="C888" s="537"/>
    </row>
    <row r="889" spans="3:3">
      <c r="C889" s="537"/>
    </row>
    <row r="890" spans="3:3">
      <c r="C890" s="537"/>
    </row>
    <row r="891" spans="3:3">
      <c r="C891" s="537"/>
    </row>
    <row r="892" spans="3:3">
      <c r="C892" s="537"/>
    </row>
    <row r="893" spans="3:3">
      <c r="C893" s="537"/>
    </row>
    <row r="894" spans="3:3">
      <c r="C894" s="537"/>
    </row>
    <row r="895" spans="3:3">
      <c r="C895" s="537"/>
    </row>
    <row r="896" spans="3:3">
      <c r="C896" s="537"/>
    </row>
    <row r="897" spans="3:3">
      <c r="C897" s="537"/>
    </row>
    <row r="898" spans="3:3">
      <c r="C898" s="537"/>
    </row>
    <row r="899" spans="3:3">
      <c r="C899" s="537"/>
    </row>
    <row r="900" spans="3:3">
      <c r="C900" s="537"/>
    </row>
    <row r="901" spans="3:3">
      <c r="C901" s="537"/>
    </row>
    <row r="902" spans="3:3">
      <c r="C902" s="537"/>
    </row>
    <row r="903" spans="3:3">
      <c r="C903" s="537"/>
    </row>
    <row r="904" spans="3:3">
      <c r="C904" s="537"/>
    </row>
    <row r="905" spans="3:3">
      <c r="C905" s="537"/>
    </row>
    <row r="906" spans="3:3">
      <c r="C906" s="537"/>
    </row>
    <row r="907" spans="3:3">
      <c r="C907" s="537"/>
    </row>
    <row r="908" spans="3:3">
      <c r="C908" s="537"/>
    </row>
    <row r="909" spans="3:3">
      <c r="C909" s="537"/>
    </row>
    <row r="910" spans="3:3">
      <c r="C910" s="537"/>
    </row>
    <row r="911" spans="3:3">
      <c r="C911" s="537"/>
    </row>
    <row r="912" spans="3:3">
      <c r="C912" s="537"/>
    </row>
    <row r="913" spans="3:3">
      <c r="C913" s="537"/>
    </row>
    <row r="914" spans="3:3">
      <c r="C914" s="537"/>
    </row>
    <row r="915" spans="3:3">
      <c r="C915" s="537"/>
    </row>
    <row r="916" spans="3:3">
      <c r="C916" s="537"/>
    </row>
    <row r="917" spans="3:3">
      <c r="C917" s="537"/>
    </row>
    <row r="918" spans="3:3">
      <c r="C918" s="537"/>
    </row>
    <row r="919" spans="3:3">
      <c r="C919" s="537"/>
    </row>
    <row r="920" spans="3:3">
      <c r="C920" s="537"/>
    </row>
    <row r="921" spans="3:3">
      <c r="C921" s="537"/>
    </row>
    <row r="922" spans="3:3">
      <c r="C922" s="537"/>
    </row>
    <row r="923" spans="3:3">
      <c r="C923" s="537"/>
    </row>
    <row r="924" spans="3:3">
      <c r="C924" s="537"/>
    </row>
    <row r="925" spans="3:3">
      <c r="C925" s="537"/>
    </row>
    <row r="926" spans="3:3">
      <c r="C926" s="537"/>
    </row>
    <row r="927" spans="3:3">
      <c r="C927" s="537"/>
    </row>
    <row r="928" spans="3:3">
      <c r="C928" s="537"/>
    </row>
    <row r="929" spans="3:3">
      <c r="C929" s="537"/>
    </row>
    <row r="930" spans="3:3">
      <c r="C930" s="537"/>
    </row>
    <row r="931" spans="3:3">
      <c r="C931" s="537"/>
    </row>
    <row r="932" spans="3:3">
      <c r="C932" s="537"/>
    </row>
    <row r="933" spans="3:3">
      <c r="C933" s="537"/>
    </row>
    <row r="934" spans="3:3">
      <c r="C934" s="537"/>
    </row>
    <row r="935" spans="3:3">
      <c r="C935" s="537"/>
    </row>
    <row r="936" spans="3:3">
      <c r="C936" s="537"/>
    </row>
    <row r="937" spans="3:3">
      <c r="C937" s="537"/>
    </row>
    <row r="938" spans="3:3">
      <c r="C938" s="537"/>
    </row>
    <row r="939" spans="3:3">
      <c r="C939" s="537"/>
    </row>
    <row r="940" spans="3:3">
      <c r="C940" s="537"/>
    </row>
    <row r="941" spans="3:3">
      <c r="C941" s="537"/>
    </row>
    <row r="942" spans="3:3">
      <c r="C942" s="537"/>
    </row>
    <row r="943" spans="3:3">
      <c r="C943" s="537"/>
    </row>
    <row r="944" spans="3:3">
      <c r="C944" s="537"/>
    </row>
    <row r="945" spans="3:3">
      <c r="C945" s="537"/>
    </row>
    <row r="946" spans="3:3">
      <c r="C946" s="537"/>
    </row>
    <row r="947" spans="3:3">
      <c r="C947" s="537"/>
    </row>
    <row r="948" spans="3:3">
      <c r="C948" s="537"/>
    </row>
    <row r="949" spans="3:3">
      <c r="C949" s="537"/>
    </row>
    <row r="950" spans="3:3">
      <c r="C950" s="537"/>
    </row>
    <row r="951" spans="3:3">
      <c r="C951" s="537"/>
    </row>
    <row r="952" spans="3:3">
      <c r="C952" s="537"/>
    </row>
    <row r="953" spans="3:3">
      <c r="C953" s="537"/>
    </row>
    <row r="954" spans="3:3">
      <c r="C954" s="537"/>
    </row>
    <row r="955" spans="3:3">
      <c r="C955" s="537"/>
    </row>
    <row r="956" spans="3:3">
      <c r="C956" s="537"/>
    </row>
    <row r="957" spans="3:3">
      <c r="C957" s="537"/>
    </row>
    <row r="958" spans="3:3">
      <c r="C958" s="537"/>
    </row>
    <row r="959" spans="3:3">
      <c r="C959" s="537"/>
    </row>
    <row r="960" spans="3:3">
      <c r="C960" s="537"/>
    </row>
    <row r="961" spans="3:3">
      <c r="C961" s="537"/>
    </row>
    <row r="962" spans="3:3">
      <c r="C962" s="537"/>
    </row>
    <row r="963" spans="3:3">
      <c r="C963" s="537"/>
    </row>
    <row r="964" spans="3:3">
      <c r="C964" s="537"/>
    </row>
    <row r="965" spans="3:3">
      <c r="C965" s="537"/>
    </row>
    <row r="966" spans="3:3">
      <c r="C966" s="537"/>
    </row>
    <row r="967" spans="3:3">
      <c r="C967" s="537"/>
    </row>
    <row r="968" spans="3:3">
      <c r="C968" s="537"/>
    </row>
    <row r="969" spans="3:3">
      <c r="C969" s="537"/>
    </row>
    <row r="970" spans="3:3">
      <c r="C970" s="537"/>
    </row>
    <row r="971" spans="3:3">
      <c r="C971" s="537"/>
    </row>
    <row r="972" spans="3:3">
      <c r="C972" s="537"/>
    </row>
    <row r="973" spans="3:3">
      <c r="C973" s="537"/>
    </row>
    <row r="974" spans="3:3">
      <c r="C974" s="537"/>
    </row>
    <row r="975" spans="3:3">
      <c r="C975" s="537"/>
    </row>
    <row r="976" spans="3:3">
      <c r="C976" s="537"/>
    </row>
    <row r="977" spans="3:3">
      <c r="C977" s="537"/>
    </row>
    <row r="978" spans="3:3">
      <c r="C978" s="537"/>
    </row>
    <row r="979" spans="3:3">
      <c r="C979" s="537"/>
    </row>
    <row r="980" spans="3:3">
      <c r="C980" s="537"/>
    </row>
    <row r="981" spans="3:3">
      <c r="C981" s="537"/>
    </row>
    <row r="982" spans="3:3">
      <c r="C982" s="537"/>
    </row>
    <row r="983" spans="3:3">
      <c r="C983" s="537"/>
    </row>
    <row r="984" spans="3:3">
      <c r="C984" s="537"/>
    </row>
    <row r="985" spans="3:3">
      <c r="C985" s="537"/>
    </row>
    <row r="986" spans="3:3">
      <c r="C986" s="537"/>
    </row>
    <row r="987" spans="3:3">
      <c r="C987" s="537"/>
    </row>
    <row r="988" spans="3:3">
      <c r="C988" s="537"/>
    </row>
    <row r="989" spans="3:3">
      <c r="C989" s="537"/>
    </row>
    <row r="990" spans="3:3">
      <c r="C990" s="537"/>
    </row>
    <row r="991" spans="3:3">
      <c r="C991" s="537"/>
    </row>
    <row r="992" spans="3:3">
      <c r="C992" s="537"/>
    </row>
    <row r="993" spans="3:3">
      <c r="C993" s="537"/>
    </row>
    <row r="994" spans="3:3">
      <c r="C994" s="537"/>
    </row>
    <row r="995" spans="3:3">
      <c r="C995" s="537"/>
    </row>
    <row r="996" spans="3:3">
      <c r="C996" s="537"/>
    </row>
    <row r="997" spans="3:3">
      <c r="C997" s="537"/>
    </row>
    <row r="998" spans="3:3">
      <c r="C998" s="537"/>
    </row>
    <row r="999" spans="3:3">
      <c r="C999" s="537"/>
    </row>
    <row r="1000" spans="3:3">
      <c r="C1000" s="537"/>
    </row>
    <row r="1001" spans="3:3">
      <c r="C1001" s="537"/>
    </row>
    <row r="1002" spans="3:3">
      <c r="C1002" s="537"/>
    </row>
    <row r="1003" spans="3:3">
      <c r="C1003" s="537"/>
    </row>
    <row r="1004" spans="3:3">
      <c r="C1004" s="537"/>
    </row>
    <row r="1005" spans="3:3">
      <c r="C1005" s="537"/>
    </row>
    <row r="1006" spans="3:3">
      <c r="C1006" s="537"/>
    </row>
    <row r="1007" spans="3:3">
      <c r="C1007" s="537"/>
    </row>
    <row r="1008" spans="3:3">
      <c r="C1008" s="537"/>
    </row>
    <row r="1009" spans="3:3">
      <c r="C1009" s="537"/>
    </row>
    <row r="1010" spans="3:3">
      <c r="C1010" s="537"/>
    </row>
    <row r="1011" spans="3:3">
      <c r="C1011" s="537"/>
    </row>
    <row r="1012" spans="3:3">
      <c r="C1012" s="537"/>
    </row>
    <row r="1013" spans="3:3">
      <c r="C1013" s="537"/>
    </row>
    <row r="1014" spans="3:3">
      <c r="C1014" s="537"/>
    </row>
    <row r="1015" spans="3:3">
      <c r="C1015" s="537"/>
    </row>
    <row r="1016" spans="3:3">
      <c r="C1016" s="537"/>
    </row>
    <row r="1017" spans="3:3">
      <c r="C1017" s="537"/>
    </row>
    <row r="1018" spans="3:3">
      <c r="C1018" s="537"/>
    </row>
    <row r="1019" spans="3:3">
      <c r="C1019" s="537"/>
    </row>
    <row r="1020" spans="3:3">
      <c r="C1020" s="537"/>
    </row>
    <row r="1021" spans="3:3">
      <c r="C1021" s="537"/>
    </row>
    <row r="1022" spans="3:3">
      <c r="C1022" s="537"/>
    </row>
    <row r="1023" spans="3:3">
      <c r="C1023" s="537"/>
    </row>
    <row r="1024" spans="3:3">
      <c r="C1024" s="537"/>
    </row>
    <row r="1025" spans="3:3">
      <c r="C1025" s="537"/>
    </row>
    <row r="1026" spans="3:3">
      <c r="C1026" s="537"/>
    </row>
    <row r="1027" spans="3:3">
      <c r="C1027" s="537"/>
    </row>
    <row r="1028" spans="3:3">
      <c r="C1028" s="537"/>
    </row>
    <row r="1029" spans="3:3">
      <c r="C1029" s="537"/>
    </row>
    <row r="1030" spans="3:3">
      <c r="C1030" s="537"/>
    </row>
    <row r="1031" spans="3:3">
      <c r="C1031" s="537"/>
    </row>
    <row r="1032" spans="3:3">
      <c r="C1032" s="537"/>
    </row>
    <row r="1033" spans="3:3">
      <c r="C1033" s="537"/>
    </row>
    <row r="1034" spans="3:3">
      <c r="C1034" s="537"/>
    </row>
    <row r="1035" spans="3:3">
      <c r="C1035" s="537"/>
    </row>
    <row r="1036" spans="3:3">
      <c r="C1036" s="537"/>
    </row>
    <row r="1037" spans="3:3">
      <c r="C1037" s="537"/>
    </row>
    <row r="1038" spans="3:3">
      <c r="C1038" s="537"/>
    </row>
    <row r="1039" spans="3:3">
      <c r="C1039" s="537"/>
    </row>
    <row r="1040" spans="3:3">
      <c r="C1040" s="537"/>
    </row>
    <row r="1041" spans="3:3">
      <c r="C1041" s="537"/>
    </row>
    <row r="1042" spans="3:3">
      <c r="C1042" s="537"/>
    </row>
    <row r="1043" spans="3:3">
      <c r="C1043" s="537"/>
    </row>
    <row r="1044" spans="3:3">
      <c r="C1044" s="537"/>
    </row>
    <row r="1045" spans="3:3">
      <c r="C1045" s="537"/>
    </row>
    <row r="1046" spans="3:3">
      <c r="C1046" s="537"/>
    </row>
    <row r="1047" spans="3:3">
      <c r="C1047" s="537"/>
    </row>
    <row r="1048" spans="3:3">
      <c r="C1048" s="537"/>
    </row>
    <row r="1049" spans="3:3">
      <c r="C1049" s="537"/>
    </row>
    <row r="1050" spans="3:3">
      <c r="C1050" s="537"/>
    </row>
    <row r="1051" spans="3:3">
      <c r="C1051" s="537"/>
    </row>
    <row r="1052" spans="3:3">
      <c r="C1052" s="537"/>
    </row>
    <row r="1053" spans="3:3">
      <c r="C1053" s="537"/>
    </row>
    <row r="1054" spans="3:3">
      <c r="C1054" s="537"/>
    </row>
    <row r="1055" spans="3:3">
      <c r="C1055" s="537"/>
    </row>
    <row r="1056" spans="3:3">
      <c r="C1056" s="537"/>
    </row>
    <row r="1057" spans="3:3">
      <c r="C1057" s="537"/>
    </row>
    <row r="1058" spans="3:3">
      <c r="C1058" s="537"/>
    </row>
    <row r="1059" spans="3:3">
      <c r="C1059" s="537"/>
    </row>
    <row r="1060" spans="3:3">
      <c r="C1060" s="537"/>
    </row>
    <row r="1061" spans="3:3">
      <c r="C1061" s="537"/>
    </row>
    <row r="1062" spans="3:3">
      <c r="C1062" s="537"/>
    </row>
    <row r="1063" spans="3:3">
      <c r="C1063" s="537"/>
    </row>
    <row r="1064" spans="3:3">
      <c r="C1064" s="537"/>
    </row>
    <row r="1065" spans="3:3">
      <c r="C1065" s="537"/>
    </row>
    <row r="1066" spans="3:3">
      <c r="C1066" s="537"/>
    </row>
    <row r="1067" spans="3:3">
      <c r="C1067" s="537"/>
    </row>
    <row r="1068" spans="3:3">
      <c r="C1068" s="537"/>
    </row>
    <row r="1069" spans="3:3">
      <c r="C1069" s="537"/>
    </row>
    <row r="1070" spans="3:3">
      <c r="C1070" s="537"/>
    </row>
    <row r="1071" spans="3:3">
      <c r="C1071" s="537"/>
    </row>
    <row r="1072" spans="3:3">
      <c r="C1072" s="537"/>
    </row>
    <row r="1073" spans="3:3">
      <c r="C1073" s="537"/>
    </row>
    <row r="1074" spans="3:3">
      <c r="C1074" s="537"/>
    </row>
    <row r="1075" spans="3:3">
      <c r="C1075" s="537"/>
    </row>
    <row r="1076" spans="3:3">
      <c r="C1076" s="537"/>
    </row>
    <row r="1077" spans="3:3">
      <c r="C1077" s="537"/>
    </row>
    <row r="1078" spans="3:3">
      <c r="C1078" s="537"/>
    </row>
    <row r="1079" spans="3:3">
      <c r="C1079" s="537"/>
    </row>
    <row r="1080" spans="3:3">
      <c r="C1080" s="537"/>
    </row>
    <row r="1081" spans="3:3">
      <c r="C1081" s="537"/>
    </row>
    <row r="1082" spans="3:3">
      <c r="C1082" s="537"/>
    </row>
    <row r="1083" spans="3:3">
      <c r="C1083" s="537"/>
    </row>
    <row r="1084" spans="3:3">
      <c r="C1084" s="537"/>
    </row>
    <row r="1085" spans="3:3">
      <c r="C1085" s="537"/>
    </row>
    <row r="1086" spans="3:3">
      <c r="C1086" s="537"/>
    </row>
    <row r="1087" spans="3:3">
      <c r="C1087" s="537"/>
    </row>
    <row r="1088" spans="3:3">
      <c r="C1088" s="537"/>
    </row>
    <row r="1089" spans="3:3">
      <c r="C1089" s="537"/>
    </row>
    <row r="1090" spans="3:3">
      <c r="C1090" s="537"/>
    </row>
    <row r="1091" spans="3:3">
      <c r="C1091" s="537"/>
    </row>
    <row r="1092" spans="3:3">
      <c r="C1092" s="537"/>
    </row>
    <row r="1093" spans="3:3">
      <c r="C1093" s="537"/>
    </row>
    <row r="1094" spans="3:3">
      <c r="C1094" s="537"/>
    </row>
    <row r="1095" spans="3:3">
      <c r="C1095" s="537"/>
    </row>
    <row r="1096" spans="3:3">
      <c r="C1096" s="537"/>
    </row>
    <row r="1097" spans="3:3">
      <c r="C1097" s="537"/>
    </row>
    <row r="1098" spans="3:3">
      <c r="C1098" s="537"/>
    </row>
    <row r="1099" spans="3:3">
      <c r="C1099" s="537"/>
    </row>
    <row r="1100" spans="3:3">
      <c r="C1100" s="537"/>
    </row>
    <row r="1101" spans="3:3">
      <c r="C1101" s="537"/>
    </row>
    <row r="1102" spans="3:3">
      <c r="C1102" s="537"/>
    </row>
    <row r="1103" spans="3:3">
      <c r="C1103" s="537"/>
    </row>
    <row r="1104" spans="3:3">
      <c r="C1104" s="537"/>
    </row>
    <row r="1105" spans="3:3">
      <c r="C1105" s="537"/>
    </row>
    <row r="1106" spans="3:3">
      <c r="C1106" s="537"/>
    </row>
    <row r="1107" spans="3:3">
      <c r="C1107" s="537"/>
    </row>
    <row r="1108" spans="3:3">
      <c r="C1108" s="537"/>
    </row>
    <row r="1109" spans="3:3">
      <c r="C1109" s="537"/>
    </row>
    <row r="1110" spans="3:3">
      <c r="C1110" s="537"/>
    </row>
    <row r="1111" spans="3:3">
      <c r="C1111" s="537"/>
    </row>
    <row r="1112" spans="3:3">
      <c r="C1112" s="537"/>
    </row>
    <row r="1113" spans="3:3">
      <c r="C1113" s="537"/>
    </row>
    <row r="1114" spans="3:3">
      <c r="C1114" s="537"/>
    </row>
    <row r="1115" spans="3:3">
      <c r="C1115" s="537"/>
    </row>
    <row r="1116" spans="3:3">
      <c r="C1116" s="537"/>
    </row>
    <row r="1117" spans="3:3">
      <c r="C1117" s="537"/>
    </row>
    <row r="1118" spans="3:3">
      <c r="C1118" s="537"/>
    </row>
    <row r="1119" spans="3:3">
      <c r="C1119" s="537"/>
    </row>
    <row r="1120" spans="3:3">
      <c r="C1120" s="537"/>
    </row>
    <row r="1121" spans="3:3">
      <c r="C1121" s="537"/>
    </row>
    <row r="1122" spans="3:3">
      <c r="C1122" s="537"/>
    </row>
    <row r="1123" spans="3:3">
      <c r="C1123" s="537"/>
    </row>
    <row r="1124" spans="3:3">
      <c r="C1124" s="537"/>
    </row>
    <row r="1125" spans="3:3">
      <c r="C1125" s="537"/>
    </row>
    <row r="1126" spans="3:3">
      <c r="C1126" s="537"/>
    </row>
    <row r="1127" spans="3:3">
      <c r="C1127" s="537"/>
    </row>
    <row r="1128" spans="3:3">
      <c r="C1128" s="537"/>
    </row>
    <row r="1129" spans="3:3">
      <c r="C1129" s="537"/>
    </row>
    <row r="1130" spans="3:3">
      <c r="C1130" s="537"/>
    </row>
    <row r="1131" spans="3:3">
      <c r="C1131" s="537"/>
    </row>
    <row r="1132" spans="3:3">
      <c r="C1132" s="537"/>
    </row>
    <row r="1133" spans="3:3">
      <c r="C1133" s="537"/>
    </row>
    <row r="1134" spans="3:3">
      <c r="C1134" s="537"/>
    </row>
    <row r="1135" spans="3:3">
      <c r="C1135" s="537"/>
    </row>
    <row r="1136" spans="3:3">
      <c r="C1136" s="537"/>
    </row>
    <row r="1137" spans="3:3">
      <c r="C1137" s="537"/>
    </row>
    <row r="1138" spans="3:3">
      <c r="C1138" s="537"/>
    </row>
    <row r="1139" spans="3:3">
      <c r="C1139" s="537"/>
    </row>
    <row r="1140" spans="3:3">
      <c r="C1140" s="537"/>
    </row>
    <row r="1141" spans="3:3">
      <c r="C1141" s="537"/>
    </row>
    <row r="1142" spans="3:3">
      <c r="C1142" s="537"/>
    </row>
    <row r="1143" spans="3:3">
      <c r="C1143" s="537"/>
    </row>
    <row r="1144" spans="3:3">
      <c r="C1144" s="537"/>
    </row>
    <row r="1145" spans="3:3">
      <c r="C1145" s="537"/>
    </row>
    <row r="1146" spans="3:3">
      <c r="C1146" s="537"/>
    </row>
    <row r="1147" spans="3:3">
      <c r="C1147" s="537"/>
    </row>
    <row r="1148" spans="3:3">
      <c r="C1148" s="537"/>
    </row>
    <row r="1149" spans="3:3">
      <c r="C1149" s="537"/>
    </row>
    <row r="1150" spans="3:3">
      <c r="C1150" s="537"/>
    </row>
    <row r="1151" spans="3:3">
      <c r="C1151" s="537"/>
    </row>
    <row r="1152" spans="3:3">
      <c r="C1152" s="537"/>
    </row>
    <row r="1153" spans="3:3">
      <c r="C1153" s="537"/>
    </row>
    <row r="1154" spans="3:3">
      <c r="C1154" s="537"/>
    </row>
    <row r="1155" spans="3:3">
      <c r="C1155" s="537"/>
    </row>
    <row r="1156" spans="3:3">
      <c r="C1156" s="537"/>
    </row>
    <row r="1157" spans="3:3">
      <c r="C1157" s="537"/>
    </row>
    <row r="1158" spans="3:3">
      <c r="C1158" s="537"/>
    </row>
    <row r="1159" spans="3:3">
      <c r="C1159" s="537"/>
    </row>
    <row r="1160" spans="3:3">
      <c r="C1160" s="537"/>
    </row>
    <row r="1161" spans="3:3">
      <c r="C1161" s="537"/>
    </row>
    <row r="1162" spans="3:3">
      <c r="C1162" s="537"/>
    </row>
    <row r="1163" spans="3:3">
      <c r="C1163" s="537"/>
    </row>
    <row r="1164" spans="3:3">
      <c r="C1164" s="537"/>
    </row>
    <row r="1165" spans="3:3">
      <c r="C1165" s="537"/>
    </row>
    <row r="1166" spans="3:3">
      <c r="C1166" s="537"/>
    </row>
    <row r="1167" spans="3:3">
      <c r="C1167" s="537"/>
    </row>
    <row r="1168" spans="3:3">
      <c r="C1168" s="537"/>
    </row>
    <row r="1169" spans="3:3">
      <c r="C1169" s="537"/>
    </row>
    <row r="1170" spans="3:3">
      <c r="C1170" s="537"/>
    </row>
    <row r="1171" spans="3:3">
      <c r="C1171" s="537"/>
    </row>
    <row r="1172" spans="3:3">
      <c r="C1172" s="537"/>
    </row>
    <row r="1173" spans="3:3">
      <c r="C1173" s="537"/>
    </row>
    <row r="1174" spans="3:3">
      <c r="C1174" s="537"/>
    </row>
    <row r="1175" spans="3:3">
      <c r="C1175" s="537"/>
    </row>
    <row r="1176" spans="3:3">
      <c r="C1176" s="537"/>
    </row>
    <row r="1177" spans="3:3">
      <c r="C1177" s="537"/>
    </row>
    <row r="1178" spans="3:3">
      <c r="C1178" s="537"/>
    </row>
    <row r="1179" spans="3:3">
      <c r="C1179" s="537"/>
    </row>
    <row r="1180" spans="3:3">
      <c r="C1180" s="537"/>
    </row>
    <row r="1181" spans="3:3">
      <c r="C1181" s="537"/>
    </row>
    <row r="1182" spans="3:3">
      <c r="C1182" s="537"/>
    </row>
    <row r="1183" spans="3:3">
      <c r="C1183" s="537"/>
    </row>
    <row r="1184" spans="3:3">
      <c r="C1184" s="537"/>
    </row>
    <row r="1185" spans="3:3">
      <c r="C1185" s="537"/>
    </row>
    <row r="1186" spans="3:3">
      <c r="C1186" s="537"/>
    </row>
    <row r="1187" spans="3:3">
      <c r="C1187" s="537"/>
    </row>
    <row r="1188" spans="3:3">
      <c r="C1188" s="537"/>
    </row>
    <row r="1189" spans="3:3">
      <c r="C1189" s="537"/>
    </row>
    <row r="1190" spans="3:3">
      <c r="C1190" s="537"/>
    </row>
    <row r="1191" spans="3:3">
      <c r="C1191" s="537"/>
    </row>
    <row r="1192" spans="3:3">
      <c r="C1192" s="537"/>
    </row>
    <row r="1193" spans="3:3">
      <c r="C1193" s="537"/>
    </row>
    <row r="1194" spans="3:3">
      <c r="C1194" s="537"/>
    </row>
    <row r="1195" spans="3:3">
      <c r="C1195" s="537"/>
    </row>
    <row r="1196" spans="3:3">
      <c r="C1196" s="537"/>
    </row>
    <row r="1197" spans="3:3">
      <c r="C1197" s="537"/>
    </row>
    <row r="1198" spans="3:3">
      <c r="C1198" s="537"/>
    </row>
    <row r="1199" spans="3:3">
      <c r="C1199" s="537"/>
    </row>
    <row r="1200" spans="3:3">
      <c r="C1200" s="537"/>
    </row>
    <row r="1201" spans="3:3">
      <c r="C1201" s="537"/>
    </row>
    <row r="1202" spans="3:3">
      <c r="C1202" s="537"/>
    </row>
    <row r="1203" spans="3:3">
      <c r="C1203" s="537"/>
    </row>
    <row r="1204" spans="3:3">
      <c r="C1204" s="537"/>
    </row>
    <row r="1205" spans="3:3">
      <c r="C1205" s="537"/>
    </row>
    <row r="1206" spans="3:3">
      <c r="C1206" s="537"/>
    </row>
    <row r="1207" spans="3:3">
      <c r="C1207" s="537"/>
    </row>
    <row r="1208" spans="3:3">
      <c r="C1208" s="537"/>
    </row>
    <row r="1209" spans="3:3">
      <c r="C1209" s="537"/>
    </row>
    <row r="1210" spans="3:3">
      <c r="C1210" s="537"/>
    </row>
    <row r="1211" spans="3:3">
      <c r="C1211" s="537"/>
    </row>
    <row r="1212" spans="3:3">
      <c r="C1212" s="537"/>
    </row>
    <row r="1213" spans="3:3">
      <c r="C1213" s="537"/>
    </row>
    <row r="1214" spans="3:3">
      <c r="C1214" s="537"/>
    </row>
    <row r="1215" spans="3:3">
      <c r="C1215" s="537"/>
    </row>
    <row r="1216" spans="3:3">
      <c r="C1216" s="537"/>
    </row>
    <row r="1217" spans="3:3">
      <c r="C1217" s="537"/>
    </row>
    <row r="1218" spans="3:3">
      <c r="C1218" s="537"/>
    </row>
    <row r="1219" spans="3:3">
      <c r="C1219" s="537"/>
    </row>
    <row r="1220" spans="3:3">
      <c r="C1220" s="537"/>
    </row>
    <row r="1221" spans="3:3">
      <c r="C1221" s="537"/>
    </row>
    <row r="1222" spans="3:3">
      <c r="C1222" s="537"/>
    </row>
    <row r="1223" spans="3:3">
      <c r="C1223" s="537"/>
    </row>
    <row r="1224" spans="3:3">
      <c r="C1224" s="537"/>
    </row>
    <row r="1225" spans="3:3">
      <c r="C1225" s="537"/>
    </row>
    <row r="1226" spans="3:3">
      <c r="C1226" s="537"/>
    </row>
    <row r="1227" spans="3:3">
      <c r="C1227" s="537"/>
    </row>
    <row r="1228" spans="3:3">
      <c r="C1228" s="537"/>
    </row>
    <row r="1229" spans="3:3">
      <c r="C1229" s="537"/>
    </row>
    <row r="1230" spans="3:3">
      <c r="C1230" s="537"/>
    </row>
    <row r="1231" spans="3:3">
      <c r="C1231" s="537"/>
    </row>
    <row r="1232" spans="3:3">
      <c r="C1232" s="537"/>
    </row>
    <row r="1233" spans="3:3">
      <c r="C1233" s="537"/>
    </row>
    <row r="1234" spans="3:3">
      <c r="C1234" s="537"/>
    </row>
    <row r="1235" spans="3:3">
      <c r="C1235" s="537"/>
    </row>
    <row r="1236" spans="3:3">
      <c r="C1236" s="537"/>
    </row>
    <row r="1237" spans="3:3">
      <c r="C1237" s="537"/>
    </row>
    <row r="1238" spans="3:3">
      <c r="C1238" s="537"/>
    </row>
    <row r="1239" spans="3:3">
      <c r="C1239" s="537"/>
    </row>
    <row r="1240" spans="3:3">
      <c r="C1240" s="537"/>
    </row>
    <row r="1241" spans="3:3">
      <c r="C1241" s="537"/>
    </row>
    <row r="1242" spans="3:3">
      <c r="C1242" s="537"/>
    </row>
    <row r="1243" spans="3:3">
      <c r="C1243" s="537"/>
    </row>
    <row r="1244" spans="3:3">
      <c r="C1244" s="537"/>
    </row>
    <row r="1245" spans="3:3">
      <c r="C1245" s="537"/>
    </row>
    <row r="1246" spans="3:3">
      <c r="C1246" s="537"/>
    </row>
    <row r="1247" spans="3:3">
      <c r="C1247" s="537"/>
    </row>
    <row r="1248" spans="3:3">
      <c r="C1248" s="537"/>
    </row>
    <row r="1249" spans="3:3">
      <c r="C1249" s="537"/>
    </row>
    <row r="1250" spans="3:3">
      <c r="C1250" s="537"/>
    </row>
    <row r="1251" spans="3:3">
      <c r="C1251" s="537"/>
    </row>
    <row r="1252" spans="3:3">
      <c r="C1252" s="537"/>
    </row>
    <row r="1253" spans="3:3">
      <c r="C1253" s="537"/>
    </row>
    <row r="1254" spans="3:3">
      <c r="C1254" s="537"/>
    </row>
    <row r="1255" spans="3:3">
      <c r="C1255" s="537"/>
    </row>
    <row r="1256" spans="3:3">
      <c r="C1256" s="537"/>
    </row>
    <row r="1257" spans="3:3">
      <c r="C1257" s="537"/>
    </row>
    <row r="1258" spans="3:3">
      <c r="C1258" s="537"/>
    </row>
    <row r="1259" spans="3:3">
      <c r="C1259" s="537"/>
    </row>
    <row r="1260" spans="3:3">
      <c r="C1260" s="537"/>
    </row>
    <row r="1261" spans="3:3">
      <c r="C1261" s="537"/>
    </row>
    <row r="1262" spans="3:3">
      <c r="C1262" s="537"/>
    </row>
    <row r="1263" spans="3:3">
      <c r="C1263" s="537"/>
    </row>
    <row r="1264" spans="3:3">
      <c r="C1264" s="537"/>
    </row>
    <row r="1265" spans="3:3">
      <c r="C1265" s="537"/>
    </row>
    <row r="1266" spans="3:3">
      <c r="C1266" s="537"/>
    </row>
    <row r="1267" spans="3:3">
      <c r="C1267" s="537"/>
    </row>
    <row r="1268" spans="3:3">
      <c r="C1268" s="537"/>
    </row>
    <row r="1269" spans="3:3">
      <c r="C1269" s="537"/>
    </row>
    <row r="1270" spans="3:3">
      <c r="C1270" s="537"/>
    </row>
    <row r="1271" spans="3:3">
      <c r="C1271" s="537"/>
    </row>
    <row r="1272" spans="3:3">
      <c r="C1272" s="537"/>
    </row>
    <row r="1273" spans="3:3">
      <c r="C1273" s="537"/>
    </row>
    <row r="1274" spans="3:3">
      <c r="C1274" s="537"/>
    </row>
    <row r="1275" spans="3:3">
      <c r="C1275" s="537"/>
    </row>
    <row r="1276" spans="3:3">
      <c r="C1276" s="537"/>
    </row>
    <row r="1277" spans="3:3">
      <c r="C1277" s="537"/>
    </row>
    <row r="1278" spans="3:3">
      <c r="C1278" s="537"/>
    </row>
    <row r="1279" spans="3:3">
      <c r="C1279" s="537"/>
    </row>
    <row r="1280" spans="3:3">
      <c r="C1280" s="537"/>
    </row>
    <row r="1281" spans="3:3">
      <c r="C1281" s="537"/>
    </row>
    <row r="1282" spans="3:3">
      <c r="C1282" s="537"/>
    </row>
    <row r="1283" spans="3:3">
      <c r="C1283" s="537"/>
    </row>
    <row r="1284" spans="3:3">
      <c r="C1284" s="537"/>
    </row>
    <row r="1285" spans="3:3">
      <c r="C1285" s="537"/>
    </row>
    <row r="1286" spans="3:3">
      <c r="C1286" s="537"/>
    </row>
    <row r="1287" spans="3:3">
      <c r="C1287" s="537"/>
    </row>
    <row r="1288" spans="3:3">
      <c r="C1288" s="537"/>
    </row>
    <row r="1289" spans="3:3">
      <c r="C1289" s="537"/>
    </row>
    <row r="1290" spans="3:3">
      <c r="C1290" s="537"/>
    </row>
    <row r="1291" spans="3:3">
      <c r="C1291" s="537"/>
    </row>
    <row r="1292" spans="3:3">
      <c r="C1292" s="537"/>
    </row>
    <row r="1293" spans="3:3">
      <c r="C1293" s="537"/>
    </row>
    <row r="1294" spans="3:3">
      <c r="C1294" s="537"/>
    </row>
    <row r="1295" spans="3:3">
      <c r="C1295" s="537"/>
    </row>
    <row r="1296" spans="3:3">
      <c r="C1296" s="537"/>
    </row>
    <row r="1297" spans="3:3">
      <c r="C1297" s="537"/>
    </row>
    <row r="1298" spans="3:3">
      <c r="C1298" s="537"/>
    </row>
    <row r="1299" spans="3:3">
      <c r="C1299" s="537"/>
    </row>
    <row r="1300" spans="3:3">
      <c r="C1300" s="537"/>
    </row>
    <row r="1301" spans="3:3">
      <c r="C1301" s="537"/>
    </row>
    <row r="1302" spans="3:3">
      <c r="C1302" s="537"/>
    </row>
    <row r="1303" spans="3:3">
      <c r="C1303" s="537"/>
    </row>
    <row r="1304" spans="3:3">
      <c r="C1304" s="537"/>
    </row>
    <row r="1305" spans="3:3">
      <c r="C1305" s="537"/>
    </row>
    <row r="1306" spans="3:3">
      <c r="C1306" s="537"/>
    </row>
    <row r="1307" spans="3:3">
      <c r="C1307" s="537"/>
    </row>
    <row r="1308" spans="3:3">
      <c r="C1308" s="537"/>
    </row>
    <row r="1309" spans="3:3">
      <c r="C1309" s="537"/>
    </row>
    <row r="1310" spans="3:3">
      <c r="C1310" s="537"/>
    </row>
    <row r="1311" spans="3:3">
      <c r="C1311" s="537"/>
    </row>
    <row r="1312" spans="3:3">
      <c r="C1312" s="537"/>
    </row>
    <row r="1313" spans="3:3">
      <c r="C1313" s="537"/>
    </row>
    <row r="1314" spans="3:3">
      <c r="C1314" s="537"/>
    </row>
    <row r="1315" spans="3:3">
      <c r="C1315" s="537"/>
    </row>
    <row r="1316" spans="3:3">
      <c r="C1316" s="537"/>
    </row>
    <row r="1317" spans="3:3">
      <c r="C1317" s="537"/>
    </row>
    <row r="1318" spans="3:3">
      <c r="C1318" s="537"/>
    </row>
    <row r="1319" spans="3:3">
      <c r="C1319" s="537"/>
    </row>
    <row r="1320" spans="3:3">
      <c r="C1320" s="537"/>
    </row>
    <row r="1321" spans="3:3">
      <c r="C1321" s="537"/>
    </row>
    <row r="1322" spans="3:3">
      <c r="C1322" s="537"/>
    </row>
    <row r="1323" spans="3:3">
      <c r="C1323" s="537"/>
    </row>
    <row r="1324" spans="3:3">
      <c r="C1324" s="537"/>
    </row>
    <row r="1325" spans="3:3">
      <c r="C1325" s="537"/>
    </row>
    <row r="1326" spans="3:3">
      <c r="C1326" s="537"/>
    </row>
    <row r="1327" spans="3:3">
      <c r="C1327" s="537"/>
    </row>
    <row r="1328" spans="3:3">
      <c r="C1328" s="537"/>
    </row>
    <row r="1329" spans="3:3">
      <c r="C1329" s="537"/>
    </row>
    <row r="1330" spans="3:3">
      <c r="C1330" s="537"/>
    </row>
    <row r="1331" spans="3:3">
      <c r="C1331" s="537"/>
    </row>
    <row r="1332" spans="3:3">
      <c r="C1332" s="537"/>
    </row>
    <row r="1333" spans="3:3">
      <c r="C1333" s="537"/>
    </row>
    <row r="1334" spans="3:3">
      <c r="C1334" s="537"/>
    </row>
    <row r="1335" spans="3:3">
      <c r="C1335" s="537"/>
    </row>
    <row r="1336" spans="3:3">
      <c r="C1336" s="537"/>
    </row>
    <row r="1337" spans="3:3">
      <c r="C1337" s="537"/>
    </row>
    <row r="1338" spans="3:3">
      <c r="C1338" s="537"/>
    </row>
    <row r="1339" spans="3:3">
      <c r="C1339" s="537"/>
    </row>
    <row r="1340" spans="3:3">
      <c r="C1340" s="537"/>
    </row>
    <row r="1341" spans="3:3">
      <c r="C1341" s="537"/>
    </row>
    <row r="1342" spans="3:3">
      <c r="C1342" s="537"/>
    </row>
    <row r="1343" spans="3:3">
      <c r="C1343" s="537"/>
    </row>
    <row r="1344" spans="3:3">
      <c r="C1344" s="537"/>
    </row>
    <row r="1345" spans="3:3">
      <c r="C1345" s="537"/>
    </row>
    <row r="1346" spans="3:3">
      <c r="C1346" s="537"/>
    </row>
    <row r="1347" spans="3:3">
      <c r="C1347" s="537"/>
    </row>
    <row r="1348" spans="3:3">
      <c r="C1348" s="537"/>
    </row>
    <row r="1349" spans="3:3">
      <c r="C1349" s="537"/>
    </row>
    <row r="1350" spans="3:3">
      <c r="C1350" s="537"/>
    </row>
    <row r="1351" spans="3:3">
      <c r="C1351" s="537"/>
    </row>
    <row r="1352" spans="3:3">
      <c r="C1352" s="537"/>
    </row>
    <row r="1353" spans="3:3">
      <c r="C1353" s="537"/>
    </row>
    <row r="1354" spans="3:3">
      <c r="C1354" s="537"/>
    </row>
    <row r="1355" spans="3:3">
      <c r="C1355" s="537"/>
    </row>
    <row r="1356" spans="3:3">
      <c r="C1356" s="537"/>
    </row>
    <row r="1357" spans="3:3">
      <c r="C1357" s="537"/>
    </row>
    <row r="1358" spans="3:3">
      <c r="C1358" s="537"/>
    </row>
    <row r="1359" spans="3:3">
      <c r="C1359" s="537"/>
    </row>
    <row r="1360" spans="3:3">
      <c r="C1360" s="537"/>
    </row>
    <row r="1361" spans="3:3">
      <c r="C1361" s="537"/>
    </row>
    <row r="1362" spans="3:3">
      <c r="C1362" s="537"/>
    </row>
    <row r="1363" spans="3:3">
      <c r="C1363" s="537"/>
    </row>
    <row r="1364" spans="3:3">
      <c r="C1364" s="537"/>
    </row>
    <row r="1365" spans="3:3">
      <c r="C1365" s="537"/>
    </row>
    <row r="1366" spans="3:3">
      <c r="C1366" s="537"/>
    </row>
    <row r="1367" spans="3:3">
      <c r="C1367" s="537"/>
    </row>
    <row r="1368" spans="3:3">
      <c r="C1368" s="537"/>
    </row>
    <row r="1369" spans="3:3">
      <c r="C1369" s="537"/>
    </row>
    <row r="1370" spans="3:3">
      <c r="C1370" s="537"/>
    </row>
    <row r="1371" spans="3:3">
      <c r="C1371" s="537"/>
    </row>
    <row r="1372" spans="3:3">
      <c r="C1372" s="537"/>
    </row>
    <row r="1373" spans="3:3">
      <c r="C1373" s="537"/>
    </row>
    <row r="1374" spans="3:3">
      <c r="C1374" s="537"/>
    </row>
    <row r="1375" spans="3:3">
      <c r="C1375" s="537"/>
    </row>
    <row r="1376" spans="3:3">
      <c r="C1376" s="537"/>
    </row>
    <row r="1377" spans="3:3">
      <c r="C1377" s="537"/>
    </row>
    <row r="1378" spans="3:3">
      <c r="C1378" s="537"/>
    </row>
    <row r="1379" spans="3:3">
      <c r="C1379" s="537"/>
    </row>
    <row r="1380" spans="3:3">
      <c r="C1380" s="537"/>
    </row>
    <row r="1381" spans="3:3">
      <c r="C1381" s="537"/>
    </row>
    <row r="1382" spans="3:3">
      <c r="C1382" s="537"/>
    </row>
    <row r="1383" spans="3:3">
      <c r="C1383" s="537"/>
    </row>
    <row r="1384" spans="3:3">
      <c r="C1384" s="537"/>
    </row>
    <row r="1385" spans="3:3">
      <c r="C1385" s="537"/>
    </row>
    <row r="1386" spans="3:3">
      <c r="C1386" s="537"/>
    </row>
    <row r="1387" spans="3:3">
      <c r="C1387" s="537"/>
    </row>
    <row r="1388" spans="3:3">
      <c r="C1388" s="537"/>
    </row>
    <row r="1389" spans="3:3">
      <c r="C1389" s="537"/>
    </row>
    <row r="1390" spans="3:3">
      <c r="C1390" s="537"/>
    </row>
    <row r="1391" spans="3:3">
      <c r="C1391" s="537"/>
    </row>
    <row r="1392" spans="3:3">
      <c r="C1392" s="537"/>
    </row>
    <row r="1393" spans="3:3">
      <c r="C1393" s="537"/>
    </row>
    <row r="1394" spans="3:3">
      <c r="C1394" s="537"/>
    </row>
    <row r="1395" spans="3:3">
      <c r="C1395" s="537"/>
    </row>
    <row r="1396" spans="3:3">
      <c r="C1396" s="537"/>
    </row>
    <row r="1397" spans="3:3">
      <c r="C1397" s="537"/>
    </row>
    <row r="1398" spans="3:3">
      <c r="C1398" s="537"/>
    </row>
    <row r="1399" spans="3:3">
      <c r="C1399" s="537"/>
    </row>
    <row r="1400" spans="3:3">
      <c r="C1400" s="537"/>
    </row>
    <row r="1401" spans="3:3">
      <c r="C1401" s="537"/>
    </row>
    <row r="1402" spans="3:3">
      <c r="C1402" s="537"/>
    </row>
    <row r="1403" spans="3:3">
      <c r="C1403" s="537"/>
    </row>
    <row r="1404" spans="3:3">
      <c r="C1404" s="537"/>
    </row>
    <row r="1405" spans="3:3">
      <c r="C1405" s="537"/>
    </row>
    <row r="1406" spans="3:3">
      <c r="C1406" s="537"/>
    </row>
    <row r="1407" spans="3:3">
      <c r="C1407" s="537"/>
    </row>
    <row r="1408" spans="3:3">
      <c r="C1408" s="537"/>
    </row>
    <row r="1409" spans="3:3">
      <c r="C1409" s="537"/>
    </row>
    <row r="1410" spans="3:3">
      <c r="C1410" s="537"/>
    </row>
    <row r="1411" spans="3:3">
      <c r="C1411" s="537"/>
    </row>
    <row r="1412" spans="3:3">
      <c r="C1412" s="537"/>
    </row>
    <row r="1413" spans="3:3">
      <c r="C1413" s="537"/>
    </row>
    <row r="1414" spans="3:3">
      <c r="C1414" s="537"/>
    </row>
    <row r="1415" spans="3:3">
      <c r="C1415" s="537"/>
    </row>
    <row r="1416" spans="3:3">
      <c r="C1416" s="537"/>
    </row>
    <row r="1417" spans="3:3">
      <c r="C1417" s="537"/>
    </row>
    <row r="1418" spans="3:3">
      <c r="C1418" s="537"/>
    </row>
    <row r="1419" spans="3:3">
      <c r="C1419" s="537"/>
    </row>
    <row r="1420" spans="3:3">
      <c r="C1420" s="537"/>
    </row>
    <row r="1421" spans="3:3">
      <c r="C1421" s="537"/>
    </row>
    <row r="1422" spans="3:3">
      <c r="C1422" s="537"/>
    </row>
    <row r="1423" spans="3:3">
      <c r="C1423" s="537"/>
    </row>
    <row r="1424" spans="3:3">
      <c r="C1424" s="537"/>
    </row>
    <row r="1425" spans="3:3">
      <c r="C1425" s="537"/>
    </row>
    <row r="1426" spans="3:3">
      <c r="C1426" s="537"/>
    </row>
    <row r="1427" spans="3:3">
      <c r="C1427" s="537"/>
    </row>
    <row r="1428" spans="3:3">
      <c r="C1428" s="537"/>
    </row>
    <row r="1429" spans="3:3">
      <c r="C1429" s="537"/>
    </row>
    <row r="1430" spans="3:3">
      <c r="C1430" s="537"/>
    </row>
    <row r="1431" spans="3:3">
      <c r="C1431" s="537"/>
    </row>
    <row r="1432" spans="3:3">
      <c r="C1432" s="537"/>
    </row>
    <row r="1433" spans="3:3">
      <c r="C1433" s="537"/>
    </row>
    <row r="1434" spans="3:3">
      <c r="C1434" s="537"/>
    </row>
    <row r="1435" spans="3:3">
      <c r="C1435" s="537"/>
    </row>
    <row r="1436" spans="3:3">
      <c r="C1436" s="537"/>
    </row>
    <row r="1437" spans="3:3">
      <c r="C1437" s="537"/>
    </row>
    <row r="1438" spans="3:3">
      <c r="C1438" s="537"/>
    </row>
    <row r="1439" spans="3:3">
      <c r="C1439" s="537"/>
    </row>
    <row r="1440" spans="3:3">
      <c r="C1440" s="537"/>
    </row>
    <row r="1441" spans="3:3">
      <c r="C1441" s="537"/>
    </row>
    <row r="1442" spans="3:3">
      <c r="C1442" s="537"/>
    </row>
    <row r="1443" spans="3:3">
      <c r="C1443" s="537"/>
    </row>
    <row r="1444" spans="3:3">
      <c r="C1444" s="537"/>
    </row>
    <row r="1445" spans="3:3">
      <c r="C1445" s="537"/>
    </row>
    <row r="1446" spans="3:3">
      <c r="C1446" s="537"/>
    </row>
    <row r="1447" spans="3:3">
      <c r="C1447" s="537"/>
    </row>
    <row r="1448" spans="3:3">
      <c r="C1448" s="537"/>
    </row>
    <row r="1449" spans="3:3">
      <c r="C1449" s="537"/>
    </row>
    <row r="1450" spans="3:3">
      <c r="C1450" s="537"/>
    </row>
    <row r="1451" spans="3:3">
      <c r="C1451" s="537"/>
    </row>
    <row r="1452" spans="3:3">
      <c r="C1452" s="537"/>
    </row>
    <row r="1453" spans="3:3">
      <c r="C1453" s="537"/>
    </row>
    <row r="1454" spans="3:3">
      <c r="C1454" s="537"/>
    </row>
    <row r="1455" spans="3:3">
      <c r="C1455" s="537"/>
    </row>
    <row r="1456" spans="3:3">
      <c r="C1456" s="537"/>
    </row>
    <row r="1457" spans="3:3">
      <c r="C1457" s="537"/>
    </row>
    <row r="1458" spans="3:3">
      <c r="C1458" s="537"/>
    </row>
    <row r="1459" spans="3:3">
      <c r="C1459" s="537"/>
    </row>
    <row r="1460" spans="3:3">
      <c r="C1460" s="537"/>
    </row>
    <row r="1461" spans="3:3">
      <c r="C1461" s="537"/>
    </row>
    <row r="1462" spans="3:3">
      <c r="C1462" s="537"/>
    </row>
    <row r="1463" spans="3:3">
      <c r="C1463" s="537"/>
    </row>
    <row r="1464" spans="3:3">
      <c r="C1464" s="537"/>
    </row>
    <row r="1465" spans="3:3">
      <c r="C1465" s="537"/>
    </row>
    <row r="1466" spans="3:3">
      <c r="C1466" s="537"/>
    </row>
    <row r="1467" spans="3:3">
      <c r="C1467" s="537"/>
    </row>
    <row r="1468" spans="3:3">
      <c r="C1468" s="537"/>
    </row>
    <row r="1469" spans="3:3">
      <c r="C1469" s="537"/>
    </row>
    <row r="1470" spans="3:3">
      <c r="C1470" s="537"/>
    </row>
    <row r="1471" spans="3:3">
      <c r="C1471" s="537"/>
    </row>
    <row r="1472" spans="3:3">
      <c r="C1472" s="537"/>
    </row>
    <row r="1473" spans="3:3">
      <c r="C1473" s="537"/>
    </row>
    <row r="1474" spans="3:3">
      <c r="C1474" s="537"/>
    </row>
    <row r="1475" spans="3:3">
      <c r="C1475" s="537"/>
    </row>
    <row r="1476" spans="3:3">
      <c r="C1476" s="537"/>
    </row>
    <row r="1477" spans="3:3">
      <c r="C1477" s="537"/>
    </row>
    <row r="1478" spans="3:3">
      <c r="C1478" s="537"/>
    </row>
    <row r="1479" spans="3:3">
      <c r="C1479" s="537"/>
    </row>
    <row r="1480" spans="3:3">
      <c r="C1480" s="537"/>
    </row>
    <row r="1481" spans="3:3">
      <c r="C1481" s="537"/>
    </row>
    <row r="1482" spans="3:3">
      <c r="C1482" s="537"/>
    </row>
    <row r="1483" spans="3:3">
      <c r="C1483" s="537"/>
    </row>
    <row r="1484" spans="3:3">
      <c r="C1484" s="537"/>
    </row>
    <row r="1485" spans="3:3">
      <c r="C1485" s="537"/>
    </row>
    <row r="1486" spans="3:3">
      <c r="C1486" s="537"/>
    </row>
    <row r="1487" spans="3:3">
      <c r="C1487" s="537"/>
    </row>
    <row r="1488" spans="3:3">
      <c r="C1488" s="537"/>
    </row>
    <row r="1489" spans="3:3">
      <c r="C1489" s="537"/>
    </row>
    <row r="1490" spans="3:3">
      <c r="C1490" s="537"/>
    </row>
    <row r="1491" spans="3:3">
      <c r="C1491" s="537"/>
    </row>
    <row r="1492" spans="3:3">
      <c r="C1492" s="537"/>
    </row>
    <row r="1493" spans="3:3">
      <c r="C1493" s="537"/>
    </row>
    <row r="1494" spans="3:3">
      <c r="C1494" s="537"/>
    </row>
    <row r="1495" spans="3:3">
      <c r="C1495" s="537"/>
    </row>
    <row r="1496" spans="3:3">
      <c r="C1496" s="537"/>
    </row>
    <row r="1497" spans="3:3">
      <c r="C1497" s="537"/>
    </row>
    <row r="1498" spans="3:3">
      <c r="C1498" s="537"/>
    </row>
    <row r="1499" spans="3:3">
      <c r="C1499" s="537"/>
    </row>
    <row r="1500" spans="3:3">
      <c r="C1500" s="537"/>
    </row>
    <row r="1501" spans="3:3">
      <c r="C1501" s="537"/>
    </row>
    <row r="1502" spans="3:3">
      <c r="C1502" s="537"/>
    </row>
    <row r="1503" spans="3:3">
      <c r="C1503" s="537"/>
    </row>
    <row r="1504" spans="3:3">
      <c r="C1504" s="537"/>
    </row>
    <row r="1505" spans="3:3">
      <c r="C1505" s="537"/>
    </row>
    <row r="1506" spans="3:3">
      <c r="C1506" s="537"/>
    </row>
    <row r="1507" spans="3:3">
      <c r="C1507" s="537"/>
    </row>
    <row r="1508" spans="3:3">
      <c r="C1508" s="537"/>
    </row>
    <row r="1509" spans="3:3">
      <c r="C1509" s="537"/>
    </row>
    <row r="1510" spans="3:3">
      <c r="C1510" s="537"/>
    </row>
    <row r="1511" spans="3:3">
      <c r="C1511" s="537"/>
    </row>
    <row r="1512" spans="3:3">
      <c r="C1512" s="537"/>
    </row>
    <row r="1513" spans="3:3">
      <c r="C1513" s="537"/>
    </row>
    <row r="1514" spans="3:3">
      <c r="C1514" s="537"/>
    </row>
    <row r="1515" spans="3:3">
      <c r="C1515" s="537"/>
    </row>
    <row r="1516" spans="3:3">
      <c r="C1516" s="537"/>
    </row>
    <row r="1517" spans="3:3">
      <c r="C1517" s="537"/>
    </row>
    <row r="1518" spans="3:3">
      <c r="C1518" s="537"/>
    </row>
    <row r="1519" spans="3:3">
      <c r="C1519" s="537"/>
    </row>
    <row r="1520" spans="3:3">
      <c r="C1520" s="537"/>
    </row>
    <row r="1521" spans="3:3">
      <c r="C1521" s="537"/>
    </row>
    <row r="1522" spans="3:3">
      <c r="C1522" s="537"/>
    </row>
    <row r="1523" spans="3:3">
      <c r="C1523" s="537"/>
    </row>
    <row r="1524" spans="3:3">
      <c r="C1524" s="537"/>
    </row>
    <row r="1525" spans="3:3">
      <c r="C1525" s="537"/>
    </row>
    <row r="1526" spans="3:3">
      <c r="C1526" s="537"/>
    </row>
    <row r="1527" spans="3:3">
      <c r="C1527" s="537"/>
    </row>
    <row r="1528" spans="3:3">
      <c r="C1528" s="537"/>
    </row>
    <row r="1529" spans="3:3">
      <c r="C1529" s="537"/>
    </row>
    <row r="1530" spans="3:3">
      <c r="C1530" s="537"/>
    </row>
    <row r="1531" spans="3:3">
      <c r="C1531" s="537"/>
    </row>
    <row r="1532" spans="3:3">
      <c r="C1532" s="537"/>
    </row>
    <row r="1533" spans="3:3">
      <c r="C1533" s="537"/>
    </row>
    <row r="1534" spans="3:3">
      <c r="C1534" s="537"/>
    </row>
    <row r="1535" spans="3:3">
      <c r="C1535" s="537"/>
    </row>
    <row r="1536" spans="3:3">
      <c r="C1536" s="537"/>
    </row>
    <row r="1537" spans="3:3">
      <c r="C1537" s="537"/>
    </row>
    <row r="1538" spans="3:3">
      <c r="C1538" s="537"/>
    </row>
    <row r="1539" spans="3:3">
      <c r="C1539" s="537"/>
    </row>
    <row r="1540" spans="3:3">
      <c r="C1540" s="537"/>
    </row>
    <row r="1541" spans="3:3">
      <c r="C1541" s="537"/>
    </row>
    <row r="1542" spans="3:3">
      <c r="C1542" s="537"/>
    </row>
    <row r="1543" spans="3:3">
      <c r="C1543" s="537"/>
    </row>
    <row r="1544" spans="3:3">
      <c r="C1544" s="537"/>
    </row>
    <row r="1545" spans="3:3">
      <c r="C1545" s="537"/>
    </row>
    <row r="1546" spans="3:3">
      <c r="C1546" s="537"/>
    </row>
    <row r="1547" spans="3:3">
      <c r="C1547" s="537"/>
    </row>
    <row r="1548" spans="3:3">
      <c r="C1548" s="537"/>
    </row>
    <row r="1549" spans="3:3">
      <c r="C1549" s="537"/>
    </row>
    <row r="1550" spans="3:3">
      <c r="C1550" s="537"/>
    </row>
    <row r="1551" spans="3:3">
      <c r="C1551" s="537"/>
    </row>
    <row r="1552" spans="3:3">
      <c r="C1552" s="537"/>
    </row>
    <row r="1553" spans="3:3">
      <c r="C1553" s="537"/>
    </row>
    <row r="1554" spans="3:3">
      <c r="C1554" s="537"/>
    </row>
    <row r="1555" spans="3:3">
      <c r="C1555" s="537"/>
    </row>
    <row r="1556" spans="3:3">
      <c r="C1556" s="537"/>
    </row>
    <row r="1557" spans="3:3">
      <c r="C1557" s="537"/>
    </row>
    <row r="1558" spans="3:3">
      <c r="C1558" s="537"/>
    </row>
    <row r="1559" spans="3:3">
      <c r="C1559" s="537"/>
    </row>
    <row r="1560" spans="3:3">
      <c r="C1560" s="537"/>
    </row>
    <row r="1561" spans="3:3">
      <c r="C1561" s="537"/>
    </row>
    <row r="1562" spans="3:3">
      <c r="C1562" s="537"/>
    </row>
    <row r="1563" spans="3:3">
      <c r="C1563" s="537"/>
    </row>
    <row r="1564" spans="3:3">
      <c r="C1564" s="537"/>
    </row>
    <row r="1565" spans="3:3">
      <c r="C1565" s="537"/>
    </row>
    <row r="1566" spans="3:3">
      <c r="C1566" s="537"/>
    </row>
    <row r="1567" spans="3:3">
      <c r="C1567" s="537"/>
    </row>
    <row r="1568" spans="3:3">
      <c r="C1568" s="537"/>
    </row>
    <row r="1569" spans="3:3">
      <c r="C1569" s="537"/>
    </row>
    <row r="1570" spans="3:3">
      <c r="C1570" s="537"/>
    </row>
    <row r="1571" spans="3:3">
      <c r="C1571" s="537"/>
    </row>
    <row r="1572" spans="3:3">
      <c r="C1572" s="537"/>
    </row>
    <row r="1573" spans="3:3">
      <c r="C1573" s="537"/>
    </row>
    <row r="1574" spans="3:3">
      <c r="C1574" s="537"/>
    </row>
    <row r="1575" spans="3:3">
      <c r="C1575" s="537"/>
    </row>
    <row r="1576" spans="3:3">
      <c r="C1576" s="537"/>
    </row>
    <row r="1577" spans="3:3">
      <c r="C1577" s="537"/>
    </row>
    <row r="1578" spans="3:3">
      <c r="C1578" s="537"/>
    </row>
    <row r="1579" spans="3:3">
      <c r="C1579" s="537"/>
    </row>
    <row r="1580" spans="3:3">
      <c r="C1580" s="537"/>
    </row>
    <row r="1581" spans="3:3">
      <c r="C1581" s="537"/>
    </row>
    <row r="1582" spans="3:3">
      <c r="C1582" s="537"/>
    </row>
    <row r="1583" spans="3:3">
      <c r="C1583" s="537"/>
    </row>
    <row r="1584" spans="3:3">
      <c r="C1584" s="537"/>
    </row>
    <row r="1585" spans="3:3">
      <c r="C1585" s="537"/>
    </row>
    <row r="1586" spans="3:3">
      <c r="C1586" s="537"/>
    </row>
    <row r="1587" spans="3:3">
      <c r="C1587" s="537"/>
    </row>
    <row r="1588" spans="3:3">
      <c r="C1588" s="537"/>
    </row>
    <row r="1589" spans="3:3">
      <c r="C1589" s="537"/>
    </row>
    <row r="1590" spans="3:3">
      <c r="C1590" s="537"/>
    </row>
    <row r="1591" spans="3:3">
      <c r="C1591" s="537"/>
    </row>
    <row r="1592" spans="3:3">
      <c r="C1592" s="537"/>
    </row>
    <row r="1593" spans="3:3">
      <c r="C1593" s="537"/>
    </row>
    <row r="1594" spans="3:3">
      <c r="C1594" s="537"/>
    </row>
    <row r="1595" spans="3:3">
      <c r="C1595" s="537"/>
    </row>
    <row r="1596" spans="3:3">
      <c r="C1596" s="537"/>
    </row>
    <row r="1597" spans="3:3">
      <c r="C1597" s="537"/>
    </row>
    <row r="1598" spans="3:3">
      <c r="C1598" s="537"/>
    </row>
    <row r="1599" spans="3:3">
      <c r="C1599" s="537"/>
    </row>
    <row r="1600" spans="3:3">
      <c r="C1600" s="537"/>
    </row>
    <row r="1601" spans="3:3">
      <c r="C1601" s="537"/>
    </row>
    <row r="1602" spans="3:3">
      <c r="C1602" s="537"/>
    </row>
    <row r="1603" spans="3:3">
      <c r="C1603" s="537"/>
    </row>
    <row r="1604" spans="3:3">
      <c r="C1604" s="537"/>
    </row>
    <row r="1605" spans="3:3">
      <c r="C1605" s="537"/>
    </row>
    <row r="1606" spans="3:3">
      <c r="C1606" s="537"/>
    </row>
    <row r="1607" spans="3:3">
      <c r="C1607" s="537"/>
    </row>
    <row r="1608" spans="3:3">
      <c r="C1608" s="537"/>
    </row>
    <row r="1609" spans="3:3">
      <c r="C1609" s="537"/>
    </row>
    <row r="1610" spans="3:3">
      <c r="C1610" s="537"/>
    </row>
    <row r="1611" spans="3:3">
      <c r="C1611" s="537"/>
    </row>
    <row r="1612" spans="3:3">
      <c r="C1612" s="537"/>
    </row>
    <row r="1613" spans="3:3">
      <c r="C1613" s="537"/>
    </row>
    <row r="1614" spans="3:3">
      <c r="C1614" s="537"/>
    </row>
    <row r="1615" spans="3:3">
      <c r="C1615" s="537"/>
    </row>
    <row r="1616" spans="3:3">
      <c r="C1616" s="537"/>
    </row>
    <row r="1617" spans="3:3">
      <c r="C1617" s="537"/>
    </row>
    <row r="1618" spans="3:3">
      <c r="C1618" s="537"/>
    </row>
    <row r="1619" spans="3:3">
      <c r="C1619" s="537"/>
    </row>
    <row r="1620" spans="3:3">
      <c r="C1620" s="537"/>
    </row>
    <row r="1621" spans="3:3">
      <c r="C1621" s="537"/>
    </row>
    <row r="1622" spans="3:3">
      <c r="C1622" s="537"/>
    </row>
    <row r="1623" spans="3:3">
      <c r="C1623" s="537"/>
    </row>
    <row r="1624" spans="3:3">
      <c r="C1624" s="537"/>
    </row>
    <row r="1625" spans="3:3">
      <c r="C1625" s="537"/>
    </row>
    <row r="1626" spans="3:3">
      <c r="C1626" s="537"/>
    </row>
    <row r="1627" spans="3:3">
      <c r="C1627" s="537"/>
    </row>
    <row r="1628" spans="3:3">
      <c r="C1628" s="537"/>
    </row>
    <row r="1629" spans="3:3">
      <c r="C1629" s="537"/>
    </row>
    <row r="1630" spans="3:3">
      <c r="C1630" s="537"/>
    </row>
    <row r="1631" spans="3:3">
      <c r="C1631" s="537"/>
    </row>
    <row r="1632" spans="3:3">
      <c r="C1632" s="537"/>
    </row>
    <row r="1633" spans="3:3">
      <c r="C1633" s="537"/>
    </row>
    <row r="1634" spans="3:3">
      <c r="C1634" s="537"/>
    </row>
    <row r="1635" spans="3:3">
      <c r="C1635" s="537"/>
    </row>
    <row r="1636" spans="3:3">
      <c r="C1636" s="537"/>
    </row>
    <row r="1637" spans="3:3">
      <c r="C1637" s="537"/>
    </row>
    <row r="1638" spans="3:3">
      <c r="C1638" s="537"/>
    </row>
    <row r="1639" spans="3:3">
      <c r="C1639" s="537"/>
    </row>
    <row r="1640" spans="3:3">
      <c r="C1640" s="537"/>
    </row>
    <row r="1641" spans="3:3">
      <c r="C1641" s="537"/>
    </row>
    <row r="1642" spans="3:3">
      <c r="C1642" s="537"/>
    </row>
    <row r="1643" spans="3:3">
      <c r="C1643" s="537"/>
    </row>
    <row r="1644" spans="3:3">
      <c r="C1644" s="537"/>
    </row>
    <row r="1645" spans="3:3">
      <c r="C1645" s="537"/>
    </row>
    <row r="1646" spans="3:3">
      <c r="C1646" s="537"/>
    </row>
    <row r="1647" spans="3:3">
      <c r="C1647" s="537"/>
    </row>
    <row r="1648" spans="3:3">
      <c r="C1648" s="537"/>
    </row>
    <row r="1649" spans="3:3">
      <c r="C1649" s="537"/>
    </row>
    <row r="1650" spans="3:3">
      <c r="C1650" s="537"/>
    </row>
    <row r="1651" spans="3:3">
      <c r="C1651" s="537"/>
    </row>
    <row r="1652" spans="3:3">
      <c r="C1652" s="537"/>
    </row>
    <row r="1653" spans="3:3">
      <c r="C1653" s="537"/>
    </row>
    <row r="1654" spans="3:3">
      <c r="C1654" s="537"/>
    </row>
    <row r="1655" spans="3:3">
      <c r="C1655" s="537"/>
    </row>
    <row r="1656" spans="3:3">
      <c r="C1656" s="537"/>
    </row>
    <row r="1657" spans="3:3">
      <c r="C1657" s="537"/>
    </row>
    <row r="1658" spans="3:3">
      <c r="C1658" s="537"/>
    </row>
    <row r="1659" spans="3:3">
      <c r="C1659" s="537"/>
    </row>
    <row r="1660" spans="3:3">
      <c r="C1660" s="537"/>
    </row>
    <row r="1661" spans="3:3">
      <c r="C1661" s="537"/>
    </row>
    <row r="1662" spans="3:3">
      <c r="C1662" s="537"/>
    </row>
    <row r="1663" spans="3:3">
      <c r="C1663" s="537"/>
    </row>
    <row r="1664" spans="3:3">
      <c r="C1664" s="537"/>
    </row>
    <row r="1665" spans="3:3">
      <c r="C1665" s="537"/>
    </row>
    <row r="1666" spans="3:3">
      <c r="C1666" s="537"/>
    </row>
    <row r="1667" spans="3:3">
      <c r="C1667" s="537"/>
    </row>
    <row r="1668" spans="3:3">
      <c r="C1668" s="537"/>
    </row>
    <row r="1669" spans="3:3">
      <c r="C1669" s="537"/>
    </row>
    <row r="1670" spans="3:3">
      <c r="C1670" s="537"/>
    </row>
    <row r="1671" spans="3:3">
      <c r="C1671" s="537"/>
    </row>
    <row r="1672" spans="3:3">
      <c r="C1672" s="537"/>
    </row>
    <row r="1673" spans="3:3">
      <c r="C1673" s="537"/>
    </row>
    <row r="1674" spans="3:3">
      <c r="C1674" s="537"/>
    </row>
    <row r="1675" spans="3:3">
      <c r="C1675" s="537"/>
    </row>
    <row r="1676" spans="3:3">
      <c r="C1676" s="537"/>
    </row>
    <row r="1677" spans="3:3">
      <c r="C1677" s="537"/>
    </row>
    <row r="1678" spans="3:3">
      <c r="C1678" s="537"/>
    </row>
    <row r="1679" spans="3:3">
      <c r="C1679" s="537"/>
    </row>
    <row r="1680" spans="3:3">
      <c r="C1680" s="537"/>
    </row>
    <row r="1681" spans="3:3">
      <c r="C1681" s="537"/>
    </row>
    <row r="1682" spans="3:3">
      <c r="C1682" s="537"/>
    </row>
    <row r="1683" spans="3:3">
      <c r="C1683" s="537"/>
    </row>
    <row r="1684" spans="3:3">
      <c r="C1684" s="537"/>
    </row>
    <row r="1685" spans="3:3">
      <c r="C1685" s="537"/>
    </row>
    <row r="1686" spans="3:3">
      <c r="C1686" s="537"/>
    </row>
    <row r="1687" spans="3:3">
      <c r="C1687" s="537"/>
    </row>
    <row r="1688" spans="3:3">
      <c r="C1688" s="537"/>
    </row>
    <row r="1689" spans="3:3">
      <c r="C1689" s="537"/>
    </row>
    <row r="1690" spans="3:3">
      <c r="C1690" s="537"/>
    </row>
    <row r="1691" spans="3:3">
      <c r="C1691" s="537"/>
    </row>
    <row r="1692" spans="3:3">
      <c r="C1692" s="537"/>
    </row>
    <row r="1693" spans="3:3">
      <c r="C1693" s="537"/>
    </row>
    <row r="1694" spans="3:3">
      <c r="C1694" s="537"/>
    </row>
    <row r="1695" spans="3:3">
      <c r="C1695" s="537"/>
    </row>
    <row r="1696" spans="3:3">
      <c r="C1696" s="537"/>
    </row>
    <row r="1697" spans="3:3">
      <c r="C1697" s="537"/>
    </row>
    <row r="1698" spans="3:3">
      <c r="C1698" s="537"/>
    </row>
    <row r="1699" spans="3:3">
      <c r="C1699" s="537"/>
    </row>
    <row r="1700" spans="3:3">
      <c r="C1700" s="537"/>
    </row>
    <row r="1701" spans="3:3">
      <c r="C1701" s="537"/>
    </row>
    <row r="1702" spans="3:3">
      <c r="C1702" s="537"/>
    </row>
    <row r="1703" spans="3:3">
      <c r="C1703" s="537"/>
    </row>
    <row r="1704" spans="3:3">
      <c r="C1704" s="537"/>
    </row>
    <row r="1705" spans="3:3">
      <c r="C1705" s="537"/>
    </row>
    <row r="1706" spans="3:3">
      <c r="C1706" s="537"/>
    </row>
    <row r="1707" spans="3:3">
      <c r="C1707" s="537"/>
    </row>
    <row r="1708" spans="3:3">
      <c r="C1708" s="537"/>
    </row>
    <row r="1709" spans="3:3">
      <c r="C1709" s="537"/>
    </row>
    <row r="1710" spans="3:3">
      <c r="C1710" s="537"/>
    </row>
    <row r="1711" spans="3:3">
      <c r="C1711" s="537"/>
    </row>
    <row r="1712" spans="3:3">
      <c r="C1712" s="537"/>
    </row>
    <row r="1713" spans="3:3">
      <c r="C1713" s="537"/>
    </row>
    <row r="1714" spans="3:3">
      <c r="C1714" s="537"/>
    </row>
    <row r="1715" spans="3:3">
      <c r="C1715" s="537"/>
    </row>
    <row r="1716" spans="3:3">
      <c r="C1716" s="537"/>
    </row>
    <row r="1717" spans="3:3">
      <c r="C1717" s="537"/>
    </row>
    <row r="1718" spans="3:3">
      <c r="C1718" s="537"/>
    </row>
    <row r="1719" spans="3:3">
      <c r="C1719" s="537"/>
    </row>
    <row r="1720" spans="3:3">
      <c r="C1720" s="537"/>
    </row>
    <row r="1721" spans="3:3">
      <c r="C1721" s="537"/>
    </row>
    <row r="1722" spans="3:3">
      <c r="C1722" s="537"/>
    </row>
    <row r="1723" spans="3:3">
      <c r="C1723" s="537"/>
    </row>
    <row r="1724" spans="3:3">
      <c r="C1724" s="537"/>
    </row>
    <row r="1725" spans="3:3">
      <c r="C1725" s="537"/>
    </row>
    <row r="1726" spans="3:3">
      <c r="C1726" s="537"/>
    </row>
    <row r="1727" spans="3:3">
      <c r="C1727" s="537"/>
    </row>
    <row r="1728" spans="3:3">
      <c r="C1728" s="537"/>
    </row>
    <row r="1729" spans="3:3">
      <c r="C1729" s="537"/>
    </row>
    <row r="1730" spans="3:3">
      <c r="C1730" s="537"/>
    </row>
    <row r="1731" spans="3:3">
      <c r="C1731" s="537"/>
    </row>
    <row r="1732" spans="3:3">
      <c r="C1732" s="537"/>
    </row>
    <row r="1733" spans="3:3">
      <c r="C1733" s="537"/>
    </row>
    <row r="1734" spans="3:3">
      <c r="C1734" s="537"/>
    </row>
    <row r="1735" spans="3:3">
      <c r="C1735" s="537"/>
    </row>
    <row r="1736" spans="3:3">
      <c r="C1736" s="537"/>
    </row>
    <row r="1737" spans="3:3">
      <c r="C1737" s="537"/>
    </row>
    <row r="1738" spans="3:3">
      <c r="C1738" s="537"/>
    </row>
    <row r="1739" spans="3:3">
      <c r="C1739" s="537"/>
    </row>
    <row r="1740" spans="3:3">
      <c r="C1740" s="537"/>
    </row>
    <row r="1741" spans="3:3">
      <c r="C1741" s="537"/>
    </row>
    <row r="1742" spans="3:3">
      <c r="C1742" s="537"/>
    </row>
    <row r="1743" spans="3:3">
      <c r="C1743" s="537"/>
    </row>
    <row r="1744" spans="3:3">
      <c r="C1744" s="537"/>
    </row>
    <row r="1745" spans="3:3">
      <c r="C1745" s="537"/>
    </row>
    <row r="1746" spans="3:3">
      <c r="C1746" s="537"/>
    </row>
    <row r="1747" spans="3:3">
      <c r="C1747" s="537"/>
    </row>
    <row r="1748" spans="3:3">
      <c r="C1748" s="537"/>
    </row>
    <row r="1749" spans="3:3">
      <c r="C1749" s="537"/>
    </row>
    <row r="1750" spans="3:3">
      <c r="C1750" s="537"/>
    </row>
    <row r="1751" spans="3:3">
      <c r="C1751" s="537"/>
    </row>
    <row r="1752" spans="3:3">
      <c r="C1752" s="537"/>
    </row>
    <row r="1753" spans="3:3">
      <c r="C1753" s="537"/>
    </row>
    <row r="1754" spans="3:3">
      <c r="C1754" s="537"/>
    </row>
    <row r="1755" spans="3:3">
      <c r="C1755" s="537"/>
    </row>
    <row r="1756" spans="3:3">
      <c r="C1756" s="537"/>
    </row>
    <row r="1757" spans="3:3">
      <c r="C1757" s="537"/>
    </row>
    <row r="1758" spans="3:3">
      <c r="C1758" s="537"/>
    </row>
    <row r="1759" spans="3:3">
      <c r="C1759" s="537"/>
    </row>
    <row r="1760" spans="3:3">
      <c r="C1760" s="537"/>
    </row>
    <row r="1761" spans="3:3">
      <c r="C1761" s="537"/>
    </row>
    <row r="1762" spans="3:3">
      <c r="C1762" s="537"/>
    </row>
    <row r="1763" spans="3:3">
      <c r="C1763" s="537"/>
    </row>
    <row r="1764" spans="3:3">
      <c r="C1764" s="537"/>
    </row>
    <row r="1765" spans="3:3">
      <c r="C1765" s="537"/>
    </row>
    <row r="1766" spans="3:3">
      <c r="C1766" s="537"/>
    </row>
    <row r="1767" spans="3:3">
      <c r="C1767" s="537"/>
    </row>
    <row r="1768" spans="3:3">
      <c r="C1768" s="537"/>
    </row>
    <row r="1769" spans="3:3">
      <c r="C1769" s="537"/>
    </row>
    <row r="1770" spans="3:3">
      <c r="C1770" s="537"/>
    </row>
    <row r="1771" spans="3:3">
      <c r="C1771" s="537"/>
    </row>
    <row r="1772" spans="3:3">
      <c r="C1772" s="537"/>
    </row>
    <row r="1773" spans="3:3">
      <c r="C1773" s="537"/>
    </row>
    <row r="1774" spans="3:3">
      <c r="C1774" s="537"/>
    </row>
    <row r="1775" spans="3:3">
      <c r="C1775" s="537"/>
    </row>
    <row r="1776" spans="3:3">
      <c r="C1776" s="537"/>
    </row>
    <row r="1777" spans="3:3">
      <c r="C1777" s="537"/>
    </row>
    <row r="1778" spans="3:3">
      <c r="C1778" s="537"/>
    </row>
    <row r="1779" spans="3:3">
      <c r="C1779" s="537"/>
    </row>
    <row r="1780" spans="3:3">
      <c r="C1780" s="537"/>
    </row>
    <row r="1781" spans="3:3">
      <c r="C1781" s="537"/>
    </row>
    <row r="1782" spans="3:3">
      <c r="C1782" s="537"/>
    </row>
    <row r="1783" spans="3:3">
      <c r="C1783" s="537"/>
    </row>
    <row r="1784" spans="3:3">
      <c r="C1784" s="537"/>
    </row>
    <row r="1785" spans="3:3">
      <c r="C1785" s="537"/>
    </row>
    <row r="1786" spans="3:3">
      <c r="C1786" s="537"/>
    </row>
    <row r="1787" spans="3:3">
      <c r="C1787" s="537"/>
    </row>
    <row r="1788" spans="3:3">
      <c r="C1788" s="537"/>
    </row>
    <row r="1789" spans="3:3">
      <c r="C1789" s="537"/>
    </row>
    <row r="1790" spans="3:3">
      <c r="C1790" s="537"/>
    </row>
    <row r="1791" spans="3:3">
      <c r="C1791" s="537"/>
    </row>
    <row r="1792" spans="3:3">
      <c r="C1792" s="537"/>
    </row>
    <row r="1793" spans="3:3">
      <c r="C1793" s="537"/>
    </row>
    <row r="1794" spans="3:3">
      <c r="C1794" s="537"/>
    </row>
    <row r="1795" spans="3:3">
      <c r="C1795" s="537"/>
    </row>
    <row r="1796" spans="3:3">
      <c r="C1796" s="537"/>
    </row>
    <row r="1797" spans="3:3">
      <c r="C1797" s="537"/>
    </row>
    <row r="1798" spans="3:3">
      <c r="C1798" s="537"/>
    </row>
    <row r="1799" spans="3:3">
      <c r="C1799" s="537"/>
    </row>
    <row r="1800" spans="3:3">
      <c r="C1800" s="537"/>
    </row>
    <row r="1801" spans="3:3">
      <c r="C1801" s="537"/>
    </row>
    <row r="1802" spans="3:3">
      <c r="C1802" s="537"/>
    </row>
    <row r="1803" spans="3:3">
      <c r="C1803" s="537"/>
    </row>
    <row r="1804" spans="3:3">
      <c r="C1804" s="537"/>
    </row>
    <row r="1805" spans="3:3">
      <c r="C1805" s="537"/>
    </row>
    <row r="1806" spans="3:3">
      <c r="C1806" s="537"/>
    </row>
    <row r="1807" spans="3:3">
      <c r="C1807" s="537"/>
    </row>
    <row r="1808" spans="3:3">
      <c r="C1808" s="537"/>
    </row>
    <row r="1809" spans="3:3">
      <c r="C1809" s="537"/>
    </row>
    <row r="1810" spans="3:3">
      <c r="C1810" s="537"/>
    </row>
    <row r="1811" spans="3:3">
      <c r="C1811" s="537"/>
    </row>
    <row r="1812" spans="3:3">
      <c r="C1812" s="537"/>
    </row>
    <row r="1813" spans="3:3">
      <c r="C1813" s="537"/>
    </row>
    <row r="1814" spans="3:3">
      <c r="C1814" s="537"/>
    </row>
    <row r="1815" spans="3:3">
      <c r="C1815" s="537"/>
    </row>
    <row r="1816" spans="3:3">
      <c r="C1816" s="537"/>
    </row>
    <row r="1817" spans="3:3">
      <c r="C1817" s="537"/>
    </row>
    <row r="1818" spans="3:3">
      <c r="C1818" s="537"/>
    </row>
    <row r="1819" spans="3:3">
      <c r="C1819" s="537"/>
    </row>
    <row r="1820" spans="3:3">
      <c r="C1820" s="537"/>
    </row>
    <row r="1821" spans="3:3">
      <c r="C1821" s="537"/>
    </row>
    <row r="1822" spans="3:3">
      <c r="C1822" s="537"/>
    </row>
    <row r="1823" spans="3:3">
      <c r="C1823" s="537"/>
    </row>
    <row r="1824" spans="3:3">
      <c r="C1824" s="537"/>
    </row>
    <row r="1825" spans="3:3">
      <c r="C1825" s="537"/>
    </row>
    <row r="1826" spans="3:3">
      <c r="C1826" s="537"/>
    </row>
    <row r="1827" spans="3:3">
      <c r="C1827" s="537"/>
    </row>
    <row r="1828" spans="3:3">
      <c r="C1828" s="537"/>
    </row>
    <row r="1829" spans="3:3">
      <c r="C1829" s="537"/>
    </row>
    <row r="1830" spans="3:3">
      <c r="C1830" s="537"/>
    </row>
    <row r="1831" spans="3:3">
      <c r="C1831" s="537"/>
    </row>
    <row r="1832" spans="3:3">
      <c r="C1832" s="537"/>
    </row>
    <row r="1833" spans="3:3">
      <c r="C1833" s="537"/>
    </row>
    <row r="1834" spans="3:3">
      <c r="C1834" s="537"/>
    </row>
    <row r="1835" spans="3:3">
      <c r="C1835" s="537"/>
    </row>
    <row r="1836" spans="3:3">
      <c r="C1836" s="537"/>
    </row>
    <row r="1837" spans="3:3">
      <c r="C1837" s="537"/>
    </row>
    <row r="1838" spans="3:3">
      <c r="C1838" s="537"/>
    </row>
    <row r="1839" spans="3:3">
      <c r="C1839" s="537"/>
    </row>
    <row r="1840" spans="3:3">
      <c r="C1840" s="537"/>
    </row>
    <row r="1841" spans="3:3">
      <c r="C1841" s="537"/>
    </row>
    <row r="1842" spans="3:3">
      <c r="C1842" s="537"/>
    </row>
    <row r="1843" spans="3:3">
      <c r="C1843" s="537"/>
    </row>
    <row r="1844" spans="3:3">
      <c r="C1844" s="537"/>
    </row>
    <row r="1845" spans="3:3">
      <c r="C1845" s="537"/>
    </row>
    <row r="1846" spans="3:3">
      <c r="C1846" s="537"/>
    </row>
    <row r="1847" spans="3:3">
      <c r="C1847" s="537"/>
    </row>
    <row r="1848" spans="3:3">
      <c r="C1848" s="537"/>
    </row>
    <row r="1849" spans="3:3">
      <c r="C1849" s="537"/>
    </row>
    <row r="1850" spans="3:3">
      <c r="C1850" s="537"/>
    </row>
    <row r="1851" spans="3:3">
      <c r="C1851" s="537"/>
    </row>
  </sheetData>
  <autoFilter ref="C1:I1" xr:uid="{0732B979-C849-4AC3-94B3-C6EAA6BD9113}"/>
  <pageMargins left="0.511811024" right="0.511811024" top="0.78740157499999996" bottom="0.78740157499999996" header="0.31496062000000002" footer="0.31496062000000002"/>
  <pageSetup paperSize="9" orientation="portrait" verticalDpi="30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B603-8207-4F7C-A5BE-C915B214322B}">
  <dimension ref="A1:Q80"/>
  <sheetViews>
    <sheetView workbookViewId="0">
      <selection activeCell="Q4" sqref="Q4"/>
    </sheetView>
  </sheetViews>
  <sheetFormatPr defaultRowHeight="15"/>
  <cols>
    <col min="1" max="1" width="59.28515625" customWidth="1"/>
    <col min="2" max="2" width="47" customWidth="1"/>
    <col min="3" max="3" width="36.5703125" customWidth="1"/>
    <col min="5" max="5" width="24.140625" customWidth="1"/>
    <col min="6" max="6" width="12.140625" customWidth="1"/>
    <col min="7" max="7" width="11.28515625" customWidth="1"/>
    <col min="8" max="8" width="12.28515625" customWidth="1"/>
    <col min="9" max="9" width="11.140625" customWidth="1"/>
    <col min="10" max="10" width="12.7109375" customWidth="1"/>
    <col min="11" max="11" width="11.42578125" customWidth="1"/>
    <col min="12" max="12" width="12.7109375" customWidth="1"/>
  </cols>
  <sheetData>
    <row r="1" spans="1:17">
      <c r="A1" s="630"/>
      <c r="B1" s="688" t="s">
        <v>7628</v>
      </c>
      <c r="C1" s="287"/>
    </row>
    <row r="2" spans="1:17">
      <c r="A2" s="187" t="s">
        <v>7338</v>
      </c>
      <c r="B2" s="187" t="s">
        <v>7406</v>
      </c>
      <c r="C2" s="187" t="s">
        <v>13157</v>
      </c>
      <c r="F2" t="s">
        <v>7628</v>
      </c>
      <c r="G2" t="s">
        <v>7634</v>
      </c>
      <c r="H2" t="s">
        <v>7656</v>
      </c>
      <c r="I2" t="s">
        <v>7672</v>
      </c>
      <c r="J2" t="s">
        <v>7684</v>
      </c>
      <c r="K2" t="s">
        <v>12438</v>
      </c>
      <c r="L2" t="s">
        <v>12439</v>
      </c>
      <c r="M2" t="s">
        <v>2755</v>
      </c>
      <c r="N2" t="s">
        <v>10040</v>
      </c>
      <c r="O2" t="s">
        <v>7543</v>
      </c>
      <c r="P2" t="s">
        <v>4357</v>
      </c>
      <c r="Q2" t="s">
        <v>8910</v>
      </c>
    </row>
    <row r="3" spans="1:17">
      <c r="A3" s="149" t="s">
        <v>13158</v>
      </c>
      <c r="B3" s="149" t="s">
        <v>12219</v>
      </c>
      <c r="C3" s="149" t="s">
        <v>13159</v>
      </c>
      <c r="E3" t="s">
        <v>13160</v>
      </c>
      <c r="F3">
        <v>5</v>
      </c>
      <c r="G3">
        <v>1</v>
      </c>
      <c r="H3">
        <v>2</v>
      </c>
      <c r="I3">
        <v>3</v>
      </c>
      <c r="J3">
        <v>4</v>
      </c>
      <c r="K3">
        <v>3</v>
      </c>
      <c r="L3">
        <v>6</v>
      </c>
      <c r="M3">
        <v>5</v>
      </c>
      <c r="N3">
        <v>7</v>
      </c>
      <c r="O3">
        <v>2</v>
      </c>
      <c r="P3">
        <v>1</v>
      </c>
      <c r="Q3">
        <v>5</v>
      </c>
    </row>
    <row r="4" spans="1:17">
      <c r="A4" s="149" t="s">
        <v>13161</v>
      </c>
      <c r="B4" s="149" t="s">
        <v>12219</v>
      </c>
      <c r="C4" s="149" t="s">
        <v>13159</v>
      </c>
      <c r="E4" t="s">
        <v>11165</v>
      </c>
      <c r="M4">
        <v>3</v>
      </c>
      <c r="N4">
        <v>4</v>
      </c>
      <c r="O4">
        <v>3</v>
      </c>
      <c r="Q4">
        <v>0</v>
      </c>
    </row>
    <row r="5" spans="1:17">
      <c r="A5" s="149" t="s">
        <v>13162</v>
      </c>
      <c r="B5" s="149" t="s">
        <v>12219</v>
      </c>
      <c r="C5" s="149" t="s">
        <v>13163</v>
      </c>
    </row>
    <row r="6" spans="1:17">
      <c r="A6" s="149" t="s">
        <v>13164</v>
      </c>
      <c r="B6" s="149" t="s">
        <v>12219</v>
      </c>
      <c r="C6" s="149" t="s">
        <v>13165</v>
      </c>
    </row>
    <row r="7" spans="1:17">
      <c r="A7" s="192" t="s">
        <v>13166</v>
      </c>
      <c r="B7" s="689" t="s">
        <v>13167</v>
      </c>
      <c r="C7" s="517" t="s">
        <v>13168</v>
      </c>
    </row>
    <row r="8" spans="1:17">
      <c r="A8" s="520"/>
      <c r="B8" s="690" t="s">
        <v>12436</v>
      </c>
      <c r="C8" s="582"/>
    </row>
    <row r="9" spans="1:17">
      <c r="A9" s="186" t="s">
        <v>13169</v>
      </c>
      <c r="B9" s="188" t="s">
        <v>12219</v>
      </c>
      <c r="C9" s="188" t="s">
        <v>13170</v>
      </c>
    </row>
    <row r="10" spans="1:17">
      <c r="A10" s="649"/>
      <c r="B10" s="691" t="s">
        <v>7656</v>
      </c>
      <c r="C10" s="287"/>
    </row>
    <row r="11" spans="1:17">
      <c r="A11" s="187" t="s">
        <v>13171</v>
      </c>
      <c r="B11" s="187" t="s">
        <v>4088</v>
      </c>
      <c r="C11" s="187" t="s">
        <v>13172</v>
      </c>
    </row>
    <row r="12" spans="1:17">
      <c r="A12" s="186" t="s">
        <v>13173</v>
      </c>
      <c r="B12" s="186" t="s">
        <v>11936</v>
      </c>
      <c r="C12" s="186" t="s">
        <v>13174</v>
      </c>
    </row>
    <row r="13" spans="1:17">
      <c r="A13" s="649"/>
      <c r="B13" s="692" t="s">
        <v>7672</v>
      </c>
      <c r="C13" s="287"/>
    </row>
    <row r="14" spans="1:17">
      <c r="A14" s="187" t="s">
        <v>13175</v>
      </c>
      <c r="B14" s="187" t="s">
        <v>13176</v>
      </c>
      <c r="C14" s="187" t="s">
        <v>13177</v>
      </c>
    </row>
    <row r="15" spans="1:17">
      <c r="A15" s="149" t="s">
        <v>13178</v>
      </c>
      <c r="B15" s="149" t="s">
        <v>13179</v>
      </c>
      <c r="C15" s="149" t="s">
        <v>13180</v>
      </c>
    </row>
    <row r="16" spans="1:17">
      <c r="A16" s="186" t="s">
        <v>13181</v>
      </c>
      <c r="B16" s="186" t="s">
        <v>13167</v>
      </c>
      <c r="C16" s="149" t="s">
        <v>13182</v>
      </c>
    </row>
    <row r="17" spans="1:3">
      <c r="A17" s="649"/>
      <c r="B17" s="692" t="s">
        <v>11012</v>
      </c>
      <c r="C17" s="287"/>
    </row>
    <row r="18" spans="1:3">
      <c r="A18" s="187" t="s">
        <v>13183</v>
      </c>
      <c r="B18" s="187" t="s">
        <v>13184</v>
      </c>
      <c r="C18" s="149" t="s">
        <v>13185</v>
      </c>
    </row>
    <row r="19" spans="1:3">
      <c r="A19" s="149" t="s">
        <v>13186</v>
      </c>
      <c r="B19" s="689" t="s">
        <v>13167</v>
      </c>
      <c r="C19" s="149" t="s">
        <v>13187</v>
      </c>
    </row>
    <row r="20" spans="1:3">
      <c r="A20" s="149" t="s">
        <v>13188</v>
      </c>
      <c r="B20" s="149" t="s">
        <v>11936</v>
      </c>
      <c r="C20" s="149" t="s">
        <v>13189</v>
      </c>
    </row>
    <row r="21" spans="1:3">
      <c r="A21" s="149" t="s">
        <v>13190</v>
      </c>
      <c r="B21" s="186" t="s">
        <v>11811</v>
      </c>
      <c r="C21" s="149" t="s">
        <v>13191</v>
      </c>
    </row>
    <row r="22" spans="1:3">
      <c r="A22" s="520"/>
      <c r="B22" s="692" t="s">
        <v>12438</v>
      </c>
      <c r="C22" s="287"/>
    </row>
    <row r="23" spans="1:3">
      <c r="A23" s="149" t="s">
        <v>13192</v>
      </c>
      <c r="B23" s="187" t="s">
        <v>13193</v>
      </c>
      <c r="C23" s="187" t="s">
        <v>13194</v>
      </c>
    </row>
    <row r="24" spans="1:3">
      <c r="A24" s="186" t="s">
        <v>13195</v>
      </c>
      <c r="B24" s="186" t="s">
        <v>13196</v>
      </c>
      <c r="C24" s="186" t="s">
        <v>13194</v>
      </c>
    </row>
    <row r="25" spans="1:3">
      <c r="A25" s="186" t="s">
        <v>13197</v>
      </c>
      <c r="B25" s="719" t="s">
        <v>13167</v>
      </c>
      <c r="C25" s="186" t="s">
        <v>13198</v>
      </c>
    </row>
    <row r="26" spans="1:3">
      <c r="A26" s="649"/>
      <c r="B26" s="692" t="s">
        <v>12439</v>
      </c>
      <c r="C26" s="287"/>
    </row>
    <row r="27" spans="1:3">
      <c r="A27" s="187" t="s">
        <v>13199</v>
      </c>
      <c r="B27" s="187" t="s">
        <v>13200</v>
      </c>
      <c r="C27" s="149" t="s">
        <v>13201</v>
      </c>
    </row>
    <row r="28" spans="1:3">
      <c r="A28" s="149" t="s">
        <v>13202</v>
      </c>
      <c r="B28" s="149" t="s">
        <v>13203</v>
      </c>
      <c r="C28" s="149" t="s">
        <v>13204</v>
      </c>
    </row>
    <row r="29" spans="1:3">
      <c r="A29" s="149" t="s">
        <v>13205</v>
      </c>
      <c r="B29" s="149" t="s">
        <v>13206</v>
      </c>
      <c r="C29" s="149" t="s">
        <v>13207</v>
      </c>
    </row>
    <row r="30" spans="1:3">
      <c r="A30" s="149" t="s">
        <v>13208</v>
      </c>
      <c r="B30" s="149" t="s">
        <v>13209</v>
      </c>
      <c r="C30" s="149" t="s">
        <v>13207</v>
      </c>
    </row>
    <row r="31" spans="1:3">
      <c r="A31" s="149" t="s">
        <v>12736</v>
      </c>
      <c r="B31" s="149" t="s">
        <v>13210</v>
      </c>
      <c r="C31" s="149" t="s">
        <v>13211</v>
      </c>
    </row>
    <row r="32" spans="1:3">
      <c r="A32" s="186" t="s">
        <v>13212</v>
      </c>
      <c r="B32" s="186" t="s">
        <v>13213</v>
      </c>
      <c r="C32" s="149" t="s">
        <v>13214</v>
      </c>
    </row>
    <row r="33" spans="1:3">
      <c r="A33" s="649"/>
      <c r="B33" s="692" t="s">
        <v>12440</v>
      </c>
      <c r="C33" s="287"/>
    </row>
    <row r="34" spans="1:3">
      <c r="A34" s="187" t="s">
        <v>13215</v>
      </c>
      <c r="B34" s="187" t="s">
        <v>11936</v>
      </c>
      <c r="C34" s="149" t="s">
        <v>13216</v>
      </c>
    </row>
    <row r="35" spans="1:3">
      <c r="A35" s="149" t="s">
        <v>13217</v>
      </c>
      <c r="B35" s="149" t="s">
        <v>11936</v>
      </c>
      <c r="C35" s="149" t="s">
        <v>13218</v>
      </c>
    </row>
    <row r="36" spans="1:3">
      <c r="A36" s="149" t="s">
        <v>13219</v>
      </c>
      <c r="B36" s="149" t="s">
        <v>11936</v>
      </c>
      <c r="C36" s="149" t="s">
        <v>13220</v>
      </c>
    </row>
    <row r="37" spans="1:3">
      <c r="A37" s="149" t="s">
        <v>13221</v>
      </c>
      <c r="B37" s="149" t="s">
        <v>13222</v>
      </c>
      <c r="C37" s="149" t="s">
        <v>13223</v>
      </c>
    </row>
    <row r="38" spans="1:3">
      <c r="A38" s="186" t="s">
        <v>13224</v>
      </c>
      <c r="B38" s="186" t="s">
        <v>13225</v>
      </c>
      <c r="C38" s="149" t="s">
        <v>13226</v>
      </c>
    </row>
    <row r="39" spans="1:3">
      <c r="A39" s="649"/>
      <c r="B39" s="692" t="s">
        <v>10040</v>
      </c>
      <c r="C39" s="287"/>
    </row>
    <row r="40" spans="1:3">
      <c r="A40" s="187" t="s">
        <v>13227</v>
      </c>
      <c r="B40" s="187" t="s">
        <v>13228</v>
      </c>
      <c r="C40" s="149" t="s">
        <v>13229</v>
      </c>
    </row>
    <row r="41" spans="1:3">
      <c r="A41" s="186" t="s">
        <v>13230</v>
      </c>
      <c r="B41" s="186" t="s">
        <v>11936</v>
      </c>
      <c r="C41" s="186" t="s">
        <v>13231</v>
      </c>
    </row>
    <row r="42" spans="1:3">
      <c r="A42" s="149" t="s">
        <v>6608</v>
      </c>
      <c r="B42" s="149" t="s">
        <v>11811</v>
      </c>
      <c r="C42" s="149" t="s">
        <v>13232</v>
      </c>
    </row>
    <row r="43" spans="1:3">
      <c r="A43" s="149" t="s">
        <v>13233</v>
      </c>
      <c r="B43" s="149" t="s">
        <v>13234</v>
      </c>
      <c r="C43" s="149" t="s">
        <v>13235</v>
      </c>
    </row>
    <row r="44" spans="1:3">
      <c r="A44" s="149" t="s">
        <v>13236</v>
      </c>
      <c r="B44" s="149" t="s">
        <v>11936</v>
      </c>
      <c r="C44" s="149" t="s">
        <v>13237</v>
      </c>
    </row>
    <row r="45" spans="1:3">
      <c r="A45" s="149" t="s">
        <v>13238</v>
      </c>
      <c r="B45" s="149" t="s">
        <v>11936</v>
      </c>
      <c r="C45" s="149" t="s">
        <v>13239</v>
      </c>
    </row>
    <row r="46" spans="1:3">
      <c r="A46" s="186" t="s">
        <v>13240</v>
      </c>
      <c r="B46" s="186" t="s">
        <v>11936</v>
      </c>
      <c r="C46" s="149" t="s">
        <v>13241</v>
      </c>
    </row>
    <row r="47" spans="1:3">
      <c r="A47" s="649"/>
      <c r="B47" s="692" t="s">
        <v>13073</v>
      </c>
      <c r="C47" s="287"/>
    </row>
    <row r="48" spans="1:3">
      <c r="A48" t="s">
        <v>13242</v>
      </c>
      <c r="B48" s="187" t="s">
        <v>13213</v>
      </c>
      <c r="C48" s="149" t="s">
        <v>13243</v>
      </c>
    </row>
    <row r="49" spans="1:3">
      <c r="A49" s="149" t="s">
        <v>6921</v>
      </c>
      <c r="B49" s="149" t="s">
        <v>13244</v>
      </c>
      <c r="C49" s="149" t="s">
        <v>13245</v>
      </c>
    </row>
    <row r="50" spans="1:3">
      <c r="A50" s="149" t="s">
        <v>7028</v>
      </c>
      <c r="B50" s="149" t="s">
        <v>11936</v>
      </c>
      <c r="C50" s="149" t="s">
        <v>13246</v>
      </c>
    </row>
    <row r="51" spans="1:3">
      <c r="A51" s="149" t="s">
        <v>6731</v>
      </c>
      <c r="B51" s="149" t="s">
        <v>11936</v>
      </c>
      <c r="C51" s="149" t="s">
        <v>13247</v>
      </c>
    </row>
    <row r="52" spans="1:3">
      <c r="A52" s="108"/>
      <c r="B52" s="776" t="s">
        <v>13248</v>
      </c>
      <c r="C52" s="108"/>
    </row>
    <row r="53" spans="1:3">
      <c r="A53" s="149" t="s">
        <v>13249</v>
      </c>
      <c r="B53" s="149" t="s">
        <v>13250</v>
      </c>
      <c r="C53" s="149" t="s">
        <v>13251</v>
      </c>
    </row>
    <row r="54" spans="1:3">
      <c r="A54" s="149" t="s">
        <v>6384</v>
      </c>
      <c r="B54" s="149" t="s">
        <v>13252</v>
      </c>
      <c r="C54" s="149" t="s">
        <v>13253</v>
      </c>
    </row>
    <row r="55" spans="1:3">
      <c r="A55" s="149" t="s">
        <v>13238</v>
      </c>
      <c r="B55" s="149" t="s">
        <v>13254</v>
      </c>
      <c r="C55" s="149" t="s">
        <v>13255</v>
      </c>
    </row>
    <row r="56" spans="1:3">
      <c r="A56" s="108"/>
      <c r="B56" s="777" t="s">
        <v>10871</v>
      </c>
      <c r="C56" s="108"/>
    </row>
    <row r="57" spans="1:3">
      <c r="A57" s="186" t="s">
        <v>6382</v>
      </c>
      <c r="B57" s="186" t="s">
        <v>13256</v>
      </c>
      <c r="C57" s="186" t="s">
        <v>13257</v>
      </c>
    </row>
    <row r="58" spans="1:3">
      <c r="A58" s="149" t="s">
        <v>7199</v>
      </c>
      <c r="B58" s="149" t="s">
        <v>11811</v>
      </c>
      <c r="C58" s="149" t="s">
        <v>13258</v>
      </c>
    </row>
    <row r="59" spans="1:3">
      <c r="A59" s="149" t="s">
        <v>13259</v>
      </c>
      <c r="B59" s="149" t="s">
        <v>13260</v>
      </c>
      <c r="C59" s="149" t="s">
        <v>13261</v>
      </c>
    </row>
    <row r="60" spans="1:3">
      <c r="A60" s="149" t="s">
        <v>6844</v>
      </c>
      <c r="B60" s="149" t="s">
        <v>11775</v>
      </c>
      <c r="C60" s="149" t="s">
        <v>13262</v>
      </c>
    </row>
    <row r="61" spans="1:3">
      <c r="A61" s="149" t="s">
        <v>7024</v>
      </c>
      <c r="B61" s="149" t="s">
        <v>13263</v>
      </c>
      <c r="C61" s="149" t="s">
        <v>13262</v>
      </c>
    </row>
    <row r="62" spans="1:3">
      <c r="A62" s="149"/>
      <c r="B62" s="149"/>
      <c r="C62" s="149"/>
    </row>
    <row r="63" spans="1:3">
      <c r="A63" s="149"/>
      <c r="B63" s="149"/>
      <c r="C63" s="149"/>
    </row>
    <row r="64" spans="1:3">
      <c r="A64" s="149"/>
      <c r="B64" s="149"/>
      <c r="C64" s="149"/>
    </row>
    <row r="65" spans="1:3">
      <c r="A65" s="149"/>
      <c r="B65" s="149"/>
      <c r="C65" s="149"/>
    </row>
    <row r="66" spans="1:3">
      <c r="A66" s="149"/>
      <c r="B66" s="149"/>
      <c r="C66" s="149"/>
    </row>
    <row r="67" spans="1:3">
      <c r="A67" s="149"/>
      <c r="B67" s="149"/>
      <c r="C67" s="149"/>
    </row>
    <row r="68" spans="1:3">
      <c r="A68" s="149"/>
      <c r="B68" s="149"/>
      <c r="C68" s="149"/>
    </row>
    <row r="69" spans="1:3">
      <c r="A69" s="149"/>
      <c r="B69" s="149"/>
      <c r="C69" s="149"/>
    </row>
    <row r="70" spans="1:3">
      <c r="A70" s="149"/>
      <c r="B70" s="149"/>
      <c r="C70" s="149"/>
    </row>
    <row r="71" spans="1:3">
      <c r="A71" s="149"/>
      <c r="B71" s="149"/>
      <c r="C71" s="149"/>
    </row>
    <row r="72" spans="1:3">
      <c r="A72" s="149"/>
      <c r="B72" s="149"/>
      <c r="C72" s="149"/>
    </row>
    <row r="73" spans="1:3">
      <c r="A73" s="149"/>
      <c r="B73" s="149"/>
      <c r="C73" s="149"/>
    </row>
    <row r="74" spans="1:3">
      <c r="A74" s="149"/>
      <c r="B74" s="149"/>
      <c r="C74" s="149"/>
    </row>
    <row r="75" spans="1:3">
      <c r="A75" s="149"/>
      <c r="B75" s="149"/>
      <c r="C75" s="149"/>
    </row>
    <row r="76" spans="1:3">
      <c r="A76" s="149"/>
      <c r="B76" s="149"/>
      <c r="C76" s="149"/>
    </row>
    <row r="77" spans="1:3">
      <c r="A77" s="149"/>
      <c r="B77" s="149"/>
      <c r="C77" s="149"/>
    </row>
    <row r="78" spans="1:3">
      <c r="A78" s="149"/>
      <c r="B78" s="149"/>
      <c r="C78" s="149"/>
    </row>
    <row r="79" spans="1:3">
      <c r="A79" s="149"/>
      <c r="B79" s="149"/>
      <c r="C79" s="149"/>
    </row>
    <row r="80" spans="1:3">
      <c r="A80" s="149"/>
      <c r="B80" s="149"/>
      <c r="C80" s="149"/>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2149C-E9D0-425F-8B85-582045720DA9}">
  <dimension ref="A1:F142"/>
  <sheetViews>
    <sheetView topLeftCell="A111" workbookViewId="0">
      <selection activeCell="A129" sqref="A129"/>
    </sheetView>
  </sheetViews>
  <sheetFormatPr defaultRowHeight="15"/>
  <cols>
    <col min="1" max="1" width="40.140625" customWidth="1"/>
    <col min="2" max="2" width="46.140625" customWidth="1"/>
    <col min="3" max="3" width="14" style="576" bestFit="1" customWidth="1"/>
    <col min="5" max="6" width="11.42578125" bestFit="1" customWidth="1"/>
  </cols>
  <sheetData>
    <row r="1" spans="1:6">
      <c r="A1" s="149" t="s">
        <v>7338</v>
      </c>
      <c r="B1" s="149" t="s">
        <v>7339</v>
      </c>
      <c r="C1" s="464" t="s">
        <v>7340</v>
      </c>
      <c r="D1" s="149" t="s">
        <v>7341</v>
      </c>
      <c r="E1" s="149" t="s">
        <v>7342</v>
      </c>
      <c r="F1" s="149" t="s">
        <v>7343</v>
      </c>
    </row>
    <row r="2" spans="1:6">
      <c r="A2" s="149" t="s">
        <v>13264</v>
      </c>
      <c r="B2" s="295" t="s">
        <v>7348</v>
      </c>
      <c r="C2" s="610">
        <v>99.9</v>
      </c>
      <c r="D2" s="185">
        <v>150</v>
      </c>
      <c r="E2" s="150">
        <v>45179</v>
      </c>
      <c r="F2" s="150">
        <v>45554</v>
      </c>
    </row>
    <row r="3" spans="1:6">
      <c r="A3" s="149" t="s">
        <v>13265</v>
      </c>
      <c r="B3" s="295" t="s">
        <v>7348</v>
      </c>
      <c r="C3" s="610">
        <v>99.9</v>
      </c>
      <c r="D3" s="185">
        <v>150</v>
      </c>
      <c r="E3" s="150">
        <v>45169</v>
      </c>
      <c r="F3" s="150">
        <v>45535</v>
      </c>
    </row>
    <row r="4" spans="1:6">
      <c r="A4" s="149" t="s">
        <v>13266</v>
      </c>
      <c r="B4" s="295" t="s">
        <v>7348</v>
      </c>
      <c r="C4" s="610">
        <v>99.9</v>
      </c>
      <c r="D4" s="185">
        <v>150</v>
      </c>
      <c r="E4" s="149" t="s">
        <v>13267</v>
      </c>
      <c r="F4" s="150">
        <v>45536</v>
      </c>
    </row>
    <row r="5" spans="1:6">
      <c r="A5" s="149" t="s">
        <v>13268</v>
      </c>
      <c r="B5" s="295" t="s">
        <v>7348</v>
      </c>
      <c r="C5" s="464">
        <v>99.9</v>
      </c>
      <c r="D5" s="185">
        <v>150</v>
      </c>
      <c r="E5" s="150">
        <v>45171</v>
      </c>
      <c r="F5" s="150">
        <v>45537</v>
      </c>
    </row>
    <row r="6" spans="1:6">
      <c r="A6" s="149" t="s">
        <v>13269</v>
      </c>
      <c r="B6" s="149" t="s">
        <v>7348</v>
      </c>
      <c r="C6" s="576">
        <v>99.9</v>
      </c>
      <c r="D6" s="149">
        <v>150</v>
      </c>
      <c r="E6" s="150">
        <v>45170</v>
      </c>
      <c r="F6" s="150">
        <v>45545</v>
      </c>
    </row>
    <row r="7" spans="1:6">
      <c r="A7" s="149" t="s">
        <v>13270</v>
      </c>
      <c r="B7" s="149" t="s">
        <v>13271</v>
      </c>
      <c r="C7" s="464" t="s">
        <v>13272</v>
      </c>
      <c r="D7" s="149">
        <v>150</v>
      </c>
      <c r="E7" s="150">
        <v>45181</v>
      </c>
      <c r="F7" s="150">
        <v>45547</v>
      </c>
    </row>
    <row r="8" spans="1:6">
      <c r="A8" s="149" t="s">
        <v>12504</v>
      </c>
      <c r="B8" s="149" t="s">
        <v>13273</v>
      </c>
      <c r="C8" s="464">
        <v>79.900000000000006</v>
      </c>
      <c r="D8" s="149">
        <v>150</v>
      </c>
      <c r="E8" s="150">
        <v>45194</v>
      </c>
      <c r="F8" s="150">
        <v>45560</v>
      </c>
    </row>
    <row r="9" spans="1:6">
      <c r="A9" s="149" t="s">
        <v>13274</v>
      </c>
      <c r="B9" s="149" t="s">
        <v>7347</v>
      </c>
      <c r="C9" s="464" t="s">
        <v>13275</v>
      </c>
      <c r="D9" s="149">
        <v>150</v>
      </c>
      <c r="E9" s="150">
        <v>45174</v>
      </c>
      <c r="F9" s="150">
        <v>45540</v>
      </c>
    </row>
    <row r="10" spans="1:6">
      <c r="A10" s="149" t="s">
        <v>12569</v>
      </c>
      <c r="B10" s="149" t="s">
        <v>13273</v>
      </c>
      <c r="C10" s="464">
        <v>79.900000000000006</v>
      </c>
      <c r="D10" s="149">
        <v>150</v>
      </c>
      <c r="E10" s="150">
        <v>45184</v>
      </c>
      <c r="F10" s="150">
        <v>45550</v>
      </c>
    </row>
    <row r="11" spans="1:6">
      <c r="A11" s="149" t="s">
        <v>13276</v>
      </c>
      <c r="B11" s="149" t="s">
        <v>13277</v>
      </c>
      <c r="C11" s="464">
        <v>99.9</v>
      </c>
      <c r="D11" s="149">
        <v>150</v>
      </c>
      <c r="E11" s="150">
        <v>45189</v>
      </c>
      <c r="F11" s="150">
        <v>45555</v>
      </c>
    </row>
    <row r="12" spans="1:6">
      <c r="A12" s="149" t="s">
        <v>12481</v>
      </c>
      <c r="B12" s="149" t="s">
        <v>13278</v>
      </c>
      <c r="C12" s="464">
        <v>79.900000000000006</v>
      </c>
      <c r="D12" s="149">
        <v>150</v>
      </c>
      <c r="E12" s="150">
        <v>45175</v>
      </c>
      <c r="F12" s="150">
        <v>45541</v>
      </c>
    </row>
    <row r="13" spans="1:6">
      <c r="A13" s="149" t="s">
        <v>13279</v>
      </c>
      <c r="B13" s="149" t="s">
        <v>7348</v>
      </c>
      <c r="C13" s="576">
        <v>99.9</v>
      </c>
      <c r="D13" s="149">
        <v>150</v>
      </c>
      <c r="E13" s="150">
        <v>45184</v>
      </c>
      <c r="F13" s="150">
        <v>45550</v>
      </c>
    </row>
    <row r="14" spans="1:6">
      <c r="A14" s="149" t="s">
        <v>13280</v>
      </c>
      <c r="B14" s="149" t="s">
        <v>13277</v>
      </c>
      <c r="C14" s="464">
        <v>99.9</v>
      </c>
      <c r="D14" s="149">
        <v>150</v>
      </c>
      <c r="E14" s="150">
        <v>45179</v>
      </c>
      <c r="F14" s="150">
        <v>45545</v>
      </c>
    </row>
    <row r="15" spans="1:6">
      <c r="A15" s="149" t="s">
        <v>12497</v>
      </c>
      <c r="B15" s="149" t="s">
        <v>13273</v>
      </c>
      <c r="C15" s="464">
        <v>79.900000000000006</v>
      </c>
      <c r="D15" s="149">
        <v>150</v>
      </c>
      <c r="E15" s="150">
        <v>45189</v>
      </c>
      <c r="F15" s="150">
        <v>45555</v>
      </c>
    </row>
    <row r="16" spans="1:6">
      <c r="A16" s="186" t="s">
        <v>12507</v>
      </c>
      <c r="B16" s="186" t="s">
        <v>13273</v>
      </c>
      <c r="C16" s="610">
        <v>79.900000000000006</v>
      </c>
      <c r="D16" s="186">
        <v>150</v>
      </c>
      <c r="E16" s="431">
        <v>45189</v>
      </c>
      <c r="F16" s="431">
        <v>45555</v>
      </c>
    </row>
    <row r="17" spans="1:6">
      <c r="A17" s="353" t="s">
        <v>12452</v>
      </c>
      <c r="B17" s="353" t="s">
        <v>13281</v>
      </c>
      <c r="C17" s="624">
        <v>99.9</v>
      </c>
      <c r="D17" s="295">
        <v>150</v>
      </c>
      <c r="E17" s="622">
        <v>45179</v>
      </c>
      <c r="F17" s="150">
        <v>45545</v>
      </c>
    </row>
    <row r="18" spans="1:6">
      <c r="A18" s="353" t="s">
        <v>13282</v>
      </c>
      <c r="B18" s="353" t="s">
        <v>13283</v>
      </c>
      <c r="C18" s="624">
        <v>99.9</v>
      </c>
      <c r="D18" s="204">
        <v>150</v>
      </c>
      <c r="E18" s="622">
        <v>45184</v>
      </c>
      <c r="F18" s="625">
        <v>45550</v>
      </c>
    </row>
    <row r="19" spans="1:6">
      <c r="A19" s="353" t="s">
        <v>13284</v>
      </c>
      <c r="B19" s="353" t="s">
        <v>7348</v>
      </c>
      <c r="C19" s="610">
        <v>99.9</v>
      </c>
      <c r="D19">
        <v>150</v>
      </c>
      <c r="E19" s="424">
        <v>45189</v>
      </c>
      <c r="F19" s="431">
        <v>45555</v>
      </c>
    </row>
    <row r="20" spans="1:6">
      <c r="A20" s="353" t="s">
        <v>12509</v>
      </c>
      <c r="B20" s="295" t="s">
        <v>13273</v>
      </c>
      <c r="C20" s="623">
        <v>79.900000000000006</v>
      </c>
      <c r="D20" s="353">
        <v>150</v>
      </c>
      <c r="E20" s="627">
        <v>45194</v>
      </c>
      <c r="F20" s="431">
        <v>45560</v>
      </c>
    </row>
    <row r="21" spans="1:6">
      <c r="A21" s="186" t="s">
        <v>12478</v>
      </c>
      <c r="B21" t="s">
        <v>7348</v>
      </c>
      <c r="C21" s="617">
        <v>99.9</v>
      </c>
      <c r="D21" s="186">
        <v>150</v>
      </c>
      <c r="E21" s="605">
        <v>45179</v>
      </c>
      <c r="F21" s="605">
        <v>45545</v>
      </c>
    </row>
    <row r="22" spans="1:6">
      <c r="A22" s="353" t="s">
        <v>12493</v>
      </c>
      <c r="B22" s="186" t="s">
        <v>13285</v>
      </c>
      <c r="C22" s="576">
        <v>79.900000000000006</v>
      </c>
      <c r="D22" s="295">
        <v>150</v>
      </c>
      <c r="E22" s="622">
        <v>45189</v>
      </c>
      <c r="F22" s="431">
        <v>45555</v>
      </c>
    </row>
    <row r="23" spans="1:6">
      <c r="A23" s="353" t="s">
        <v>13286</v>
      </c>
      <c r="B23" s="186" t="s">
        <v>13287</v>
      </c>
      <c r="C23" s="621">
        <v>99.9</v>
      </c>
      <c r="D23" s="606">
        <v>150</v>
      </c>
      <c r="E23" s="622">
        <v>45174</v>
      </c>
      <c r="F23" s="431">
        <v>45540</v>
      </c>
    </row>
    <row r="24" spans="1:6">
      <c r="A24" s="353" t="s">
        <v>13288</v>
      </c>
      <c r="B24" s="186" t="s">
        <v>7348</v>
      </c>
      <c r="C24" s="608">
        <v>99.9</v>
      </c>
      <c r="D24" s="353">
        <v>150</v>
      </c>
      <c r="E24" s="622">
        <v>45172</v>
      </c>
      <c r="F24" s="150">
        <v>45538</v>
      </c>
    </row>
    <row r="25" spans="1:6">
      <c r="A25" s="353" t="s">
        <v>13289</v>
      </c>
      <c r="B25" s="186" t="s">
        <v>13285</v>
      </c>
      <c r="C25" s="608">
        <v>79.900000000000006</v>
      </c>
      <c r="D25" s="353">
        <v>150</v>
      </c>
      <c r="E25" s="622">
        <v>45194</v>
      </c>
      <c r="F25" s="625">
        <v>45560</v>
      </c>
    </row>
    <row r="26" spans="1:6">
      <c r="A26" s="353" t="s">
        <v>12485</v>
      </c>
      <c r="B26" s="186" t="s">
        <v>7350</v>
      </c>
      <c r="C26" s="608">
        <v>99.9</v>
      </c>
      <c r="D26" s="353">
        <v>150</v>
      </c>
      <c r="E26" s="622">
        <v>45184</v>
      </c>
      <c r="F26" s="431">
        <v>45550</v>
      </c>
    </row>
    <row r="27" spans="1:6">
      <c r="A27" s="353" t="s">
        <v>13290</v>
      </c>
      <c r="B27" s="149" t="s">
        <v>7348</v>
      </c>
      <c r="C27" s="576">
        <v>99.9</v>
      </c>
      <c r="D27" s="353">
        <v>150</v>
      </c>
      <c r="E27" s="622">
        <v>45172</v>
      </c>
      <c r="F27" s="431">
        <v>45548</v>
      </c>
    </row>
    <row r="28" spans="1:6">
      <c r="A28" s="149" t="s">
        <v>6384</v>
      </c>
      <c r="B28" t="s">
        <v>13273</v>
      </c>
      <c r="C28" s="623">
        <v>79.900000000000006</v>
      </c>
      <c r="D28" s="353">
        <v>150</v>
      </c>
      <c r="E28" s="622">
        <v>45195</v>
      </c>
      <c r="F28" s="431">
        <v>45561</v>
      </c>
    </row>
    <row r="29" spans="1:6">
      <c r="A29" s="606" t="s">
        <v>6386</v>
      </c>
      <c r="B29" s="186" t="s">
        <v>13285</v>
      </c>
      <c r="C29" s="608">
        <v>79.900000000000006</v>
      </c>
      <c r="D29" s="353">
        <v>150</v>
      </c>
      <c r="E29" s="622">
        <v>45195</v>
      </c>
      <c r="F29" s="431">
        <v>45561</v>
      </c>
    </row>
    <row r="30" spans="1:6">
      <c r="A30" s="295" t="s">
        <v>6406</v>
      </c>
      <c r="B30" s="186" t="s">
        <v>7348</v>
      </c>
      <c r="C30" s="608">
        <v>99.9</v>
      </c>
      <c r="D30" s="353">
        <v>150</v>
      </c>
      <c r="E30" s="622">
        <v>45189</v>
      </c>
      <c r="F30" s="431">
        <v>45555</v>
      </c>
    </row>
    <row r="31" spans="1:6">
      <c r="A31" s="613" t="s">
        <v>13217</v>
      </c>
      <c r="B31" s="149" t="s">
        <v>7348</v>
      </c>
      <c r="C31" s="608">
        <v>99.9</v>
      </c>
      <c r="D31" s="353">
        <v>150</v>
      </c>
      <c r="E31" s="622">
        <v>45209</v>
      </c>
      <c r="F31" s="431">
        <v>45575</v>
      </c>
    </row>
    <row r="32" spans="1:6">
      <c r="A32" s="149" t="s">
        <v>6410</v>
      </c>
      <c r="B32" t="s">
        <v>13291</v>
      </c>
      <c r="C32" s="617">
        <v>99.9</v>
      </c>
      <c r="D32" s="353">
        <v>150</v>
      </c>
      <c r="E32" s="424">
        <v>45214</v>
      </c>
      <c r="F32" s="150">
        <v>45214</v>
      </c>
    </row>
    <row r="33" spans="1:6">
      <c r="A33" s="606" t="s">
        <v>6416</v>
      </c>
      <c r="B33" s="353" t="s">
        <v>13273</v>
      </c>
      <c r="C33" s="617">
        <v>79.900000000000006</v>
      </c>
      <c r="D33" s="353">
        <v>150</v>
      </c>
      <c r="E33" s="626">
        <v>45205</v>
      </c>
      <c r="F33" s="625">
        <v>45571</v>
      </c>
    </row>
    <row r="34" spans="1:6">
      <c r="A34" s="353" t="s">
        <v>13292</v>
      </c>
      <c r="B34" s="353" t="s">
        <v>13293</v>
      </c>
      <c r="C34" s="617">
        <v>99.9</v>
      </c>
      <c r="D34" s="353">
        <v>150</v>
      </c>
      <c r="E34" s="626">
        <v>45306</v>
      </c>
      <c r="F34" s="431">
        <v>45672</v>
      </c>
    </row>
    <row r="35" spans="1:6">
      <c r="A35" s="295" t="s">
        <v>13294</v>
      </c>
      <c r="B35" s="295" t="s">
        <v>13295</v>
      </c>
      <c r="C35" s="618">
        <v>69.900000000000006</v>
      </c>
      <c r="D35" s="295">
        <v>150</v>
      </c>
      <c r="E35" s="626">
        <v>45240</v>
      </c>
      <c r="F35" s="150">
        <v>45270</v>
      </c>
    </row>
    <row r="36" spans="1:6">
      <c r="A36" s="606" t="s">
        <v>6456</v>
      </c>
      <c r="B36" s="606" t="s">
        <v>13296</v>
      </c>
      <c r="C36" s="464">
        <v>79.900000000000006</v>
      </c>
      <c r="D36">
        <v>150</v>
      </c>
      <c r="E36" s="625">
        <v>45235</v>
      </c>
      <c r="F36" s="607">
        <v>45601</v>
      </c>
    </row>
    <row r="37" spans="1:6">
      <c r="A37" s="186" t="s">
        <v>12586</v>
      </c>
      <c r="B37" s="604" t="s">
        <v>7348</v>
      </c>
      <c r="C37" s="614">
        <v>99.9</v>
      </c>
      <c r="D37" s="604">
        <v>150</v>
      </c>
      <c r="E37" s="150">
        <v>45224</v>
      </c>
      <c r="F37" s="620">
        <v>45590</v>
      </c>
    </row>
    <row r="38" spans="1:6">
      <c r="A38" s="186" t="s">
        <v>13297</v>
      </c>
      <c r="B38" s="616" t="s">
        <v>13283</v>
      </c>
      <c r="C38" s="623">
        <v>99.9</v>
      </c>
      <c r="D38" s="295">
        <v>150</v>
      </c>
      <c r="E38" s="625">
        <v>45285</v>
      </c>
      <c r="F38" s="607">
        <v>45651</v>
      </c>
    </row>
    <row r="39" spans="1:6">
      <c r="A39" s="186" t="s">
        <v>12599</v>
      </c>
      <c r="B39" t="s">
        <v>13298</v>
      </c>
      <c r="C39" s="614">
        <v>79.900000000000006</v>
      </c>
      <c r="D39">
        <v>150</v>
      </c>
      <c r="E39" s="150">
        <v>45226</v>
      </c>
      <c r="F39" s="620">
        <v>45592</v>
      </c>
    </row>
    <row r="40" spans="1:6">
      <c r="A40" s="186" t="s">
        <v>12449</v>
      </c>
      <c r="B40" s="604" t="s">
        <v>13298</v>
      </c>
      <c r="C40" s="464">
        <v>79.900000000000006</v>
      </c>
      <c r="D40" s="604">
        <v>150</v>
      </c>
      <c r="E40" s="625">
        <v>45224</v>
      </c>
      <c r="F40" s="609">
        <v>45590</v>
      </c>
    </row>
    <row r="41" spans="1:6">
      <c r="A41" s="353" t="s">
        <v>13299</v>
      </c>
      <c r="B41" s="149" t="s">
        <v>13298</v>
      </c>
      <c r="C41" s="612">
        <v>79.900000000000006</v>
      </c>
      <c r="D41" s="604">
        <v>150</v>
      </c>
      <c r="E41" s="150">
        <v>45194</v>
      </c>
      <c r="F41" s="609">
        <v>45560</v>
      </c>
    </row>
    <row r="42" spans="1:6">
      <c r="A42" s="353" t="s">
        <v>13300</v>
      </c>
      <c r="B42" s="188" t="s">
        <v>13298</v>
      </c>
      <c r="C42" s="611">
        <v>79.900000000000006</v>
      </c>
      <c r="D42" s="604">
        <v>150</v>
      </c>
      <c r="E42" s="430">
        <v>45203</v>
      </c>
      <c r="F42" s="609">
        <v>45569</v>
      </c>
    </row>
    <row r="43" spans="1:6">
      <c r="A43" s="353" t="s">
        <v>12646</v>
      </c>
      <c r="B43" s="149" t="s">
        <v>13298</v>
      </c>
      <c r="C43" s="619">
        <v>79.900000000000006</v>
      </c>
      <c r="D43" s="616">
        <v>150</v>
      </c>
      <c r="E43" s="187" t="s">
        <v>13301</v>
      </c>
      <c r="F43" s="502" t="s">
        <v>13302</v>
      </c>
    </row>
    <row r="44" spans="1:6">
      <c r="A44" s="295" t="s">
        <v>12648</v>
      </c>
      <c r="B44" s="188" t="s">
        <v>13287</v>
      </c>
      <c r="C44" s="612">
        <v>99.9</v>
      </c>
      <c r="D44">
        <v>150</v>
      </c>
      <c r="E44" s="187" t="s">
        <v>13301</v>
      </c>
      <c r="F44" s="199" t="s">
        <v>13302</v>
      </c>
    </row>
    <row r="45" spans="1:6">
      <c r="A45" s="606" t="s">
        <v>13303</v>
      </c>
      <c r="B45" s="295" t="s">
        <v>13273</v>
      </c>
      <c r="C45" s="464">
        <v>79.900000000000006</v>
      </c>
      <c r="D45" s="604">
        <v>150</v>
      </c>
      <c r="E45" s="187" t="s">
        <v>13304</v>
      </c>
      <c r="F45" s="185" t="s">
        <v>13305</v>
      </c>
    </row>
    <row r="46" spans="1:6">
      <c r="A46" s="295" t="s">
        <v>13306</v>
      </c>
      <c r="B46" s="606" t="s">
        <v>7348</v>
      </c>
      <c r="C46" s="615">
        <v>99.9</v>
      </c>
      <c r="D46" s="616">
        <v>150</v>
      </c>
      <c r="E46" s="187" t="s">
        <v>13304</v>
      </c>
      <c r="F46" s="205" t="s">
        <v>13305</v>
      </c>
    </row>
    <row r="47" spans="1:6">
      <c r="A47" s="606" t="s">
        <v>13307</v>
      </c>
      <c r="B47" s="186" t="s">
        <v>13308</v>
      </c>
      <c r="C47" s="612" t="s">
        <v>13309</v>
      </c>
      <c r="D47">
        <v>150</v>
      </c>
      <c r="E47" s="187" t="s">
        <v>11803</v>
      </c>
      <c r="F47" s="205" t="s">
        <v>13305</v>
      </c>
    </row>
    <row r="48" spans="1:6">
      <c r="A48" s="295" t="s">
        <v>13236</v>
      </c>
      <c r="B48" s="353" t="s">
        <v>13310</v>
      </c>
      <c r="C48" s="623" t="s">
        <v>13309</v>
      </c>
      <c r="D48" s="295">
        <v>150</v>
      </c>
      <c r="E48" s="606" t="s">
        <v>12662</v>
      </c>
      <c r="F48" s="188" t="s">
        <v>13311</v>
      </c>
    </row>
    <row r="49" spans="1:6">
      <c r="A49" s="606" t="s">
        <v>12606</v>
      </c>
      <c r="B49" s="149" t="s">
        <v>13312</v>
      </c>
      <c r="C49" s="612">
        <v>79.900000000000006</v>
      </c>
      <c r="D49">
        <v>150</v>
      </c>
      <c r="E49" s="149" t="s">
        <v>13313</v>
      </c>
      <c r="F49" s="185" t="s">
        <v>13314</v>
      </c>
    </row>
    <row r="50" spans="1:6">
      <c r="A50" s="353" t="s">
        <v>13315</v>
      </c>
      <c r="B50" s="188" t="s">
        <v>13316</v>
      </c>
      <c r="C50" s="611">
        <v>79.900000000000006</v>
      </c>
      <c r="D50" s="604">
        <v>150</v>
      </c>
      <c r="E50" s="627">
        <v>45058</v>
      </c>
      <c r="F50" s="625">
        <v>45424</v>
      </c>
    </row>
    <row r="51" spans="1:6">
      <c r="A51" s="295" t="s">
        <v>12673</v>
      </c>
      <c r="B51" s="149" t="s">
        <v>13278</v>
      </c>
      <c r="C51" s="621">
        <v>79.900000000000006</v>
      </c>
      <c r="D51" s="353">
        <v>150</v>
      </c>
      <c r="E51" s="622">
        <v>45058</v>
      </c>
      <c r="F51" s="431">
        <v>45424</v>
      </c>
    </row>
    <row r="52" spans="1:6">
      <c r="A52" s="606" t="s">
        <v>12676</v>
      </c>
      <c r="B52" s="187" t="s">
        <v>13278</v>
      </c>
      <c r="C52" s="608">
        <v>79.900000000000006</v>
      </c>
      <c r="D52" s="353">
        <v>150</v>
      </c>
      <c r="E52" s="353" t="s">
        <v>10907</v>
      </c>
      <c r="F52" s="149" t="s">
        <v>13317</v>
      </c>
    </row>
    <row r="53" spans="1:6">
      <c r="A53" s="295" t="s">
        <v>12686</v>
      </c>
      <c r="B53" s="606" t="s">
        <v>13295</v>
      </c>
      <c r="C53" s="617">
        <v>69.900000000000006</v>
      </c>
      <c r="D53" s="295">
        <v>150</v>
      </c>
      <c r="E53" s="431">
        <v>45211</v>
      </c>
      <c r="F53" s="607">
        <v>45577</v>
      </c>
    </row>
    <row r="54" spans="1:6">
      <c r="A54" s="606" t="s">
        <v>13318</v>
      </c>
      <c r="B54" s="353" t="s">
        <v>13319</v>
      </c>
      <c r="C54" s="617">
        <v>69.900000000000006</v>
      </c>
      <c r="D54" s="204">
        <v>150</v>
      </c>
      <c r="E54" s="431">
        <v>45211</v>
      </c>
      <c r="F54" s="605">
        <v>45577</v>
      </c>
    </row>
    <row r="55" spans="1:6">
      <c r="A55" s="149" t="s">
        <v>13320</v>
      </c>
      <c r="B55" s="616" t="s">
        <v>7348</v>
      </c>
      <c r="C55" s="615">
        <v>99.9</v>
      </c>
      <c r="D55" s="603">
        <v>150</v>
      </c>
      <c r="E55" s="186" t="s">
        <v>10900</v>
      </c>
      <c r="F55" s="199" t="s">
        <v>13321</v>
      </c>
    </row>
    <row r="56" spans="1:6">
      <c r="A56" s="187" t="s">
        <v>12706</v>
      </c>
      <c r="B56" s="603" t="s">
        <v>13312</v>
      </c>
      <c r="C56" s="617">
        <v>79.900000000000006</v>
      </c>
      <c r="D56" s="204">
        <v>150</v>
      </c>
      <c r="E56" s="186" t="s">
        <v>13322</v>
      </c>
      <c r="F56" s="185" t="s">
        <v>13323</v>
      </c>
    </row>
    <row r="57" spans="1:6">
      <c r="A57" s="188" t="s">
        <v>12703</v>
      </c>
      <c r="B57" t="s">
        <v>13278</v>
      </c>
      <c r="C57" s="617">
        <v>79.900000000000006</v>
      </c>
      <c r="D57" s="606">
        <v>150</v>
      </c>
      <c r="E57" s="186" t="s">
        <v>13324</v>
      </c>
      <c r="F57" s="502" t="s">
        <v>13317</v>
      </c>
    </row>
    <row r="58" spans="1:6">
      <c r="A58" s="149" t="s">
        <v>6661</v>
      </c>
      <c r="B58" s="616" t="s">
        <v>13325</v>
      </c>
      <c r="C58" s="617">
        <v>99.9</v>
      </c>
      <c r="D58" s="149">
        <v>150</v>
      </c>
      <c r="E58" s="149" t="s">
        <v>12726</v>
      </c>
      <c r="F58" s="185" t="s">
        <v>13326</v>
      </c>
    </row>
    <row r="59" spans="1:6">
      <c r="A59" s="615" t="s">
        <v>13259</v>
      </c>
      <c r="B59" s="616" t="s">
        <v>13325</v>
      </c>
      <c r="C59" s="617">
        <v>99.9</v>
      </c>
      <c r="D59" s="149">
        <v>150</v>
      </c>
      <c r="E59" s="149" t="s">
        <v>13327</v>
      </c>
      <c r="F59" s="205" t="s">
        <v>13328</v>
      </c>
    </row>
    <row r="60" spans="1:6">
      <c r="A60" s="205" t="s">
        <v>12729</v>
      </c>
      <c r="B60" s="205" t="s">
        <v>13273</v>
      </c>
      <c r="C60" s="621">
        <v>79.900000000000006</v>
      </c>
      <c r="D60" s="149">
        <v>150</v>
      </c>
      <c r="E60" s="149" t="s">
        <v>12746</v>
      </c>
      <c r="F60" s="205" t="s">
        <v>13329</v>
      </c>
    </row>
    <row r="61" spans="1:6">
      <c r="A61" t="s">
        <v>13330</v>
      </c>
      <c r="B61" s="187" t="s">
        <v>13273</v>
      </c>
      <c r="C61" s="621">
        <v>79.900000000000006</v>
      </c>
      <c r="D61" s="149">
        <v>150</v>
      </c>
      <c r="E61" s="502" t="s">
        <v>13324</v>
      </c>
      <c r="F61" s="502" t="s">
        <v>13317</v>
      </c>
    </row>
    <row r="62" spans="1:6">
      <c r="A62" s="149" t="s">
        <v>12755</v>
      </c>
      <c r="B62" s="502" t="s">
        <v>13273</v>
      </c>
      <c r="C62" s="621">
        <v>79.900000000000006</v>
      </c>
      <c r="D62" s="149">
        <v>150</v>
      </c>
      <c r="E62" s="149" t="s">
        <v>13324</v>
      </c>
      <c r="F62" s="149" t="s">
        <v>13317</v>
      </c>
    </row>
    <row r="63" spans="1:6">
      <c r="A63" s="149" t="s">
        <v>12771</v>
      </c>
      <c r="B63" s="149" t="s">
        <v>13278</v>
      </c>
      <c r="C63" s="621">
        <v>79.900000000000006</v>
      </c>
      <c r="D63" s="149">
        <v>150</v>
      </c>
      <c r="E63" s="149" t="s">
        <v>13331</v>
      </c>
      <c r="F63" s="149" t="s">
        <v>13332</v>
      </c>
    </row>
    <row r="64" spans="1:6">
      <c r="A64" s="149" t="s">
        <v>12804</v>
      </c>
      <c r="B64" s="149" t="s">
        <v>13273</v>
      </c>
      <c r="C64" s="621">
        <v>79.900000000000006</v>
      </c>
      <c r="D64" s="149">
        <v>150</v>
      </c>
      <c r="E64" s="150">
        <v>45414</v>
      </c>
      <c r="F64" s="150">
        <v>45779</v>
      </c>
    </row>
    <row r="65" spans="1:6">
      <c r="A65" s="149" t="s">
        <v>13333</v>
      </c>
      <c r="B65" s="149" t="s">
        <v>13273</v>
      </c>
      <c r="C65" s="621">
        <v>79.900000000000006</v>
      </c>
      <c r="D65" s="149">
        <v>150</v>
      </c>
      <c r="E65" s="149" t="s">
        <v>13334</v>
      </c>
      <c r="F65" s="149" t="s">
        <v>13335</v>
      </c>
    </row>
    <row r="66" spans="1:6">
      <c r="A66" s="149" t="s">
        <v>6815</v>
      </c>
      <c r="B66" s="149" t="s">
        <v>13316</v>
      </c>
      <c r="C66" s="621">
        <v>79.900000000000006</v>
      </c>
      <c r="D66" s="149">
        <v>150</v>
      </c>
      <c r="E66" s="149" t="s">
        <v>12165</v>
      </c>
      <c r="F66" s="149" t="s">
        <v>13336</v>
      </c>
    </row>
    <row r="67" spans="1:6">
      <c r="A67" s="149" t="s">
        <v>12819</v>
      </c>
      <c r="B67" s="149" t="s">
        <v>13316</v>
      </c>
      <c r="C67" s="621">
        <v>79.900000000000006</v>
      </c>
      <c r="D67" s="149">
        <v>150</v>
      </c>
      <c r="E67" s="150">
        <v>45414</v>
      </c>
      <c r="F67" s="150">
        <v>45779</v>
      </c>
    </row>
    <row r="68" spans="1:6">
      <c r="A68" s="149" t="s">
        <v>13337</v>
      </c>
      <c r="B68" s="149" t="s">
        <v>13316</v>
      </c>
      <c r="C68" s="621">
        <v>79.900000000000006</v>
      </c>
      <c r="D68" s="149">
        <v>150</v>
      </c>
      <c r="E68" s="150">
        <v>45506</v>
      </c>
      <c r="F68" s="150">
        <v>45871</v>
      </c>
    </row>
    <row r="69" spans="1:6">
      <c r="A69" s="149" t="s">
        <v>13338</v>
      </c>
      <c r="B69" s="149" t="s">
        <v>13339</v>
      </c>
      <c r="C69" s="464" t="s">
        <v>13340</v>
      </c>
      <c r="D69" s="149">
        <v>500</v>
      </c>
      <c r="E69" s="149" t="s">
        <v>12833</v>
      </c>
      <c r="F69" s="149" t="s">
        <v>13341</v>
      </c>
    </row>
    <row r="70" spans="1:6">
      <c r="A70" s="149" t="s">
        <v>13342</v>
      </c>
      <c r="B70" s="149" t="s">
        <v>13339</v>
      </c>
      <c r="C70" s="464" t="s">
        <v>13340</v>
      </c>
      <c r="D70" s="149">
        <v>150</v>
      </c>
      <c r="E70" s="149" t="s">
        <v>13343</v>
      </c>
      <c r="F70" s="149" t="s">
        <v>13344</v>
      </c>
    </row>
    <row r="71" spans="1:6">
      <c r="A71" s="186" t="s">
        <v>13345</v>
      </c>
      <c r="B71" s="186" t="s">
        <v>13346</v>
      </c>
      <c r="C71" s="610" t="s">
        <v>13347</v>
      </c>
      <c r="D71" s="186">
        <v>150</v>
      </c>
      <c r="E71" s="431">
        <v>45413</v>
      </c>
      <c r="F71" s="431">
        <v>45778</v>
      </c>
    </row>
    <row r="72" spans="1:6">
      <c r="A72" s="149" t="s">
        <v>13221</v>
      </c>
      <c r="B72" s="149" t="s">
        <v>13339</v>
      </c>
      <c r="C72" s="464" t="s">
        <v>13340</v>
      </c>
      <c r="D72" s="149">
        <v>150</v>
      </c>
      <c r="E72" s="149" t="s">
        <v>12854</v>
      </c>
      <c r="F72" s="149" t="s">
        <v>13348</v>
      </c>
    </row>
    <row r="73" spans="1:6">
      <c r="A73" s="149" t="s">
        <v>12846</v>
      </c>
      <c r="B73" s="149" t="s">
        <v>13339</v>
      </c>
      <c r="C73" s="464" t="s">
        <v>13340</v>
      </c>
      <c r="D73" s="149">
        <v>150</v>
      </c>
      <c r="E73" s="149" t="s">
        <v>13349</v>
      </c>
      <c r="F73" s="149" t="s">
        <v>13350</v>
      </c>
    </row>
    <row r="74" spans="1:6">
      <c r="A74" s="149" t="s">
        <v>12763</v>
      </c>
      <c r="B74" s="149" t="s">
        <v>13316</v>
      </c>
      <c r="C74" s="464" t="s">
        <v>13351</v>
      </c>
      <c r="D74" s="149">
        <v>500</v>
      </c>
      <c r="E74" s="150">
        <v>45444</v>
      </c>
      <c r="F74" s="150">
        <v>45809</v>
      </c>
    </row>
    <row r="75" spans="1:6">
      <c r="A75" s="149" t="s">
        <v>13352</v>
      </c>
      <c r="B75" s="149" t="s">
        <v>13273</v>
      </c>
      <c r="C75" s="464" t="s">
        <v>13353</v>
      </c>
      <c r="D75" s="149">
        <v>150</v>
      </c>
      <c r="E75" s="150">
        <v>45567</v>
      </c>
      <c r="F75" s="150">
        <v>45932</v>
      </c>
    </row>
    <row r="76" spans="1:6">
      <c r="A76" s="186" t="s">
        <v>6869</v>
      </c>
      <c r="B76" s="186" t="s">
        <v>13325</v>
      </c>
      <c r="C76" s="610" t="s">
        <v>13340</v>
      </c>
      <c r="D76" s="186">
        <v>150</v>
      </c>
      <c r="E76" s="186" t="s">
        <v>13354</v>
      </c>
      <c r="F76" s="186" t="s">
        <v>13355</v>
      </c>
    </row>
    <row r="77" spans="1:6">
      <c r="A77" s="186" t="s">
        <v>13356</v>
      </c>
      <c r="B77" s="186" t="s">
        <v>13357</v>
      </c>
      <c r="C77" s="610" t="s">
        <v>13358</v>
      </c>
      <c r="D77" s="186">
        <v>500</v>
      </c>
      <c r="E77" s="186" t="s">
        <v>13359</v>
      </c>
      <c r="F77" s="186" t="s">
        <v>13360</v>
      </c>
    </row>
    <row r="78" spans="1:6">
      <c r="A78" s="149" t="s">
        <v>13361</v>
      </c>
      <c r="B78" s="149" t="s">
        <v>13362</v>
      </c>
      <c r="C78" s="464" t="s">
        <v>13363</v>
      </c>
      <c r="D78" s="149">
        <v>500</v>
      </c>
      <c r="E78" s="149" t="s">
        <v>13364</v>
      </c>
      <c r="F78" s="149" t="s">
        <v>13365</v>
      </c>
    </row>
    <row r="79" spans="1:6">
      <c r="A79" s="149" t="s">
        <v>12889</v>
      </c>
      <c r="B79" s="149" t="s">
        <v>13339</v>
      </c>
      <c r="C79" s="464" t="s">
        <v>13340</v>
      </c>
      <c r="D79" s="149">
        <v>500</v>
      </c>
      <c r="E79" s="149" t="s">
        <v>13359</v>
      </c>
      <c r="F79" s="149" t="s">
        <v>13360</v>
      </c>
    </row>
    <row r="80" spans="1:6">
      <c r="A80" s="186" t="s">
        <v>13366</v>
      </c>
      <c r="B80" s="186" t="s">
        <v>13339</v>
      </c>
      <c r="C80" s="610" t="s">
        <v>13340</v>
      </c>
      <c r="D80" s="186">
        <v>500</v>
      </c>
      <c r="E80" s="186" t="s">
        <v>12899</v>
      </c>
      <c r="F80" s="186" t="s">
        <v>13367</v>
      </c>
    </row>
    <row r="81" spans="1:6">
      <c r="A81" s="149" t="s">
        <v>6952</v>
      </c>
      <c r="B81" s="149" t="s">
        <v>13339</v>
      </c>
      <c r="C81" s="464" t="s">
        <v>13340</v>
      </c>
      <c r="D81" s="149">
        <v>500</v>
      </c>
      <c r="E81" s="149" t="s">
        <v>12917</v>
      </c>
      <c r="F81" s="149" t="s">
        <v>13368</v>
      </c>
    </row>
    <row r="82" spans="1:6">
      <c r="A82" s="149" t="s">
        <v>13369</v>
      </c>
      <c r="B82" s="149" t="s">
        <v>13339</v>
      </c>
      <c r="C82" s="464" t="s">
        <v>13340</v>
      </c>
      <c r="D82" s="149">
        <v>500</v>
      </c>
      <c r="E82" s="150">
        <v>45569</v>
      </c>
      <c r="F82" s="150">
        <v>45934</v>
      </c>
    </row>
    <row r="83" spans="1:6">
      <c r="A83" s="149" t="s">
        <v>12922</v>
      </c>
      <c r="B83" s="149" t="s">
        <v>13370</v>
      </c>
      <c r="C83" s="464" t="s">
        <v>13363</v>
      </c>
      <c r="D83" s="149">
        <v>500</v>
      </c>
      <c r="E83" s="149" t="s">
        <v>12939</v>
      </c>
      <c r="F83" s="149" t="s">
        <v>13371</v>
      </c>
    </row>
    <row r="84" spans="1:6">
      <c r="A84" s="149" t="s">
        <v>13372</v>
      </c>
      <c r="B84" s="149" t="s">
        <v>13339</v>
      </c>
      <c r="C84" s="464" t="s">
        <v>13340</v>
      </c>
      <c r="D84" s="149">
        <v>500</v>
      </c>
      <c r="E84" s="150">
        <v>45416</v>
      </c>
      <c r="F84" s="150">
        <v>45781</v>
      </c>
    </row>
    <row r="85" spans="1:6">
      <c r="A85" s="149" t="s">
        <v>6428</v>
      </c>
      <c r="B85" s="149" t="s">
        <v>13316</v>
      </c>
      <c r="C85" s="464" t="s">
        <v>13363</v>
      </c>
      <c r="D85" s="149">
        <v>500</v>
      </c>
      <c r="E85" s="150">
        <v>45210</v>
      </c>
      <c r="F85" s="150">
        <v>45576</v>
      </c>
    </row>
    <row r="86" spans="1:6">
      <c r="A86" s="149" t="s">
        <v>12927</v>
      </c>
      <c r="B86" s="149" t="s">
        <v>13339</v>
      </c>
      <c r="C86" s="464" t="s">
        <v>13340</v>
      </c>
      <c r="D86" s="149">
        <v>500</v>
      </c>
      <c r="E86" s="150">
        <v>45569</v>
      </c>
      <c r="F86" s="150">
        <v>45944</v>
      </c>
    </row>
    <row r="87" spans="1:6">
      <c r="A87" s="149" t="s">
        <v>6992</v>
      </c>
      <c r="B87" s="149" t="s">
        <v>13339</v>
      </c>
      <c r="C87" s="464" t="s">
        <v>13340</v>
      </c>
      <c r="D87" s="149">
        <v>500</v>
      </c>
      <c r="E87" s="149" t="s">
        <v>12939</v>
      </c>
      <c r="F87" s="149" t="s">
        <v>13371</v>
      </c>
    </row>
    <row r="88" spans="1:6">
      <c r="A88" s="149" t="s">
        <v>12932</v>
      </c>
      <c r="B88" s="149" t="s">
        <v>13316</v>
      </c>
      <c r="C88" s="464" t="s">
        <v>13363</v>
      </c>
      <c r="D88" s="149">
        <v>500</v>
      </c>
      <c r="E88" s="150">
        <v>45569</v>
      </c>
      <c r="F88" s="150">
        <v>45934</v>
      </c>
    </row>
    <row r="89" spans="1:6">
      <c r="A89" s="192" t="s">
        <v>12934</v>
      </c>
      <c r="B89" s="149" t="s">
        <v>13339</v>
      </c>
      <c r="C89" s="464" t="s">
        <v>13340</v>
      </c>
      <c r="D89" s="149">
        <v>500</v>
      </c>
      <c r="E89" s="150">
        <v>45569</v>
      </c>
      <c r="F89" s="150">
        <v>45934</v>
      </c>
    </row>
    <row r="90" spans="1:6">
      <c r="A90" s="149" t="s">
        <v>12861</v>
      </c>
      <c r="B90" s="149" t="s">
        <v>7350</v>
      </c>
      <c r="C90" s="464" t="s">
        <v>13373</v>
      </c>
      <c r="D90" s="149">
        <v>500</v>
      </c>
      <c r="E90" s="150">
        <v>45415</v>
      </c>
      <c r="F90" s="150">
        <v>45780</v>
      </c>
    </row>
    <row r="91" spans="1:6">
      <c r="A91" s="149" t="s">
        <v>12861</v>
      </c>
      <c r="B91" s="186" t="s">
        <v>13374</v>
      </c>
      <c r="C91" s="610" t="s">
        <v>13375</v>
      </c>
      <c r="D91" s="186">
        <v>500</v>
      </c>
      <c r="E91" s="186" t="s">
        <v>13376</v>
      </c>
      <c r="F91" s="186" t="s">
        <v>13377</v>
      </c>
    </row>
    <row r="92" spans="1:6">
      <c r="A92" s="149" t="s">
        <v>12941</v>
      </c>
      <c r="B92" s="149" t="s">
        <v>13325</v>
      </c>
      <c r="C92" s="464" t="s">
        <v>13340</v>
      </c>
      <c r="D92" s="149">
        <v>500</v>
      </c>
      <c r="E92" s="149" t="s">
        <v>12943</v>
      </c>
      <c r="F92" s="149" t="s">
        <v>13378</v>
      </c>
    </row>
    <row r="93" spans="1:6">
      <c r="A93" s="149" t="s">
        <v>12951</v>
      </c>
      <c r="B93" s="149" t="s">
        <v>13339</v>
      </c>
      <c r="C93" s="464" t="s">
        <v>13340</v>
      </c>
      <c r="D93" s="149">
        <v>500</v>
      </c>
      <c r="E93" s="149" t="s">
        <v>13379</v>
      </c>
      <c r="F93" s="149" t="s">
        <v>13380</v>
      </c>
    </row>
    <row r="94" spans="1:6">
      <c r="A94" s="149" t="s">
        <v>13381</v>
      </c>
      <c r="B94" s="149" t="s">
        <v>13316</v>
      </c>
      <c r="C94" s="464" t="s">
        <v>13351</v>
      </c>
      <c r="D94" s="149">
        <v>500</v>
      </c>
      <c r="E94" s="150">
        <v>45211</v>
      </c>
      <c r="F94" s="150">
        <v>45577</v>
      </c>
    </row>
    <row r="95" spans="1:6">
      <c r="A95" s="149" t="s">
        <v>7074</v>
      </c>
      <c r="B95" s="149" t="s">
        <v>13382</v>
      </c>
      <c r="C95" s="464" t="s">
        <v>13383</v>
      </c>
      <c r="D95" s="149">
        <v>500</v>
      </c>
      <c r="E95" s="149" t="s">
        <v>12972</v>
      </c>
      <c r="F95" s="149" t="s">
        <v>13384</v>
      </c>
    </row>
    <row r="96" spans="1:6">
      <c r="A96" s="149" t="s">
        <v>13385</v>
      </c>
      <c r="B96" s="149" t="s">
        <v>13339</v>
      </c>
      <c r="C96" s="464" t="s">
        <v>13386</v>
      </c>
      <c r="D96" s="149">
        <v>500</v>
      </c>
      <c r="E96" s="150">
        <v>45540</v>
      </c>
      <c r="F96" s="150">
        <v>45905</v>
      </c>
    </row>
    <row r="97" spans="1:6">
      <c r="A97" s="186" t="s">
        <v>13387</v>
      </c>
      <c r="B97" s="186" t="s">
        <v>13388</v>
      </c>
      <c r="C97" s="610" t="s">
        <v>13389</v>
      </c>
      <c r="D97" s="186">
        <v>500</v>
      </c>
      <c r="E97" s="186" t="s">
        <v>13390</v>
      </c>
      <c r="F97" s="186" t="s">
        <v>13391</v>
      </c>
    </row>
    <row r="98" spans="1:6">
      <c r="A98" s="149" t="s">
        <v>11016</v>
      </c>
      <c r="B98" s="149" t="s">
        <v>13316</v>
      </c>
      <c r="C98" s="464" t="s">
        <v>13383</v>
      </c>
      <c r="D98" s="149">
        <v>500</v>
      </c>
      <c r="E98" s="149" t="s">
        <v>13390</v>
      </c>
      <c r="F98" s="149" t="s">
        <v>13391</v>
      </c>
    </row>
    <row r="99" spans="1:6">
      <c r="A99" s="149" t="s">
        <v>6803</v>
      </c>
      <c r="B99" s="149" t="s">
        <v>13339</v>
      </c>
      <c r="C99" s="464" t="s">
        <v>13386</v>
      </c>
      <c r="D99" s="149">
        <v>500</v>
      </c>
      <c r="E99" s="149" t="s">
        <v>13392</v>
      </c>
      <c r="F99" s="149" t="s">
        <v>13393</v>
      </c>
    </row>
    <row r="100" spans="1:6">
      <c r="A100" s="149" t="s">
        <v>7138</v>
      </c>
      <c r="B100" s="149" t="s">
        <v>13339</v>
      </c>
      <c r="C100" s="464" t="s">
        <v>13386</v>
      </c>
      <c r="D100" s="149">
        <v>500</v>
      </c>
      <c r="E100" s="149" t="s">
        <v>13394</v>
      </c>
      <c r="F100" s="149" t="s">
        <v>13395</v>
      </c>
    </row>
    <row r="101" spans="1:6">
      <c r="A101" s="149" t="s">
        <v>12993</v>
      </c>
      <c r="B101" s="149" t="s">
        <v>13396</v>
      </c>
      <c r="C101" s="464" t="s">
        <v>13397</v>
      </c>
      <c r="D101" s="149">
        <v>500</v>
      </c>
      <c r="E101" s="150">
        <v>45571</v>
      </c>
      <c r="F101" s="150">
        <v>45936</v>
      </c>
    </row>
    <row r="102" spans="1:6">
      <c r="A102" s="149" t="s">
        <v>7165</v>
      </c>
      <c r="B102" s="149" t="s">
        <v>13339</v>
      </c>
      <c r="C102" s="464" t="s">
        <v>13386</v>
      </c>
      <c r="D102" s="149">
        <v>500</v>
      </c>
      <c r="E102" s="149" t="s">
        <v>13398</v>
      </c>
      <c r="F102" s="149" t="s">
        <v>13399</v>
      </c>
    </row>
    <row r="103" spans="1:6">
      <c r="A103" s="149" t="s">
        <v>7183</v>
      </c>
      <c r="B103" s="149" t="s">
        <v>13339</v>
      </c>
      <c r="C103" s="464" t="s">
        <v>13400</v>
      </c>
      <c r="D103" s="149">
        <v>500</v>
      </c>
      <c r="E103" s="149" t="s">
        <v>13401</v>
      </c>
      <c r="F103" s="149" t="s">
        <v>13402</v>
      </c>
    </row>
    <row r="104" spans="1:6">
      <c r="A104" s="149" t="s">
        <v>13403</v>
      </c>
      <c r="B104" s="149" t="s">
        <v>13316</v>
      </c>
      <c r="C104" s="464" t="s">
        <v>13383</v>
      </c>
      <c r="D104" s="149">
        <v>500</v>
      </c>
      <c r="E104" s="149" t="s">
        <v>13404</v>
      </c>
      <c r="F104" s="149" t="s">
        <v>13405</v>
      </c>
    </row>
    <row r="105" spans="1:6">
      <c r="A105" s="149" t="s">
        <v>13406</v>
      </c>
      <c r="B105" s="149" t="s">
        <v>13339</v>
      </c>
      <c r="C105" s="464" t="s">
        <v>13400</v>
      </c>
      <c r="D105" s="149">
        <v>500</v>
      </c>
      <c r="E105" s="150">
        <v>45572</v>
      </c>
      <c r="F105" s="150">
        <v>45937</v>
      </c>
    </row>
    <row r="106" spans="1:6">
      <c r="A106" s="149" t="s">
        <v>7212</v>
      </c>
      <c r="B106" s="149" t="s">
        <v>13396</v>
      </c>
      <c r="C106" s="464" t="s">
        <v>13397</v>
      </c>
      <c r="D106" s="149">
        <v>500</v>
      </c>
      <c r="E106" s="150">
        <v>45358</v>
      </c>
      <c r="F106" s="150">
        <v>45723</v>
      </c>
    </row>
    <row r="107" spans="1:6">
      <c r="A107" s="149" t="s">
        <v>13407</v>
      </c>
      <c r="B107" s="149" t="s">
        <v>13396</v>
      </c>
      <c r="C107" s="464" t="s">
        <v>13397</v>
      </c>
      <c r="D107" s="149">
        <v>500</v>
      </c>
      <c r="E107" s="150">
        <v>45358</v>
      </c>
      <c r="F107" s="150">
        <v>45723</v>
      </c>
    </row>
    <row r="108" spans="1:6">
      <c r="A108" s="149" t="s">
        <v>6595</v>
      </c>
      <c r="B108" s="149" t="s">
        <v>13339</v>
      </c>
      <c r="C108" s="464" t="s">
        <v>13400</v>
      </c>
      <c r="D108" s="149">
        <v>500</v>
      </c>
      <c r="E108" s="150">
        <v>45572</v>
      </c>
      <c r="F108" s="150">
        <v>45937</v>
      </c>
    </row>
    <row r="109" spans="1:6">
      <c r="A109" s="149" t="s">
        <v>13249</v>
      </c>
      <c r="B109" s="149" t="s">
        <v>13339</v>
      </c>
      <c r="C109" s="464" t="s">
        <v>13408</v>
      </c>
      <c r="D109" s="149">
        <v>500</v>
      </c>
      <c r="E109" s="149" t="s">
        <v>7717</v>
      </c>
      <c r="F109" s="149" t="s">
        <v>13409</v>
      </c>
    </row>
    <row r="110" spans="1:6">
      <c r="A110" s="149" t="s">
        <v>13410</v>
      </c>
      <c r="B110" s="149" t="s">
        <v>13339</v>
      </c>
      <c r="C110" s="464" t="s">
        <v>13386</v>
      </c>
      <c r="D110" s="149">
        <v>500</v>
      </c>
      <c r="E110" s="149" t="s">
        <v>13411</v>
      </c>
      <c r="F110" s="149" t="s">
        <v>13412</v>
      </c>
    </row>
    <row r="111" spans="1:6">
      <c r="A111" s="149" t="s">
        <v>13044</v>
      </c>
      <c r="B111" s="149" t="s">
        <v>13339</v>
      </c>
      <c r="C111" s="464" t="s">
        <v>13408</v>
      </c>
      <c r="D111" s="149">
        <v>500</v>
      </c>
      <c r="E111" s="150">
        <v>45573</v>
      </c>
      <c r="F111" s="150">
        <v>45938</v>
      </c>
    </row>
    <row r="112" spans="1:6">
      <c r="A112" s="149" t="s">
        <v>13413</v>
      </c>
      <c r="B112" s="149" t="s">
        <v>13339</v>
      </c>
      <c r="C112" s="464" t="s">
        <v>13414</v>
      </c>
      <c r="D112" s="149">
        <v>500</v>
      </c>
      <c r="E112" s="150">
        <v>45512</v>
      </c>
      <c r="F112" s="150">
        <v>45877</v>
      </c>
    </row>
    <row r="113" spans="1:6">
      <c r="A113" s="149" t="s">
        <v>13050</v>
      </c>
      <c r="B113" s="149" t="s">
        <v>13339</v>
      </c>
      <c r="C113" s="464" t="s">
        <v>13414</v>
      </c>
      <c r="D113" s="149">
        <v>500</v>
      </c>
      <c r="E113" s="149" t="s">
        <v>7722</v>
      </c>
      <c r="F113" s="149" t="s">
        <v>13415</v>
      </c>
    </row>
    <row r="114" spans="1:6">
      <c r="A114" s="149" t="s">
        <v>13064</v>
      </c>
      <c r="B114" s="149" t="s">
        <v>12315</v>
      </c>
      <c r="C114" s="464" t="s">
        <v>13416</v>
      </c>
      <c r="D114" s="149">
        <v>500</v>
      </c>
      <c r="E114" s="149" t="s">
        <v>13063</v>
      </c>
      <c r="F114" s="149" t="s">
        <v>13417</v>
      </c>
    </row>
    <row r="115" spans="1:6">
      <c r="A115" s="149" t="s">
        <v>13072</v>
      </c>
      <c r="B115" s="149" t="s">
        <v>13316</v>
      </c>
      <c r="C115" s="464" t="s">
        <v>13418</v>
      </c>
      <c r="D115" s="149">
        <v>500</v>
      </c>
      <c r="E115" s="150">
        <v>45635</v>
      </c>
      <c r="F115" s="150">
        <v>46000</v>
      </c>
    </row>
    <row r="116" spans="1:6">
      <c r="A116" s="149" t="s">
        <v>13419</v>
      </c>
      <c r="B116" s="149" t="s">
        <v>13339</v>
      </c>
      <c r="C116" s="464" t="s">
        <v>13414</v>
      </c>
      <c r="D116" s="149">
        <v>500</v>
      </c>
      <c r="E116" s="149" t="s">
        <v>13420</v>
      </c>
      <c r="F116" s="149" t="s">
        <v>13421</v>
      </c>
    </row>
    <row r="117" spans="1:6">
      <c r="A117" s="149" t="s">
        <v>13422</v>
      </c>
      <c r="B117" s="149" t="s">
        <v>13423</v>
      </c>
      <c r="C117" s="464" t="s">
        <v>13414</v>
      </c>
      <c r="D117" s="149">
        <v>500</v>
      </c>
      <c r="E117" s="150">
        <v>45574</v>
      </c>
      <c r="F117" s="150">
        <v>45939</v>
      </c>
    </row>
    <row r="118" spans="1:6">
      <c r="A118" s="149" t="s">
        <v>13424</v>
      </c>
      <c r="B118" s="149" t="s">
        <v>13425</v>
      </c>
      <c r="C118" s="464" t="s">
        <v>13426</v>
      </c>
      <c r="D118" s="149">
        <v>500</v>
      </c>
      <c r="E118" s="150">
        <v>45606</v>
      </c>
      <c r="F118" s="150">
        <v>45971</v>
      </c>
    </row>
    <row r="119" spans="1:6">
      <c r="A119" s="149" t="s">
        <v>13427</v>
      </c>
      <c r="B119" s="149" t="s">
        <v>13316</v>
      </c>
      <c r="C119" s="464" t="s">
        <v>13418</v>
      </c>
      <c r="D119" s="149">
        <v>500</v>
      </c>
      <c r="E119" s="149" t="s">
        <v>13428</v>
      </c>
      <c r="F119" s="149" t="s">
        <v>13429</v>
      </c>
    </row>
    <row r="120" spans="1:6">
      <c r="A120" s="149" t="s">
        <v>12744</v>
      </c>
      <c r="B120" s="149" t="s">
        <v>13430</v>
      </c>
      <c r="C120" s="464" t="s">
        <v>13431</v>
      </c>
      <c r="D120" s="149">
        <v>500</v>
      </c>
      <c r="E120" s="149" t="s">
        <v>13432</v>
      </c>
      <c r="F120" s="149" t="s">
        <v>13433</v>
      </c>
    </row>
    <row r="121" spans="1:6">
      <c r="A121" s="149" t="s">
        <v>13108</v>
      </c>
      <c r="B121" s="149" t="s">
        <v>13325</v>
      </c>
      <c r="C121" s="464" t="s">
        <v>13414</v>
      </c>
      <c r="D121" s="149">
        <v>500</v>
      </c>
      <c r="E121" s="149" t="s">
        <v>13098</v>
      </c>
      <c r="F121" s="149" t="s">
        <v>13434</v>
      </c>
    </row>
    <row r="122" spans="1:6">
      <c r="A122" s="149" t="s">
        <v>13137</v>
      </c>
      <c r="B122" s="149" t="s">
        <v>13435</v>
      </c>
      <c r="C122" s="464" t="s">
        <v>13426</v>
      </c>
      <c r="D122" s="149">
        <v>500</v>
      </c>
      <c r="E122" s="150">
        <v>45607</v>
      </c>
      <c r="F122" s="150">
        <v>45972</v>
      </c>
    </row>
    <row r="123" spans="1:6">
      <c r="A123" s="149" t="s">
        <v>13137</v>
      </c>
      <c r="B123" s="149" t="s">
        <v>13435</v>
      </c>
      <c r="C123" s="464" t="s">
        <v>13426</v>
      </c>
      <c r="D123" s="149">
        <v>500</v>
      </c>
      <c r="E123" s="150">
        <v>45607</v>
      </c>
      <c r="F123" s="150">
        <v>45972</v>
      </c>
    </row>
    <row r="124" spans="1:6">
      <c r="A124" s="149" t="s">
        <v>13436</v>
      </c>
      <c r="B124" s="149" t="s">
        <v>13339</v>
      </c>
      <c r="C124" s="464" t="s">
        <v>13386</v>
      </c>
      <c r="D124" s="149">
        <v>500</v>
      </c>
      <c r="E124" s="150">
        <v>45576</v>
      </c>
      <c r="F124" s="150">
        <v>45941</v>
      </c>
    </row>
    <row r="125" spans="1:6">
      <c r="A125" s="149" t="s">
        <v>13437</v>
      </c>
      <c r="B125" s="149" t="s">
        <v>13438</v>
      </c>
      <c r="C125" s="464" t="s">
        <v>13439</v>
      </c>
      <c r="D125" s="149">
        <v>500</v>
      </c>
      <c r="E125" s="149" t="s">
        <v>13440</v>
      </c>
      <c r="F125" s="149" t="s">
        <v>13441</v>
      </c>
    </row>
    <row r="126" spans="1:6">
      <c r="A126" s="149" t="s">
        <v>13144</v>
      </c>
      <c r="B126" s="149" t="s">
        <v>13425</v>
      </c>
      <c r="C126" s="464" t="s">
        <v>13383</v>
      </c>
      <c r="D126" s="149">
        <v>500</v>
      </c>
      <c r="E126" s="149" t="s">
        <v>13442</v>
      </c>
      <c r="F126" s="149" t="s">
        <v>13443</v>
      </c>
    </row>
    <row r="127" spans="1:6">
      <c r="A127" s="186" t="s">
        <v>13147</v>
      </c>
      <c r="B127" s="186" t="s">
        <v>13339</v>
      </c>
      <c r="C127" s="610" t="s">
        <v>13400</v>
      </c>
      <c r="D127" s="186">
        <v>500</v>
      </c>
      <c r="E127" s="186" t="s">
        <v>13444</v>
      </c>
      <c r="F127" s="186" t="s">
        <v>13445</v>
      </c>
    </row>
    <row r="128" spans="1:6">
      <c r="A128" s="149" t="s">
        <v>13112</v>
      </c>
      <c r="B128" s="149" t="s">
        <v>13316</v>
      </c>
      <c r="C128" s="464" t="s">
        <v>13383</v>
      </c>
      <c r="D128" s="186">
        <v>500</v>
      </c>
      <c r="E128" s="150">
        <v>45545</v>
      </c>
      <c r="F128" s="150">
        <v>45910</v>
      </c>
    </row>
    <row r="129" spans="1:6">
      <c r="A129" s="149"/>
      <c r="B129" s="149"/>
      <c r="C129" s="464"/>
      <c r="D129" s="149"/>
      <c r="E129" s="149"/>
      <c r="F129" s="149"/>
    </row>
    <row r="130" spans="1:6">
      <c r="A130" s="149"/>
      <c r="B130" s="149"/>
      <c r="C130" s="464"/>
      <c r="D130" s="149"/>
      <c r="E130" s="149"/>
      <c r="F130" s="149"/>
    </row>
    <row r="131" spans="1:6">
      <c r="A131" s="149"/>
      <c r="B131" s="149"/>
      <c r="C131" s="464"/>
      <c r="D131" s="149"/>
      <c r="E131" s="149"/>
      <c r="F131" s="149"/>
    </row>
    <row r="132" spans="1:6">
      <c r="A132" s="149"/>
      <c r="B132" s="149"/>
      <c r="C132" s="464"/>
      <c r="D132" s="149"/>
      <c r="E132" s="149"/>
      <c r="F132" s="149"/>
    </row>
    <row r="133" spans="1:6">
      <c r="A133" s="149"/>
      <c r="B133" s="149"/>
      <c r="C133" s="464"/>
      <c r="D133" s="149"/>
      <c r="E133" s="149"/>
      <c r="F133" s="149"/>
    </row>
    <row r="134" spans="1:6">
      <c r="A134" s="149"/>
      <c r="B134" s="149"/>
      <c r="C134" s="464"/>
      <c r="D134" s="149"/>
      <c r="E134" s="149"/>
      <c r="F134" s="149"/>
    </row>
    <row r="135" spans="1:6">
      <c r="A135" s="149"/>
      <c r="B135" s="149"/>
      <c r="C135" s="464"/>
      <c r="D135" s="149"/>
      <c r="E135" s="149"/>
      <c r="F135" s="149"/>
    </row>
    <row r="136" spans="1:6">
      <c r="A136" s="149"/>
      <c r="B136" s="149"/>
      <c r="C136" s="464"/>
      <c r="D136" s="149"/>
      <c r="E136" s="149"/>
      <c r="F136" s="149"/>
    </row>
    <row r="137" spans="1:6">
      <c r="A137" s="149"/>
      <c r="B137" s="149"/>
      <c r="C137" s="464"/>
      <c r="D137" s="149"/>
      <c r="E137" s="149"/>
      <c r="F137" s="149"/>
    </row>
    <row r="138" spans="1:6">
      <c r="A138" s="149"/>
      <c r="B138" s="149"/>
      <c r="C138" s="464"/>
      <c r="D138" s="149"/>
      <c r="E138" s="149"/>
      <c r="F138" s="149"/>
    </row>
    <row r="139" spans="1:6">
      <c r="A139" s="149"/>
      <c r="B139" s="149"/>
      <c r="C139" s="464"/>
      <c r="D139" s="149"/>
      <c r="E139" s="149"/>
      <c r="F139" s="149"/>
    </row>
    <row r="140" spans="1:6">
      <c r="A140" s="149"/>
      <c r="B140" s="149"/>
      <c r="C140" s="464"/>
      <c r="D140" s="149"/>
      <c r="E140" s="149"/>
      <c r="F140" s="149"/>
    </row>
    <row r="141" spans="1:6">
      <c r="A141" s="149"/>
      <c r="B141" s="149"/>
      <c r="C141" s="464"/>
      <c r="D141" s="149"/>
      <c r="E141" s="149"/>
      <c r="F141" s="149"/>
    </row>
    <row r="142" spans="1:6">
      <c r="A142" s="149"/>
      <c r="B142" s="149"/>
      <c r="C142" s="464"/>
      <c r="D142" s="149"/>
      <c r="E142" s="149"/>
      <c r="F142" s="149"/>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B4539-FA1A-4687-A7DC-C99EF3B8A8B7}">
  <dimension ref="A1:N55"/>
  <sheetViews>
    <sheetView tabSelected="1" topLeftCell="A18" workbookViewId="0">
      <selection activeCell="A34" sqref="A34"/>
    </sheetView>
  </sheetViews>
  <sheetFormatPr defaultRowHeight="15"/>
  <cols>
    <col min="1" max="1" width="46.28515625" customWidth="1"/>
    <col min="2" max="3" width="20" customWidth="1"/>
    <col min="4" max="4" width="20.5703125" customWidth="1"/>
    <col min="5" max="5" width="21.5703125" customWidth="1"/>
    <col min="7" max="7" width="9.5703125" style="273" bestFit="1" customWidth="1"/>
    <col min="11" max="11" width="10.140625" bestFit="1" customWidth="1"/>
    <col min="12" max="12" width="10" style="273" customWidth="1"/>
    <col min="14" max="14" width="13.28515625" customWidth="1"/>
  </cols>
  <sheetData>
    <row r="1" spans="1:14">
      <c r="A1" s="629"/>
      <c r="B1" s="628"/>
      <c r="C1" s="685" t="s">
        <v>7628</v>
      </c>
      <c r="D1" s="628"/>
      <c r="E1" s="628"/>
      <c r="F1" s="596"/>
    </row>
    <row r="2" spans="1:14">
      <c r="A2" s="149" t="s">
        <v>13446</v>
      </c>
      <c r="B2" s="185" t="s">
        <v>7339</v>
      </c>
      <c r="C2" s="185" t="s">
        <v>13447</v>
      </c>
      <c r="D2" s="185" t="s">
        <v>13448</v>
      </c>
      <c r="E2" s="185" t="s">
        <v>13447</v>
      </c>
      <c r="F2" s="185" t="s">
        <v>9</v>
      </c>
    </row>
    <row r="3" spans="1:14">
      <c r="A3" s="187" t="s">
        <v>6398</v>
      </c>
      <c r="B3" s="205" t="s">
        <v>9454</v>
      </c>
      <c r="C3" s="205" t="s">
        <v>13449</v>
      </c>
      <c r="D3" s="205" t="s">
        <v>12313</v>
      </c>
      <c r="E3" s="205" t="s">
        <v>13450</v>
      </c>
      <c r="F3" s="205" t="s">
        <v>13451</v>
      </c>
      <c r="G3" s="273">
        <v>20</v>
      </c>
      <c r="K3" t="s">
        <v>7628</v>
      </c>
      <c r="L3" s="273">
        <f>SUM(G3)</f>
        <v>20</v>
      </c>
      <c r="N3" s="658">
        <f>SUM(L3:L15)</f>
        <v>315</v>
      </c>
    </row>
    <row r="4" spans="1:14">
      <c r="A4" s="630"/>
      <c r="B4" s="1"/>
      <c r="C4" s="686" t="s">
        <v>7634</v>
      </c>
      <c r="D4" s="1"/>
      <c r="E4" s="630"/>
      <c r="F4" s="1"/>
      <c r="K4" t="s">
        <v>7634</v>
      </c>
      <c r="L4" s="273">
        <f>SUM(G5:G7)</f>
        <v>55</v>
      </c>
    </row>
    <row r="5" spans="1:14">
      <c r="A5" s="187" t="s">
        <v>13452</v>
      </c>
      <c r="B5" s="199" t="s">
        <v>13453</v>
      </c>
      <c r="C5" s="199" t="s">
        <v>13449</v>
      </c>
      <c r="D5" s="199" t="s">
        <v>12313</v>
      </c>
      <c r="E5" s="502" t="s">
        <v>13450</v>
      </c>
      <c r="F5" s="199" t="s">
        <v>13451</v>
      </c>
      <c r="G5" s="273">
        <v>20</v>
      </c>
      <c r="K5" t="s">
        <v>7656</v>
      </c>
      <c r="L5" s="273">
        <f>SUM(G9:G10)</f>
        <v>25</v>
      </c>
    </row>
    <row r="6" spans="1:14">
      <c r="A6" s="149" t="s">
        <v>12777</v>
      </c>
      <c r="B6" s="185" t="s">
        <v>12313</v>
      </c>
      <c r="C6" s="185" t="s">
        <v>13454</v>
      </c>
      <c r="D6" s="185" t="s">
        <v>12330</v>
      </c>
      <c r="E6" s="185" t="s">
        <v>13455</v>
      </c>
      <c r="F6" s="185" t="s">
        <v>13451</v>
      </c>
      <c r="G6" s="273">
        <v>15</v>
      </c>
      <c r="K6" t="s">
        <v>7672</v>
      </c>
      <c r="L6" s="273">
        <f>SUM(G12:G13)</f>
        <v>30</v>
      </c>
    </row>
    <row r="7" spans="1:14">
      <c r="A7" s="186" t="s">
        <v>6782</v>
      </c>
      <c r="B7" s="502" t="s">
        <v>12313</v>
      </c>
      <c r="C7" s="199" t="s">
        <v>13449</v>
      </c>
      <c r="D7" s="199" t="s">
        <v>12330</v>
      </c>
      <c r="E7" s="502" t="s">
        <v>13450</v>
      </c>
      <c r="F7" s="502" t="s">
        <v>13451</v>
      </c>
      <c r="G7" s="273">
        <v>20</v>
      </c>
      <c r="K7" t="s">
        <v>7684</v>
      </c>
      <c r="L7" s="273">
        <f>SUM(G15)</f>
        <v>20</v>
      </c>
    </row>
    <row r="8" spans="1:14">
      <c r="A8" s="649"/>
      <c r="B8" s="649"/>
      <c r="C8" s="687" t="s">
        <v>7656</v>
      </c>
      <c r="D8" s="649"/>
      <c r="E8" s="649"/>
      <c r="F8" s="596"/>
      <c r="K8" t="s">
        <v>2715</v>
      </c>
      <c r="L8" s="273">
        <f>SUM(G17:G18)</f>
        <v>35</v>
      </c>
    </row>
    <row r="9" spans="1:14">
      <c r="A9" s="188" t="s">
        <v>13217</v>
      </c>
      <c r="B9" s="502" t="s">
        <v>12313</v>
      </c>
      <c r="C9" s="185" t="s">
        <v>13454</v>
      </c>
      <c r="D9" s="199" t="s">
        <v>12330</v>
      </c>
      <c r="E9" s="205" t="s">
        <v>13455</v>
      </c>
      <c r="F9" s="199" t="s">
        <v>13451</v>
      </c>
      <c r="G9" s="273">
        <v>15</v>
      </c>
      <c r="K9" t="s">
        <v>2738</v>
      </c>
      <c r="L9" s="273">
        <f>SUM(G20:G21)</f>
        <v>45</v>
      </c>
    </row>
    <row r="10" spans="1:14">
      <c r="A10" s="186" t="s">
        <v>6503</v>
      </c>
      <c r="B10" s="199" t="s">
        <v>12313</v>
      </c>
      <c r="C10" s="199" t="s">
        <v>13449</v>
      </c>
      <c r="D10" s="199" t="s">
        <v>12330</v>
      </c>
      <c r="E10" s="199" t="s">
        <v>13456</v>
      </c>
      <c r="F10" s="199" t="s">
        <v>13451</v>
      </c>
      <c r="G10" s="273">
        <v>10</v>
      </c>
      <c r="K10" t="s">
        <v>2755</v>
      </c>
      <c r="L10" s="273">
        <f>SUM(G23:G24)</f>
        <v>25</v>
      </c>
    </row>
    <row r="11" spans="1:14">
      <c r="A11" s="649"/>
      <c r="B11" s="649"/>
      <c r="C11" s="687" t="s">
        <v>7672</v>
      </c>
      <c r="D11" s="649"/>
      <c r="E11" s="649"/>
      <c r="F11" s="287"/>
      <c r="K11" t="s">
        <v>7720</v>
      </c>
    </row>
    <row r="12" spans="1:14">
      <c r="A12" s="188" t="s">
        <v>6862</v>
      </c>
      <c r="B12" s="502" t="s">
        <v>12313</v>
      </c>
      <c r="C12" s="502" t="s">
        <v>13457</v>
      </c>
      <c r="D12" s="502" t="s">
        <v>12315</v>
      </c>
      <c r="E12" s="502" t="s">
        <v>12372</v>
      </c>
      <c r="F12" s="502" t="s">
        <v>13451</v>
      </c>
      <c r="G12" s="273">
        <v>20</v>
      </c>
      <c r="K12" t="s">
        <v>7543</v>
      </c>
      <c r="L12" s="273">
        <f>SUM(G27:G28)</f>
        <v>40</v>
      </c>
    </row>
    <row r="13" spans="1:14">
      <c r="A13" s="186" t="s">
        <v>6770</v>
      </c>
      <c r="B13" s="199" t="s">
        <v>12315</v>
      </c>
      <c r="C13" s="199" t="s">
        <v>13458</v>
      </c>
      <c r="D13" s="199" t="s">
        <v>12334</v>
      </c>
      <c r="E13" s="199" t="s">
        <v>12372</v>
      </c>
      <c r="F13" s="185" t="s">
        <v>13451</v>
      </c>
      <c r="G13" s="273">
        <v>10</v>
      </c>
      <c r="K13" t="s">
        <v>4357</v>
      </c>
      <c r="L13" s="273">
        <f>SUM(G30:G31)</f>
        <v>20</v>
      </c>
    </row>
    <row r="14" spans="1:14">
      <c r="A14" s="649"/>
      <c r="B14" s="649"/>
      <c r="C14" s="692" t="s">
        <v>11012</v>
      </c>
      <c r="D14" s="649"/>
      <c r="E14" s="649"/>
      <c r="F14" s="696"/>
    </row>
    <row r="15" spans="1:14">
      <c r="A15" s="188" t="s">
        <v>6790</v>
      </c>
      <c r="B15" s="502" t="s">
        <v>12315</v>
      </c>
      <c r="C15" s="502" t="s">
        <v>13459</v>
      </c>
      <c r="D15" s="502" t="s">
        <v>12315</v>
      </c>
      <c r="E15" s="502" t="s">
        <v>13460</v>
      </c>
      <c r="F15" s="199" t="s">
        <v>13451</v>
      </c>
      <c r="G15" s="273">
        <v>20</v>
      </c>
      <c r="H15" t="s">
        <v>13461</v>
      </c>
    </row>
    <row r="16" spans="1:14">
      <c r="A16" s="649"/>
      <c r="B16" s="649"/>
      <c r="C16" s="692" t="s">
        <v>12438</v>
      </c>
      <c r="D16" s="649"/>
      <c r="E16" s="628"/>
      <c r="F16" s="287"/>
    </row>
    <row r="17" spans="1:8">
      <c r="A17" s="187" t="s">
        <v>12594</v>
      </c>
      <c r="B17" s="187" t="s">
        <v>12330</v>
      </c>
      <c r="C17" s="187" t="s">
        <v>13457</v>
      </c>
      <c r="D17" s="187" t="s">
        <v>12330</v>
      </c>
      <c r="E17" s="149" t="s">
        <v>12372</v>
      </c>
      <c r="F17" s="187" t="s">
        <v>13451</v>
      </c>
      <c r="G17" s="273">
        <v>20</v>
      </c>
      <c r="H17" t="s">
        <v>13462</v>
      </c>
    </row>
    <row r="18" spans="1:8">
      <c r="A18" s="186" t="s">
        <v>6661</v>
      </c>
      <c r="B18" s="186" t="s">
        <v>12315</v>
      </c>
      <c r="C18" s="186" t="s">
        <v>13459</v>
      </c>
      <c r="D18" s="186" t="s">
        <v>12315</v>
      </c>
      <c r="E18" s="186" t="s">
        <v>13463</v>
      </c>
      <c r="F18" s="186" t="s">
        <v>13451</v>
      </c>
      <c r="G18" s="273">
        <v>15</v>
      </c>
      <c r="H18" t="s">
        <v>13464</v>
      </c>
    </row>
    <row r="19" spans="1:8">
      <c r="A19" s="649"/>
      <c r="B19" s="649"/>
      <c r="C19" s="692" t="s">
        <v>2738</v>
      </c>
      <c r="D19" s="649"/>
      <c r="E19" s="649"/>
      <c r="F19" s="287"/>
    </row>
    <row r="20" spans="1:8">
      <c r="A20" s="187" t="s">
        <v>7131</v>
      </c>
      <c r="B20" s="187" t="s">
        <v>12330</v>
      </c>
      <c r="C20" s="187" t="s">
        <v>13465</v>
      </c>
      <c r="D20" s="187" t="s">
        <v>12315</v>
      </c>
      <c r="E20" s="187" t="s">
        <v>13466</v>
      </c>
      <c r="F20" s="187" t="s">
        <v>13451</v>
      </c>
      <c r="G20" s="273">
        <v>20</v>
      </c>
      <c r="H20" t="s">
        <v>13462</v>
      </c>
    </row>
    <row r="21" spans="1:8">
      <c r="A21" s="186" t="s">
        <v>6683</v>
      </c>
      <c r="B21" s="186" t="s">
        <v>12334</v>
      </c>
      <c r="C21" s="186" t="s">
        <v>13467</v>
      </c>
      <c r="D21" s="186" t="s">
        <v>12396</v>
      </c>
      <c r="E21" s="186" t="s">
        <v>13468</v>
      </c>
      <c r="F21" s="186" t="s">
        <v>13451</v>
      </c>
      <c r="G21" s="273">
        <v>25</v>
      </c>
      <c r="H21" t="s">
        <v>13462</v>
      </c>
    </row>
    <row r="22" spans="1:8">
      <c r="A22" s="649"/>
      <c r="B22" s="649"/>
      <c r="C22" s="692" t="s">
        <v>12440</v>
      </c>
      <c r="D22" s="649"/>
      <c r="E22" s="649"/>
      <c r="F22" s="287"/>
    </row>
    <row r="23" spans="1:8">
      <c r="A23" s="187" t="s">
        <v>6392</v>
      </c>
      <c r="B23" s="187" t="s">
        <v>12315</v>
      </c>
      <c r="C23" s="187" t="s">
        <v>13459</v>
      </c>
      <c r="D23" s="187" t="s">
        <v>12315</v>
      </c>
      <c r="E23" s="187" t="s">
        <v>13469</v>
      </c>
      <c r="F23" s="187" t="s">
        <v>13451</v>
      </c>
      <c r="G23" s="273">
        <v>15</v>
      </c>
      <c r="H23" t="s">
        <v>13462</v>
      </c>
    </row>
    <row r="24" spans="1:8">
      <c r="A24" s="186" t="s">
        <v>6885</v>
      </c>
      <c r="B24" s="186" t="s">
        <v>12330</v>
      </c>
      <c r="C24" s="186" t="s">
        <v>13470</v>
      </c>
      <c r="D24" s="186" t="s">
        <v>12330</v>
      </c>
      <c r="E24" s="186" t="s">
        <v>13471</v>
      </c>
      <c r="F24" s="186" t="s">
        <v>13451</v>
      </c>
      <c r="G24" s="273">
        <v>10</v>
      </c>
      <c r="H24" t="s">
        <v>13464</v>
      </c>
    </row>
    <row r="25" spans="1:8">
      <c r="A25" s="628"/>
      <c r="B25" s="628"/>
      <c r="C25" s="751" t="s">
        <v>10040</v>
      </c>
      <c r="D25" s="628"/>
      <c r="E25" s="628"/>
      <c r="F25" s="596"/>
    </row>
    <row r="26" spans="1:8">
      <c r="A26" s="649"/>
      <c r="B26" s="649"/>
      <c r="C26" s="752" t="s">
        <v>13073</v>
      </c>
      <c r="D26" s="649"/>
      <c r="E26" s="649"/>
      <c r="F26" s="287"/>
    </row>
    <row r="27" spans="1:8">
      <c r="A27" s="187" t="s">
        <v>6716</v>
      </c>
      <c r="B27" s="187" t="s">
        <v>12313</v>
      </c>
      <c r="C27" s="187" t="s">
        <v>13472</v>
      </c>
      <c r="D27" s="187" t="s">
        <v>12315</v>
      </c>
      <c r="E27" s="187" t="s">
        <v>13471</v>
      </c>
      <c r="F27" s="187" t="s">
        <v>13451</v>
      </c>
      <c r="G27" s="273">
        <v>20</v>
      </c>
      <c r="H27" t="s">
        <v>13462</v>
      </c>
    </row>
    <row r="28" spans="1:8">
      <c r="A28" s="149" t="s">
        <v>13473</v>
      </c>
      <c r="B28" s="149" t="s">
        <v>12313</v>
      </c>
      <c r="C28" s="149" t="s">
        <v>13472</v>
      </c>
      <c r="D28" s="149" t="s">
        <v>13474</v>
      </c>
      <c r="E28" s="149" t="s">
        <v>13471</v>
      </c>
      <c r="F28" s="149" t="s">
        <v>13451</v>
      </c>
      <c r="G28" s="273">
        <v>20</v>
      </c>
      <c r="H28" t="s">
        <v>13461</v>
      </c>
    </row>
    <row r="29" spans="1:8">
      <c r="A29" s="108"/>
      <c r="B29" s="108"/>
      <c r="C29" s="777" t="s">
        <v>4357</v>
      </c>
      <c r="D29" s="108"/>
      <c r="E29" s="108"/>
      <c r="F29" s="108"/>
    </row>
    <row r="30" spans="1:8">
      <c r="A30" s="149" t="s">
        <v>13093</v>
      </c>
      <c r="B30" s="149" t="s">
        <v>12313</v>
      </c>
      <c r="C30" s="149" t="s">
        <v>13472</v>
      </c>
      <c r="D30" s="149" t="s">
        <v>12315</v>
      </c>
      <c r="E30" s="149" t="s">
        <v>13450</v>
      </c>
      <c r="F30" s="149" t="s">
        <v>13451</v>
      </c>
      <c r="G30" s="273">
        <v>20</v>
      </c>
      <c r="H30" t="s">
        <v>13462</v>
      </c>
    </row>
    <row r="31" spans="1:8">
      <c r="A31" s="149" t="s">
        <v>13007</v>
      </c>
      <c r="B31" s="149" t="s">
        <v>12330</v>
      </c>
      <c r="C31" s="149" t="s">
        <v>13475</v>
      </c>
      <c r="D31" s="149" t="s">
        <v>12315</v>
      </c>
      <c r="E31" s="149" t="s">
        <v>13450</v>
      </c>
      <c r="F31" s="149" t="s">
        <v>13451</v>
      </c>
      <c r="G31" s="273" t="s">
        <v>13476</v>
      </c>
      <c r="H31" t="s">
        <v>13462</v>
      </c>
    </row>
    <row r="32" spans="1:8">
      <c r="A32" s="149" t="s">
        <v>7044</v>
      </c>
      <c r="B32" s="149" t="s">
        <v>12313</v>
      </c>
      <c r="C32" s="149" t="s">
        <v>13472</v>
      </c>
      <c r="D32" s="149" t="s">
        <v>13474</v>
      </c>
      <c r="E32" s="149" t="s">
        <v>13450</v>
      </c>
      <c r="F32" s="149" t="s">
        <v>13451</v>
      </c>
      <c r="G32" s="273" t="s">
        <v>13477</v>
      </c>
      <c r="H32" t="s">
        <v>13461</v>
      </c>
    </row>
    <row r="33" spans="1:6">
      <c r="A33" s="108"/>
      <c r="B33" s="108"/>
      <c r="C33" s="777" t="s">
        <v>10871</v>
      </c>
      <c r="D33" s="108"/>
      <c r="E33" s="108"/>
      <c r="F33" s="108"/>
    </row>
    <row r="34" spans="1:6">
      <c r="A34" s="149"/>
      <c r="B34" s="149"/>
      <c r="C34" s="149"/>
      <c r="D34" s="149"/>
      <c r="E34" s="149"/>
      <c r="F34" s="149"/>
    </row>
    <row r="35" spans="1:6">
      <c r="A35" s="149"/>
      <c r="B35" s="149"/>
      <c r="C35" s="149"/>
      <c r="D35" s="149"/>
      <c r="E35" s="149"/>
      <c r="F35" s="149"/>
    </row>
    <row r="36" spans="1:6">
      <c r="A36" s="186"/>
      <c r="B36" s="186"/>
      <c r="C36" s="186"/>
      <c r="D36" s="186"/>
      <c r="E36" s="186"/>
      <c r="F36" s="186"/>
    </row>
    <row r="37" spans="1:6">
      <c r="A37" s="149"/>
      <c r="B37" s="149"/>
      <c r="C37" s="149"/>
      <c r="D37" s="149"/>
      <c r="E37" s="149"/>
      <c r="F37" s="149"/>
    </row>
    <row r="38" spans="1:6">
      <c r="A38" s="149"/>
      <c r="B38" s="149"/>
      <c r="C38" s="149"/>
      <c r="D38" s="149"/>
      <c r="E38" s="149"/>
      <c r="F38" s="149"/>
    </row>
    <row r="39" spans="1:6">
      <c r="A39" s="149"/>
      <c r="B39" s="149"/>
      <c r="C39" s="149"/>
      <c r="D39" s="149"/>
      <c r="E39" s="149"/>
      <c r="F39" s="149"/>
    </row>
    <row r="40" spans="1:6">
      <c r="A40" s="149"/>
      <c r="B40" s="149"/>
      <c r="C40" s="149"/>
      <c r="D40" s="149"/>
      <c r="E40" s="149"/>
      <c r="F40" s="149"/>
    </row>
    <row r="41" spans="1:6">
      <c r="A41" s="149"/>
      <c r="B41" s="149"/>
      <c r="C41" s="149"/>
      <c r="D41" s="149"/>
      <c r="E41" s="149"/>
      <c r="F41" s="149"/>
    </row>
    <row r="42" spans="1:6">
      <c r="A42" s="149"/>
      <c r="B42" s="149"/>
      <c r="C42" s="149"/>
      <c r="D42" s="149"/>
      <c r="E42" s="149"/>
      <c r="F42" s="149"/>
    </row>
    <row r="43" spans="1:6">
      <c r="A43" s="149"/>
      <c r="B43" s="149"/>
      <c r="C43" s="149"/>
      <c r="D43" s="149"/>
      <c r="E43" s="149"/>
      <c r="F43" s="149"/>
    </row>
    <row r="44" spans="1:6">
      <c r="A44" s="149"/>
      <c r="B44" s="149"/>
      <c r="C44" s="149"/>
      <c r="D44" s="149"/>
      <c r="E44" s="149"/>
      <c r="F44" s="149"/>
    </row>
    <row r="45" spans="1:6">
      <c r="A45" s="149"/>
      <c r="B45" s="149"/>
      <c r="C45" s="149"/>
      <c r="D45" s="149"/>
      <c r="E45" s="149"/>
      <c r="F45" s="149"/>
    </row>
    <row r="46" spans="1:6">
      <c r="A46" s="149"/>
      <c r="B46" s="149"/>
      <c r="C46" s="149"/>
      <c r="D46" s="149"/>
      <c r="E46" s="149"/>
      <c r="F46" s="149"/>
    </row>
    <row r="47" spans="1:6">
      <c r="A47" s="149"/>
      <c r="B47" s="149"/>
      <c r="C47" s="149"/>
      <c r="D47" s="149"/>
      <c r="E47" s="149"/>
      <c r="F47" s="149"/>
    </row>
    <row r="48" spans="1:6">
      <c r="A48" s="149"/>
      <c r="B48" s="149"/>
      <c r="C48" s="149"/>
      <c r="D48" s="149"/>
      <c r="E48" s="149"/>
      <c r="F48" s="149"/>
    </row>
    <row r="49" spans="1:6">
      <c r="A49" s="149"/>
      <c r="B49" s="149"/>
      <c r="C49" s="149"/>
      <c r="D49" s="149"/>
      <c r="E49" s="149"/>
      <c r="F49" s="149"/>
    </row>
    <row r="50" spans="1:6">
      <c r="A50" s="149"/>
      <c r="B50" s="149"/>
      <c r="C50" s="149"/>
      <c r="D50" s="149"/>
      <c r="E50" s="149"/>
      <c r="F50" s="149"/>
    </row>
    <row r="51" spans="1:6">
      <c r="A51" s="149"/>
      <c r="B51" s="149"/>
      <c r="C51" s="149"/>
      <c r="D51" s="149"/>
      <c r="E51" s="149"/>
      <c r="F51" s="149"/>
    </row>
    <row r="52" spans="1:6">
      <c r="A52" s="149"/>
      <c r="B52" s="149"/>
      <c r="C52" s="149"/>
      <c r="D52" s="149"/>
      <c r="E52" s="149"/>
      <c r="F52" s="149"/>
    </row>
    <row r="53" spans="1:6">
      <c r="A53" s="149"/>
      <c r="B53" s="149"/>
      <c r="C53" s="149"/>
      <c r="D53" s="149"/>
      <c r="E53" s="149"/>
      <c r="F53" s="149"/>
    </row>
    <row r="54" spans="1:6">
      <c r="A54" s="149"/>
      <c r="B54" s="149"/>
      <c r="C54" s="149"/>
      <c r="D54" s="149"/>
      <c r="E54" s="149"/>
      <c r="F54" s="149"/>
    </row>
    <row r="55" spans="1:6">
      <c r="A55" s="149"/>
      <c r="B55" s="149"/>
      <c r="C55" s="149"/>
      <c r="D55" s="149"/>
      <c r="E55" s="149"/>
      <c r="F55" s="149"/>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60497-7BF5-4E8B-ACC1-94B3AE14E37A}">
  <dimension ref="A1:E121"/>
  <sheetViews>
    <sheetView topLeftCell="A41" workbookViewId="0">
      <selection activeCell="A66" sqref="A66"/>
    </sheetView>
  </sheetViews>
  <sheetFormatPr defaultRowHeight="15"/>
  <cols>
    <col min="1" max="1" width="50.42578125" customWidth="1"/>
    <col min="2" max="2" width="29" bestFit="1" customWidth="1"/>
    <col min="3" max="3" width="31.5703125" customWidth="1"/>
  </cols>
  <sheetData>
    <row r="1" spans="1:3">
      <c r="A1" s="784" t="s">
        <v>13478</v>
      </c>
      <c r="B1" s="777" t="s">
        <v>12305</v>
      </c>
      <c r="C1" s="777" t="s">
        <v>13479</v>
      </c>
    </row>
    <row r="2" spans="1:3">
      <c r="A2" s="59" t="s">
        <v>12719</v>
      </c>
      <c r="B2" s="149" t="s">
        <v>13480</v>
      </c>
      <c r="C2" s="59" t="s">
        <v>8929</v>
      </c>
    </row>
    <row r="3" spans="1:3">
      <c r="A3" s="59" t="s">
        <v>6643</v>
      </c>
      <c r="B3" s="149" t="s">
        <v>13480</v>
      </c>
      <c r="C3" s="59" t="s">
        <v>8929</v>
      </c>
    </row>
    <row r="4" spans="1:3">
      <c r="A4" s="59" t="s">
        <v>12713</v>
      </c>
      <c r="B4" s="149" t="s">
        <v>13480</v>
      </c>
      <c r="C4" s="59" t="s">
        <v>10534</v>
      </c>
    </row>
    <row r="5" spans="1:3">
      <c r="A5" s="786" t="s">
        <v>6635</v>
      </c>
      <c r="B5" s="785" t="s">
        <v>13480</v>
      </c>
      <c r="C5" s="59" t="s">
        <v>10534</v>
      </c>
    </row>
    <row r="6" spans="1:3">
      <c r="A6" s="149" t="s">
        <v>12706</v>
      </c>
      <c r="B6" s="149" t="s">
        <v>13480</v>
      </c>
      <c r="C6" s="149" t="s">
        <v>10534</v>
      </c>
    </row>
    <row r="7" spans="1:3">
      <c r="A7" s="149" t="s">
        <v>6631</v>
      </c>
      <c r="B7" s="149" t="s">
        <v>13480</v>
      </c>
      <c r="C7" s="149" t="s">
        <v>10534</v>
      </c>
    </row>
    <row r="8" spans="1:3">
      <c r="A8" s="149" t="s">
        <v>6623</v>
      </c>
      <c r="B8" s="149" t="s">
        <v>13480</v>
      </c>
      <c r="C8" s="149" t="s">
        <v>10534</v>
      </c>
    </row>
    <row r="9" spans="1:3">
      <c r="A9" s="149" t="s">
        <v>6617</v>
      </c>
      <c r="B9" s="149" t="s">
        <v>13480</v>
      </c>
      <c r="C9" s="149" t="s">
        <v>10534</v>
      </c>
    </row>
    <row r="10" spans="1:3">
      <c r="A10" s="149" t="s">
        <v>6616</v>
      </c>
      <c r="B10" s="149" t="s">
        <v>13480</v>
      </c>
      <c r="C10" s="149" t="s">
        <v>10534</v>
      </c>
    </row>
    <row r="11" spans="1:3">
      <c r="A11" s="108" t="s">
        <v>6614</v>
      </c>
      <c r="B11" s="108" t="s">
        <v>13480</v>
      </c>
      <c r="C11" s="108" t="s">
        <v>13481</v>
      </c>
    </row>
    <row r="12" spans="1:3">
      <c r="A12" s="108" t="s">
        <v>6606</v>
      </c>
      <c r="B12" s="108" t="s">
        <v>13480</v>
      </c>
      <c r="C12" s="108" t="s">
        <v>13482</v>
      </c>
    </row>
    <row r="13" spans="1:3">
      <c r="A13" s="149" t="s">
        <v>6590</v>
      </c>
      <c r="B13" s="149" t="s">
        <v>13480</v>
      </c>
      <c r="C13" s="149" t="s">
        <v>10534</v>
      </c>
    </row>
    <row r="14" spans="1:3">
      <c r="A14" s="149" t="s">
        <v>6588</v>
      </c>
      <c r="B14" s="149" t="s">
        <v>13480</v>
      </c>
      <c r="C14" s="149" t="s">
        <v>10534</v>
      </c>
    </row>
    <row r="15" spans="1:3">
      <c r="A15" s="149" t="s">
        <v>6577</v>
      </c>
      <c r="B15" s="149" t="s">
        <v>13480</v>
      </c>
      <c r="C15" s="149" t="s">
        <v>10534</v>
      </c>
    </row>
    <row r="16" spans="1:3">
      <c r="A16" s="108" t="s">
        <v>6485</v>
      </c>
      <c r="B16" s="108" t="s">
        <v>13480</v>
      </c>
      <c r="C16" s="108" t="s">
        <v>13483</v>
      </c>
    </row>
    <row r="17" spans="1:3">
      <c r="A17" s="149" t="s">
        <v>12449</v>
      </c>
      <c r="B17" s="149" t="s">
        <v>13480</v>
      </c>
      <c r="C17" s="149" t="s">
        <v>10534</v>
      </c>
    </row>
    <row r="18" spans="1:3">
      <c r="A18" s="186" t="s">
        <v>6372</v>
      </c>
      <c r="B18" s="186" t="s">
        <v>13480</v>
      </c>
      <c r="C18" s="186" t="s">
        <v>10534</v>
      </c>
    </row>
    <row r="19" spans="1:3">
      <c r="A19" s="767" t="s">
        <v>13140</v>
      </c>
      <c r="B19" s="767" t="s">
        <v>13484</v>
      </c>
      <c r="C19" s="767" t="s">
        <v>8929</v>
      </c>
    </row>
    <row r="20" spans="1:3">
      <c r="A20" s="789" t="s">
        <v>13485</v>
      </c>
      <c r="B20" s="789" t="s">
        <v>13484</v>
      </c>
      <c r="C20" s="789" t="s">
        <v>13486</v>
      </c>
    </row>
    <row r="21" spans="1:3">
      <c r="A21" s="767" t="s">
        <v>13133</v>
      </c>
      <c r="B21" s="767" t="s">
        <v>13484</v>
      </c>
      <c r="C21" s="767" t="s">
        <v>10534</v>
      </c>
    </row>
    <row r="22" spans="1:3">
      <c r="A22" s="767" t="s">
        <v>13130</v>
      </c>
      <c r="B22" s="767" t="s">
        <v>13484</v>
      </c>
      <c r="C22" s="767" t="s">
        <v>10534</v>
      </c>
    </row>
    <row r="23" spans="1:3">
      <c r="A23" s="767" t="s">
        <v>6689</v>
      </c>
      <c r="B23" s="767" t="s">
        <v>13484</v>
      </c>
      <c r="C23" s="767" t="s">
        <v>10534</v>
      </c>
    </row>
    <row r="24" spans="1:3">
      <c r="A24" s="789" t="s">
        <v>13487</v>
      </c>
      <c r="B24" s="789" t="s">
        <v>13484</v>
      </c>
      <c r="C24" s="789" t="s">
        <v>13488</v>
      </c>
    </row>
    <row r="25" spans="1:3">
      <c r="A25" s="767" t="s">
        <v>13427</v>
      </c>
      <c r="B25" s="767" t="s">
        <v>13484</v>
      </c>
      <c r="C25" s="767" t="s">
        <v>10534</v>
      </c>
    </row>
    <row r="26" spans="1:3">
      <c r="A26" s="767" t="s">
        <v>13112</v>
      </c>
      <c r="B26" s="767" t="s">
        <v>13484</v>
      </c>
      <c r="C26" s="767" t="s">
        <v>10534</v>
      </c>
    </row>
    <row r="27" spans="1:3">
      <c r="A27" s="767" t="s">
        <v>13489</v>
      </c>
      <c r="B27" s="767" t="s">
        <v>13484</v>
      </c>
      <c r="C27" s="767" t="s">
        <v>10534</v>
      </c>
    </row>
    <row r="28" spans="1:3">
      <c r="A28" s="767" t="s">
        <v>13088</v>
      </c>
      <c r="B28" s="767" t="s">
        <v>13484</v>
      </c>
      <c r="C28" s="767" t="s">
        <v>10534</v>
      </c>
    </row>
    <row r="29" spans="1:3">
      <c r="A29" s="767" t="s">
        <v>13490</v>
      </c>
      <c r="B29" s="767" t="s">
        <v>13484</v>
      </c>
      <c r="C29" s="767" t="s">
        <v>10534</v>
      </c>
    </row>
    <row r="30" spans="1:3">
      <c r="A30" s="767" t="s">
        <v>7334</v>
      </c>
      <c r="B30" s="767" t="s">
        <v>13484</v>
      </c>
      <c r="C30" s="767" t="s">
        <v>10534</v>
      </c>
    </row>
    <row r="31" spans="1:3">
      <c r="A31" s="767" t="s">
        <v>7332</v>
      </c>
      <c r="B31" s="767" t="s">
        <v>13484</v>
      </c>
      <c r="C31" s="767" t="s">
        <v>10534</v>
      </c>
    </row>
    <row r="32" spans="1:3">
      <c r="A32" s="767" t="s">
        <v>7330</v>
      </c>
      <c r="B32" s="767" t="s">
        <v>13484</v>
      </c>
      <c r="C32" s="767" t="s">
        <v>10534</v>
      </c>
    </row>
    <row r="33" spans="1:3">
      <c r="A33" s="767" t="s">
        <v>7018</v>
      </c>
      <c r="B33" s="767" t="s">
        <v>13484</v>
      </c>
      <c r="C33" s="767" t="s">
        <v>10534</v>
      </c>
    </row>
    <row r="34" spans="1:3">
      <c r="A34" s="767" t="s">
        <v>7299</v>
      </c>
      <c r="B34" s="767" t="s">
        <v>13484</v>
      </c>
      <c r="C34" s="767" t="s">
        <v>10534</v>
      </c>
    </row>
    <row r="35" spans="1:3">
      <c r="A35" s="767" t="s">
        <v>7297</v>
      </c>
      <c r="B35" s="767" t="s">
        <v>13484</v>
      </c>
      <c r="C35" s="767" t="s">
        <v>10534</v>
      </c>
    </row>
    <row r="36" spans="1:3">
      <c r="A36" s="767" t="s">
        <v>7295</v>
      </c>
      <c r="B36" s="767" t="s">
        <v>13484</v>
      </c>
      <c r="C36" s="767" t="s">
        <v>10534</v>
      </c>
    </row>
    <row r="37" spans="1:3">
      <c r="A37" s="767" t="s">
        <v>7244</v>
      </c>
      <c r="B37" s="767" t="s">
        <v>13484</v>
      </c>
      <c r="C37" s="767" t="s">
        <v>10534</v>
      </c>
    </row>
    <row r="38" spans="1:3">
      <c r="A38" s="767" t="s">
        <v>7254</v>
      </c>
      <c r="B38" s="767" t="s">
        <v>13484</v>
      </c>
      <c r="C38" s="767" t="s">
        <v>10534</v>
      </c>
    </row>
    <row r="39" spans="1:3">
      <c r="A39" s="767" t="s">
        <v>7242</v>
      </c>
      <c r="B39" s="767" t="s">
        <v>13484</v>
      </c>
      <c r="C39" s="767" t="s">
        <v>10534</v>
      </c>
    </row>
    <row r="40" spans="1:3">
      <c r="A40" s="767" t="s">
        <v>7236</v>
      </c>
      <c r="B40" s="767" t="s">
        <v>13484</v>
      </c>
      <c r="C40" s="767" t="s">
        <v>10534</v>
      </c>
    </row>
    <row r="41" spans="1:3">
      <c r="A41" s="767" t="s">
        <v>7232</v>
      </c>
      <c r="B41" s="767" t="s">
        <v>13484</v>
      </c>
      <c r="C41" s="767" t="s">
        <v>10534</v>
      </c>
    </row>
    <row r="42" spans="1:3">
      <c r="A42" s="767" t="s">
        <v>6362</v>
      </c>
      <c r="B42" s="767" t="s">
        <v>13484</v>
      </c>
      <c r="C42" s="767" t="s">
        <v>10534</v>
      </c>
    </row>
    <row r="43" spans="1:3">
      <c r="A43" s="789" t="s">
        <v>7214</v>
      </c>
      <c r="B43" s="789" t="s">
        <v>13484</v>
      </c>
      <c r="C43" s="789" t="s">
        <v>13482</v>
      </c>
    </row>
    <row r="44" spans="1:3">
      <c r="A44" s="789" t="s">
        <v>7212</v>
      </c>
      <c r="B44" s="789" t="s">
        <v>13484</v>
      </c>
      <c r="C44" s="789" t="s">
        <v>13482</v>
      </c>
    </row>
    <row r="45" spans="1:3">
      <c r="A45" s="767" t="s">
        <v>7207</v>
      </c>
      <c r="B45" s="767" t="s">
        <v>13484</v>
      </c>
      <c r="C45" s="767" t="s">
        <v>10534</v>
      </c>
    </row>
    <row r="46" spans="1:3">
      <c r="A46" s="767" t="s">
        <v>7205</v>
      </c>
      <c r="B46" s="767" t="s">
        <v>13484</v>
      </c>
      <c r="C46" s="767" t="s">
        <v>10534</v>
      </c>
    </row>
    <row r="47" spans="1:3">
      <c r="A47" s="767" t="s">
        <v>7199</v>
      </c>
      <c r="B47" s="767" t="s">
        <v>13484</v>
      </c>
      <c r="C47" s="767" t="s">
        <v>10534</v>
      </c>
    </row>
    <row r="48" spans="1:3">
      <c r="A48" s="767" t="s">
        <v>7197</v>
      </c>
      <c r="B48" s="767" t="s">
        <v>13484</v>
      </c>
      <c r="C48" s="767" t="s">
        <v>10534</v>
      </c>
    </row>
    <row r="49" spans="1:3">
      <c r="A49" s="789" t="s">
        <v>7163</v>
      </c>
      <c r="B49" s="789" t="s">
        <v>13484</v>
      </c>
      <c r="C49" s="789" t="s">
        <v>13482</v>
      </c>
    </row>
    <row r="50" spans="1:3">
      <c r="A50" s="789" t="s">
        <v>7161</v>
      </c>
      <c r="B50" s="789" t="s">
        <v>13484</v>
      </c>
      <c r="C50" s="789" t="s">
        <v>13482</v>
      </c>
    </row>
    <row r="51" spans="1:3">
      <c r="A51" s="789" t="s">
        <v>7161</v>
      </c>
      <c r="B51" s="789" t="s">
        <v>13484</v>
      </c>
      <c r="C51" s="789" t="s">
        <v>13482</v>
      </c>
    </row>
    <row r="52" spans="1:3">
      <c r="A52" s="767" t="s">
        <v>7153</v>
      </c>
      <c r="B52" s="767" t="s">
        <v>13484</v>
      </c>
      <c r="C52" s="767" t="s">
        <v>10534</v>
      </c>
    </row>
    <row r="53" spans="1:3">
      <c r="A53" s="789" t="s">
        <v>7151</v>
      </c>
      <c r="B53" s="789" t="s">
        <v>13484</v>
      </c>
      <c r="C53" s="789" t="s">
        <v>13482</v>
      </c>
    </row>
    <row r="54" spans="1:3">
      <c r="A54" s="767" t="s">
        <v>7147</v>
      </c>
      <c r="B54" s="767" t="s">
        <v>13484</v>
      </c>
      <c r="C54" s="767" t="s">
        <v>10534</v>
      </c>
    </row>
    <row r="55" spans="1:3">
      <c r="A55" s="767" t="s">
        <v>7129</v>
      </c>
      <c r="B55" s="767" t="s">
        <v>13484</v>
      </c>
      <c r="C55" s="767" t="s">
        <v>10534</v>
      </c>
    </row>
    <row r="56" spans="1:3">
      <c r="A56" s="767" t="s">
        <v>7092</v>
      </c>
      <c r="B56" s="767" t="s">
        <v>13484</v>
      </c>
      <c r="C56" s="767" t="s">
        <v>10534</v>
      </c>
    </row>
    <row r="57" spans="1:3">
      <c r="A57" s="767" t="s">
        <v>7074</v>
      </c>
      <c r="B57" s="767" t="s">
        <v>13484</v>
      </c>
      <c r="C57" s="767" t="s">
        <v>10534</v>
      </c>
    </row>
    <row r="58" spans="1:3">
      <c r="A58" s="767" t="s">
        <v>7032</v>
      </c>
      <c r="B58" s="767" t="s">
        <v>13484</v>
      </c>
      <c r="C58" s="767" t="s">
        <v>10534</v>
      </c>
    </row>
    <row r="59" spans="1:3">
      <c r="A59" s="767" t="s">
        <v>7024</v>
      </c>
      <c r="B59" s="767" t="s">
        <v>13484</v>
      </c>
      <c r="C59" s="767" t="s">
        <v>10534</v>
      </c>
    </row>
    <row r="60" spans="1:3">
      <c r="A60" s="767" t="s">
        <v>7014</v>
      </c>
      <c r="B60" s="767" t="s">
        <v>13484</v>
      </c>
      <c r="C60" s="767" t="s">
        <v>10534</v>
      </c>
    </row>
    <row r="61" spans="1:3">
      <c r="A61" s="767" t="s">
        <v>6994</v>
      </c>
      <c r="B61" s="767" t="s">
        <v>13484</v>
      </c>
      <c r="C61" s="767" t="s">
        <v>10534</v>
      </c>
    </row>
    <row r="62" spans="1:3">
      <c r="A62" s="767" t="s">
        <v>6976</v>
      </c>
      <c r="B62" s="767" t="s">
        <v>13484</v>
      </c>
      <c r="C62" s="767" t="s">
        <v>10534</v>
      </c>
    </row>
    <row r="63" spans="1:3">
      <c r="A63" s="767" t="s">
        <v>6970</v>
      </c>
      <c r="B63" s="767" t="s">
        <v>13484</v>
      </c>
      <c r="C63" s="767" t="s">
        <v>10534</v>
      </c>
    </row>
    <row r="64" spans="1:3">
      <c r="A64" s="767" t="s">
        <v>6954</v>
      </c>
      <c r="B64" s="767" t="s">
        <v>13484</v>
      </c>
      <c r="C64" s="767" t="s">
        <v>10534</v>
      </c>
    </row>
    <row r="65" spans="1:3">
      <c r="A65" s="767" t="s">
        <v>6944</v>
      </c>
      <c r="B65" s="767" t="s">
        <v>13484</v>
      </c>
      <c r="C65" s="767" t="s">
        <v>10534</v>
      </c>
    </row>
    <row r="66" spans="1:3">
      <c r="A66" s="789" t="s">
        <v>6942</v>
      </c>
      <c r="B66" s="789" t="s">
        <v>13484</v>
      </c>
      <c r="C66" s="789" t="s">
        <v>13491</v>
      </c>
    </row>
    <row r="67" spans="1:3">
      <c r="A67" s="767" t="s">
        <v>6923</v>
      </c>
      <c r="B67" s="767" t="s">
        <v>13484</v>
      </c>
      <c r="C67" s="767" t="s">
        <v>10534</v>
      </c>
    </row>
    <row r="68" spans="1:3">
      <c r="A68" s="767" t="s">
        <v>6919</v>
      </c>
      <c r="B68" s="767" t="s">
        <v>13484</v>
      </c>
      <c r="C68" s="767" t="s">
        <v>10534</v>
      </c>
    </row>
    <row r="69" spans="1:3">
      <c r="A69" s="767" t="s">
        <v>6907</v>
      </c>
      <c r="B69" s="767" t="s">
        <v>13484</v>
      </c>
      <c r="C69" s="767" t="s">
        <v>10534</v>
      </c>
    </row>
    <row r="70" spans="1:3">
      <c r="A70" s="767" t="s">
        <v>6903</v>
      </c>
      <c r="B70" s="767" t="s">
        <v>13484</v>
      </c>
      <c r="C70" s="767" t="s">
        <v>10534</v>
      </c>
    </row>
    <row r="71" spans="1:3">
      <c r="A71" s="767" t="s">
        <v>6897</v>
      </c>
      <c r="B71" s="767" t="s">
        <v>13484</v>
      </c>
      <c r="C71" s="767" t="s">
        <v>10534</v>
      </c>
    </row>
    <row r="72" spans="1:3">
      <c r="A72" s="767" t="s">
        <v>6889</v>
      </c>
      <c r="B72" s="767" t="s">
        <v>13484</v>
      </c>
      <c r="C72" s="767" t="s">
        <v>10534</v>
      </c>
    </row>
    <row r="73" spans="1:3">
      <c r="A73" s="767" t="s">
        <v>6505</v>
      </c>
      <c r="B73" s="767" t="s">
        <v>13484</v>
      </c>
      <c r="C73" s="767" t="s">
        <v>10534</v>
      </c>
    </row>
    <row r="74" spans="1:3">
      <c r="A74" s="767" t="s">
        <v>6848</v>
      </c>
      <c r="B74" s="767" t="s">
        <v>13484</v>
      </c>
      <c r="C74" s="767" t="s">
        <v>10534</v>
      </c>
    </row>
    <row r="75" spans="1:3">
      <c r="A75" s="767" t="s">
        <v>6844</v>
      </c>
      <c r="B75" s="767" t="s">
        <v>13484</v>
      </c>
      <c r="C75" s="767" t="s">
        <v>10534</v>
      </c>
    </row>
    <row r="76" spans="1:3">
      <c r="A76" s="767" t="s">
        <v>6842</v>
      </c>
      <c r="B76" s="767" t="s">
        <v>13484</v>
      </c>
      <c r="C76" s="767" t="s">
        <v>10534</v>
      </c>
    </row>
    <row r="77" spans="1:3">
      <c r="A77" s="767" t="s">
        <v>6840</v>
      </c>
      <c r="B77" s="767" t="s">
        <v>13484</v>
      </c>
      <c r="C77" s="767" t="s">
        <v>10534</v>
      </c>
    </row>
    <row r="78" spans="1:3">
      <c r="A78" s="767" t="s">
        <v>6838</v>
      </c>
      <c r="B78" s="767" t="s">
        <v>13484</v>
      </c>
      <c r="C78" s="767" t="s">
        <v>10534</v>
      </c>
    </row>
    <row r="79" spans="1:3">
      <c r="A79" s="767" t="s">
        <v>6821</v>
      </c>
      <c r="B79" s="767" t="s">
        <v>13484</v>
      </c>
      <c r="C79" s="767" t="s">
        <v>10534</v>
      </c>
    </row>
    <row r="80" spans="1:3">
      <c r="A80" s="767" t="s">
        <v>6817</v>
      </c>
      <c r="B80" s="767" t="s">
        <v>13484</v>
      </c>
      <c r="C80" s="767" t="s">
        <v>10534</v>
      </c>
    </row>
    <row r="81" spans="1:5">
      <c r="A81" s="767" t="s">
        <v>6815</v>
      </c>
      <c r="B81" s="767" t="s">
        <v>13484</v>
      </c>
      <c r="C81" s="767" t="s">
        <v>10534</v>
      </c>
    </row>
    <row r="82" spans="1:5">
      <c r="A82" s="767" t="s">
        <v>6813</v>
      </c>
      <c r="B82" s="767" t="s">
        <v>13484</v>
      </c>
      <c r="C82" s="767" t="s">
        <v>10534</v>
      </c>
    </row>
    <row r="83" spans="1:5">
      <c r="A83" s="767" t="s">
        <v>6811</v>
      </c>
      <c r="B83" s="767" t="s">
        <v>13484</v>
      </c>
      <c r="C83" s="767" t="s">
        <v>10534</v>
      </c>
    </row>
    <row r="84" spans="1:5">
      <c r="A84" s="767" t="s">
        <v>6807</v>
      </c>
      <c r="B84" s="767" t="s">
        <v>13484</v>
      </c>
      <c r="C84" s="767" t="s">
        <v>10534</v>
      </c>
    </row>
    <row r="85" spans="1:5">
      <c r="A85" s="767" t="s">
        <v>6803</v>
      </c>
      <c r="B85" s="767" t="s">
        <v>13484</v>
      </c>
      <c r="C85" s="767" t="s">
        <v>10534</v>
      </c>
    </row>
    <row r="86" spans="1:5">
      <c r="A86" s="767" t="s">
        <v>6786</v>
      </c>
      <c r="B86" s="767" t="s">
        <v>13484</v>
      </c>
      <c r="C86" s="767" t="s">
        <v>10534</v>
      </c>
    </row>
    <row r="87" spans="1:5">
      <c r="A87" s="767" t="s">
        <v>6784</v>
      </c>
      <c r="B87" s="767" t="s">
        <v>13484</v>
      </c>
      <c r="C87" s="767" t="s">
        <v>10534</v>
      </c>
    </row>
    <row r="88" spans="1:5">
      <c r="A88" s="767" t="s">
        <v>6780</v>
      </c>
      <c r="B88" s="767" t="s">
        <v>13484</v>
      </c>
      <c r="C88" s="767" t="s">
        <v>10534</v>
      </c>
    </row>
    <row r="89" spans="1:5">
      <c r="A89" s="767" t="s">
        <v>6772</v>
      </c>
      <c r="B89" s="767" t="s">
        <v>13484</v>
      </c>
      <c r="C89" s="767" t="s">
        <v>10534</v>
      </c>
    </row>
    <row r="90" spans="1:5">
      <c r="A90" s="767" t="s">
        <v>6758</v>
      </c>
      <c r="B90" s="767" t="s">
        <v>13484</v>
      </c>
      <c r="C90" s="767" t="s">
        <v>10534</v>
      </c>
    </row>
    <row r="91" spans="1:5">
      <c r="A91" s="767" t="s">
        <v>6750</v>
      </c>
      <c r="B91" s="767" t="s">
        <v>13484</v>
      </c>
      <c r="C91" s="767" t="s">
        <v>10534</v>
      </c>
    </row>
    <row r="92" spans="1:5">
      <c r="A92" s="767" t="s">
        <v>6741</v>
      </c>
      <c r="B92" s="767" t="s">
        <v>13484</v>
      </c>
      <c r="C92" s="767" t="s">
        <v>10534</v>
      </c>
    </row>
    <row r="93" spans="1:5">
      <c r="A93" s="767" t="s">
        <v>6737</v>
      </c>
      <c r="B93" s="767" t="s">
        <v>13484</v>
      </c>
      <c r="C93" s="767" t="s">
        <v>10534</v>
      </c>
    </row>
    <row r="94" spans="1:5">
      <c r="A94" s="789" t="s">
        <v>6485</v>
      </c>
      <c r="B94" s="789" t="s">
        <v>13484</v>
      </c>
      <c r="C94" s="789" t="s">
        <v>13492</v>
      </c>
      <c r="D94" s="22"/>
      <c r="E94" s="22"/>
    </row>
    <row r="95" spans="1:5">
      <c r="A95" s="789" t="s">
        <v>6731</v>
      </c>
      <c r="B95" s="789" t="s">
        <v>13484</v>
      </c>
      <c r="C95" s="789" t="s">
        <v>13491</v>
      </c>
    </row>
    <row r="96" spans="1:5">
      <c r="A96" s="767" t="s">
        <v>6727</v>
      </c>
      <c r="B96" s="767" t="s">
        <v>13484</v>
      </c>
      <c r="C96" s="767" t="s">
        <v>10534</v>
      </c>
    </row>
    <row r="97" spans="1:3">
      <c r="A97" s="767" t="s">
        <v>6707</v>
      </c>
      <c r="B97" s="767" t="s">
        <v>13484</v>
      </c>
      <c r="C97" s="767" t="s">
        <v>10534</v>
      </c>
    </row>
    <row r="98" spans="1:3">
      <c r="A98" s="767" t="s">
        <v>6703</v>
      </c>
      <c r="B98" s="767" t="s">
        <v>13484</v>
      </c>
      <c r="C98" s="767" t="s">
        <v>10534</v>
      </c>
    </row>
    <row r="99" spans="1:3">
      <c r="A99" s="767" t="s">
        <v>6699</v>
      </c>
      <c r="B99" s="767" t="s">
        <v>13484</v>
      </c>
      <c r="C99" s="767" t="s">
        <v>10534</v>
      </c>
    </row>
    <row r="100" spans="1:3">
      <c r="A100" s="767" t="s">
        <v>6513</v>
      </c>
      <c r="B100" s="767" t="s">
        <v>13484</v>
      </c>
      <c r="C100" s="767" t="s">
        <v>10534</v>
      </c>
    </row>
    <row r="101" spans="1:3">
      <c r="A101" s="767" t="s">
        <v>6689</v>
      </c>
      <c r="B101" s="767" t="s">
        <v>13484</v>
      </c>
      <c r="C101" s="767" t="s">
        <v>10534</v>
      </c>
    </row>
    <row r="102" spans="1:3">
      <c r="A102" s="767" t="s">
        <v>6685</v>
      </c>
      <c r="B102" s="767" t="s">
        <v>13484</v>
      </c>
      <c r="C102" s="767" t="s">
        <v>10534</v>
      </c>
    </row>
    <row r="103" spans="1:3">
      <c r="A103" s="767" t="s">
        <v>6677</v>
      </c>
      <c r="B103" s="767" t="s">
        <v>13484</v>
      </c>
      <c r="C103" s="767" t="s">
        <v>10534</v>
      </c>
    </row>
    <row r="104" spans="1:3">
      <c r="A104" s="767" t="s">
        <v>6681</v>
      </c>
      <c r="B104" s="767" t="s">
        <v>13484</v>
      </c>
      <c r="C104" s="767" t="s">
        <v>10534</v>
      </c>
    </row>
    <row r="105" spans="1:3">
      <c r="A105" s="767" t="s">
        <v>6675</v>
      </c>
      <c r="B105" s="767" t="s">
        <v>13484</v>
      </c>
      <c r="C105" s="767" t="s">
        <v>10534</v>
      </c>
    </row>
    <row r="106" spans="1:3">
      <c r="A106" s="767" t="s">
        <v>6645</v>
      </c>
      <c r="B106" s="767" t="s">
        <v>13484</v>
      </c>
      <c r="C106" s="767" t="s">
        <v>10534</v>
      </c>
    </row>
    <row r="107" spans="1:3">
      <c r="A107" s="767" t="s">
        <v>6595</v>
      </c>
      <c r="B107" s="767" t="s">
        <v>13484</v>
      </c>
      <c r="C107" s="767" t="s">
        <v>10534</v>
      </c>
    </row>
    <row r="108" spans="1:3">
      <c r="A108" s="767" t="s">
        <v>6591</v>
      </c>
      <c r="B108" s="767" t="s">
        <v>13484</v>
      </c>
      <c r="C108" s="767" t="s">
        <v>10534</v>
      </c>
    </row>
    <row r="109" spans="1:3">
      <c r="A109" s="767" t="s">
        <v>6584</v>
      </c>
      <c r="B109" s="767" t="s">
        <v>13484</v>
      </c>
      <c r="C109" s="767" t="s">
        <v>10534</v>
      </c>
    </row>
    <row r="110" spans="1:3">
      <c r="A110" s="767" t="s">
        <v>6548</v>
      </c>
      <c r="B110" s="767" t="s">
        <v>13484</v>
      </c>
      <c r="C110" s="767" t="s">
        <v>10534</v>
      </c>
    </row>
    <row r="111" spans="1:3">
      <c r="A111" s="789" t="s">
        <v>6513</v>
      </c>
      <c r="B111" s="789" t="s">
        <v>13484</v>
      </c>
      <c r="C111" s="789" t="s">
        <v>13493</v>
      </c>
    </row>
    <row r="112" spans="1:3">
      <c r="A112" s="767" t="s">
        <v>6511</v>
      </c>
      <c r="B112" s="767" t="s">
        <v>13484</v>
      </c>
      <c r="C112" s="767" t="s">
        <v>10534</v>
      </c>
    </row>
    <row r="113" spans="1:3">
      <c r="A113" s="767" t="s">
        <v>6493</v>
      </c>
      <c r="B113" s="767" t="s">
        <v>13484</v>
      </c>
      <c r="C113" s="767" t="s">
        <v>10534</v>
      </c>
    </row>
    <row r="114" spans="1:3">
      <c r="A114" s="767" t="s">
        <v>6477</v>
      </c>
      <c r="B114" s="767" t="s">
        <v>13484</v>
      </c>
      <c r="C114" s="767" t="s">
        <v>10534</v>
      </c>
    </row>
    <row r="115" spans="1:3">
      <c r="A115" s="767" t="s">
        <v>6428</v>
      </c>
      <c r="B115" s="767" t="s">
        <v>13484</v>
      </c>
      <c r="C115" s="767" t="s">
        <v>10534</v>
      </c>
    </row>
    <row r="116" spans="1:3">
      <c r="A116" s="767" t="s">
        <v>6378</v>
      </c>
      <c r="B116" s="767" t="s">
        <v>13484</v>
      </c>
      <c r="C116" s="767" t="s">
        <v>10534</v>
      </c>
    </row>
    <row r="117" spans="1:3">
      <c r="A117" s="767" t="s">
        <v>6350</v>
      </c>
      <c r="B117" s="767" t="s">
        <v>13484</v>
      </c>
      <c r="C117" s="767" t="s">
        <v>10534</v>
      </c>
    </row>
    <row r="118" spans="1:3">
      <c r="A118" s="767" t="s">
        <v>6340</v>
      </c>
      <c r="B118" s="767" t="s">
        <v>13484</v>
      </c>
      <c r="C118" s="767" t="s">
        <v>10534</v>
      </c>
    </row>
    <row r="119" spans="1:3">
      <c r="A119" s="767" t="s">
        <v>6316</v>
      </c>
      <c r="B119" s="787" t="s">
        <v>13484</v>
      </c>
      <c r="C119" s="787" t="s">
        <v>10534</v>
      </c>
    </row>
    <row r="120" spans="1:3">
      <c r="A120" s="788" t="s">
        <v>6314</v>
      </c>
      <c r="B120" s="787" t="s">
        <v>13484</v>
      </c>
      <c r="C120" s="149" t="s">
        <v>10534</v>
      </c>
    </row>
    <row r="121" spans="1:3">
      <c r="A121" s="788" t="s">
        <v>6298</v>
      </c>
      <c r="B121" s="767" t="s">
        <v>13484</v>
      </c>
      <c r="C121" s="185" t="s">
        <v>10534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C056D-2DD1-4935-B3B2-7016F11F1CD1}">
  <dimension ref="A1:D35"/>
  <sheetViews>
    <sheetView topLeftCell="A6" workbookViewId="0">
      <selection activeCell="C19" sqref="C19"/>
    </sheetView>
  </sheetViews>
  <sheetFormatPr defaultRowHeight="15"/>
  <cols>
    <col min="1" max="1" width="28.28515625" customWidth="1"/>
    <col min="2" max="2" width="43.140625" customWidth="1"/>
    <col min="3" max="3" width="30" customWidth="1"/>
    <col min="4" max="4" width="35.7109375" customWidth="1"/>
  </cols>
  <sheetData>
    <row r="1" spans="1:4">
      <c r="A1" s="767" t="s">
        <v>2756</v>
      </c>
      <c r="B1" s="767" t="s">
        <v>7339</v>
      </c>
      <c r="C1" s="767" t="s">
        <v>13494</v>
      </c>
    </row>
    <row r="2" spans="1:4">
      <c r="A2" s="789" t="s">
        <v>13495</v>
      </c>
      <c r="B2" s="789" t="s">
        <v>13496</v>
      </c>
      <c r="C2" s="789" t="s">
        <v>13497</v>
      </c>
      <c r="D2" s="408" t="s">
        <v>13498</v>
      </c>
    </row>
    <row r="3" spans="1:4">
      <c r="A3" s="789" t="s">
        <v>6754</v>
      </c>
      <c r="B3" s="789" t="s">
        <v>13496</v>
      </c>
      <c r="C3" s="789" t="s">
        <v>13499</v>
      </c>
      <c r="D3" s="408"/>
    </row>
    <row r="4" spans="1:4">
      <c r="A4" s="789" t="s">
        <v>6473</v>
      </c>
      <c r="B4" s="789" t="s">
        <v>13496</v>
      </c>
      <c r="C4" s="789" t="s">
        <v>13500</v>
      </c>
      <c r="D4" s="408"/>
    </row>
    <row r="5" spans="1:4">
      <c r="A5" s="789" t="s">
        <v>13501</v>
      </c>
      <c r="B5" s="789" t="s">
        <v>13502</v>
      </c>
      <c r="C5" s="789" t="s">
        <v>13503</v>
      </c>
      <c r="D5" s="408"/>
    </row>
    <row r="6" spans="1:4">
      <c r="A6" s="789" t="s">
        <v>13128</v>
      </c>
      <c r="B6" s="789" t="s">
        <v>13502</v>
      </c>
      <c r="C6" s="789" t="s">
        <v>13504</v>
      </c>
      <c r="D6" s="408"/>
    </row>
    <row r="7" spans="1:4">
      <c r="A7" s="767" t="s">
        <v>13505</v>
      </c>
      <c r="B7" s="767" t="s">
        <v>13502</v>
      </c>
      <c r="C7" s="767" t="s">
        <v>8929</v>
      </c>
      <c r="D7" s="408"/>
    </row>
    <row r="8" spans="1:4">
      <c r="A8" s="789" t="s">
        <v>13114</v>
      </c>
      <c r="B8" s="789" t="s">
        <v>13502</v>
      </c>
      <c r="C8" s="789" t="s">
        <v>13503</v>
      </c>
      <c r="D8" s="408"/>
    </row>
    <row r="9" spans="1:4">
      <c r="A9" s="767" t="s">
        <v>13083</v>
      </c>
      <c r="B9" s="767" t="s">
        <v>13502</v>
      </c>
      <c r="C9" s="767" t="s">
        <v>8929</v>
      </c>
      <c r="D9" s="408"/>
    </row>
    <row r="10" spans="1:4">
      <c r="A10" s="767" t="s">
        <v>7322</v>
      </c>
      <c r="B10" s="767" t="s">
        <v>13502</v>
      </c>
      <c r="C10" s="767" t="s">
        <v>8929</v>
      </c>
      <c r="D10" s="408"/>
    </row>
    <row r="11" spans="1:4">
      <c r="A11" s="767" t="s">
        <v>7289</v>
      </c>
      <c r="B11" s="767" t="s">
        <v>13502</v>
      </c>
      <c r="C11" s="767" t="s">
        <v>8929</v>
      </c>
      <c r="D11" s="408"/>
    </row>
    <row r="12" spans="1:4">
      <c r="A12" s="767" t="s">
        <v>7283</v>
      </c>
      <c r="B12" s="767" t="s">
        <v>13502</v>
      </c>
      <c r="C12" s="767" t="s">
        <v>8929</v>
      </c>
      <c r="D12" s="408"/>
    </row>
    <row r="13" spans="1:4">
      <c r="A13" s="767" t="s">
        <v>7273</v>
      </c>
      <c r="B13" s="767" t="s">
        <v>13502</v>
      </c>
      <c r="C13" s="767" t="s">
        <v>8929</v>
      </c>
      <c r="D13" s="408"/>
    </row>
    <row r="14" spans="1:4">
      <c r="A14" s="767" t="s">
        <v>6942</v>
      </c>
      <c r="B14" s="767" t="s">
        <v>13502</v>
      </c>
      <c r="C14" s="767" t="s">
        <v>8929</v>
      </c>
      <c r="D14" s="408"/>
    </row>
    <row r="15" spans="1:4">
      <c r="A15" s="767" t="s">
        <v>6595</v>
      </c>
      <c r="B15" s="767" t="s">
        <v>13502</v>
      </c>
      <c r="C15" s="767" t="s">
        <v>8929</v>
      </c>
      <c r="D15" s="408"/>
    </row>
    <row r="16" spans="1:4">
      <c r="A16" s="767" t="s">
        <v>7203</v>
      </c>
      <c r="B16" s="767" t="s">
        <v>13502</v>
      </c>
      <c r="C16" s="767" t="s">
        <v>8929</v>
      </c>
      <c r="D16" s="408"/>
    </row>
    <row r="17" spans="1:4">
      <c r="A17" s="767" t="s">
        <v>7183</v>
      </c>
      <c r="B17" s="767" t="s">
        <v>13502</v>
      </c>
      <c r="C17" s="767" t="s">
        <v>8929</v>
      </c>
      <c r="D17" s="408"/>
    </row>
    <row r="18" spans="1:4">
      <c r="A18" s="767" t="s">
        <v>7138</v>
      </c>
      <c r="B18" s="767" t="s">
        <v>13502</v>
      </c>
      <c r="C18" s="767" t="s">
        <v>8929</v>
      </c>
      <c r="D18" s="408"/>
    </row>
    <row r="19" spans="1:4">
      <c r="A19" s="767" t="s">
        <v>6601</v>
      </c>
      <c r="B19" s="767" t="s">
        <v>13502</v>
      </c>
      <c r="C19" s="767" t="s">
        <v>8929</v>
      </c>
      <c r="D19" s="408"/>
    </row>
    <row r="20" spans="1:4">
      <c r="A20" s="767" t="s">
        <v>6803</v>
      </c>
      <c r="B20" s="767" t="s">
        <v>13502</v>
      </c>
      <c r="C20" s="767" t="s">
        <v>8929</v>
      </c>
      <c r="D20" s="408"/>
    </row>
    <row r="21" spans="1:4">
      <c r="A21" s="767" t="s">
        <v>7078</v>
      </c>
      <c r="B21" s="767" t="s">
        <v>13502</v>
      </c>
      <c r="C21" s="767" t="s">
        <v>8929</v>
      </c>
      <c r="D21" s="408"/>
    </row>
    <row r="22" spans="1:4">
      <c r="A22" s="767" t="s">
        <v>7034</v>
      </c>
      <c r="B22" s="767" t="s">
        <v>13502</v>
      </c>
      <c r="C22" s="767" t="s">
        <v>8929</v>
      </c>
      <c r="D22" s="408"/>
    </row>
    <row r="23" spans="1:4">
      <c r="A23" s="767" t="s">
        <v>7018</v>
      </c>
      <c r="B23" s="767" t="s">
        <v>13502</v>
      </c>
      <c r="C23" s="767" t="s">
        <v>8929</v>
      </c>
      <c r="D23" s="408"/>
    </row>
    <row r="24" spans="1:4">
      <c r="A24" s="767" t="s">
        <v>7000</v>
      </c>
      <c r="B24" s="767" t="s">
        <v>13502</v>
      </c>
      <c r="C24" s="767" t="s">
        <v>8929</v>
      </c>
      <c r="D24" s="408"/>
    </row>
    <row r="25" spans="1:4">
      <c r="A25" s="767" t="s">
        <v>6992</v>
      </c>
      <c r="B25" s="767" t="s">
        <v>13502</v>
      </c>
      <c r="C25" s="767" t="s">
        <v>8929</v>
      </c>
      <c r="D25" s="408"/>
    </row>
    <row r="26" spans="1:4">
      <c r="A26" s="767" t="s">
        <v>6990</v>
      </c>
      <c r="B26" s="767" t="s">
        <v>13502</v>
      </c>
      <c r="C26" s="767" t="s">
        <v>8929</v>
      </c>
      <c r="D26" s="408"/>
    </row>
    <row r="27" spans="1:4">
      <c r="A27" s="767" t="s">
        <v>6968</v>
      </c>
      <c r="B27" s="767" t="s">
        <v>13502</v>
      </c>
      <c r="C27" s="767" t="s">
        <v>8929</v>
      </c>
      <c r="D27" s="408"/>
    </row>
    <row r="28" spans="1:4">
      <c r="A28" s="767" t="s">
        <v>6962</v>
      </c>
      <c r="B28" s="767" t="s">
        <v>13502</v>
      </c>
      <c r="C28" s="767" t="s">
        <v>8929</v>
      </c>
      <c r="D28" s="408"/>
    </row>
    <row r="29" spans="1:4">
      <c r="A29" s="767" t="s">
        <v>6952</v>
      </c>
      <c r="B29" s="767" t="s">
        <v>13502</v>
      </c>
      <c r="C29" s="767" t="s">
        <v>8929</v>
      </c>
      <c r="D29" s="408"/>
    </row>
    <row r="30" spans="1:4">
      <c r="A30" s="767" t="s">
        <v>6934</v>
      </c>
      <c r="B30" s="767" t="s">
        <v>13502</v>
      </c>
      <c r="C30" s="767" t="s">
        <v>8929</v>
      </c>
      <c r="D30" s="408"/>
    </row>
    <row r="31" spans="1:4">
      <c r="A31" s="767" t="s">
        <v>6930</v>
      </c>
      <c r="B31" s="767" t="s">
        <v>13502</v>
      </c>
      <c r="C31" s="767" t="s">
        <v>8929</v>
      </c>
      <c r="D31" s="408"/>
    </row>
    <row r="32" spans="1:4">
      <c r="A32" s="789" t="s">
        <v>6885</v>
      </c>
      <c r="B32" s="789" t="s">
        <v>13502</v>
      </c>
      <c r="C32" s="789" t="s">
        <v>13287</v>
      </c>
      <c r="D32" s="408"/>
    </row>
    <row r="33" spans="1:4">
      <c r="A33" s="767" t="s">
        <v>6869</v>
      </c>
      <c r="B33" s="767" t="s">
        <v>13502</v>
      </c>
      <c r="C33" s="767" t="s">
        <v>8929</v>
      </c>
      <c r="D33" s="408"/>
    </row>
    <row r="34" spans="1:4">
      <c r="A34" s="767" t="s">
        <v>6856</v>
      </c>
      <c r="B34" s="767" t="s">
        <v>13502</v>
      </c>
      <c r="C34" s="767" t="s">
        <v>8929</v>
      </c>
      <c r="D34" s="408"/>
    </row>
    <row r="35" spans="1:4">
      <c r="A35" s="767" t="s">
        <v>6503</v>
      </c>
      <c r="B35" s="767" t="s">
        <v>13502</v>
      </c>
      <c r="C35" s="767" t="s">
        <v>8929</v>
      </c>
      <c r="D35" s="408"/>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F99A4-288D-442D-95F3-E2B73EF1E00C}">
  <dimension ref="A1:D100"/>
  <sheetViews>
    <sheetView topLeftCell="A32" workbookViewId="0">
      <selection activeCell="C45" sqref="C45"/>
    </sheetView>
  </sheetViews>
  <sheetFormatPr defaultRowHeight="15"/>
  <cols>
    <col min="1" max="1" width="44.5703125" bestFit="1" customWidth="1"/>
    <col min="2" max="2" width="29" bestFit="1" customWidth="1"/>
    <col min="3" max="3" width="36.5703125" customWidth="1"/>
    <col min="4" max="4" width="34" bestFit="1" customWidth="1"/>
  </cols>
  <sheetData>
    <row r="1" spans="1:4">
      <c r="A1" s="767" t="s">
        <v>2756</v>
      </c>
      <c r="B1" s="767" t="s">
        <v>12305</v>
      </c>
      <c r="C1" s="767" t="s">
        <v>13479</v>
      </c>
    </row>
    <row r="2" spans="1:4">
      <c r="A2" s="789" t="s">
        <v>13142</v>
      </c>
      <c r="B2" s="789" t="s">
        <v>13506</v>
      </c>
      <c r="C2" s="789" t="s">
        <v>13507</v>
      </c>
    </row>
    <row r="3" spans="1:4">
      <c r="A3" s="789" t="s">
        <v>6831</v>
      </c>
      <c r="B3" s="789" t="s">
        <v>13506</v>
      </c>
      <c r="C3" s="789" t="s">
        <v>10534</v>
      </c>
      <c r="D3" s="408" t="s">
        <v>13508</v>
      </c>
    </row>
    <row r="4" spans="1:4">
      <c r="A4" s="789" t="s">
        <v>6831</v>
      </c>
      <c r="B4" s="789" t="s">
        <v>13506</v>
      </c>
      <c r="C4" s="789" t="s">
        <v>10534</v>
      </c>
      <c r="D4" s="408" t="s">
        <v>13508</v>
      </c>
    </row>
    <row r="5" spans="1:4">
      <c r="A5" s="767" t="s">
        <v>13505</v>
      </c>
      <c r="B5" s="767" t="s">
        <v>13506</v>
      </c>
      <c r="C5" s="767" t="s">
        <v>8929</v>
      </c>
    </row>
    <row r="6" spans="1:4">
      <c r="A6" s="767" t="s">
        <v>13505</v>
      </c>
      <c r="B6" s="767" t="s">
        <v>13506</v>
      </c>
      <c r="C6" s="767" t="s">
        <v>8929</v>
      </c>
    </row>
    <row r="7" spans="1:4">
      <c r="A7" s="767" t="s">
        <v>13509</v>
      </c>
      <c r="B7" s="767" t="s">
        <v>13506</v>
      </c>
      <c r="C7" s="767" t="s">
        <v>8929</v>
      </c>
    </row>
    <row r="8" spans="1:4">
      <c r="A8" s="767" t="s">
        <v>13510</v>
      </c>
      <c r="B8" s="767" t="s">
        <v>13506</v>
      </c>
      <c r="C8" s="767" t="s">
        <v>8929</v>
      </c>
    </row>
    <row r="9" spans="1:4">
      <c r="A9" s="767" t="s">
        <v>12418</v>
      </c>
      <c r="B9" s="767" t="s">
        <v>13506</v>
      </c>
      <c r="C9" s="767" t="s">
        <v>8929</v>
      </c>
    </row>
    <row r="10" spans="1:4">
      <c r="A10" s="767" t="s">
        <v>13473</v>
      </c>
      <c r="B10" s="767" t="s">
        <v>13506</v>
      </c>
      <c r="C10" s="767" t="s">
        <v>8929</v>
      </c>
    </row>
    <row r="11" spans="1:4">
      <c r="A11" s="767" t="s">
        <v>6358</v>
      </c>
      <c r="B11" s="767" t="s">
        <v>13506</v>
      </c>
      <c r="C11" s="767" t="s">
        <v>8929</v>
      </c>
    </row>
    <row r="12" spans="1:4">
      <c r="A12" s="767" t="s">
        <v>7328</v>
      </c>
      <c r="B12" s="767" t="s">
        <v>13506</v>
      </c>
      <c r="C12" s="767" t="s">
        <v>8929</v>
      </c>
    </row>
    <row r="13" spans="1:4">
      <c r="A13" s="767" t="s">
        <v>7318</v>
      </c>
      <c r="B13" s="767" t="s">
        <v>13506</v>
      </c>
      <c r="C13" s="767" t="s">
        <v>8929</v>
      </c>
    </row>
    <row r="14" spans="1:4">
      <c r="A14" s="767" t="s">
        <v>7309</v>
      </c>
      <c r="B14" s="767" t="s">
        <v>13506</v>
      </c>
      <c r="C14" s="767" t="s">
        <v>8929</v>
      </c>
    </row>
    <row r="15" spans="1:4">
      <c r="A15" s="767" t="s">
        <v>7285</v>
      </c>
      <c r="B15" s="767" t="s">
        <v>13506</v>
      </c>
      <c r="C15" s="767" t="s">
        <v>8929</v>
      </c>
    </row>
    <row r="16" spans="1:4">
      <c r="A16" s="767" t="s">
        <v>7261</v>
      </c>
      <c r="B16" s="767" t="s">
        <v>13506</v>
      </c>
      <c r="C16" s="767" t="s">
        <v>8929</v>
      </c>
    </row>
    <row r="17" spans="1:4">
      <c r="A17" s="767" t="s">
        <v>7228</v>
      </c>
      <c r="B17" s="767" t="s">
        <v>13506</v>
      </c>
      <c r="C17" s="767" t="s">
        <v>8929</v>
      </c>
    </row>
    <row r="18" spans="1:4">
      <c r="A18" s="789" t="s">
        <v>7226</v>
      </c>
      <c r="B18" s="789" t="s">
        <v>13506</v>
      </c>
      <c r="C18" s="789" t="s">
        <v>13511</v>
      </c>
      <c r="D18" s="22"/>
    </row>
    <row r="19" spans="1:4">
      <c r="A19" s="789" t="s">
        <v>7226</v>
      </c>
      <c r="B19" s="789" t="s">
        <v>13506</v>
      </c>
      <c r="C19" s="789" t="s">
        <v>10534</v>
      </c>
      <c r="D19" s="408" t="s">
        <v>13508</v>
      </c>
    </row>
    <row r="20" spans="1:4">
      <c r="A20" s="767" t="s">
        <v>7216</v>
      </c>
      <c r="B20" s="767" t="s">
        <v>13506</v>
      </c>
      <c r="C20" s="767" t="s">
        <v>8929</v>
      </c>
    </row>
    <row r="21" spans="1:4">
      <c r="A21" s="767" t="s">
        <v>7165</v>
      </c>
      <c r="B21" s="767" t="s">
        <v>13506</v>
      </c>
      <c r="C21" s="767" t="s">
        <v>8929</v>
      </c>
    </row>
    <row r="22" spans="1:4">
      <c r="A22" s="789" t="s">
        <v>7159</v>
      </c>
      <c r="B22" s="789" t="s">
        <v>13506</v>
      </c>
      <c r="C22" s="789" t="s">
        <v>13512</v>
      </c>
    </row>
    <row r="23" spans="1:4">
      <c r="A23" s="767" t="s">
        <v>6895</v>
      </c>
      <c r="B23" s="767" t="s">
        <v>13506</v>
      </c>
      <c r="C23" s="767" t="s">
        <v>8929</v>
      </c>
    </row>
    <row r="24" spans="1:4">
      <c r="A24" s="789" t="s">
        <v>7131</v>
      </c>
      <c r="B24" s="789" t="s">
        <v>13506</v>
      </c>
      <c r="C24" s="789" t="s">
        <v>13513</v>
      </c>
    </row>
    <row r="25" spans="1:4">
      <c r="A25" s="767" t="s">
        <v>7108</v>
      </c>
      <c r="B25" s="767" t="s">
        <v>13506</v>
      </c>
      <c r="C25" s="767" t="s">
        <v>8929</v>
      </c>
    </row>
    <row r="26" spans="1:4">
      <c r="A26" s="767" t="s">
        <v>7086</v>
      </c>
      <c r="B26" s="767" t="s">
        <v>13506</v>
      </c>
      <c r="C26" s="767" t="s">
        <v>8929</v>
      </c>
    </row>
    <row r="27" spans="1:4">
      <c r="A27" s="767" t="s">
        <v>13514</v>
      </c>
      <c r="B27" s="767" t="s">
        <v>13506</v>
      </c>
      <c r="C27" s="767" t="s">
        <v>8929</v>
      </c>
    </row>
    <row r="28" spans="1:4">
      <c r="A28" s="767" t="s">
        <v>7072</v>
      </c>
      <c r="B28" s="767" t="s">
        <v>13506</v>
      </c>
      <c r="C28" s="767" t="s">
        <v>8929</v>
      </c>
    </row>
    <row r="29" spans="1:4">
      <c r="A29" s="767" t="s">
        <v>7044</v>
      </c>
      <c r="B29" s="767" t="s">
        <v>13506</v>
      </c>
      <c r="C29" s="767" t="s">
        <v>8929</v>
      </c>
    </row>
    <row r="30" spans="1:4">
      <c r="A30" s="767" t="s">
        <v>7008</v>
      </c>
      <c r="B30" s="767" t="s">
        <v>13506</v>
      </c>
      <c r="C30" s="767" t="s">
        <v>8929</v>
      </c>
    </row>
    <row r="31" spans="1:4">
      <c r="A31" s="767" t="s">
        <v>6871</v>
      </c>
      <c r="B31" s="767" t="s">
        <v>13506</v>
      </c>
      <c r="C31" s="767" t="s">
        <v>8929</v>
      </c>
    </row>
    <row r="32" spans="1:4">
      <c r="A32" s="789" t="s">
        <v>6869</v>
      </c>
      <c r="B32" s="789" t="s">
        <v>13506</v>
      </c>
      <c r="C32" s="789" t="s">
        <v>10534</v>
      </c>
      <c r="D32" s="408" t="s">
        <v>13508</v>
      </c>
    </row>
    <row r="33" spans="1:4">
      <c r="A33" s="789" t="s">
        <v>6869</v>
      </c>
      <c r="B33" s="789" t="s">
        <v>13506</v>
      </c>
      <c r="C33" s="789" t="s">
        <v>10534</v>
      </c>
      <c r="D33" s="408" t="s">
        <v>13508</v>
      </c>
    </row>
    <row r="34" spans="1:4">
      <c r="A34" s="789" t="s">
        <v>6869</v>
      </c>
      <c r="B34" s="789" t="s">
        <v>13506</v>
      </c>
      <c r="C34" s="789" t="s">
        <v>10534</v>
      </c>
      <c r="D34" s="408" t="s">
        <v>13508</v>
      </c>
    </row>
    <row r="35" spans="1:4">
      <c r="A35" s="789" t="s">
        <v>6869</v>
      </c>
      <c r="B35" s="789" t="s">
        <v>13506</v>
      </c>
      <c r="C35" s="789" t="s">
        <v>10534</v>
      </c>
      <c r="D35" s="408" t="s">
        <v>13508</v>
      </c>
    </row>
    <row r="36" spans="1:4">
      <c r="A36" s="789" t="s">
        <v>6869</v>
      </c>
      <c r="B36" s="789" t="s">
        <v>13506</v>
      </c>
      <c r="C36" s="789" t="s">
        <v>10534</v>
      </c>
      <c r="D36" s="408" t="s">
        <v>13508</v>
      </c>
    </row>
    <row r="37" spans="1:4">
      <c r="A37" s="789" t="s">
        <v>6608</v>
      </c>
      <c r="B37" s="789" t="s">
        <v>13506</v>
      </c>
      <c r="C37" s="789" t="s">
        <v>10534</v>
      </c>
      <c r="D37" s="408" t="s">
        <v>13508</v>
      </c>
    </row>
    <row r="38" spans="1:4">
      <c r="A38" s="767" t="s">
        <v>6905</v>
      </c>
      <c r="B38" s="767" t="s">
        <v>13506</v>
      </c>
      <c r="C38" s="767" t="s">
        <v>10534</v>
      </c>
    </row>
    <row r="39" spans="1:4">
      <c r="A39" s="789" t="s">
        <v>6831</v>
      </c>
      <c r="B39" s="789" t="s">
        <v>13506</v>
      </c>
      <c r="C39" s="789" t="s">
        <v>10534</v>
      </c>
      <c r="D39" s="408" t="s">
        <v>13508</v>
      </c>
    </row>
    <row r="40" spans="1:4">
      <c r="A40" s="767" t="s">
        <v>6895</v>
      </c>
      <c r="B40" s="767" t="s">
        <v>13506</v>
      </c>
      <c r="C40" s="767" t="s">
        <v>10534</v>
      </c>
    </row>
    <row r="41" spans="1:4">
      <c r="A41" s="767" t="s">
        <v>6891</v>
      </c>
      <c r="B41" s="767" t="s">
        <v>13506</v>
      </c>
      <c r="C41" s="767" t="s">
        <v>10534</v>
      </c>
    </row>
    <row r="42" spans="1:4">
      <c r="A42" s="789" t="s">
        <v>6871</v>
      </c>
      <c r="B42" s="789" t="s">
        <v>13506</v>
      </c>
      <c r="C42" s="789" t="s">
        <v>13507</v>
      </c>
    </row>
    <row r="43" spans="1:4">
      <c r="A43" s="767" t="s">
        <v>6304</v>
      </c>
      <c r="B43" s="767" t="s">
        <v>13506</v>
      </c>
      <c r="C43" s="767" t="s">
        <v>10534</v>
      </c>
    </row>
    <row r="44" spans="1:4">
      <c r="A44" s="767" t="s">
        <v>6862</v>
      </c>
      <c r="B44" s="767" t="s">
        <v>13506</v>
      </c>
      <c r="C44" s="767" t="s">
        <v>10534</v>
      </c>
    </row>
    <row r="45" spans="1:4">
      <c r="A45" s="789" t="s">
        <v>6831</v>
      </c>
      <c r="B45" s="789" t="s">
        <v>13506</v>
      </c>
      <c r="C45" s="789" t="s">
        <v>10534</v>
      </c>
      <c r="D45" s="408" t="s">
        <v>13508</v>
      </c>
    </row>
    <row r="46" spans="1:4">
      <c r="A46" s="789" t="s">
        <v>6792</v>
      </c>
      <c r="B46" s="789" t="s">
        <v>13506</v>
      </c>
      <c r="C46" s="789" t="s">
        <v>13515</v>
      </c>
    </row>
    <row r="47" spans="1:4">
      <c r="A47" s="789" t="s">
        <v>6790</v>
      </c>
      <c r="B47" s="789" t="s">
        <v>13506</v>
      </c>
      <c r="C47" s="789" t="s">
        <v>13516</v>
      </c>
    </row>
    <row r="48" spans="1:4">
      <c r="A48" s="767" t="s">
        <v>6782</v>
      </c>
      <c r="B48" s="767" t="s">
        <v>13506</v>
      </c>
      <c r="C48" s="767" t="s">
        <v>10534</v>
      </c>
    </row>
    <row r="49" spans="1:4">
      <c r="A49" s="789" t="s">
        <v>6766</v>
      </c>
      <c r="B49" s="789" t="s">
        <v>13506</v>
      </c>
      <c r="C49" s="789" t="s">
        <v>13515</v>
      </c>
    </row>
    <row r="50" spans="1:4">
      <c r="A50" s="767" t="s">
        <v>6716</v>
      </c>
      <c r="B50" s="767" t="s">
        <v>13506</v>
      </c>
      <c r="C50" s="767" t="s">
        <v>10534</v>
      </c>
    </row>
    <row r="51" spans="1:4">
      <c r="A51" s="789" t="s">
        <v>6661</v>
      </c>
      <c r="B51" s="789" t="s">
        <v>13506</v>
      </c>
      <c r="C51" s="789" t="s">
        <v>13507</v>
      </c>
    </row>
    <row r="52" spans="1:4">
      <c r="A52" s="767" t="s">
        <v>6659</v>
      </c>
      <c r="B52" s="767" t="s">
        <v>13506</v>
      </c>
      <c r="C52" s="767" t="s">
        <v>10534</v>
      </c>
    </row>
    <row r="53" spans="1:4">
      <c r="A53" s="789" t="s">
        <v>6608</v>
      </c>
      <c r="B53" s="789" t="s">
        <v>13506</v>
      </c>
      <c r="C53" s="789" t="s">
        <v>10534</v>
      </c>
      <c r="D53" s="408" t="s">
        <v>13508</v>
      </c>
    </row>
    <row r="54" spans="1:4">
      <c r="A54" s="767" t="s">
        <v>6452</v>
      </c>
      <c r="B54" s="790" t="s">
        <v>13506</v>
      </c>
      <c r="C54" s="767" t="s">
        <v>10534</v>
      </c>
    </row>
    <row r="55" spans="1:4">
      <c r="A55" s="789" t="s">
        <v>6392</v>
      </c>
      <c r="B55" s="789" t="s">
        <v>13506</v>
      </c>
      <c r="C55" s="789" t="s">
        <v>13507</v>
      </c>
    </row>
    <row r="56" spans="1:4">
      <c r="A56" s="789" t="s">
        <v>6370</v>
      </c>
      <c r="B56" s="789" t="s">
        <v>13506</v>
      </c>
      <c r="C56" s="789" t="s">
        <v>10534</v>
      </c>
      <c r="D56" s="408" t="s">
        <v>13508</v>
      </c>
    </row>
    <row r="57" spans="1:4">
      <c r="A57" s="789" t="s">
        <v>6364</v>
      </c>
      <c r="B57" s="789" t="s">
        <v>13506</v>
      </c>
      <c r="C57" s="789" t="s">
        <v>10534</v>
      </c>
      <c r="D57" s="408" t="s">
        <v>13508</v>
      </c>
    </row>
    <row r="58" spans="1:4">
      <c r="A58" s="789" t="s">
        <v>6362</v>
      </c>
      <c r="B58" s="789" t="s">
        <v>13506</v>
      </c>
      <c r="C58" s="789" t="s">
        <v>10534</v>
      </c>
      <c r="D58" s="408" t="s">
        <v>13508</v>
      </c>
    </row>
    <row r="59" spans="1:4">
      <c r="A59" s="789" t="s">
        <v>6360</v>
      </c>
      <c r="B59" s="789" t="s">
        <v>13506</v>
      </c>
      <c r="C59" s="789" t="s">
        <v>10534</v>
      </c>
      <c r="D59" s="408" t="s">
        <v>13508</v>
      </c>
    </row>
    <row r="60" spans="1:4">
      <c r="A60" s="789" t="s">
        <v>6356</v>
      </c>
      <c r="B60" s="789" t="s">
        <v>13506</v>
      </c>
      <c r="C60" s="789" t="s">
        <v>10534</v>
      </c>
      <c r="D60" s="408" t="s">
        <v>13508</v>
      </c>
    </row>
    <row r="61" spans="1:4">
      <c r="A61" s="767" t="s">
        <v>6334</v>
      </c>
      <c r="B61" s="767" t="s">
        <v>13506</v>
      </c>
      <c r="C61" s="767" t="s">
        <v>10534</v>
      </c>
    </row>
    <row r="62" spans="1:4">
      <c r="A62" s="767" t="s">
        <v>6332</v>
      </c>
      <c r="B62" s="767" t="s">
        <v>13506</v>
      </c>
      <c r="C62" s="767" t="s">
        <v>10534</v>
      </c>
    </row>
    <row r="63" spans="1:4">
      <c r="A63" s="789" t="s">
        <v>6328</v>
      </c>
      <c r="B63" s="789" t="s">
        <v>13506</v>
      </c>
      <c r="C63" s="789" t="s">
        <v>8929</v>
      </c>
      <c r="D63" s="408" t="s">
        <v>13508</v>
      </c>
    </row>
    <row r="64" spans="1:4">
      <c r="A64" s="789" t="s">
        <v>6328</v>
      </c>
      <c r="B64" s="789" t="s">
        <v>13506</v>
      </c>
      <c r="C64" s="789" t="s">
        <v>10534</v>
      </c>
      <c r="D64" s="408" t="s">
        <v>13508</v>
      </c>
    </row>
    <row r="65" spans="1:4">
      <c r="A65" s="767" t="s">
        <v>6326</v>
      </c>
      <c r="B65" s="767" t="s">
        <v>13506</v>
      </c>
      <c r="C65" s="767" t="s">
        <v>10534</v>
      </c>
    </row>
    <row r="66" spans="1:4">
      <c r="A66" s="767" t="s">
        <v>6318</v>
      </c>
      <c r="B66" s="767" t="s">
        <v>13506</v>
      </c>
      <c r="C66" s="767" t="s">
        <v>10534</v>
      </c>
    </row>
    <row r="67" spans="1:4">
      <c r="A67" s="767" t="s">
        <v>6306</v>
      </c>
      <c r="B67" s="767" t="s">
        <v>13506</v>
      </c>
      <c r="C67" s="767" t="s">
        <v>10534</v>
      </c>
    </row>
    <row r="68" spans="1:4">
      <c r="A68" s="767" t="s">
        <v>6300</v>
      </c>
      <c r="B68" s="787" t="s">
        <v>13506</v>
      </c>
      <c r="C68" s="787" t="s">
        <v>10534</v>
      </c>
    </row>
    <row r="69" spans="1:4">
      <c r="A69" s="787" t="s">
        <v>6294</v>
      </c>
      <c r="B69" s="788" t="s">
        <v>13517</v>
      </c>
      <c r="C69" s="767" t="s">
        <v>10534</v>
      </c>
    </row>
    <row r="70" spans="1:4">
      <c r="A70" s="789" t="s">
        <v>6641</v>
      </c>
      <c r="B70" s="791" t="s">
        <v>13517</v>
      </c>
      <c r="C70" s="789" t="s">
        <v>13491</v>
      </c>
    </row>
    <row r="71" spans="1:4">
      <c r="A71" s="767" t="s">
        <v>5693</v>
      </c>
      <c r="B71" s="788" t="s">
        <v>13517</v>
      </c>
      <c r="C71" s="767" t="s">
        <v>10534</v>
      </c>
    </row>
    <row r="72" spans="1:4">
      <c r="A72" s="789" t="s">
        <v>6612</v>
      </c>
      <c r="B72" s="791" t="s">
        <v>13517</v>
      </c>
      <c r="C72" s="789" t="s">
        <v>13491</v>
      </c>
    </row>
    <row r="73" spans="1:4">
      <c r="A73" s="789" t="s">
        <v>6586</v>
      </c>
      <c r="B73" s="791" t="s">
        <v>13517</v>
      </c>
      <c r="C73" s="789" t="s">
        <v>13491</v>
      </c>
    </row>
    <row r="74" spans="1:4">
      <c r="A74" s="789" t="s">
        <v>6573</v>
      </c>
      <c r="B74" s="791" t="s">
        <v>13517</v>
      </c>
      <c r="C74" s="789" t="s">
        <v>13491</v>
      </c>
    </row>
    <row r="75" spans="1:4">
      <c r="A75" s="789" t="s">
        <v>6569</v>
      </c>
      <c r="B75" s="791" t="s">
        <v>13517</v>
      </c>
      <c r="C75" s="789" t="s">
        <v>13491</v>
      </c>
    </row>
    <row r="76" spans="1:4">
      <c r="A76" s="789" t="s">
        <v>6563</v>
      </c>
      <c r="B76" s="791" t="s">
        <v>13517</v>
      </c>
      <c r="C76" s="789" t="s">
        <v>10534</v>
      </c>
      <c r="D76" s="408" t="s">
        <v>13508</v>
      </c>
    </row>
    <row r="77" spans="1:4">
      <c r="A77" s="789" t="s">
        <v>6550</v>
      </c>
      <c r="B77" s="791" t="s">
        <v>13517</v>
      </c>
      <c r="C77" s="789" t="s">
        <v>13515</v>
      </c>
    </row>
    <row r="78" spans="1:4">
      <c r="A78" s="789" t="s">
        <v>6539</v>
      </c>
      <c r="B78" s="791" t="s">
        <v>13517</v>
      </c>
      <c r="C78" s="789" t="s">
        <v>10534</v>
      </c>
      <c r="D78" s="408" t="s">
        <v>13508</v>
      </c>
    </row>
    <row r="79" spans="1:4">
      <c r="A79" s="789" t="s">
        <v>6527</v>
      </c>
      <c r="B79" s="791" t="s">
        <v>13517</v>
      </c>
      <c r="C79" s="789" t="s">
        <v>10534</v>
      </c>
      <c r="D79" s="408" t="s">
        <v>13508</v>
      </c>
    </row>
    <row r="80" spans="1:4">
      <c r="A80" s="789" t="s">
        <v>6523</v>
      </c>
      <c r="B80" s="791" t="s">
        <v>13517</v>
      </c>
      <c r="C80" s="789" t="s">
        <v>10534</v>
      </c>
      <c r="D80" s="408" t="s">
        <v>13508</v>
      </c>
    </row>
    <row r="81" spans="1:4">
      <c r="A81" s="789" t="s">
        <v>6519</v>
      </c>
      <c r="B81" s="791" t="s">
        <v>13517</v>
      </c>
      <c r="C81" s="789" t="s">
        <v>10534</v>
      </c>
      <c r="D81" s="408" t="s">
        <v>13508</v>
      </c>
    </row>
    <row r="82" spans="1:4">
      <c r="A82" s="789" t="s">
        <v>6501</v>
      </c>
      <c r="B82" s="791" t="s">
        <v>13517</v>
      </c>
      <c r="C82" s="789" t="s">
        <v>13491</v>
      </c>
    </row>
    <row r="83" spans="1:4">
      <c r="A83" s="789" t="s">
        <v>6489</v>
      </c>
      <c r="B83" s="791" t="s">
        <v>13517</v>
      </c>
      <c r="C83" s="789" t="s">
        <v>13518</v>
      </c>
      <c r="D83" s="408" t="s">
        <v>13508</v>
      </c>
    </row>
    <row r="84" spans="1:4">
      <c r="A84" s="789" t="s">
        <v>6483</v>
      </c>
      <c r="B84" s="791" t="s">
        <v>13517</v>
      </c>
      <c r="C84" s="789" t="s">
        <v>13491</v>
      </c>
    </row>
    <row r="85" spans="1:4">
      <c r="A85" s="789" t="s">
        <v>6483</v>
      </c>
      <c r="B85" s="791" t="s">
        <v>13519</v>
      </c>
      <c r="C85" s="789" t="s">
        <v>13520</v>
      </c>
    </row>
    <row r="86" spans="1:4">
      <c r="A86" s="789" t="s">
        <v>6479</v>
      </c>
      <c r="B86" s="791" t="s">
        <v>13517</v>
      </c>
      <c r="C86" s="789" t="s">
        <v>10534</v>
      </c>
      <c r="D86" s="408" t="s">
        <v>13508</v>
      </c>
    </row>
    <row r="87" spans="1:4">
      <c r="A87" s="789" t="s">
        <v>6471</v>
      </c>
      <c r="B87" s="791" t="s">
        <v>13517</v>
      </c>
      <c r="C87" s="789" t="s">
        <v>10534</v>
      </c>
      <c r="D87" s="408" t="s">
        <v>13508</v>
      </c>
    </row>
    <row r="88" spans="1:4">
      <c r="A88" s="767" t="s">
        <v>6459</v>
      </c>
      <c r="B88" s="788" t="s">
        <v>13517</v>
      </c>
      <c r="C88" s="767" t="s">
        <v>10534</v>
      </c>
    </row>
    <row r="89" spans="1:4">
      <c r="A89" s="789" t="s">
        <v>6456</v>
      </c>
      <c r="B89" s="791" t="s">
        <v>13517</v>
      </c>
      <c r="C89" s="789" t="s">
        <v>10534</v>
      </c>
      <c r="D89" s="408" t="s">
        <v>13508</v>
      </c>
    </row>
    <row r="90" spans="1:4">
      <c r="A90" s="789" t="s">
        <v>6454</v>
      </c>
      <c r="B90" s="791" t="s">
        <v>13517</v>
      </c>
      <c r="C90" s="789" t="s">
        <v>10534</v>
      </c>
      <c r="D90" s="408" t="s">
        <v>13508</v>
      </c>
    </row>
    <row r="91" spans="1:4">
      <c r="A91" s="789" t="s">
        <v>6436</v>
      </c>
      <c r="B91" s="791" t="s">
        <v>13517</v>
      </c>
      <c r="C91" s="789" t="s">
        <v>13491</v>
      </c>
    </row>
    <row r="92" spans="1:4">
      <c r="A92" s="789" t="s">
        <v>6430</v>
      </c>
      <c r="B92" s="791" t="s">
        <v>13517</v>
      </c>
      <c r="C92" s="789" t="s">
        <v>10534</v>
      </c>
      <c r="D92" s="408" t="s">
        <v>13508</v>
      </c>
    </row>
    <row r="93" spans="1:4">
      <c r="A93" s="789" t="s">
        <v>6416</v>
      </c>
      <c r="B93" s="791" t="s">
        <v>13517</v>
      </c>
      <c r="C93" s="789" t="s">
        <v>10534</v>
      </c>
      <c r="D93" s="408" t="s">
        <v>13508</v>
      </c>
    </row>
    <row r="94" spans="1:4">
      <c r="A94" s="789" t="s">
        <v>6414</v>
      </c>
      <c r="B94" s="791" t="s">
        <v>13517</v>
      </c>
      <c r="C94" s="789" t="s">
        <v>10534</v>
      </c>
      <c r="D94" s="408" t="s">
        <v>13508</v>
      </c>
    </row>
    <row r="95" spans="1:4">
      <c r="A95" s="789" t="s">
        <v>6412</v>
      </c>
      <c r="B95" s="791" t="s">
        <v>13517</v>
      </c>
      <c r="C95" s="789" t="s">
        <v>13515</v>
      </c>
      <c r="D95" s="408"/>
    </row>
    <row r="96" spans="1:4">
      <c r="A96" s="767" t="s">
        <v>6406</v>
      </c>
      <c r="B96" s="788" t="s">
        <v>13517</v>
      </c>
      <c r="C96" s="767" t="s">
        <v>10534</v>
      </c>
    </row>
    <row r="97" spans="1:4">
      <c r="A97" s="767" t="s">
        <v>6398</v>
      </c>
      <c r="B97" s="788" t="s">
        <v>13517</v>
      </c>
      <c r="C97" s="767" t="s">
        <v>10534</v>
      </c>
    </row>
    <row r="98" spans="1:4">
      <c r="A98" s="789" t="s">
        <v>6394</v>
      </c>
      <c r="B98" s="791" t="s">
        <v>13517</v>
      </c>
      <c r="C98" s="789" t="s">
        <v>10534</v>
      </c>
      <c r="D98" s="408" t="s">
        <v>13508</v>
      </c>
    </row>
    <row r="99" spans="1:4">
      <c r="A99" s="789" t="s">
        <v>6386</v>
      </c>
      <c r="B99" s="792" t="s">
        <v>13517</v>
      </c>
      <c r="C99" s="793" t="s">
        <v>10534</v>
      </c>
      <c r="D99" s="408" t="s">
        <v>13508</v>
      </c>
    </row>
    <row r="100" spans="1:4">
      <c r="A100" s="791" t="s">
        <v>6380</v>
      </c>
      <c r="B100" s="789" t="s">
        <v>13517</v>
      </c>
      <c r="C100" s="789" t="s">
        <v>10534</v>
      </c>
      <c r="D100" s="408" t="s">
        <v>13508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59450-9AEC-437A-9E12-89A6F3D6C6DC}">
  <dimension ref="A1:C18"/>
  <sheetViews>
    <sheetView workbookViewId="0">
      <selection activeCell="A13" sqref="A13"/>
    </sheetView>
  </sheetViews>
  <sheetFormatPr defaultRowHeight="15"/>
  <cols>
    <col min="1" max="1" width="30.28515625" bestFit="1" customWidth="1"/>
    <col min="2" max="2" width="29" bestFit="1" customWidth="1"/>
    <col min="3" max="3" width="33.5703125" customWidth="1"/>
  </cols>
  <sheetData>
    <row r="1" spans="1:3">
      <c r="A1" s="767" t="s">
        <v>2756</v>
      </c>
      <c r="B1" s="788" t="s">
        <v>12305</v>
      </c>
      <c r="C1" s="767" t="s">
        <v>13479</v>
      </c>
    </row>
    <row r="2" spans="1:3">
      <c r="A2" s="789" t="s">
        <v>7287</v>
      </c>
      <c r="B2" s="791" t="s">
        <v>13521</v>
      </c>
      <c r="C2" s="789" t="s">
        <v>13522</v>
      </c>
    </row>
    <row r="3" spans="1:3">
      <c r="A3" s="789" t="s">
        <v>7102</v>
      </c>
      <c r="B3" s="791" t="s">
        <v>13521</v>
      </c>
      <c r="C3" s="789" t="s">
        <v>13522</v>
      </c>
    </row>
    <row r="4" spans="1:3">
      <c r="A4" s="789" t="s">
        <v>7016</v>
      </c>
      <c r="B4" s="791" t="s">
        <v>13521</v>
      </c>
      <c r="C4" s="789" t="s">
        <v>13523</v>
      </c>
    </row>
    <row r="5" spans="1:3">
      <c r="A5" s="789" t="s">
        <v>6823</v>
      </c>
      <c r="B5" s="791" t="s">
        <v>13521</v>
      </c>
      <c r="C5" s="789" t="s">
        <v>13491</v>
      </c>
    </row>
    <row r="6" spans="1:3">
      <c r="A6" s="789" t="s">
        <v>6794</v>
      </c>
      <c r="B6" s="791" t="s">
        <v>13521</v>
      </c>
      <c r="C6" s="789" t="s">
        <v>13524</v>
      </c>
    </row>
    <row r="7" spans="1:3">
      <c r="A7" s="789" t="s">
        <v>6770</v>
      </c>
      <c r="B7" s="791" t="s">
        <v>13521</v>
      </c>
      <c r="C7" s="789" t="s">
        <v>13522</v>
      </c>
    </row>
    <row r="8" spans="1:3">
      <c r="A8" s="789" t="s">
        <v>6752</v>
      </c>
      <c r="B8" s="791" t="s">
        <v>13521</v>
      </c>
      <c r="C8" s="789" t="s">
        <v>13524</v>
      </c>
    </row>
    <row r="9" spans="1:3">
      <c r="A9" s="789" t="s">
        <v>6693</v>
      </c>
      <c r="B9" s="791" t="s">
        <v>13521</v>
      </c>
      <c r="C9" s="789" t="s">
        <v>13522</v>
      </c>
    </row>
    <row r="10" spans="1:3">
      <c r="A10" s="789" t="s">
        <v>6571</v>
      </c>
      <c r="B10" s="791" t="s">
        <v>13525</v>
      </c>
      <c r="C10" s="789" t="s">
        <v>13491</v>
      </c>
    </row>
    <row r="11" spans="1:3">
      <c r="A11" s="789" t="s">
        <v>6559</v>
      </c>
      <c r="B11" s="791" t="s">
        <v>13525</v>
      </c>
      <c r="C11" s="789" t="s">
        <v>13491</v>
      </c>
    </row>
    <row r="12" spans="1:3">
      <c r="A12" s="789" t="s">
        <v>6537</v>
      </c>
      <c r="B12" s="791" t="s">
        <v>13525</v>
      </c>
      <c r="C12" s="789" t="s">
        <v>13491</v>
      </c>
    </row>
    <row r="13" spans="1:3">
      <c r="A13" s="789" t="s">
        <v>6400</v>
      </c>
      <c r="B13" s="791" t="s">
        <v>13525</v>
      </c>
      <c r="C13" s="789" t="s">
        <v>13491</v>
      </c>
    </row>
    <row r="14" spans="1:3">
      <c r="A14" s="790" t="s">
        <v>12530</v>
      </c>
      <c r="B14" s="794" t="s">
        <v>13525</v>
      </c>
      <c r="C14" s="790" t="s">
        <v>8929</v>
      </c>
    </row>
    <row r="15" spans="1:3">
      <c r="A15" s="789" t="s">
        <v>6368</v>
      </c>
      <c r="B15" s="791" t="s">
        <v>13521</v>
      </c>
      <c r="C15" s="789" t="s">
        <v>13522</v>
      </c>
    </row>
    <row r="16" spans="1:3">
      <c r="A16" s="789" t="s">
        <v>6358</v>
      </c>
      <c r="B16" s="791" t="s">
        <v>13521</v>
      </c>
      <c r="C16" s="789" t="s">
        <v>13522</v>
      </c>
    </row>
    <row r="17" spans="1:3">
      <c r="A17" s="789" t="s">
        <v>6348</v>
      </c>
      <c r="B17" s="791" t="s">
        <v>13521</v>
      </c>
      <c r="C17" s="789" t="s">
        <v>13522</v>
      </c>
    </row>
    <row r="18" spans="1:3">
      <c r="A18" s="789" t="s">
        <v>6346</v>
      </c>
      <c r="B18" s="791" t="s">
        <v>13521</v>
      </c>
      <c r="C18" s="789" t="s">
        <v>13522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A78D7-7671-479E-86C6-0C67807311FF}">
  <dimension ref="A1:C12"/>
  <sheetViews>
    <sheetView workbookViewId="0">
      <selection activeCell="A11" sqref="A11:C12"/>
    </sheetView>
  </sheetViews>
  <sheetFormatPr defaultRowHeight="15"/>
  <cols>
    <col min="1" max="1" width="33.5703125" customWidth="1"/>
    <col min="2" max="2" width="29" bestFit="1" customWidth="1"/>
    <col min="3" max="3" width="26.5703125" customWidth="1"/>
  </cols>
  <sheetData>
    <row r="1" spans="1:3">
      <c r="A1" s="767" t="s">
        <v>2756</v>
      </c>
      <c r="B1" s="767" t="s">
        <v>12305</v>
      </c>
      <c r="C1" s="767" t="s">
        <v>13479</v>
      </c>
    </row>
    <row r="2" spans="1:3">
      <c r="A2" s="767" t="s">
        <v>13526</v>
      </c>
      <c r="B2" s="767" t="s">
        <v>13527</v>
      </c>
      <c r="C2" s="767" t="s">
        <v>8929</v>
      </c>
    </row>
    <row r="3" spans="1:3">
      <c r="A3" s="767" t="s">
        <v>4446</v>
      </c>
      <c r="B3" s="767" t="s">
        <v>13527</v>
      </c>
      <c r="C3" s="767" t="s">
        <v>8929</v>
      </c>
    </row>
    <row r="4" spans="1:3">
      <c r="A4" s="789" t="s">
        <v>7106</v>
      </c>
      <c r="B4" s="789" t="s">
        <v>13527</v>
      </c>
      <c r="C4" s="789" t="s">
        <v>13528</v>
      </c>
    </row>
    <row r="5" spans="1:3">
      <c r="A5" s="767" t="s">
        <v>6554</v>
      </c>
      <c r="B5" s="767" t="s">
        <v>13527</v>
      </c>
      <c r="C5" s="767" t="s">
        <v>8929</v>
      </c>
    </row>
    <row r="6" spans="1:3">
      <c r="A6" s="767" t="s">
        <v>6798</v>
      </c>
      <c r="B6" s="767" t="s">
        <v>13529</v>
      </c>
      <c r="C6" s="767" t="s">
        <v>8929</v>
      </c>
    </row>
    <row r="7" spans="1:3">
      <c r="A7" s="789" t="s">
        <v>6683</v>
      </c>
      <c r="B7" s="789" t="s">
        <v>13527</v>
      </c>
      <c r="C7" s="789" t="s">
        <v>13530</v>
      </c>
    </row>
    <row r="8" spans="1:3">
      <c r="A8" s="767" t="s">
        <v>6554</v>
      </c>
      <c r="B8" s="767" t="s">
        <v>13527</v>
      </c>
      <c r="C8" s="767" t="s">
        <v>8929</v>
      </c>
    </row>
    <row r="9" spans="1:3">
      <c r="A9" s="767" t="s">
        <v>4446</v>
      </c>
      <c r="B9" s="767" t="s">
        <v>13527</v>
      </c>
      <c r="C9" s="767" t="s">
        <v>8929</v>
      </c>
    </row>
    <row r="10" spans="1:3">
      <c r="A10" s="793" t="s">
        <v>6324</v>
      </c>
      <c r="B10" s="793" t="s">
        <v>13527</v>
      </c>
      <c r="C10" s="793" t="s">
        <v>13530</v>
      </c>
    </row>
    <row r="11" spans="1:3">
      <c r="A11" s="767" t="s">
        <v>13169</v>
      </c>
      <c r="B11" s="767" t="s">
        <v>13529</v>
      </c>
      <c r="C11" s="767"/>
    </row>
    <row r="12" spans="1:3">
      <c r="A12" s="767" t="s">
        <v>13531</v>
      </c>
      <c r="B12" s="767" t="s">
        <v>13529</v>
      </c>
      <c r="C12" s="767"/>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1368C-7986-484F-80A6-EF169C8EEB2F}">
  <dimension ref="A1:F19"/>
  <sheetViews>
    <sheetView workbookViewId="0">
      <selection activeCell="A2" sqref="A2"/>
    </sheetView>
  </sheetViews>
  <sheetFormatPr defaultRowHeight="15"/>
  <cols>
    <col min="1" max="1" width="36.42578125" customWidth="1"/>
    <col min="6" max="6" width="18.85546875" customWidth="1"/>
  </cols>
  <sheetData>
    <row r="1" spans="1:6">
      <c r="A1" s="767" t="s">
        <v>2756</v>
      </c>
      <c r="B1" s="149" t="s">
        <v>12305</v>
      </c>
      <c r="C1" s="767"/>
      <c r="D1" s="767"/>
      <c r="E1" s="149"/>
      <c r="F1" s="149" t="s">
        <v>13479</v>
      </c>
    </row>
    <row r="2" spans="1:6">
      <c r="A2" s="767" t="s">
        <v>6601</v>
      </c>
      <c r="B2" s="767" t="s">
        <v>13532</v>
      </c>
      <c r="C2" s="767"/>
      <c r="D2" s="767"/>
      <c r="E2" s="149"/>
      <c r="F2" s="149"/>
    </row>
    <row r="3" spans="1:6">
      <c r="A3" s="767" t="s">
        <v>6565</v>
      </c>
      <c r="B3" s="767" t="s">
        <v>13532</v>
      </c>
      <c r="C3" s="767"/>
      <c r="D3" s="767"/>
      <c r="E3" s="149"/>
      <c r="F3" s="149"/>
    </row>
    <row r="4" spans="1:6">
      <c r="A4" s="767" t="s">
        <v>6561</v>
      </c>
      <c r="B4" s="767" t="s">
        <v>13532</v>
      </c>
      <c r="C4" s="767"/>
      <c r="D4" s="767"/>
      <c r="E4" s="149"/>
      <c r="F4" s="149"/>
    </row>
    <row r="5" spans="1:6">
      <c r="A5" s="767" t="s">
        <v>6542</v>
      </c>
      <c r="B5" s="767" t="s">
        <v>13532</v>
      </c>
      <c r="C5" s="767"/>
      <c r="D5" s="767"/>
      <c r="E5" s="149"/>
      <c r="F5" s="149"/>
    </row>
    <row r="6" spans="1:6">
      <c r="A6" s="767" t="s">
        <v>6525</v>
      </c>
      <c r="B6" s="767" t="s">
        <v>13532</v>
      </c>
      <c r="C6" s="767"/>
      <c r="D6" s="767"/>
      <c r="E6" s="149"/>
      <c r="F6" s="149"/>
    </row>
    <row r="7" spans="1:6">
      <c r="A7" s="767" t="s">
        <v>13533</v>
      </c>
      <c r="B7" s="767" t="s">
        <v>13532</v>
      </c>
      <c r="C7" s="767"/>
      <c r="D7" s="767"/>
      <c r="E7" s="149"/>
      <c r="F7" s="149"/>
    </row>
    <row r="8" spans="1:6">
      <c r="A8" s="767" t="s">
        <v>6465</v>
      </c>
      <c r="B8" s="767" t="s">
        <v>13532</v>
      </c>
      <c r="C8" s="767"/>
      <c r="D8" s="767"/>
      <c r="E8" s="149"/>
      <c r="F8" s="149"/>
    </row>
    <row r="9" spans="1:6">
      <c r="A9" s="767" t="s">
        <v>6483</v>
      </c>
      <c r="B9" s="767" t="s">
        <v>13532</v>
      </c>
      <c r="C9" s="767"/>
      <c r="D9" s="767"/>
      <c r="E9" s="149"/>
      <c r="F9" s="149"/>
    </row>
    <row r="10" spans="1:6">
      <c r="A10" s="767" t="s">
        <v>6465</v>
      </c>
      <c r="B10" s="767" t="s">
        <v>13532</v>
      </c>
      <c r="C10" s="767"/>
      <c r="D10" s="767"/>
      <c r="E10" s="149"/>
      <c r="F10" s="149"/>
    </row>
    <row r="11" spans="1:6">
      <c r="A11" s="767" t="s">
        <v>6302</v>
      </c>
      <c r="B11" s="767" t="s">
        <v>13532</v>
      </c>
      <c r="C11" s="767"/>
      <c r="D11" s="767"/>
      <c r="E11" s="149"/>
      <c r="F11" s="149"/>
    </row>
    <row r="12" spans="1:6">
      <c r="A12" s="767" t="s">
        <v>6410</v>
      </c>
      <c r="B12" s="767" t="s">
        <v>13532</v>
      </c>
      <c r="C12" s="767"/>
      <c r="D12" s="767"/>
      <c r="E12" s="149"/>
      <c r="F12" s="149"/>
    </row>
    <row r="13" spans="1:6">
      <c r="A13" s="767" t="s">
        <v>6302</v>
      </c>
      <c r="B13" s="767" t="s">
        <v>13532</v>
      </c>
      <c r="C13" s="767"/>
      <c r="D13" s="767"/>
      <c r="E13" s="149"/>
      <c r="F13" s="149"/>
    </row>
    <row r="14" spans="1:6">
      <c r="A14" s="767" t="s">
        <v>13233</v>
      </c>
      <c r="B14" s="767" t="s">
        <v>13532</v>
      </c>
      <c r="C14" s="767"/>
      <c r="D14" s="767"/>
      <c r="E14" s="149"/>
      <c r="F14" s="149"/>
    </row>
    <row r="15" spans="1:6">
      <c r="A15" s="767" t="s">
        <v>13270</v>
      </c>
      <c r="B15" s="767" t="s">
        <v>13532</v>
      </c>
      <c r="C15" s="767"/>
      <c r="D15" s="767"/>
      <c r="E15" s="149"/>
      <c r="F15" s="149"/>
    </row>
    <row r="16" spans="1:6">
      <c r="A16" s="767" t="s">
        <v>6322</v>
      </c>
      <c r="B16" s="767" t="s">
        <v>13532</v>
      </c>
      <c r="C16" s="767"/>
      <c r="D16" s="767"/>
      <c r="E16" s="149"/>
      <c r="F16" s="149"/>
    </row>
    <row r="17" spans="1:6">
      <c r="A17" s="767" t="s">
        <v>6320</v>
      </c>
      <c r="B17" s="767" t="s">
        <v>13532</v>
      </c>
      <c r="C17" s="767"/>
      <c r="D17" s="767"/>
      <c r="E17" s="149"/>
      <c r="F17" s="149"/>
    </row>
    <row r="18" spans="1:6">
      <c r="A18" s="767" t="s">
        <v>6262</v>
      </c>
      <c r="B18" s="767" t="s">
        <v>13532</v>
      </c>
      <c r="C18" s="787"/>
      <c r="D18" s="767"/>
      <c r="E18" s="149"/>
      <c r="F18" s="149"/>
    </row>
    <row r="19" spans="1:6">
      <c r="A19" s="767" t="s">
        <v>6302</v>
      </c>
      <c r="B19" s="788" t="s">
        <v>13532</v>
      </c>
      <c r="C19" s="767"/>
      <c r="D19" s="795"/>
      <c r="E19" s="149"/>
      <c r="F19" s="149"/>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3351F-FA43-4723-9013-E0A9C54C5231}">
  <dimension ref="A2:C8"/>
  <sheetViews>
    <sheetView workbookViewId="0">
      <selection activeCell="P19" sqref="P19"/>
    </sheetView>
  </sheetViews>
  <sheetFormatPr defaultRowHeight="15"/>
  <cols>
    <col min="1" max="1" width="24.85546875" bestFit="1" customWidth="1"/>
  </cols>
  <sheetData>
    <row r="2" spans="1:3">
      <c r="A2" t="s">
        <v>7543</v>
      </c>
    </row>
    <row r="3" spans="1:3">
      <c r="B3" t="s">
        <v>7543</v>
      </c>
      <c r="C3" t="s">
        <v>4357</v>
      </c>
    </row>
    <row r="4" spans="1:3">
      <c r="A4" t="s">
        <v>10896</v>
      </c>
      <c r="B4">
        <v>497</v>
      </c>
      <c r="C4">
        <v>189</v>
      </c>
    </row>
    <row r="5" spans="1:3">
      <c r="A5" t="s">
        <v>13534</v>
      </c>
      <c r="B5">
        <v>287</v>
      </c>
      <c r="C5">
        <v>125</v>
      </c>
    </row>
    <row r="6" spans="1:3">
      <c r="A6" t="s">
        <v>13535</v>
      </c>
      <c r="B6">
        <v>28</v>
      </c>
      <c r="C6">
        <v>4</v>
      </c>
    </row>
    <row r="7" spans="1:3">
      <c r="A7" t="s">
        <v>13536</v>
      </c>
      <c r="B7">
        <v>26</v>
      </c>
      <c r="C7">
        <v>7</v>
      </c>
    </row>
    <row r="8" spans="1:3">
      <c r="A8" t="s">
        <v>13537</v>
      </c>
      <c r="B8">
        <v>68</v>
      </c>
      <c r="C8">
        <v>26</v>
      </c>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3CCAD-F01F-4E54-98DE-2CF51A7F79BF}">
  <dimension ref="A1:J46"/>
  <sheetViews>
    <sheetView topLeftCell="C31" workbookViewId="0">
      <selection activeCell="L53" sqref="L53"/>
    </sheetView>
  </sheetViews>
  <sheetFormatPr defaultRowHeight="15" customHeight="1"/>
  <cols>
    <col min="1" max="1" width="11.7109375" bestFit="1" customWidth="1"/>
    <col min="2" max="2" width="29.42578125" bestFit="1" customWidth="1"/>
    <col min="3" max="3" width="24.7109375" bestFit="1" customWidth="1"/>
    <col min="4" max="4" width="9.85546875" bestFit="1" customWidth="1"/>
    <col min="5" max="5" width="11.140625" customWidth="1"/>
  </cols>
  <sheetData>
    <row r="1" spans="1:10" ht="15" customHeight="1">
      <c r="A1" s="822" t="s">
        <v>13538</v>
      </c>
      <c r="B1" s="822"/>
      <c r="C1" s="822"/>
      <c r="D1" s="822"/>
    </row>
    <row r="2" spans="1:10">
      <c r="A2" s="545">
        <v>44866</v>
      </c>
      <c r="B2" s="262" t="s">
        <v>5746</v>
      </c>
      <c r="C2" s="262" t="s">
        <v>10401</v>
      </c>
      <c r="D2" s="464">
        <v>79.900000000000006</v>
      </c>
      <c r="F2">
        <f>COUNTIF(D:D,79.9)</f>
        <v>26</v>
      </c>
      <c r="G2">
        <v>79.900000000000006</v>
      </c>
    </row>
    <row r="3" spans="1:10">
      <c r="A3" s="545">
        <v>44866</v>
      </c>
      <c r="B3" s="262" t="s">
        <v>10402</v>
      </c>
      <c r="C3" s="262" t="s">
        <v>10394</v>
      </c>
      <c r="D3" s="464">
        <v>99.9</v>
      </c>
      <c r="F3">
        <f>COUNTIF(D:D,114.9)</f>
        <v>3</v>
      </c>
      <c r="G3">
        <v>114.9</v>
      </c>
    </row>
    <row r="4" spans="1:10">
      <c r="A4" s="545">
        <v>44868</v>
      </c>
      <c r="B4" s="262" t="s">
        <v>5750</v>
      </c>
      <c r="C4" s="262" t="s">
        <v>10401</v>
      </c>
      <c r="D4" s="464">
        <v>79.900000000000006</v>
      </c>
      <c r="F4">
        <f>COUNTIF(D:D,99.9)</f>
        <v>13</v>
      </c>
      <c r="G4">
        <v>99.9</v>
      </c>
    </row>
    <row r="5" spans="1:10">
      <c r="A5" s="545">
        <v>44869</v>
      </c>
      <c r="B5" s="262" t="s">
        <v>10403</v>
      </c>
      <c r="C5" s="262" t="s">
        <v>10401</v>
      </c>
      <c r="D5" s="464">
        <v>79.900000000000006</v>
      </c>
    </row>
    <row r="6" spans="1:10">
      <c r="A6" s="545">
        <v>44872</v>
      </c>
      <c r="B6" s="262" t="s">
        <v>10404</v>
      </c>
      <c r="C6" s="262" t="s">
        <v>10394</v>
      </c>
      <c r="D6" s="464">
        <v>79.900000000000006</v>
      </c>
    </row>
    <row r="7" spans="1:10">
      <c r="A7" s="545">
        <v>44872</v>
      </c>
      <c r="B7" s="262" t="s">
        <v>10405</v>
      </c>
      <c r="C7" s="262" t="s">
        <v>10406</v>
      </c>
      <c r="D7" s="464">
        <v>79.900000000000006</v>
      </c>
      <c r="F7">
        <f>SUM(F2:F4)</f>
        <v>42</v>
      </c>
    </row>
    <row r="8" spans="1:10">
      <c r="A8" s="545">
        <v>44872</v>
      </c>
      <c r="B8" s="262" t="s">
        <v>10407</v>
      </c>
      <c r="C8" s="262" t="s">
        <v>10408</v>
      </c>
      <c r="D8" s="464">
        <v>79.900000000000006</v>
      </c>
    </row>
    <row r="9" spans="1:10">
      <c r="A9" s="545">
        <v>44874</v>
      </c>
      <c r="B9" s="467" t="s">
        <v>5766</v>
      </c>
      <c r="C9" s="262" t="s">
        <v>10410</v>
      </c>
      <c r="D9" s="464">
        <v>114.9</v>
      </c>
    </row>
    <row r="10" spans="1:10">
      <c r="A10" s="545">
        <v>44875</v>
      </c>
      <c r="B10" s="262" t="s">
        <v>10413</v>
      </c>
      <c r="C10" s="262" t="s">
        <v>10401</v>
      </c>
      <c r="D10" s="464">
        <v>79.900000000000006</v>
      </c>
    </row>
    <row r="11" spans="1:10">
      <c r="A11" s="545">
        <v>44875</v>
      </c>
      <c r="B11" s="262" t="s">
        <v>10413</v>
      </c>
      <c r="C11" s="262" t="s">
        <v>10401</v>
      </c>
      <c r="D11" s="464">
        <v>79.900000000000006</v>
      </c>
    </row>
    <row r="12" spans="1:10">
      <c r="A12" s="545">
        <v>44879</v>
      </c>
      <c r="B12" s="262" t="s">
        <v>10416</v>
      </c>
      <c r="C12" s="262" t="s">
        <v>10401</v>
      </c>
      <c r="D12" s="464">
        <v>79.900000000000006</v>
      </c>
    </row>
    <row r="13" spans="1:10">
      <c r="A13" s="545">
        <v>44879</v>
      </c>
      <c r="B13" s="262" t="s">
        <v>10417</v>
      </c>
      <c r="C13" s="262" t="s">
        <v>10418</v>
      </c>
      <c r="D13" s="464">
        <v>79.900000000000006</v>
      </c>
      <c r="J13" s="260"/>
    </row>
    <row r="14" spans="1:10">
      <c r="A14" s="545">
        <v>44879</v>
      </c>
      <c r="B14" s="262" t="s">
        <v>10419</v>
      </c>
      <c r="C14" s="262" t="s">
        <v>10420</v>
      </c>
      <c r="D14" s="464">
        <v>79.900000000000006</v>
      </c>
      <c r="J14" s="260"/>
    </row>
    <row r="15" spans="1:10">
      <c r="A15" s="545">
        <v>44881</v>
      </c>
      <c r="B15" s="262" t="s">
        <v>10421</v>
      </c>
      <c r="C15" s="262" t="s">
        <v>10406</v>
      </c>
      <c r="D15" s="464">
        <v>79.900000000000006</v>
      </c>
      <c r="J15" s="260"/>
    </row>
    <row r="16" spans="1:10">
      <c r="A16" s="545">
        <v>44883</v>
      </c>
      <c r="B16" s="262" t="s">
        <v>10425</v>
      </c>
      <c r="C16" s="262" t="s">
        <v>10426</v>
      </c>
      <c r="D16" s="464">
        <v>79.900000000000006</v>
      </c>
      <c r="J16" s="260"/>
    </row>
    <row r="17" spans="1:10">
      <c r="A17" s="545">
        <v>44883</v>
      </c>
      <c r="B17" s="262" t="s">
        <v>5782</v>
      </c>
      <c r="C17" s="262" t="s">
        <v>10410</v>
      </c>
      <c r="D17" s="464">
        <v>79.900000000000006</v>
      </c>
      <c r="J17" s="260"/>
    </row>
    <row r="18" spans="1:10">
      <c r="A18" s="545">
        <v>44883</v>
      </c>
      <c r="B18" s="262" t="s">
        <v>5788</v>
      </c>
      <c r="C18" s="262" t="s">
        <v>10406</v>
      </c>
      <c r="D18" s="464">
        <v>99.9</v>
      </c>
      <c r="J18" s="260"/>
    </row>
    <row r="19" spans="1:10">
      <c r="A19" s="545">
        <v>44886</v>
      </c>
      <c r="B19" s="262" t="s">
        <v>10428</v>
      </c>
      <c r="C19" s="262" t="s">
        <v>10401</v>
      </c>
      <c r="D19" s="464">
        <v>79.900000000000006</v>
      </c>
      <c r="J19" s="260"/>
    </row>
    <row r="20" spans="1:10">
      <c r="A20" s="545">
        <v>44887</v>
      </c>
      <c r="B20" s="262" t="s">
        <v>10429</v>
      </c>
      <c r="C20" s="262" t="s">
        <v>10430</v>
      </c>
      <c r="D20" s="464">
        <v>99.9</v>
      </c>
      <c r="J20" s="260"/>
    </row>
    <row r="21" spans="1:10">
      <c r="A21" s="545">
        <v>44887</v>
      </c>
      <c r="B21" s="262" t="s">
        <v>10431</v>
      </c>
      <c r="C21" s="262" t="s">
        <v>10420</v>
      </c>
      <c r="D21" s="464">
        <v>79.900000000000006</v>
      </c>
      <c r="J21" s="260"/>
    </row>
    <row r="22" spans="1:10">
      <c r="A22" s="545">
        <v>44888</v>
      </c>
      <c r="B22" s="262" t="s">
        <v>5801</v>
      </c>
      <c r="C22" s="262" t="s">
        <v>10406</v>
      </c>
      <c r="D22" s="464">
        <v>79.900000000000006</v>
      </c>
      <c r="J22" s="260"/>
    </row>
    <row r="23" spans="1:10">
      <c r="A23" s="545">
        <v>44889</v>
      </c>
      <c r="B23" s="262" t="s">
        <v>10434</v>
      </c>
      <c r="C23" s="262" t="s">
        <v>10394</v>
      </c>
      <c r="D23" s="464">
        <v>79.900000000000006</v>
      </c>
      <c r="J23" s="260"/>
    </row>
    <row r="24" spans="1:10">
      <c r="A24" s="545">
        <v>44889</v>
      </c>
      <c r="B24" s="262" t="s">
        <v>10435</v>
      </c>
      <c r="C24" s="262" t="s">
        <v>10394</v>
      </c>
      <c r="D24" s="464">
        <v>114.9</v>
      </c>
      <c r="J24" s="260"/>
    </row>
    <row r="25" spans="1:10">
      <c r="A25" s="545">
        <v>44891</v>
      </c>
      <c r="B25" s="262" t="s">
        <v>3409</v>
      </c>
      <c r="C25" s="262" t="s">
        <v>10401</v>
      </c>
      <c r="D25" s="464">
        <v>114.9</v>
      </c>
      <c r="J25" s="260"/>
    </row>
    <row r="26" spans="1:10">
      <c r="A26" s="545">
        <v>44891</v>
      </c>
      <c r="B26" s="262" t="s">
        <v>5216</v>
      </c>
      <c r="C26" s="262" t="s">
        <v>10394</v>
      </c>
      <c r="D26" s="464">
        <v>79.900000000000006</v>
      </c>
      <c r="J26" s="260"/>
    </row>
    <row r="27" spans="1:10">
      <c r="A27" s="545">
        <v>44895</v>
      </c>
      <c r="B27" s="467" t="s">
        <v>10440</v>
      </c>
      <c r="C27" s="262" t="s">
        <v>10401</v>
      </c>
      <c r="D27" s="464">
        <v>99.9</v>
      </c>
      <c r="J27" s="260"/>
    </row>
    <row r="28" spans="1:10">
      <c r="A28" s="545">
        <v>44895</v>
      </c>
      <c r="B28" s="262" t="s">
        <v>13539</v>
      </c>
      <c r="C28" s="262" t="s">
        <v>10394</v>
      </c>
      <c r="D28" s="464">
        <v>99.9</v>
      </c>
    </row>
    <row r="29" spans="1:10">
      <c r="A29" s="289"/>
      <c r="B29" s="289"/>
      <c r="C29" s="289"/>
    </row>
    <row r="31" spans="1:10" ht="15" customHeight="1">
      <c r="A31" s="816" t="s">
        <v>13540</v>
      </c>
      <c r="B31" s="816"/>
      <c r="C31" s="816"/>
      <c r="D31" s="816"/>
    </row>
    <row r="32" spans="1:10" ht="15" customHeight="1">
      <c r="A32" s="545"/>
      <c r="B32" s="149" t="s">
        <v>10445</v>
      </c>
      <c r="C32" s="149" t="s">
        <v>10394</v>
      </c>
      <c r="D32" s="468">
        <v>99.9</v>
      </c>
      <c r="F32">
        <f>COUNTIF(D31:D46,79.9)</f>
        <v>7</v>
      </c>
      <c r="G32">
        <v>79.900000000000006</v>
      </c>
    </row>
    <row r="33" spans="1:7" ht="15" customHeight="1">
      <c r="A33" s="545"/>
      <c r="B33" s="149" t="s">
        <v>10447</v>
      </c>
      <c r="C33" s="149" t="s">
        <v>10401</v>
      </c>
      <c r="D33" s="468">
        <v>79.900000000000006</v>
      </c>
      <c r="F33">
        <f>COUNTIF(D32:D46,114.9)</f>
        <v>0</v>
      </c>
      <c r="G33">
        <v>114.9</v>
      </c>
    </row>
    <row r="34" spans="1:7" ht="15" customHeight="1">
      <c r="A34" s="545"/>
      <c r="B34" s="149" t="s">
        <v>10448</v>
      </c>
      <c r="C34" s="149" t="s">
        <v>10449</v>
      </c>
      <c r="D34" s="468">
        <v>79.900000000000006</v>
      </c>
      <c r="F34">
        <f>COUNTIF(D32:D46,99.9)</f>
        <v>8</v>
      </c>
      <c r="G34">
        <v>99.9</v>
      </c>
    </row>
    <row r="35" spans="1:7" ht="15" customHeight="1">
      <c r="A35" s="545"/>
      <c r="B35" s="149" t="s">
        <v>5823</v>
      </c>
      <c r="C35" s="149" t="s">
        <v>10449</v>
      </c>
      <c r="D35" s="468">
        <v>79.900000000000006</v>
      </c>
    </row>
    <row r="36" spans="1:7" ht="15" customHeight="1">
      <c r="A36" s="545"/>
      <c r="B36" s="149" t="s">
        <v>10452</v>
      </c>
      <c r="C36" s="149" t="s">
        <v>10449</v>
      </c>
      <c r="D36" s="468">
        <v>99.9</v>
      </c>
    </row>
    <row r="37" spans="1:7">
      <c r="A37" s="545"/>
      <c r="B37" s="149" t="s">
        <v>13541</v>
      </c>
      <c r="C37" s="149" t="s">
        <v>10455</v>
      </c>
      <c r="D37" s="468">
        <v>99.9</v>
      </c>
      <c r="F37">
        <f>SUM(F32:F34)</f>
        <v>15</v>
      </c>
    </row>
    <row r="38" spans="1:7" ht="15" customHeight="1">
      <c r="A38" s="545"/>
      <c r="B38" s="149" t="s">
        <v>10463</v>
      </c>
      <c r="C38" s="149" t="s">
        <v>10464</v>
      </c>
      <c r="D38" s="468">
        <v>99.9</v>
      </c>
    </row>
    <row r="39" spans="1:7" ht="15" customHeight="1">
      <c r="A39" s="545"/>
      <c r="B39" s="149" t="s">
        <v>5835</v>
      </c>
      <c r="C39" s="149" t="s">
        <v>10449</v>
      </c>
      <c r="D39" s="468">
        <v>79.900000000000006</v>
      </c>
    </row>
    <row r="40" spans="1:7" ht="15" customHeight="1">
      <c r="A40" s="545"/>
      <c r="B40" s="149" t="s">
        <v>10466</v>
      </c>
      <c r="C40" s="149" t="s">
        <v>10464</v>
      </c>
      <c r="D40" s="468">
        <v>99.9</v>
      </c>
    </row>
    <row r="41" spans="1:7" ht="15" customHeight="1">
      <c r="A41" s="545"/>
      <c r="B41" s="149" t="s">
        <v>13542</v>
      </c>
      <c r="C41" s="149" t="s">
        <v>10464</v>
      </c>
      <c r="D41" s="468">
        <v>99.9</v>
      </c>
    </row>
    <row r="42" spans="1:7" ht="15" customHeight="1">
      <c r="A42" s="545"/>
      <c r="B42" s="149" t="s">
        <v>13543</v>
      </c>
      <c r="C42" s="149" t="s">
        <v>10464</v>
      </c>
      <c r="D42" s="468">
        <v>79.900000000000006</v>
      </c>
    </row>
    <row r="43" spans="1:7" ht="15" customHeight="1">
      <c r="A43" s="545"/>
      <c r="B43" s="149" t="s">
        <v>13544</v>
      </c>
      <c r="C43" s="149" t="s">
        <v>10464</v>
      </c>
      <c r="D43" s="468">
        <v>79.900000000000006</v>
      </c>
    </row>
    <row r="44" spans="1:7" ht="15" customHeight="1">
      <c r="A44" s="545"/>
      <c r="B44" s="149" t="s">
        <v>13545</v>
      </c>
      <c r="C44" s="149" t="s">
        <v>10461</v>
      </c>
      <c r="D44" s="468">
        <v>99.9</v>
      </c>
    </row>
    <row r="45" spans="1:7" ht="15" customHeight="1">
      <c r="A45" s="545"/>
      <c r="B45" s="149" t="s">
        <v>13546</v>
      </c>
      <c r="C45" s="149" t="s">
        <v>10464</v>
      </c>
      <c r="D45" s="468">
        <v>79.900000000000006</v>
      </c>
    </row>
    <row r="46" spans="1:7" ht="15" customHeight="1">
      <c r="A46" s="545"/>
      <c r="B46" s="149" t="s">
        <v>13547</v>
      </c>
      <c r="C46" s="149" t="s">
        <v>10464</v>
      </c>
      <c r="D46" s="468">
        <v>99.9</v>
      </c>
    </row>
  </sheetData>
  <mergeCells count="2">
    <mergeCell ref="A1:D1"/>
    <mergeCell ref="A31:D3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02F5A-000B-49B3-BC0A-A49A6B0B4EBE}">
  <dimension ref="A1:C227"/>
  <sheetViews>
    <sheetView topLeftCell="A175" workbookViewId="0">
      <selection activeCell="A175" sqref="A175"/>
    </sheetView>
  </sheetViews>
  <sheetFormatPr defaultRowHeight="15"/>
  <cols>
    <col min="1" max="1" width="48.85546875" bestFit="1" customWidth="1"/>
    <col min="2" max="2" width="12.7109375" bestFit="1" customWidth="1"/>
    <col min="3" max="3" width="22.5703125" bestFit="1" customWidth="1"/>
  </cols>
  <sheetData>
    <row r="1" spans="1:3">
      <c r="A1" s="149" t="s">
        <v>13548</v>
      </c>
      <c r="B1" s="295"/>
      <c r="C1" s="149"/>
    </row>
    <row r="2" spans="1:3">
      <c r="A2" s="149" t="s">
        <v>11676</v>
      </c>
      <c r="B2" s="423"/>
      <c r="C2" s="149"/>
    </row>
    <row r="3" spans="1:3">
      <c r="A3" s="149" t="s">
        <v>3714</v>
      </c>
      <c r="B3" s="149"/>
      <c r="C3" s="149"/>
    </row>
    <row r="4" spans="1:3">
      <c r="A4" s="149" t="s">
        <v>3726</v>
      </c>
      <c r="B4" s="424"/>
      <c r="C4" s="149"/>
    </row>
    <row r="5" spans="1:3">
      <c r="A5" s="149" t="s">
        <v>3091</v>
      </c>
      <c r="B5" s="295"/>
      <c r="C5" s="149"/>
    </row>
    <row r="6" spans="1:3">
      <c r="A6" s="149" t="s">
        <v>10211</v>
      </c>
      <c r="B6" s="295"/>
      <c r="C6" s="149"/>
    </row>
    <row r="7" spans="1:3">
      <c r="A7" s="149" t="s">
        <v>13549</v>
      </c>
      <c r="B7" s="295"/>
      <c r="C7" s="149"/>
    </row>
    <row r="8" spans="1:3">
      <c r="A8" s="149" t="s">
        <v>3672</v>
      </c>
      <c r="B8" s="295"/>
      <c r="C8" s="149"/>
    </row>
    <row r="9" spans="1:3">
      <c r="A9" s="149" t="s">
        <v>5554</v>
      </c>
      <c r="B9" s="295"/>
      <c r="C9" s="149"/>
    </row>
    <row r="10" spans="1:3">
      <c r="A10" s="149" t="s">
        <v>3693</v>
      </c>
      <c r="B10" s="295"/>
      <c r="C10" s="149"/>
    </row>
    <row r="11" spans="1:3">
      <c r="A11" s="149" t="s">
        <v>4050</v>
      </c>
      <c r="B11" s="295"/>
      <c r="C11" s="149"/>
    </row>
    <row r="12" spans="1:3">
      <c r="A12" s="149" t="s">
        <v>3774</v>
      </c>
      <c r="B12" s="295"/>
      <c r="C12" s="149"/>
    </row>
    <row r="13" spans="1:3">
      <c r="A13" s="149" t="s">
        <v>10262</v>
      </c>
      <c r="B13" s="295"/>
      <c r="C13" s="149"/>
    </row>
    <row r="14" spans="1:3">
      <c r="A14" s="149" t="s">
        <v>5577</v>
      </c>
      <c r="B14" s="295"/>
      <c r="C14" s="149"/>
    </row>
    <row r="15" spans="1:3">
      <c r="A15" t="s">
        <v>13550</v>
      </c>
      <c r="B15" s="295"/>
      <c r="C15" s="149"/>
    </row>
    <row r="16" spans="1:3">
      <c r="A16" s="149" t="s">
        <v>4957</v>
      </c>
      <c r="B16" s="295"/>
      <c r="C16" s="149"/>
    </row>
    <row r="17" spans="1:3">
      <c r="A17" s="149" t="s">
        <v>491</v>
      </c>
      <c r="B17" s="295"/>
      <c r="C17" s="149"/>
    </row>
    <row r="18" spans="1:3">
      <c r="A18" s="149" t="s">
        <v>2906</v>
      </c>
      <c r="B18" s="295"/>
      <c r="C18" s="149"/>
    </row>
    <row r="19" spans="1:3">
      <c r="A19" s="149" t="s">
        <v>4062</v>
      </c>
      <c r="B19" s="295"/>
      <c r="C19" s="149"/>
    </row>
    <row r="20" spans="1:3">
      <c r="A20" s="149" t="s">
        <v>13551</v>
      </c>
      <c r="B20" s="295"/>
      <c r="C20" s="149"/>
    </row>
    <row r="21" spans="1:3">
      <c r="A21" s="149" t="s">
        <v>3836</v>
      </c>
      <c r="B21" s="295"/>
      <c r="C21" s="149"/>
    </row>
    <row r="22" spans="1:3">
      <c r="A22" s="149" t="s">
        <v>3525</v>
      </c>
      <c r="B22" s="295"/>
      <c r="C22" s="149"/>
    </row>
    <row r="23" spans="1:3">
      <c r="A23" s="149" t="s">
        <v>3742</v>
      </c>
      <c r="B23" s="295"/>
      <c r="C23" s="149"/>
    </row>
    <row r="24" spans="1:3">
      <c r="A24" s="149" t="s">
        <v>4046</v>
      </c>
      <c r="B24" s="295"/>
      <c r="C24" s="149"/>
    </row>
    <row r="25" spans="1:3">
      <c r="A25" s="149" t="s">
        <v>3780</v>
      </c>
      <c r="B25" s="295"/>
      <c r="C25" s="149"/>
    </row>
    <row r="26" spans="1:3">
      <c r="A26" s="149" t="s">
        <v>3504</v>
      </c>
      <c r="B26" s="295"/>
      <c r="C26" s="149"/>
    </row>
    <row r="27" spans="1:3">
      <c r="A27" s="149" t="s">
        <v>3675</v>
      </c>
      <c r="B27" s="295"/>
      <c r="C27" s="149"/>
    </row>
    <row r="28" spans="1:3">
      <c r="A28" s="149" t="s">
        <v>3599</v>
      </c>
      <c r="B28" s="295"/>
      <c r="C28" s="149"/>
    </row>
    <row r="29" spans="1:3">
      <c r="A29" s="149" t="s">
        <v>3673</v>
      </c>
      <c r="B29" s="295"/>
      <c r="C29" s="149"/>
    </row>
    <row r="30" spans="1:3">
      <c r="A30" s="149" t="s">
        <v>3433</v>
      </c>
      <c r="B30" s="295"/>
      <c r="C30" s="149"/>
    </row>
    <row r="31" spans="1:3">
      <c r="A31" s="149" t="s">
        <v>3687</v>
      </c>
      <c r="B31" s="295"/>
      <c r="C31" s="149"/>
    </row>
    <row r="32" spans="1:3">
      <c r="A32" s="186" t="s">
        <v>4071</v>
      </c>
      <c r="B32" s="353"/>
      <c r="C32" s="186"/>
    </row>
    <row r="33" spans="1:3">
      <c r="A33" s="149" t="s">
        <v>2964</v>
      </c>
      <c r="B33" s="149"/>
      <c r="C33" s="149"/>
    </row>
    <row r="34" spans="1:3">
      <c r="A34" s="149" t="s">
        <v>4034</v>
      </c>
      <c r="B34" s="149"/>
      <c r="C34" s="149"/>
    </row>
    <row r="35" spans="1:3">
      <c r="A35" s="149" t="s">
        <v>3020</v>
      </c>
      <c r="B35" s="149"/>
      <c r="C35" s="149"/>
    </row>
    <row r="36" spans="1:3">
      <c r="A36" s="149" t="s">
        <v>3681</v>
      </c>
      <c r="B36" s="149"/>
      <c r="C36" s="149"/>
    </row>
    <row r="37" spans="1:3">
      <c r="A37" s="149" t="s">
        <v>3710</v>
      </c>
      <c r="B37" s="149"/>
      <c r="C37" s="149"/>
    </row>
    <row r="38" spans="1:3">
      <c r="A38" s="149" t="s">
        <v>4040</v>
      </c>
      <c r="B38" s="149"/>
      <c r="C38" s="149"/>
    </row>
    <row r="39" spans="1:3">
      <c r="A39" s="149" t="s">
        <v>1155</v>
      </c>
      <c r="B39" s="149"/>
      <c r="C39" s="149"/>
    </row>
    <row r="40" spans="1:3">
      <c r="A40" t="s">
        <v>4064</v>
      </c>
      <c r="B40" s="149"/>
      <c r="C40" s="149"/>
    </row>
    <row r="41" spans="1:3">
      <c r="A41" s="149" t="s">
        <v>3500</v>
      </c>
      <c r="B41" s="149"/>
      <c r="C41" s="149"/>
    </row>
    <row r="42" spans="1:3">
      <c r="A42" s="149" t="s">
        <v>5608</v>
      </c>
      <c r="B42" s="149"/>
      <c r="C42" s="149"/>
    </row>
    <row r="43" spans="1:3">
      <c r="A43" s="149" t="s">
        <v>13552</v>
      </c>
      <c r="B43" s="149"/>
      <c r="C43" s="149"/>
    </row>
    <row r="44" spans="1:3">
      <c r="A44" s="149" t="s">
        <v>5577</v>
      </c>
      <c r="B44" s="149"/>
      <c r="C44" s="149"/>
    </row>
    <row r="45" spans="1:3">
      <c r="A45" s="149" t="s">
        <v>3495</v>
      </c>
      <c r="B45" s="149"/>
      <c r="C45" s="149"/>
    </row>
    <row r="46" spans="1:3">
      <c r="A46" s="149" t="s">
        <v>1155</v>
      </c>
      <c r="B46" s="149"/>
      <c r="C46" s="149"/>
    </row>
    <row r="47" spans="1:3">
      <c r="A47" s="149" t="s">
        <v>10288</v>
      </c>
      <c r="B47" s="149"/>
      <c r="C47" s="149"/>
    </row>
    <row r="48" spans="1:3">
      <c r="A48" s="149" t="s">
        <v>3726</v>
      </c>
      <c r="B48" s="149"/>
      <c r="C48" s="149"/>
    </row>
    <row r="49" spans="1:3">
      <c r="A49" s="149" t="s">
        <v>3498</v>
      </c>
      <c r="B49" s="149"/>
      <c r="C49" s="149"/>
    </row>
    <row r="50" spans="1:3">
      <c r="A50" s="149" t="s">
        <v>3374</v>
      </c>
      <c r="B50" s="149"/>
      <c r="C50" s="149"/>
    </row>
    <row r="51" spans="1:3">
      <c r="A51" s="149" t="s">
        <v>3104</v>
      </c>
      <c r="B51" s="149"/>
      <c r="C51" s="149"/>
    </row>
    <row r="52" spans="1:3">
      <c r="A52" s="149" t="s">
        <v>4961</v>
      </c>
      <c r="B52" s="149"/>
      <c r="C52" s="149"/>
    </row>
    <row r="53" spans="1:3">
      <c r="A53" s="149" t="s">
        <v>5592</v>
      </c>
      <c r="B53" s="149"/>
      <c r="C53" s="149"/>
    </row>
    <row r="54" spans="1:3">
      <c r="A54" s="149" t="s">
        <v>3042</v>
      </c>
      <c r="B54" s="149"/>
      <c r="C54" s="149"/>
    </row>
    <row r="55" spans="1:3">
      <c r="A55" s="149" t="s">
        <v>3245</v>
      </c>
      <c r="B55" s="149"/>
      <c r="C55" s="149"/>
    </row>
    <row r="56" spans="1:3">
      <c r="A56" s="149" t="s">
        <v>3469</v>
      </c>
      <c r="B56" s="149"/>
      <c r="C56" s="149"/>
    </row>
    <row r="57" spans="1:3">
      <c r="A57" s="149" t="s">
        <v>3977</v>
      </c>
      <c r="B57" s="149"/>
      <c r="C57" s="149"/>
    </row>
    <row r="58" spans="1:3">
      <c r="A58" s="149" t="s">
        <v>3506</v>
      </c>
      <c r="B58" s="149"/>
      <c r="C58" s="149"/>
    </row>
    <row r="59" spans="1:3">
      <c r="A59" s="149" t="s">
        <v>3307</v>
      </c>
      <c r="B59" s="149"/>
      <c r="C59" s="149"/>
    </row>
    <row r="60" spans="1:3">
      <c r="A60" s="149" t="s">
        <v>3458</v>
      </c>
      <c r="B60" s="149"/>
      <c r="C60" s="149"/>
    </row>
    <row r="61" spans="1:3">
      <c r="A61" s="149" t="s">
        <v>10319</v>
      </c>
      <c r="B61" s="149"/>
      <c r="C61" s="149"/>
    </row>
    <row r="62" spans="1:3">
      <c r="A62" s="149" t="s">
        <v>3479</v>
      </c>
      <c r="B62" s="149"/>
      <c r="C62" s="149"/>
    </row>
    <row r="63" spans="1:3">
      <c r="A63" s="149" t="s">
        <v>3042</v>
      </c>
      <c r="B63" s="149"/>
      <c r="C63" s="149"/>
    </row>
    <row r="64" spans="1:3">
      <c r="A64" s="149" t="s">
        <v>3245</v>
      </c>
      <c r="B64" s="149"/>
      <c r="C64" s="149"/>
    </row>
    <row r="65" spans="1:3">
      <c r="A65" s="149" t="s">
        <v>3469</v>
      </c>
      <c r="B65" s="149"/>
      <c r="C65" s="149"/>
    </row>
    <row r="66" spans="1:3">
      <c r="A66" s="149" t="s">
        <v>3977</v>
      </c>
      <c r="B66" s="149"/>
      <c r="C66" s="149"/>
    </row>
    <row r="67" spans="1:3">
      <c r="A67" s="149" t="s">
        <v>4073</v>
      </c>
      <c r="B67" s="149"/>
      <c r="C67" s="149"/>
    </row>
    <row r="68" spans="1:3">
      <c r="A68" s="149" t="s">
        <v>4071</v>
      </c>
      <c r="B68" s="149"/>
      <c r="C68" s="149"/>
    </row>
    <row r="69" spans="1:3">
      <c r="A69" s="149" t="s">
        <v>3204</v>
      </c>
      <c r="B69" s="149"/>
      <c r="C69" s="149"/>
    </row>
    <row r="70" spans="1:3">
      <c r="A70" s="149" t="s">
        <v>3176</v>
      </c>
      <c r="B70" s="149"/>
      <c r="C70" s="149"/>
    </row>
    <row r="71" spans="1:3">
      <c r="A71" s="149" t="s">
        <v>3115</v>
      </c>
      <c r="B71" s="149"/>
      <c r="C71" s="149"/>
    </row>
    <row r="72" spans="1:3">
      <c r="A72" s="149" t="s">
        <v>3721</v>
      </c>
      <c r="B72" s="149"/>
      <c r="C72" s="149"/>
    </row>
    <row r="73" spans="1:3">
      <c r="A73" s="149" t="s">
        <v>3660</v>
      </c>
      <c r="B73" s="149"/>
      <c r="C73" s="149"/>
    </row>
    <row r="74" spans="1:3">
      <c r="A74" s="149" t="s">
        <v>10665</v>
      </c>
      <c r="B74" s="149"/>
      <c r="C74" s="149"/>
    </row>
    <row r="75" spans="1:3">
      <c r="A75" s="149" t="s">
        <v>3362</v>
      </c>
      <c r="B75" s="149"/>
      <c r="C75" s="149"/>
    </row>
    <row r="76" spans="1:3">
      <c r="A76" s="149" t="s">
        <v>5707</v>
      </c>
      <c r="B76" s="149"/>
      <c r="C76" s="149"/>
    </row>
    <row r="77" spans="1:3">
      <c r="A77" s="149" t="s">
        <v>5487</v>
      </c>
      <c r="B77" s="149"/>
      <c r="C77" s="149"/>
    </row>
    <row r="78" spans="1:3">
      <c r="A78" s="149" t="s">
        <v>3061</v>
      </c>
      <c r="B78" s="149"/>
      <c r="C78" s="149"/>
    </row>
    <row r="79" spans="1:3">
      <c r="A79" s="186" t="s">
        <v>5685</v>
      </c>
      <c r="B79" s="186"/>
      <c r="C79" s="186"/>
    </row>
    <row r="80" spans="1:3">
      <c r="A80" s="149" t="s">
        <v>3165</v>
      </c>
      <c r="B80" s="149"/>
      <c r="C80" s="149"/>
    </row>
    <row r="81" spans="1:3">
      <c r="A81" s="149" t="s">
        <v>5709</v>
      </c>
      <c r="B81" s="149"/>
      <c r="C81" s="149"/>
    </row>
    <row r="82" spans="1:3">
      <c r="A82" s="149" t="s">
        <v>10665</v>
      </c>
      <c r="B82" s="149"/>
      <c r="C82" s="149"/>
    </row>
    <row r="83" spans="1:3">
      <c r="A83" s="149" t="s">
        <v>3362</v>
      </c>
      <c r="B83" s="149"/>
      <c r="C83" s="149"/>
    </row>
    <row r="84" spans="1:3">
      <c r="A84" s="149" t="s">
        <v>5707</v>
      </c>
      <c r="B84" s="149"/>
      <c r="C84" s="149"/>
    </row>
    <row r="85" spans="1:3">
      <c r="A85" s="149" t="s">
        <v>3773</v>
      </c>
      <c r="B85" s="149"/>
      <c r="C85" s="149"/>
    </row>
    <row r="86" spans="1:3">
      <c r="A86" s="149" t="s">
        <v>3596</v>
      </c>
      <c r="B86" s="149"/>
      <c r="C86" s="149"/>
    </row>
    <row r="87" spans="1:3">
      <c r="A87" s="149" t="s">
        <v>3077</v>
      </c>
      <c r="B87" s="149"/>
      <c r="C87" s="149"/>
    </row>
    <row r="88" spans="1:3">
      <c r="A88" s="149" t="s">
        <v>10397</v>
      </c>
      <c r="B88" s="149"/>
      <c r="C88" s="149"/>
    </row>
    <row r="89" spans="1:3">
      <c r="A89" s="149" t="s">
        <v>3661</v>
      </c>
      <c r="B89" s="149"/>
      <c r="C89" s="149"/>
    </row>
    <row r="90" spans="1:3">
      <c r="A90" s="149" t="s">
        <v>5679</v>
      </c>
      <c r="B90" s="149"/>
      <c r="C90" s="149"/>
    </row>
    <row r="91" spans="1:3">
      <c r="A91" s="108" t="s">
        <v>3346</v>
      </c>
      <c r="B91" s="149"/>
      <c r="C91" s="149"/>
    </row>
    <row r="92" spans="1:3">
      <c r="A92" s="149" t="s">
        <v>5874</v>
      </c>
      <c r="B92" s="149"/>
      <c r="C92" s="149"/>
    </row>
    <row r="93" spans="1:3">
      <c r="A93" s="149" t="s">
        <v>3692</v>
      </c>
      <c r="B93" s="149"/>
      <c r="C93" s="149"/>
    </row>
    <row r="94" spans="1:3">
      <c r="A94" s="149" t="s">
        <v>3313</v>
      </c>
      <c r="B94" s="149"/>
      <c r="C94" s="149"/>
    </row>
    <row r="95" spans="1:3">
      <c r="A95" s="149" t="s">
        <v>5866</v>
      </c>
      <c r="B95" s="149"/>
      <c r="C95" s="149"/>
    </row>
    <row r="96" spans="1:3">
      <c r="A96" s="149" t="s">
        <v>3659</v>
      </c>
      <c r="B96" s="149"/>
      <c r="C96" s="149"/>
    </row>
    <row r="97" spans="1:3">
      <c r="A97" s="149" t="s">
        <v>2944</v>
      </c>
      <c r="B97" s="149"/>
      <c r="C97" s="149"/>
    </row>
    <row r="98" spans="1:3">
      <c r="A98" s="149" t="s">
        <v>3090</v>
      </c>
      <c r="B98" s="149"/>
      <c r="C98" s="149"/>
    </row>
    <row r="99" spans="1:3">
      <c r="A99" s="149" t="s">
        <v>1725</v>
      </c>
      <c r="B99" s="149"/>
      <c r="C99" s="149"/>
    </row>
    <row r="100" spans="1:3">
      <c r="A100" s="149" t="s">
        <v>3817</v>
      </c>
      <c r="B100" s="149"/>
      <c r="C100" s="149"/>
    </row>
    <row r="101" spans="1:3">
      <c r="A101" s="149" t="s">
        <v>1294</v>
      </c>
      <c r="B101" s="149"/>
      <c r="C101" s="149"/>
    </row>
    <row r="102" spans="1:3">
      <c r="A102" s="149" t="s">
        <v>5851</v>
      </c>
      <c r="B102" s="149"/>
      <c r="C102" s="149"/>
    </row>
    <row r="103" spans="1:3">
      <c r="A103" s="149" t="s">
        <v>3149</v>
      </c>
      <c r="B103" s="149"/>
      <c r="C103" s="149"/>
    </row>
    <row r="104" spans="1:3">
      <c r="A104" s="149" t="s">
        <v>5847</v>
      </c>
      <c r="B104" s="149"/>
      <c r="C104" s="149"/>
    </row>
    <row r="105" spans="1:3">
      <c r="A105" s="149" t="s">
        <v>3604</v>
      </c>
      <c r="B105" s="149"/>
      <c r="C105" s="149"/>
    </row>
    <row r="106" spans="1:3">
      <c r="A106" s="149" t="s">
        <v>3756</v>
      </c>
      <c r="B106" s="149"/>
      <c r="C106" s="149"/>
    </row>
    <row r="107" spans="1:3">
      <c r="A107" s="149" t="s">
        <v>13553</v>
      </c>
      <c r="B107" s="149"/>
      <c r="C107" s="149"/>
    </row>
    <row r="108" spans="1:3">
      <c r="A108" s="149" t="s">
        <v>13554</v>
      </c>
      <c r="B108" s="149"/>
      <c r="C108" s="149"/>
    </row>
    <row r="109" spans="1:3">
      <c r="A109" s="149" t="s">
        <v>3811</v>
      </c>
      <c r="B109" s="149"/>
      <c r="C109" s="149"/>
    </row>
    <row r="110" spans="1:3">
      <c r="A110" s="149" t="s">
        <v>13555</v>
      </c>
      <c r="B110" s="149"/>
      <c r="C110" s="149"/>
    </row>
    <row r="111" spans="1:3">
      <c r="A111" s="149" t="s">
        <v>13556</v>
      </c>
      <c r="B111" s="149"/>
      <c r="C111" s="149"/>
    </row>
    <row r="112" spans="1:3">
      <c r="A112" s="149" t="s">
        <v>3265</v>
      </c>
      <c r="B112" s="149"/>
      <c r="C112" s="149"/>
    </row>
    <row r="113" spans="1:3">
      <c r="A113" s="149" t="s">
        <v>5827</v>
      </c>
      <c r="B113" s="149"/>
      <c r="C113" s="149"/>
    </row>
    <row r="114" spans="1:3">
      <c r="A114" s="149" t="s">
        <v>5817</v>
      </c>
      <c r="B114" s="149"/>
      <c r="C114" s="149"/>
    </row>
    <row r="115" spans="1:3">
      <c r="A115" s="149" t="s">
        <v>692</v>
      </c>
      <c r="B115" s="149"/>
      <c r="C115" s="149"/>
    </row>
    <row r="116" spans="1:3">
      <c r="A116" s="149" t="s">
        <v>10452</v>
      </c>
      <c r="B116" s="149"/>
      <c r="C116" s="149"/>
    </row>
    <row r="117" spans="1:3">
      <c r="A117" s="149" t="s">
        <v>4041</v>
      </c>
      <c r="B117" s="149"/>
      <c r="C117" s="149"/>
    </row>
    <row r="118" spans="1:3">
      <c r="A118" s="149" t="s">
        <v>3409</v>
      </c>
      <c r="B118" s="149"/>
      <c r="C118" s="149"/>
    </row>
    <row r="119" spans="1:3">
      <c r="A119" s="149" t="s">
        <v>4000</v>
      </c>
      <c r="B119" s="149"/>
      <c r="C119" s="149"/>
    </row>
    <row r="120" spans="1:3">
      <c r="A120" s="149" t="s">
        <v>4052</v>
      </c>
      <c r="B120" s="149"/>
      <c r="C120" s="149"/>
    </row>
    <row r="121" spans="1:3">
      <c r="A121" s="149" t="s">
        <v>1837</v>
      </c>
      <c r="B121" s="149"/>
      <c r="C121" s="149"/>
    </row>
    <row r="122" spans="1:3">
      <c r="A122" s="149" t="s">
        <v>3766</v>
      </c>
      <c r="B122" s="149"/>
      <c r="C122" s="149"/>
    </row>
    <row r="123" spans="1:3">
      <c r="A123" s="149" t="s">
        <v>5285</v>
      </c>
      <c r="B123" s="149"/>
      <c r="C123" s="149"/>
    </row>
    <row r="124" spans="1:3">
      <c r="A124" s="149" t="s">
        <v>3637</v>
      </c>
      <c r="B124" s="149"/>
      <c r="C124" s="149"/>
    </row>
    <row r="125" spans="1:3">
      <c r="A125" s="149" t="s">
        <v>5740</v>
      </c>
      <c r="B125" s="149"/>
      <c r="C125" s="149"/>
    </row>
    <row r="126" spans="1:3">
      <c r="A126" s="149" t="s">
        <v>5803</v>
      </c>
      <c r="B126" s="149"/>
      <c r="C126" s="149"/>
    </row>
    <row r="127" spans="1:3">
      <c r="A127" s="149" t="s">
        <v>12316</v>
      </c>
      <c r="B127" s="149"/>
      <c r="C127" s="149"/>
    </row>
    <row r="128" spans="1:3">
      <c r="A128" s="149" t="s">
        <v>437</v>
      </c>
      <c r="B128" s="149"/>
      <c r="C128" s="149"/>
    </row>
    <row r="129" spans="1:3">
      <c r="A129" s="149" t="s">
        <v>5287</v>
      </c>
      <c r="B129" s="149"/>
      <c r="C129" s="149"/>
    </row>
    <row r="130" spans="1:3">
      <c r="A130" s="149" t="s">
        <v>3086</v>
      </c>
      <c r="B130" s="149"/>
      <c r="C130" s="149"/>
    </row>
    <row r="131" spans="1:3">
      <c r="A131" s="149" t="s">
        <v>5790</v>
      </c>
      <c r="B131" s="149"/>
      <c r="C131" s="149"/>
    </row>
    <row r="132" spans="1:3">
      <c r="A132" s="149" t="s">
        <v>3504</v>
      </c>
      <c r="B132" s="149"/>
      <c r="C132" s="149"/>
    </row>
    <row r="133" spans="1:3">
      <c r="A133" s="149" t="s">
        <v>5788</v>
      </c>
      <c r="B133" s="149"/>
      <c r="C133" s="149"/>
    </row>
    <row r="134" spans="1:3">
      <c r="A134" s="149" t="s">
        <v>3753</v>
      </c>
      <c r="B134" s="149"/>
      <c r="C134" s="149"/>
    </row>
    <row r="135" spans="1:3">
      <c r="A135" s="149" t="s">
        <v>3527</v>
      </c>
      <c r="B135" s="149"/>
      <c r="C135" s="149"/>
    </row>
    <row r="136" spans="1:3">
      <c r="A136" s="149" t="s">
        <v>5766</v>
      </c>
      <c r="B136" s="149"/>
      <c r="C136" s="149"/>
    </row>
    <row r="137" spans="1:3">
      <c r="A137" s="149" t="s">
        <v>10402</v>
      </c>
      <c r="B137" s="149"/>
      <c r="C137" s="149"/>
    </row>
    <row r="138" spans="1:3">
      <c r="A138" s="149" t="s">
        <v>5752</v>
      </c>
      <c r="B138" s="149"/>
      <c r="C138" s="149"/>
    </row>
    <row r="139" spans="1:3">
      <c r="A139" s="149" t="s">
        <v>5766</v>
      </c>
      <c r="B139" s="149"/>
      <c r="C139" s="149"/>
    </row>
    <row r="140" spans="1:3">
      <c r="A140" s="149" t="s">
        <v>3879</v>
      </c>
      <c r="B140" s="149"/>
      <c r="C140" s="149"/>
    </row>
    <row r="141" spans="1:3">
      <c r="A141" s="149" t="s">
        <v>5756</v>
      </c>
      <c r="B141" s="149"/>
      <c r="C141" s="149"/>
    </row>
    <row r="142" spans="1:3">
      <c r="A142" s="149" t="s">
        <v>10397</v>
      </c>
      <c r="B142" s="149"/>
      <c r="C142" s="149"/>
    </row>
    <row r="143" spans="1:3">
      <c r="A143" s="149" t="s">
        <v>3661</v>
      </c>
      <c r="B143" s="149"/>
      <c r="C143" s="149"/>
    </row>
    <row r="144" spans="1:3">
      <c r="A144" s="108" t="s">
        <v>5679</v>
      </c>
      <c r="B144" s="149"/>
      <c r="C144" s="149"/>
    </row>
    <row r="145" spans="1:3">
      <c r="A145" s="149" t="s">
        <v>5938</v>
      </c>
      <c r="B145" s="149"/>
      <c r="C145" s="149"/>
    </row>
    <row r="146" spans="1:3">
      <c r="A146" s="149" t="s">
        <v>5940</v>
      </c>
      <c r="B146" s="149"/>
      <c r="C146" s="149"/>
    </row>
    <row r="147" spans="1:3">
      <c r="A147" s="149" t="s">
        <v>5934</v>
      </c>
      <c r="B147" s="149"/>
      <c r="C147" s="149"/>
    </row>
    <row r="148" spans="1:3">
      <c r="A148" s="149" t="s">
        <v>5931</v>
      </c>
      <c r="B148" s="149"/>
      <c r="C148" s="149"/>
    </row>
    <row r="149" spans="1:3">
      <c r="A149" s="149" t="s">
        <v>5115</v>
      </c>
      <c r="B149" s="149"/>
      <c r="C149" s="149"/>
    </row>
    <row r="150" spans="1:3">
      <c r="A150" s="149" t="s">
        <v>3576</v>
      </c>
      <c r="B150" s="149"/>
      <c r="C150" s="149"/>
    </row>
    <row r="151" spans="1:3">
      <c r="A151" s="149" t="s">
        <v>3865</v>
      </c>
      <c r="B151" s="149"/>
      <c r="C151" s="149"/>
    </row>
    <row r="152" spans="1:3">
      <c r="A152" s="149" t="s">
        <v>3948</v>
      </c>
      <c r="B152" s="149"/>
      <c r="C152" s="149"/>
    </row>
    <row r="153" spans="1:3">
      <c r="A153" s="149" t="s">
        <v>5433</v>
      </c>
      <c r="B153" s="149"/>
      <c r="C153" s="149"/>
    </row>
    <row r="154" spans="1:3">
      <c r="A154" s="149" t="s">
        <v>3745</v>
      </c>
      <c r="B154" s="149"/>
      <c r="C154" s="149"/>
    </row>
    <row r="155" spans="1:3">
      <c r="A155" s="108" t="s">
        <v>13557</v>
      </c>
      <c r="B155" s="149"/>
      <c r="C155" s="149"/>
    </row>
    <row r="156" spans="1:3">
      <c r="A156" s="186" t="s">
        <v>5979</v>
      </c>
      <c r="B156" s="186"/>
      <c r="C156" s="186"/>
    </row>
    <row r="157" spans="1:3">
      <c r="A157" s="149" t="s">
        <v>5809</v>
      </c>
      <c r="B157" s="149"/>
      <c r="C157" s="149"/>
    </row>
    <row r="158" spans="1:3">
      <c r="A158" s="149" t="s">
        <v>3465</v>
      </c>
      <c r="B158" s="149"/>
      <c r="C158" s="149"/>
    </row>
    <row r="159" spans="1:3">
      <c r="A159" s="149" t="s">
        <v>10564</v>
      </c>
      <c r="B159" s="149"/>
      <c r="C159" s="149"/>
    </row>
    <row r="160" spans="1:3">
      <c r="A160" s="149" t="s">
        <v>3403</v>
      </c>
      <c r="B160" s="149"/>
      <c r="C160" s="149"/>
    </row>
    <row r="161" spans="1:3">
      <c r="A161" s="149" t="s">
        <v>5536</v>
      </c>
      <c r="B161" s="149"/>
      <c r="C161" s="149"/>
    </row>
    <row r="162" spans="1:3">
      <c r="A162" s="149" t="s">
        <v>302</v>
      </c>
      <c r="B162" s="149"/>
      <c r="C162" s="149"/>
    </row>
    <row r="163" spans="1:3">
      <c r="A163" s="149" t="s">
        <v>3822</v>
      </c>
      <c r="B163" s="149"/>
      <c r="C163" s="149"/>
    </row>
    <row r="164" spans="1:3">
      <c r="A164" s="149" t="s">
        <v>5892</v>
      </c>
      <c r="B164" s="149"/>
      <c r="C164" s="149"/>
    </row>
    <row r="165" spans="1:3">
      <c r="A165" s="149" t="s">
        <v>5888</v>
      </c>
      <c r="B165" s="149"/>
      <c r="C165" s="149"/>
    </row>
    <row r="166" spans="1:3">
      <c r="A166" s="149" t="s">
        <v>10232</v>
      </c>
      <c r="B166" s="149"/>
      <c r="C166" s="149"/>
    </row>
    <row r="167" spans="1:3">
      <c r="A167" s="149" t="s">
        <v>5269</v>
      </c>
      <c r="B167" s="149"/>
      <c r="C167" s="149"/>
    </row>
    <row r="168" spans="1:3">
      <c r="A168" s="149" t="s">
        <v>5886</v>
      </c>
      <c r="B168" s="149"/>
      <c r="C168" s="149"/>
    </row>
    <row r="169" spans="1:3">
      <c r="A169" s="149" t="s">
        <v>5874</v>
      </c>
      <c r="B169" s="149"/>
      <c r="C169" s="149"/>
    </row>
    <row r="170" spans="1:3">
      <c r="A170" s="149" t="s">
        <v>5870</v>
      </c>
      <c r="B170" s="149"/>
      <c r="C170" s="149"/>
    </row>
    <row r="171" spans="1:3">
      <c r="A171" s="149" t="s">
        <v>3692</v>
      </c>
      <c r="B171" s="149"/>
      <c r="C171" s="149"/>
    </row>
    <row r="172" spans="1:3">
      <c r="A172" s="149" t="s">
        <v>3659</v>
      </c>
      <c r="B172" s="149"/>
      <c r="C172" s="149"/>
    </row>
    <row r="173" spans="1:3">
      <c r="A173" s="149" t="s">
        <v>805</v>
      </c>
      <c r="B173" s="149"/>
      <c r="C173" s="149"/>
    </row>
    <row r="174" spans="1:3">
      <c r="A174" s="149" t="s">
        <v>3292</v>
      </c>
      <c r="B174" s="149"/>
      <c r="C174" s="149"/>
    </row>
    <row r="175" spans="1:3">
      <c r="A175" s="149" t="s">
        <v>10580</v>
      </c>
      <c r="B175" s="149"/>
      <c r="C175" s="149"/>
    </row>
    <row r="176" spans="1:3">
      <c r="A176" s="149" t="s">
        <v>3191</v>
      </c>
      <c r="B176" s="149"/>
      <c r="C176" s="149"/>
    </row>
    <row r="177" spans="1:3">
      <c r="A177" s="149" t="s">
        <v>6021</v>
      </c>
      <c r="B177" s="149"/>
      <c r="C177" s="149"/>
    </row>
    <row r="178" spans="1:3">
      <c r="A178" s="149" t="s">
        <v>6018</v>
      </c>
      <c r="B178" s="149"/>
      <c r="C178" s="149"/>
    </row>
    <row r="179" spans="1:3">
      <c r="A179" s="149" t="s">
        <v>13558</v>
      </c>
      <c r="B179" s="149"/>
      <c r="C179" s="149"/>
    </row>
    <row r="180" spans="1:3">
      <c r="A180" s="108" t="s">
        <v>3273</v>
      </c>
      <c r="B180" s="149"/>
      <c r="C180" s="149"/>
    </row>
    <row r="181" spans="1:3">
      <c r="A181" s="149" t="s">
        <v>6045</v>
      </c>
      <c r="B181" s="149"/>
      <c r="C181" s="149"/>
    </row>
    <row r="182" spans="1:3">
      <c r="A182" s="149" t="s">
        <v>6049</v>
      </c>
      <c r="B182" s="149"/>
      <c r="C182" s="149"/>
    </row>
    <row r="183" spans="1:3">
      <c r="A183" s="149" t="s">
        <v>6035</v>
      </c>
      <c r="B183" s="149"/>
      <c r="C183" s="149"/>
    </row>
    <row r="184" spans="1:3">
      <c r="A184" s="149" t="s">
        <v>10632</v>
      </c>
      <c r="B184" s="149"/>
      <c r="C184" s="149"/>
    </row>
    <row r="185" spans="1:3">
      <c r="A185" s="149" t="s">
        <v>6047</v>
      </c>
      <c r="B185" s="149"/>
      <c r="C185" s="149"/>
    </row>
    <row r="186" spans="1:3">
      <c r="A186" s="149" t="s">
        <v>5722</v>
      </c>
      <c r="B186" s="149"/>
      <c r="C186" s="149"/>
    </row>
    <row r="187" spans="1:3">
      <c r="A187" s="149" t="s">
        <v>5995</v>
      </c>
      <c r="B187" s="149"/>
      <c r="C187" s="149"/>
    </row>
    <row r="188" spans="1:3">
      <c r="A188" s="149" t="s">
        <v>6039</v>
      </c>
      <c r="B188" s="149"/>
      <c r="C188" s="149"/>
    </row>
    <row r="189" spans="1:3">
      <c r="A189" s="149" t="s">
        <v>6041</v>
      </c>
      <c r="B189" s="149"/>
      <c r="C189" s="149"/>
    </row>
    <row r="190" spans="1:3">
      <c r="A190" s="149" t="s">
        <v>10638</v>
      </c>
      <c r="B190" s="149"/>
      <c r="C190" s="149"/>
    </row>
    <row r="191" spans="1:3">
      <c r="A191" s="149" t="s">
        <v>3767</v>
      </c>
      <c r="B191" s="149"/>
      <c r="C191" s="149"/>
    </row>
    <row r="192" spans="1:3">
      <c r="A192" s="149" t="s">
        <v>13559</v>
      </c>
      <c r="B192" s="149"/>
      <c r="C192" s="149"/>
    </row>
    <row r="193" spans="1:3">
      <c r="A193" s="149"/>
      <c r="B193" s="149"/>
      <c r="C193" s="149"/>
    </row>
    <row r="194" spans="1:3">
      <c r="A194" s="149"/>
      <c r="B194" s="149"/>
      <c r="C194" s="149"/>
    </row>
    <row r="195" spans="1:3">
      <c r="A195" s="149"/>
      <c r="B195" s="149"/>
      <c r="C195" s="149"/>
    </row>
    <row r="196" spans="1:3">
      <c r="A196" s="149"/>
      <c r="B196" s="149"/>
      <c r="C196" s="149"/>
    </row>
    <row r="197" spans="1:3">
      <c r="A197" s="149"/>
      <c r="B197" s="149"/>
      <c r="C197" s="149"/>
    </row>
    <row r="198" spans="1:3">
      <c r="A198" s="149"/>
      <c r="B198" s="149"/>
      <c r="C198" s="149"/>
    </row>
    <row r="199" spans="1:3">
      <c r="A199" s="149"/>
      <c r="B199" s="149"/>
      <c r="C199" s="149"/>
    </row>
    <row r="200" spans="1:3">
      <c r="A200" s="149"/>
      <c r="B200" s="149"/>
      <c r="C200" s="149"/>
    </row>
    <row r="201" spans="1:3">
      <c r="A201" s="149"/>
      <c r="B201" s="149"/>
      <c r="C201" s="149"/>
    </row>
    <row r="202" spans="1:3">
      <c r="A202" s="149"/>
      <c r="B202" s="149"/>
      <c r="C202" s="149"/>
    </row>
    <row r="203" spans="1:3">
      <c r="A203" s="149"/>
      <c r="B203" s="149"/>
      <c r="C203" s="149"/>
    </row>
    <row r="204" spans="1:3">
      <c r="A204" s="149"/>
      <c r="B204" s="149"/>
      <c r="C204" s="149"/>
    </row>
    <row r="205" spans="1:3">
      <c r="A205" s="149"/>
      <c r="B205" s="149"/>
      <c r="C205" s="149"/>
    </row>
    <row r="206" spans="1:3">
      <c r="A206" s="149"/>
      <c r="B206" s="149"/>
      <c r="C206" s="149"/>
    </row>
    <row r="207" spans="1:3">
      <c r="A207" s="149"/>
      <c r="B207" s="149"/>
      <c r="C207" s="149"/>
    </row>
    <row r="208" spans="1:3">
      <c r="A208" s="149"/>
      <c r="B208" s="149"/>
      <c r="C208" s="149"/>
    </row>
    <row r="209" spans="1:3">
      <c r="A209" s="149"/>
      <c r="B209" s="149"/>
      <c r="C209" s="149"/>
    </row>
    <row r="210" spans="1:3">
      <c r="A210" s="149"/>
      <c r="B210" s="149"/>
      <c r="C210" s="149"/>
    </row>
    <row r="211" spans="1:3">
      <c r="A211" s="149"/>
      <c r="B211" s="149"/>
      <c r="C211" s="149"/>
    </row>
    <row r="212" spans="1:3">
      <c r="A212" s="149"/>
      <c r="B212" s="149"/>
      <c r="C212" s="149"/>
    </row>
    <row r="213" spans="1:3">
      <c r="A213" s="149"/>
      <c r="B213" s="149"/>
      <c r="C213" s="149"/>
    </row>
    <row r="214" spans="1:3">
      <c r="A214" s="149"/>
      <c r="B214" s="149"/>
      <c r="C214" s="149"/>
    </row>
    <row r="215" spans="1:3">
      <c r="A215" s="149"/>
      <c r="B215" s="149"/>
      <c r="C215" s="149"/>
    </row>
    <row r="216" spans="1:3">
      <c r="A216" s="149"/>
      <c r="B216" s="149"/>
      <c r="C216" s="149"/>
    </row>
    <row r="217" spans="1:3">
      <c r="A217" s="149"/>
      <c r="B217" s="149"/>
      <c r="C217" s="149"/>
    </row>
    <row r="218" spans="1:3">
      <c r="A218" s="149"/>
      <c r="B218" s="149"/>
      <c r="C218" s="149"/>
    </row>
    <row r="219" spans="1:3">
      <c r="A219" s="149"/>
      <c r="B219" s="149"/>
      <c r="C219" s="149"/>
    </row>
    <row r="220" spans="1:3">
      <c r="A220" s="149"/>
      <c r="B220" s="149"/>
      <c r="C220" s="149"/>
    </row>
    <row r="221" spans="1:3">
      <c r="A221" s="149"/>
      <c r="B221" s="149"/>
      <c r="C221" s="149"/>
    </row>
    <row r="222" spans="1:3">
      <c r="A222" s="149"/>
      <c r="B222" s="149"/>
      <c r="C222" s="149"/>
    </row>
    <row r="223" spans="1:3">
      <c r="A223" s="149"/>
      <c r="B223" s="149"/>
      <c r="C223" s="149"/>
    </row>
    <row r="224" spans="1:3">
      <c r="A224" s="149"/>
      <c r="B224" s="149"/>
      <c r="C224" s="149"/>
    </row>
    <row r="225" spans="1:3">
      <c r="A225" s="149"/>
      <c r="B225" s="149"/>
      <c r="C225" s="149"/>
    </row>
    <row r="226" spans="1:3">
      <c r="A226" s="149"/>
      <c r="B226" s="149"/>
      <c r="C226" s="149"/>
    </row>
    <row r="227" spans="1:3">
      <c r="A227" s="149"/>
      <c r="B227" s="149"/>
      <c r="C227" s="149"/>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DBF6D-C07C-4DE7-AC02-CFE6DCD104DB}">
  <dimension ref="A1:E224"/>
  <sheetViews>
    <sheetView topLeftCell="A153" workbookViewId="0">
      <selection activeCell="A193" sqref="A193"/>
    </sheetView>
  </sheetViews>
  <sheetFormatPr defaultRowHeight="15"/>
  <cols>
    <col min="1" max="1" width="35" customWidth="1"/>
    <col min="2" max="2" width="12.85546875" bestFit="1" customWidth="1"/>
    <col min="3" max="3" width="23.7109375" bestFit="1" customWidth="1"/>
  </cols>
  <sheetData>
    <row r="1" spans="1:3">
      <c r="A1" s="149" t="s">
        <v>13560</v>
      </c>
      <c r="B1" s="295" t="s">
        <v>13561</v>
      </c>
      <c r="C1" s="149" t="s">
        <v>13562</v>
      </c>
    </row>
    <row r="2" spans="1:3">
      <c r="A2" s="149" t="s">
        <v>2818</v>
      </c>
      <c r="B2" s="423">
        <v>44691</v>
      </c>
      <c r="C2" s="149" t="s">
        <v>13563</v>
      </c>
    </row>
    <row r="3" spans="1:3">
      <c r="A3" s="149" t="s">
        <v>13564</v>
      </c>
      <c r="B3" s="424">
        <v>44905</v>
      </c>
      <c r="C3" s="149" t="s">
        <v>13565</v>
      </c>
    </row>
    <row r="4" spans="1:3">
      <c r="A4" s="149" t="s">
        <v>13566</v>
      </c>
      <c r="B4" s="423">
        <v>44697</v>
      </c>
      <c r="C4" s="149" t="s">
        <v>13563</v>
      </c>
    </row>
    <row r="5" spans="1:3">
      <c r="A5" s="149" t="s">
        <v>2725</v>
      </c>
      <c r="B5" s="423">
        <v>44706</v>
      </c>
      <c r="C5" s="149" t="s">
        <v>13563</v>
      </c>
    </row>
    <row r="6" spans="1:3">
      <c r="A6" s="149" t="s">
        <v>13567</v>
      </c>
      <c r="B6" s="295" t="s">
        <v>13568</v>
      </c>
      <c r="C6" s="149" t="s">
        <v>13563</v>
      </c>
    </row>
    <row r="7" spans="1:3">
      <c r="A7" s="149" t="s">
        <v>2726</v>
      </c>
      <c r="B7" s="423">
        <v>44691</v>
      </c>
      <c r="C7" s="149" t="s">
        <v>13563</v>
      </c>
    </row>
    <row r="8" spans="1:3">
      <c r="A8" s="149" t="s">
        <v>3551</v>
      </c>
      <c r="B8" s="423">
        <v>44739</v>
      </c>
      <c r="C8" s="149" t="s">
        <v>13563</v>
      </c>
    </row>
    <row r="9" spans="1:3">
      <c r="A9" t="s">
        <v>3690</v>
      </c>
      <c r="B9" s="423">
        <v>44701</v>
      </c>
      <c r="C9" s="149" t="s">
        <v>13563</v>
      </c>
    </row>
    <row r="10" spans="1:3">
      <c r="A10" s="149" t="s">
        <v>5386</v>
      </c>
      <c r="B10" s="423">
        <v>44701</v>
      </c>
      <c r="C10" s="149" t="s">
        <v>13563</v>
      </c>
    </row>
    <row r="11" spans="1:3">
      <c r="A11" s="149" t="s">
        <v>3602</v>
      </c>
      <c r="B11" s="423">
        <v>44701</v>
      </c>
      <c r="C11" s="149" t="s">
        <v>13563</v>
      </c>
    </row>
    <row r="12" spans="1:3">
      <c r="A12" s="149" t="s">
        <v>13569</v>
      </c>
      <c r="B12" s="295" t="s">
        <v>13568</v>
      </c>
      <c r="C12" s="149" t="s">
        <v>13563</v>
      </c>
    </row>
    <row r="13" spans="1:3">
      <c r="A13" t="s">
        <v>10081</v>
      </c>
      <c r="B13" s="423">
        <v>44691</v>
      </c>
      <c r="C13" s="149" t="s">
        <v>13563</v>
      </c>
    </row>
    <row r="14" spans="1:3">
      <c r="A14" s="149" t="s">
        <v>3341</v>
      </c>
      <c r="B14" s="423">
        <v>44722</v>
      </c>
      <c r="C14" s="149" t="s">
        <v>13563</v>
      </c>
    </row>
    <row r="15" spans="1:3">
      <c r="A15" s="149" t="s">
        <v>5474</v>
      </c>
      <c r="B15" s="423">
        <v>44691</v>
      </c>
      <c r="C15" s="149" t="s">
        <v>13563</v>
      </c>
    </row>
    <row r="16" spans="1:3">
      <c r="A16" s="149" t="s">
        <v>5333</v>
      </c>
      <c r="B16" s="423">
        <v>44691</v>
      </c>
      <c r="C16" s="149" t="s">
        <v>13563</v>
      </c>
    </row>
    <row r="17" spans="1:3">
      <c r="A17" s="149" t="s">
        <v>3956</v>
      </c>
      <c r="B17" s="423">
        <v>44691</v>
      </c>
      <c r="C17" s="149" t="s">
        <v>13563</v>
      </c>
    </row>
    <row r="18" spans="1:3">
      <c r="A18" s="149" t="s">
        <v>2158</v>
      </c>
      <c r="B18" s="423">
        <v>44680</v>
      </c>
      <c r="C18" s="149" t="s">
        <v>13563</v>
      </c>
    </row>
    <row r="19" spans="1:3">
      <c r="A19" s="149" t="s">
        <v>10263</v>
      </c>
      <c r="B19" s="295" t="s">
        <v>13570</v>
      </c>
      <c r="C19" s="149" t="s">
        <v>13563</v>
      </c>
    </row>
    <row r="20" spans="1:3">
      <c r="A20" s="149" t="s">
        <v>88</v>
      </c>
      <c r="B20" s="295" t="s">
        <v>8929</v>
      </c>
      <c r="C20" s="149" t="s">
        <v>13563</v>
      </c>
    </row>
    <row r="21" spans="1:3">
      <c r="A21" s="149" t="s">
        <v>1312</v>
      </c>
      <c r="B21" s="295" t="s">
        <v>8929</v>
      </c>
      <c r="C21" s="149" t="s">
        <v>13563</v>
      </c>
    </row>
    <row r="22" spans="1:3">
      <c r="A22" s="149" t="s">
        <v>3522</v>
      </c>
      <c r="B22" s="423">
        <v>44701</v>
      </c>
      <c r="C22" s="149" t="s">
        <v>13563</v>
      </c>
    </row>
    <row r="23" spans="1:3">
      <c r="A23" s="149" t="s">
        <v>125</v>
      </c>
      <c r="B23" s="423">
        <v>44683</v>
      </c>
      <c r="C23" s="149" t="s">
        <v>13563</v>
      </c>
    </row>
    <row r="24" spans="1:3">
      <c r="A24" s="149" t="s">
        <v>4430</v>
      </c>
      <c r="B24" s="423">
        <v>44732</v>
      </c>
      <c r="C24" s="149" t="s">
        <v>13563</v>
      </c>
    </row>
    <row r="25" spans="1:3">
      <c r="A25" s="186" t="s">
        <v>4011</v>
      </c>
      <c r="B25" s="427">
        <v>44696</v>
      </c>
      <c r="C25" s="186" t="s">
        <v>13563</v>
      </c>
    </row>
    <row r="26" spans="1:3">
      <c r="A26" s="149" t="s">
        <v>13571</v>
      </c>
      <c r="B26" s="428">
        <v>44696</v>
      </c>
      <c r="C26" s="149" t="s">
        <v>13563</v>
      </c>
    </row>
    <row r="27" spans="1:3">
      <c r="A27" s="149" t="s">
        <v>3178</v>
      </c>
      <c r="B27" s="428">
        <v>44701</v>
      </c>
      <c r="C27" s="149" t="s">
        <v>13563</v>
      </c>
    </row>
    <row r="28" spans="1:3">
      <c r="A28" s="149" t="s">
        <v>5552</v>
      </c>
      <c r="B28" s="428">
        <v>44691</v>
      </c>
      <c r="C28" s="149" t="s">
        <v>13563</v>
      </c>
    </row>
    <row r="29" spans="1:3">
      <c r="A29" s="149" t="s">
        <v>3438</v>
      </c>
      <c r="B29" s="428">
        <v>44732</v>
      </c>
      <c r="C29" s="149" t="s">
        <v>13563</v>
      </c>
    </row>
    <row r="30" spans="1:3">
      <c r="A30" s="149" t="s">
        <v>3517</v>
      </c>
      <c r="B30" s="428">
        <v>44691</v>
      </c>
      <c r="C30" s="149" t="s">
        <v>13563</v>
      </c>
    </row>
    <row r="31" spans="1:3">
      <c r="A31" t="s">
        <v>3843</v>
      </c>
      <c r="B31" s="428">
        <v>44722</v>
      </c>
      <c r="C31" s="149" t="s">
        <v>13563</v>
      </c>
    </row>
    <row r="32" spans="1:3">
      <c r="A32" s="149" t="s">
        <v>5247</v>
      </c>
      <c r="B32" s="428">
        <v>44722</v>
      </c>
      <c r="C32" s="149" t="s">
        <v>13563</v>
      </c>
    </row>
    <row r="33" spans="1:3">
      <c r="A33" s="186" t="s">
        <v>3632</v>
      </c>
      <c r="B33" s="429">
        <v>44691</v>
      </c>
      <c r="C33" s="186" t="s">
        <v>13563</v>
      </c>
    </row>
    <row r="34" spans="1:3">
      <c r="A34" s="149" t="s">
        <v>3845</v>
      </c>
      <c r="B34" s="149" t="s">
        <v>10534</v>
      </c>
      <c r="C34" s="149" t="s">
        <v>13563</v>
      </c>
    </row>
    <row r="35" spans="1:3">
      <c r="A35" s="149" t="s">
        <v>3511</v>
      </c>
      <c r="B35" s="149" t="s">
        <v>10534</v>
      </c>
      <c r="C35" s="149" t="s">
        <v>13563</v>
      </c>
    </row>
    <row r="36" spans="1:3">
      <c r="A36" s="149" t="s">
        <v>3735</v>
      </c>
      <c r="B36" s="149" t="s">
        <v>10534</v>
      </c>
      <c r="C36" s="149" t="s">
        <v>13563</v>
      </c>
    </row>
    <row r="37" spans="1:3">
      <c r="A37" s="149" t="s">
        <v>3529</v>
      </c>
      <c r="B37" s="149" t="s">
        <v>13572</v>
      </c>
      <c r="C37" s="149" t="s">
        <v>13573</v>
      </c>
    </row>
    <row r="38" spans="1:3">
      <c r="A38" s="149" t="s">
        <v>3381</v>
      </c>
      <c r="B38" s="149" t="s">
        <v>10534</v>
      </c>
      <c r="C38" s="149" t="s">
        <v>13563</v>
      </c>
    </row>
    <row r="39" spans="1:3">
      <c r="A39" s="149" t="s">
        <v>3200</v>
      </c>
      <c r="B39" s="149" t="s">
        <v>10534</v>
      </c>
      <c r="C39" s="149" t="s">
        <v>13565</v>
      </c>
    </row>
    <row r="40" spans="1:3">
      <c r="A40" s="149" t="s">
        <v>3183</v>
      </c>
      <c r="B40" s="149" t="s">
        <v>10534</v>
      </c>
      <c r="C40" s="149" t="s">
        <v>13565</v>
      </c>
    </row>
    <row r="41" spans="1:3">
      <c r="A41" s="149" t="s">
        <v>1354</v>
      </c>
      <c r="B41" s="149" t="s">
        <v>10534</v>
      </c>
      <c r="C41" s="149" t="s">
        <v>13565</v>
      </c>
    </row>
    <row r="42" spans="1:3">
      <c r="A42" s="149" t="s">
        <v>1698</v>
      </c>
      <c r="B42" s="149" t="s">
        <v>10534</v>
      </c>
      <c r="C42" s="149" t="s">
        <v>13565</v>
      </c>
    </row>
    <row r="43" spans="1:3">
      <c r="A43" s="149" t="s">
        <v>3899</v>
      </c>
      <c r="B43" s="149" t="s">
        <v>10534</v>
      </c>
      <c r="C43" s="149" t="s">
        <v>13565</v>
      </c>
    </row>
    <row r="44" spans="1:3">
      <c r="A44" s="149" t="s">
        <v>768</v>
      </c>
      <c r="B44" s="149" t="s">
        <v>10534</v>
      </c>
      <c r="C44" s="149" t="s">
        <v>13565</v>
      </c>
    </row>
    <row r="45" spans="1:3">
      <c r="A45" t="s">
        <v>658</v>
      </c>
      <c r="B45" s="149" t="s">
        <v>10534</v>
      </c>
      <c r="C45" s="149" t="s">
        <v>13565</v>
      </c>
    </row>
    <row r="46" spans="1:3">
      <c r="A46" s="149" t="s">
        <v>830</v>
      </c>
      <c r="B46" s="149" t="s">
        <v>10534</v>
      </c>
      <c r="C46" s="149" t="s">
        <v>13563</v>
      </c>
    </row>
    <row r="47" spans="1:3">
      <c r="A47" s="149" t="s">
        <v>3166</v>
      </c>
      <c r="B47" s="149" t="s">
        <v>9706</v>
      </c>
      <c r="C47" s="149" t="s">
        <v>13574</v>
      </c>
    </row>
    <row r="48" spans="1:3">
      <c r="A48" s="186" t="s">
        <v>3520</v>
      </c>
      <c r="B48" s="186" t="s">
        <v>10534</v>
      </c>
      <c r="C48" s="186" t="s">
        <v>13575</v>
      </c>
    </row>
    <row r="49" spans="1:3">
      <c r="A49" s="149" t="s">
        <v>1057</v>
      </c>
      <c r="B49" s="149" t="s">
        <v>13572</v>
      </c>
      <c r="C49" s="149" t="s">
        <v>13573</v>
      </c>
    </row>
    <row r="50" spans="1:3">
      <c r="A50" s="149" t="s">
        <v>2726</v>
      </c>
      <c r="B50" s="149" t="s">
        <v>10534</v>
      </c>
      <c r="C50" s="149" t="s">
        <v>13565</v>
      </c>
    </row>
    <row r="51" spans="1:3">
      <c r="A51" s="149" t="s">
        <v>2761</v>
      </c>
      <c r="B51" s="149" t="s">
        <v>10534</v>
      </c>
      <c r="C51" s="149" t="s">
        <v>13565</v>
      </c>
    </row>
    <row r="52" spans="1:3">
      <c r="A52" s="149" t="s">
        <v>5605</v>
      </c>
      <c r="B52" s="149" t="s">
        <v>10534</v>
      </c>
      <c r="C52" s="149" t="s">
        <v>13563</v>
      </c>
    </row>
    <row r="53" spans="1:3">
      <c r="A53" s="149" t="s">
        <v>3666</v>
      </c>
      <c r="B53" s="149" t="s">
        <v>10534</v>
      </c>
      <c r="C53" s="149" t="s">
        <v>13565</v>
      </c>
    </row>
    <row r="54" spans="1:3">
      <c r="A54" s="149" t="s">
        <v>4022</v>
      </c>
      <c r="B54" s="149" t="s">
        <v>13576</v>
      </c>
      <c r="C54" s="149" t="s">
        <v>13573</v>
      </c>
    </row>
    <row r="55" spans="1:3">
      <c r="A55" s="149" t="s">
        <v>5256</v>
      </c>
      <c r="B55" s="149"/>
      <c r="C55" s="149" t="s">
        <v>13563</v>
      </c>
    </row>
    <row r="56" spans="1:3">
      <c r="A56" s="149" t="s">
        <v>3646</v>
      </c>
      <c r="B56" s="149"/>
      <c r="C56" s="149" t="s">
        <v>13565</v>
      </c>
    </row>
    <row r="57" spans="1:3">
      <c r="A57" s="149" t="s">
        <v>13577</v>
      </c>
      <c r="B57" s="149"/>
      <c r="C57" s="149" t="s">
        <v>13563</v>
      </c>
    </row>
    <row r="58" spans="1:3">
      <c r="A58" s="149" t="s">
        <v>3041</v>
      </c>
      <c r="B58" s="149"/>
      <c r="C58" s="149" t="s">
        <v>13563</v>
      </c>
    </row>
    <row r="59" spans="1:3">
      <c r="A59" s="149" t="s">
        <v>3073</v>
      </c>
      <c r="B59" s="149" t="s">
        <v>10534</v>
      </c>
      <c r="C59" s="149" t="s">
        <v>13563</v>
      </c>
    </row>
    <row r="60" spans="1:3">
      <c r="A60" s="149" t="s">
        <v>4051</v>
      </c>
      <c r="B60" s="149" t="s">
        <v>10534</v>
      </c>
      <c r="C60" s="149" t="s">
        <v>13563</v>
      </c>
    </row>
    <row r="61" spans="1:3">
      <c r="A61" s="149" t="s">
        <v>4070</v>
      </c>
      <c r="B61" s="149" t="s">
        <v>10534</v>
      </c>
      <c r="C61" s="149" t="s">
        <v>13578</v>
      </c>
    </row>
    <row r="62" spans="1:3">
      <c r="A62" s="149" t="s">
        <v>3487</v>
      </c>
      <c r="B62" s="149"/>
      <c r="C62" s="149" t="s">
        <v>13563</v>
      </c>
    </row>
    <row r="63" spans="1:3">
      <c r="A63" s="149" t="s">
        <v>4389</v>
      </c>
      <c r="B63" s="149" t="s">
        <v>13579</v>
      </c>
      <c r="C63" s="149" t="s">
        <v>13580</v>
      </c>
    </row>
    <row r="64" spans="1:3">
      <c r="A64" s="149" t="s">
        <v>3571</v>
      </c>
      <c r="B64" s="149" t="s">
        <v>13579</v>
      </c>
      <c r="C64" s="149" t="s">
        <v>13580</v>
      </c>
    </row>
    <row r="65" spans="1:3">
      <c r="A65" s="149" t="s">
        <v>5521</v>
      </c>
      <c r="B65" s="149" t="s">
        <v>10534</v>
      </c>
      <c r="C65" s="149" t="s">
        <v>13563</v>
      </c>
    </row>
    <row r="66" spans="1:3">
      <c r="A66" s="149" t="s">
        <v>2088</v>
      </c>
      <c r="B66" s="149" t="s">
        <v>10534</v>
      </c>
      <c r="C66" s="149" t="s">
        <v>13578</v>
      </c>
    </row>
    <row r="67" spans="1:3">
      <c r="A67" s="149" t="s">
        <v>5594</v>
      </c>
      <c r="B67" s="149" t="s">
        <v>10534</v>
      </c>
      <c r="C67" s="149" t="s">
        <v>13563</v>
      </c>
    </row>
    <row r="68" spans="1:3">
      <c r="A68" s="149" t="s">
        <v>13581</v>
      </c>
      <c r="B68" s="149" t="s">
        <v>10534</v>
      </c>
      <c r="C68" s="149" t="s">
        <v>13563</v>
      </c>
    </row>
    <row r="69" spans="1:3">
      <c r="A69" s="149" t="s">
        <v>3587</v>
      </c>
      <c r="B69" s="149" t="s">
        <v>10534</v>
      </c>
      <c r="C69" s="149" t="s">
        <v>13563</v>
      </c>
    </row>
    <row r="70" spans="1:3">
      <c r="A70" s="149" t="s">
        <v>4023</v>
      </c>
      <c r="B70" s="149" t="s">
        <v>10534</v>
      </c>
      <c r="C70" s="149" t="s">
        <v>10210</v>
      </c>
    </row>
    <row r="71" spans="1:3">
      <c r="A71" s="149" t="s">
        <v>534</v>
      </c>
      <c r="B71" s="149" t="s">
        <v>10534</v>
      </c>
      <c r="C71" s="149" t="s">
        <v>13563</v>
      </c>
    </row>
    <row r="72" spans="1:3">
      <c r="A72" s="149" t="s">
        <v>5660</v>
      </c>
      <c r="B72" s="149" t="s">
        <v>10534</v>
      </c>
      <c r="C72" s="149" t="s">
        <v>13563</v>
      </c>
    </row>
    <row r="73" spans="1:3">
      <c r="A73" s="149" t="s">
        <v>3915</v>
      </c>
      <c r="B73" s="149" t="s">
        <v>10534</v>
      </c>
      <c r="C73" s="149" t="s">
        <v>13565</v>
      </c>
    </row>
    <row r="74" spans="1:3">
      <c r="A74" s="149" t="s">
        <v>3533</v>
      </c>
      <c r="B74" s="149" t="s">
        <v>10534</v>
      </c>
      <c r="C74" s="149" t="s">
        <v>13565</v>
      </c>
    </row>
    <row r="75" spans="1:3">
      <c r="A75" s="149" t="s">
        <v>3382</v>
      </c>
      <c r="B75" s="149" t="s">
        <v>10534</v>
      </c>
      <c r="C75" s="149" t="s">
        <v>13565</v>
      </c>
    </row>
    <row r="76" spans="1:3">
      <c r="A76" s="149" t="s">
        <v>5594</v>
      </c>
      <c r="B76" s="149" t="s">
        <v>10534</v>
      </c>
      <c r="C76" s="149" t="s">
        <v>13565</v>
      </c>
    </row>
    <row r="77" spans="1:3">
      <c r="A77" s="149" t="s">
        <v>4072</v>
      </c>
      <c r="B77" s="149" t="s">
        <v>10534</v>
      </c>
      <c r="C77" s="149" t="s">
        <v>10210</v>
      </c>
    </row>
    <row r="78" spans="1:3">
      <c r="A78" s="149" t="s">
        <v>3945</v>
      </c>
      <c r="B78" s="149" t="s">
        <v>10534</v>
      </c>
      <c r="C78" s="149" t="s">
        <v>10210</v>
      </c>
    </row>
    <row r="79" spans="1:3">
      <c r="A79" s="149" t="s">
        <v>3818</v>
      </c>
      <c r="B79" s="149" t="s">
        <v>10534</v>
      </c>
      <c r="C79" s="149" t="s">
        <v>10210</v>
      </c>
    </row>
    <row r="80" spans="1:3">
      <c r="A80" s="149" t="s">
        <v>3717</v>
      </c>
      <c r="B80" s="149" t="s">
        <v>10534</v>
      </c>
      <c r="C80" s="149" t="s">
        <v>10210</v>
      </c>
    </row>
    <row r="81" spans="1:3">
      <c r="A81" s="149" t="s">
        <v>13582</v>
      </c>
      <c r="B81" s="149" t="s">
        <v>10534</v>
      </c>
      <c r="C81" s="149" t="s">
        <v>10210</v>
      </c>
    </row>
    <row r="82" spans="1:3">
      <c r="A82" s="149" t="s">
        <v>3166</v>
      </c>
      <c r="B82" s="149" t="s">
        <v>10534</v>
      </c>
      <c r="C82" s="149" t="s">
        <v>13580</v>
      </c>
    </row>
    <row r="83" spans="1:3">
      <c r="A83" s="186" t="s">
        <v>3520</v>
      </c>
      <c r="B83" s="186" t="s">
        <v>10534</v>
      </c>
      <c r="C83" s="186" t="s">
        <v>13563</v>
      </c>
    </row>
    <row r="84" spans="1:3">
      <c r="A84" s="149" t="s">
        <v>3595</v>
      </c>
      <c r="B84" s="149" t="s">
        <v>10534</v>
      </c>
      <c r="C84" s="149" t="s">
        <v>13563</v>
      </c>
    </row>
    <row r="85" spans="1:3">
      <c r="A85" s="149" t="s">
        <v>3665</v>
      </c>
      <c r="B85" s="149" t="s">
        <v>10534</v>
      </c>
      <c r="C85" s="149" t="s">
        <v>13563</v>
      </c>
    </row>
    <row r="86" spans="1:3">
      <c r="A86" s="149" t="s">
        <v>375</v>
      </c>
      <c r="B86" s="149" t="s">
        <v>10534</v>
      </c>
      <c r="C86" s="149" t="s">
        <v>13563</v>
      </c>
    </row>
    <row r="87" spans="1:3">
      <c r="A87" s="186" t="s">
        <v>2732</v>
      </c>
      <c r="B87" s="186"/>
      <c r="C87" s="186"/>
    </row>
    <row r="88" spans="1:3">
      <c r="A88" s="149" t="s">
        <v>593</v>
      </c>
      <c r="B88" s="149" t="s">
        <v>10534</v>
      </c>
      <c r="C88" s="149" t="s">
        <v>13578</v>
      </c>
    </row>
    <row r="89" spans="1:3">
      <c r="A89" s="149" t="s">
        <v>5683</v>
      </c>
      <c r="B89" s="149" t="s">
        <v>10534</v>
      </c>
      <c r="C89" s="149" t="s">
        <v>13563</v>
      </c>
    </row>
    <row r="90" spans="1:3">
      <c r="A90" s="149" t="s">
        <v>5689</v>
      </c>
      <c r="B90" s="149" t="s">
        <v>10534</v>
      </c>
      <c r="C90" s="149" t="s">
        <v>13583</v>
      </c>
    </row>
    <row r="91" spans="1:3">
      <c r="A91" s="149" t="s">
        <v>5685</v>
      </c>
      <c r="B91" s="149" t="s">
        <v>10534</v>
      </c>
      <c r="C91" s="149" t="s">
        <v>13583</v>
      </c>
    </row>
    <row r="92" spans="1:3">
      <c r="A92" s="149" t="s">
        <v>5662</v>
      </c>
      <c r="B92" s="149" t="s">
        <v>10534</v>
      </c>
      <c r="C92" s="149" t="s">
        <v>13565</v>
      </c>
    </row>
    <row r="93" spans="1:3">
      <c r="A93" s="149" t="s">
        <v>3096</v>
      </c>
      <c r="B93" s="149" t="s">
        <v>10534</v>
      </c>
      <c r="C93" s="149" t="s">
        <v>13565</v>
      </c>
    </row>
    <row r="94" spans="1:3">
      <c r="A94" s="149" t="s">
        <v>3885</v>
      </c>
      <c r="B94" s="149" t="s">
        <v>10534</v>
      </c>
      <c r="C94" s="149" t="s">
        <v>13583</v>
      </c>
    </row>
    <row r="95" spans="1:3">
      <c r="A95" s="149" t="s">
        <v>3773</v>
      </c>
      <c r="B95" s="149" t="s">
        <v>10534</v>
      </c>
      <c r="C95" s="149" t="s">
        <v>13583</v>
      </c>
    </row>
    <row r="96" spans="1:3">
      <c r="A96" s="149" t="s">
        <v>4066</v>
      </c>
      <c r="B96" s="149" t="s">
        <v>10534</v>
      </c>
      <c r="C96" s="149" t="s">
        <v>13583</v>
      </c>
    </row>
    <row r="97" spans="1:3">
      <c r="A97" s="149" t="s">
        <v>5681</v>
      </c>
      <c r="B97" s="149" t="s">
        <v>10534</v>
      </c>
      <c r="C97" s="149" t="s">
        <v>13565</v>
      </c>
    </row>
    <row r="98" spans="1:3">
      <c r="A98" s="149" t="s">
        <v>5239</v>
      </c>
      <c r="B98" s="149" t="s">
        <v>10534</v>
      </c>
      <c r="C98" s="149" t="s">
        <v>13573</v>
      </c>
    </row>
    <row r="99" spans="1:3">
      <c r="A99" s="149" t="s">
        <v>3511</v>
      </c>
      <c r="B99" s="149" t="s">
        <v>10534</v>
      </c>
      <c r="C99" s="149" t="s">
        <v>13565</v>
      </c>
    </row>
    <row r="100" spans="1:3">
      <c r="A100" s="149" t="s">
        <v>3537</v>
      </c>
      <c r="B100" s="149" t="s">
        <v>10534</v>
      </c>
      <c r="C100" s="149" t="s">
        <v>13565</v>
      </c>
    </row>
    <row r="101" spans="1:3">
      <c r="A101" s="149" t="s">
        <v>5689</v>
      </c>
      <c r="B101" s="149" t="s">
        <v>10534</v>
      </c>
      <c r="C101" s="149" t="s">
        <v>13583</v>
      </c>
    </row>
    <row r="102" spans="1:3">
      <c r="A102" s="149" t="s">
        <v>1202</v>
      </c>
      <c r="B102" s="149" t="s">
        <v>10534</v>
      </c>
      <c r="C102" s="149" t="s">
        <v>13565</v>
      </c>
    </row>
    <row r="103" spans="1:3">
      <c r="A103" s="149" t="s">
        <v>10341</v>
      </c>
      <c r="B103" s="149" t="s">
        <v>10534</v>
      </c>
      <c r="C103" s="149" t="s">
        <v>13565</v>
      </c>
    </row>
    <row r="104" spans="1:3">
      <c r="A104" s="186" t="s">
        <v>12343</v>
      </c>
      <c r="B104" s="186" t="s">
        <v>10534</v>
      </c>
      <c r="C104" s="186" t="s">
        <v>13565</v>
      </c>
    </row>
    <row r="105" spans="1:3">
      <c r="A105" s="149" t="s">
        <v>3892</v>
      </c>
      <c r="B105" s="149" t="s">
        <v>10534</v>
      </c>
      <c r="C105" s="149" t="s">
        <v>13565</v>
      </c>
    </row>
    <row r="106" spans="1:3">
      <c r="A106" s="149" t="s">
        <v>5702</v>
      </c>
      <c r="B106" s="149" t="s">
        <v>10534</v>
      </c>
      <c r="C106" s="149" t="s">
        <v>13565</v>
      </c>
    </row>
    <row r="107" spans="1:3">
      <c r="A107" s="149" t="s">
        <v>13584</v>
      </c>
      <c r="B107" s="149" t="s">
        <v>10534</v>
      </c>
      <c r="C107" s="149" t="s">
        <v>13583</v>
      </c>
    </row>
    <row r="108" spans="1:3">
      <c r="A108" s="108" t="s">
        <v>3942</v>
      </c>
      <c r="B108" s="149" t="s">
        <v>10534</v>
      </c>
      <c r="C108" s="149" t="s">
        <v>13583</v>
      </c>
    </row>
    <row r="109" spans="1:3">
      <c r="A109" t="s">
        <v>5870</v>
      </c>
      <c r="B109" s="149" t="s">
        <v>10534</v>
      </c>
      <c r="C109" s="149" t="s">
        <v>13585</v>
      </c>
    </row>
    <row r="110" spans="1:3">
      <c r="A110" s="149" t="s">
        <v>1092</v>
      </c>
      <c r="B110" s="149" t="s">
        <v>10534</v>
      </c>
      <c r="C110" s="149" t="s">
        <v>13585</v>
      </c>
    </row>
    <row r="111" spans="1:3">
      <c r="A111" s="149" t="s">
        <v>5858</v>
      </c>
      <c r="B111" s="149" t="s">
        <v>10534</v>
      </c>
      <c r="C111" s="149" t="s">
        <v>13585</v>
      </c>
    </row>
    <row r="112" spans="1:3">
      <c r="A112" s="149" t="s">
        <v>824</v>
      </c>
      <c r="B112" s="149" t="s">
        <v>10534</v>
      </c>
      <c r="C112" s="149" t="s">
        <v>13583</v>
      </c>
    </row>
    <row r="113" spans="1:3">
      <c r="A113" s="149" t="s">
        <v>10465</v>
      </c>
      <c r="B113" t="s">
        <v>10534</v>
      </c>
    </row>
    <row r="114" spans="1:3">
      <c r="A114" s="149" t="s">
        <v>5831</v>
      </c>
      <c r="B114" s="149" t="s">
        <v>10534</v>
      </c>
      <c r="C114" s="149" t="s">
        <v>13585</v>
      </c>
    </row>
    <row r="115" spans="1:3">
      <c r="A115" s="149" t="s">
        <v>3323</v>
      </c>
      <c r="B115" s="149" t="s">
        <v>10534</v>
      </c>
      <c r="C115" s="149" t="s">
        <v>13585</v>
      </c>
    </row>
    <row r="116" spans="1:3">
      <c r="A116" s="149" t="s">
        <v>3976</v>
      </c>
      <c r="B116" s="149" t="s">
        <v>10534</v>
      </c>
      <c r="C116" s="149" t="s">
        <v>13586</v>
      </c>
    </row>
    <row r="117" spans="1:3">
      <c r="A117" s="108" t="s">
        <v>3910</v>
      </c>
      <c r="B117" s="149" t="s">
        <v>10534</v>
      </c>
      <c r="C117" s="149" t="s">
        <v>13585</v>
      </c>
    </row>
    <row r="118" spans="1:3">
      <c r="A118" s="149" t="s">
        <v>3508</v>
      </c>
      <c r="B118" s="149" t="s">
        <v>13587</v>
      </c>
      <c r="C118" s="149"/>
    </row>
    <row r="119" spans="1:3">
      <c r="A119" s="149" t="s">
        <v>3993</v>
      </c>
      <c r="B119" s="149" t="s">
        <v>10534</v>
      </c>
      <c r="C119" s="149" t="s">
        <v>13585</v>
      </c>
    </row>
    <row r="120" spans="1:3">
      <c r="A120" s="149" t="s">
        <v>3589</v>
      </c>
      <c r="B120" s="149" t="s">
        <v>10534</v>
      </c>
      <c r="C120" s="149"/>
    </row>
    <row r="121" spans="1:3">
      <c r="A121" s="149" t="s">
        <v>3750</v>
      </c>
      <c r="B121" s="149" t="s">
        <v>10534</v>
      </c>
      <c r="C121" s="149" t="s">
        <v>13585</v>
      </c>
    </row>
    <row r="122" spans="1:3">
      <c r="A122" s="149" t="s">
        <v>5618</v>
      </c>
      <c r="B122" s="149" t="s">
        <v>10534</v>
      </c>
      <c r="C122" s="149" t="s">
        <v>13585</v>
      </c>
    </row>
    <row r="123" spans="1:3">
      <c r="A123" s="149" t="s">
        <v>5811</v>
      </c>
      <c r="B123" s="149" t="s">
        <v>10534</v>
      </c>
      <c r="C123" s="149" t="s">
        <v>13585</v>
      </c>
    </row>
    <row r="124" spans="1:3">
      <c r="A124" s="149" t="s">
        <v>3702</v>
      </c>
      <c r="B124" s="149" t="s">
        <v>13588</v>
      </c>
      <c r="C124" s="149"/>
    </row>
    <row r="125" spans="1:3">
      <c r="A125" s="149" t="s">
        <v>2767</v>
      </c>
      <c r="B125" s="149" t="s">
        <v>10534</v>
      </c>
      <c r="C125" s="149" t="s">
        <v>13585</v>
      </c>
    </row>
    <row r="126" spans="1:3">
      <c r="A126" s="149" t="s">
        <v>486</v>
      </c>
      <c r="B126" s="149" t="s">
        <v>13587</v>
      </c>
      <c r="C126" s="149"/>
    </row>
    <row r="127" spans="1:3">
      <c r="A127" s="149" t="s">
        <v>5359</v>
      </c>
      <c r="B127" s="149" t="s">
        <v>10534</v>
      </c>
      <c r="C127" s="149" t="s">
        <v>13585</v>
      </c>
    </row>
    <row r="128" spans="1:3">
      <c r="A128" s="149" t="s">
        <v>2498</v>
      </c>
      <c r="B128" s="149" t="s">
        <v>13589</v>
      </c>
      <c r="C128" s="149"/>
    </row>
    <row r="129" spans="1:5">
      <c r="A129" s="149" t="s">
        <v>5241</v>
      </c>
      <c r="B129" s="149" t="s">
        <v>10534</v>
      </c>
      <c r="C129" s="149" t="s">
        <v>13586</v>
      </c>
    </row>
    <row r="130" spans="1:5">
      <c r="A130" s="149" t="s">
        <v>3232</v>
      </c>
      <c r="B130" s="149" t="s">
        <v>10534</v>
      </c>
      <c r="C130" s="149" t="s">
        <v>13585</v>
      </c>
    </row>
    <row r="131" spans="1:5">
      <c r="A131" s="149" t="s">
        <v>5754</v>
      </c>
      <c r="B131" s="149" t="s">
        <v>10534</v>
      </c>
      <c r="C131" s="149" t="s">
        <v>13585</v>
      </c>
    </row>
    <row r="132" spans="1:5">
      <c r="A132" s="149" t="s">
        <v>5793</v>
      </c>
      <c r="B132" s="149" t="s">
        <v>10534</v>
      </c>
      <c r="C132" s="149" t="s">
        <v>13585</v>
      </c>
    </row>
    <row r="133" spans="1:5">
      <c r="A133" s="149" t="s">
        <v>5797</v>
      </c>
      <c r="B133" s="149" t="s">
        <v>10534</v>
      </c>
      <c r="C133" s="149" t="s">
        <v>13585</v>
      </c>
    </row>
    <row r="134" spans="1:5" ht="15" customHeight="1">
      <c r="A134" s="149" t="s">
        <v>4672</v>
      </c>
      <c r="B134" s="149" t="s">
        <v>10534</v>
      </c>
      <c r="C134" s="149" t="s">
        <v>13586</v>
      </c>
      <c r="D134" t="s">
        <v>13590</v>
      </c>
      <c r="E134" s="470">
        <v>10549482679</v>
      </c>
    </row>
    <row r="135" spans="1:5">
      <c r="A135" s="149" t="s">
        <v>3925</v>
      </c>
      <c r="B135" s="149" t="s">
        <v>13587</v>
      </c>
      <c r="C135" s="149"/>
    </row>
    <row r="136" spans="1:5">
      <c r="A136" s="149" t="s">
        <v>5782</v>
      </c>
      <c r="B136" s="149" t="s">
        <v>13587</v>
      </c>
      <c r="C136" s="149"/>
    </row>
    <row r="137" spans="1:5">
      <c r="A137" s="149" t="s">
        <v>5776</v>
      </c>
      <c r="B137" s="149" t="s">
        <v>10534</v>
      </c>
      <c r="C137" s="149" t="s">
        <v>13585</v>
      </c>
    </row>
    <row r="138" spans="1:5">
      <c r="A138" t="s">
        <v>3466</v>
      </c>
      <c r="B138" s="149" t="s">
        <v>13588</v>
      </c>
      <c r="C138" s="149"/>
    </row>
    <row r="139" spans="1:5">
      <c r="A139" s="149" t="s">
        <v>3186</v>
      </c>
      <c r="B139" s="149" t="s">
        <v>10534</v>
      </c>
      <c r="C139" s="149" t="s">
        <v>13586</v>
      </c>
    </row>
    <row r="140" spans="1:5">
      <c r="A140" s="149" t="s">
        <v>3879</v>
      </c>
      <c r="B140" s="149" t="s">
        <v>13587</v>
      </c>
      <c r="C140" s="149"/>
    </row>
    <row r="141" spans="1:5">
      <c r="A141" s="149" t="s">
        <v>5586</v>
      </c>
      <c r="B141" s="149" t="s">
        <v>10534</v>
      </c>
      <c r="C141" s="149" t="s">
        <v>13591</v>
      </c>
    </row>
    <row r="142" spans="1:5">
      <c r="A142" s="149" t="s">
        <v>4932</v>
      </c>
      <c r="B142" s="149" t="s">
        <v>10534</v>
      </c>
      <c r="C142" s="149" t="s">
        <v>13585</v>
      </c>
    </row>
    <row r="143" spans="1:5">
      <c r="A143" s="149" t="s">
        <v>5730</v>
      </c>
      <c r="B143" s="149" t="s">
        <v>10534</v>
      </c>
      <c r="C143" s="149" t="s">
        <v>13585</v>
      </c>
    </row>
    <row r="144" spans="1:5">
      <c r="A144" s="149" t="s">
        <v>3186</v>
      </c>
      <c r="B144" s="149" t="s">
        <v>10534</v>
      </c>
      <c r="C144" s="149" t="s">
        <v>13586</v>
      </c>
    </row>
    <row r="145" spans="1:4">
      <c r="A145" s="149" t="s">
        <v>613</v>
      </c>
      <c r="B145" s="149" t="s">
        <v>10534</v>
      </c>
      <c r="C145" s="149" t="s">
        <v>13586</v>
      </c>
    </row>
    <row r="146" spans="1:4">
      <c r="A146" s="149" t="s">
        <v>4932</v>
      </c>
      <c r="B146" s="149" t="s">
        <v>10534</v>
      </c>
      <c r="C146" s="149" t="s">
        <v>13585</v>
      </c>
    </row>
    <row r="147" spans="1:4">
      <c r="A147" s="149" t="s">
        <v>3942</v>
      </c>
      <c r="B147" s="149" t="s">
        <v>10534</v>
      </c>
      <c r="C147" s="149" t="s">
        <v>13586</v>
      </c>
    </row>
    <row r="148" spans="1:4">
      <c r="A148" s="149" t="s">
        <v>5689</v>
      </c>
      <c r="B148" s="149" t="s">
        <v>10534</v>
      </c>
      <c r="C148" s="149" t="s">
        <v>13586</v>
      </c>
    </row>
    <row r="149" spans="1:4">
      <c r="A149" s="149" t="s">
        <v>674</v>
      </c>
      <c r="B149" s="149" t="s">
        <v>13587</v>
      </c>
      <c r="C149" s="149"/>
    </row>
    <row r="150" spans="1:4">
      <c r="A150" s="149" t="s">
        <v>5429</v>
      </c>
      <c r="B150" s="149" t="s">
        <v>13588</v>
      </c>
      <c r="C150" s="149"/>
    </row>
    <row r="151" spans="1:4">
      <c r="A151" s="149" t="s">
        <v>1202</v>
      </c>
      <c r="B151" s="149" t="s">
        <v>10534</v>
      </c>
      <c r="C151" s="149" t="s">
        <v>13585</v>
      </c>
    </row>
    <row r="152" spans="1:4">
      <c r="A152" s="149" t="s">
        <v>10341</v>
      </c>
      <c r="B152" s="149" t="s">
        <v>8929</v>
      </c>
      <c r="C152" s="149" t="s">
        <v>13585</v>
      </c>
    </row>
    <row r="153" spans="1:4">
      <c r="A153" s="149" t="s">
        <v>12343</v>
      </c>
      <c r="B153" s="149" t="s">
        <v>10534</v>
      </c>
      <c r="C153" s="149" t="s">
        <v>13585</v>
      </c>
    </row>
    <row r="154" spans="1:4">
      <c r="A154" s="149" t="s">
        <v>3892</v>
      </c>
      <c r="B154" s="149" t="s">
        <v>10534</v>
      </c>
      <c r="C154" s="149" t="s">
        <v>13585</v>
      </c>
    </row>
    <row r="155" spans="1:4">
      <c r="A155" s="476" t="s">
        <v>10556</v>
      </c>
      <c r="B155" s="149" t="s">
        <v>10534</v>
      </c>
      <c r="C155" s="340" t="s">
        <v>13592</v>
      </c>
      <c r="D155" t="s">
        <v>278</v>
      </c>
    </row>
    <row r="156" spans="1:4">
      <c r="A156" s="149" t="s">
        <v>5944</v>
      </c>
      <c r="B156" s="149" t="s">
        <v>10534</v>
      </c>
      <c r="C156" s="149"/>
    </row>
    <row r="157" spans="1:4">
      <c r="A157" s="149" t="s">
        <v>5951</v>
      </c>
      <c r="B157" s="149" t="s">
        <v>10534</v>
      </c>
      <c r="C157" s="149" t="s">
        <v>13592</v>
      </c>
      <c r="D157" t="s">
        <v>13593</v>
      </c>
    </row>
    <row r="158" spans="1:4">
      <c r="A158" s="149" t="s">
        <v>5880</v>
      </c>
      <c r="B158" s="149" t="s">
        <v>10534</v>
      </c>
      <c r="C158" s="149"/>
    </row>
    <row r="159" spans="1:4">
      <c r="A159" s="149" t="s">
        <v>4788</v>
      </c>
      <c r="B159" s="149" t="s">
        <v>13588</v>
      </c>
      <c r="C159" s="149"/>
    </row>
    <row r="160" spans="1:4">
      <c r="A160" s="149" t="s">
        <v>5923</v>
      </c>
      <c r="B160" s="149" t="s">
        <v>10534</v>
      </c>
      <c r="C160" s="149"/>
    </row>
    <row r="161" spans="1:3">
      <c r="A161" s="149" t="s">
        <v>3868</v>
      </c>
      <c r="B161" s="149" t="s">
        <v>13588</v>
      </c>
      <c r="C161" s="149"/>
    </row>
    <row r="162" spans="1:3">
      <c r="A162" s="149" t="s">
        <v>7178</v>
      </c>
      <c r="B162" s="149" t="s">
        <v>10534</v>
      </c>
      <c r="C162" s="149"/>
    </row>
    <row r="163" spans="1:3">
      <c r="A163" s="108" t="s">
        <v>5907</v>
      </c>
      <c r="B163" s="149" t="s">
        <v>13588</v>
      </c>
      <c r="C163" s="149"/>
    </row>
    <row r="164" spans="1:3">
      <c r="A164" s="149" t="s">
        <v>4058</v>
      </c>
      <c r="B164" s="149" t="s">
        <v>10534</v>
      </c>
      <c r="C164" s="149" t="s">
        <v>13585</v>
      </c>
    </row>
    <row r="165" spans="1:3">
      <c r="A165" s="149" t="s">
        <v>3412</v>
      </c>
      <c r="B165" s="149" t="s">
        <v>13588</v>
      </c>
      <c r="C165" s="149"/>
    </row>
    <row r="166" spans="1:3">
      <c r="A166" s="149" t="s">
        <v>10204</v>
      </c>
      <c r="B166" s="149"/>
      <c r="C166" s="149"/>
    </row>
    <row r="167" spans="1:3">
      <c r="A167" s="149" t="s">
        <v>3908</v>
      </c>
      <c r="B167" s="149" t="s">
        <v>8929</v>
      </c>
      <c r="C167" s="149" t="s">
        <v>13586</v>
      </c>
    </row>
    <row r="168" spans="1:3">
      <c r="A168" s="149" t="s">
        <v>5540</v>
      </c>
      <c r="B168" s="149" t="s">
        <v>10534</v>
      </c>
      <c r="C168" s="149" t="s">
        <v>13586</v>
      </c>
    </row>
    <row r="169" spans="1:3">
      <c r="A169" s="149" t="s">
        <v>3949</v>
      </c>
      <c r="B169" s="149" t="s">
        <v>10534</v>
      </c>
      <c r="C169" s="149" t="s">
        <v>13586</v>
      </c>
    </row>
    <row r="170" spans="1:3">
      <c r="A170" s="149" t="s">
        <v>5948</v>
      </c>
      <c r="B170" s="149" t="s">
        <v>10534</v>
      </c>
      <c r="C170" s="149" t="s">
        <v>13586</v>
      </c>
    </row>
    <row r="171" spans="1:3">
      <c r="A171" s="149" t="s">
        <v>3333</v>
      </c>
      <c r="B171" s="149"/>
      <c r="C171" s="149"/>
    </row>
    <row r="172" spans="1:3">
      <c r="A172" s="149" t="s">
        <v>5896</v>
      </c>
      <c r="B172" s="149"/>
      <c r="C172" s="149"/>
    </row>
    <row r="173" spans="1:3">
      <c r="A173" s="149" t="s">
        <v>1092</v>
      </c>
      <c r="B173" s="149" t="s">
        <v>10534</v>
      </c>
      <c r="C173" s="149" t="s">
        <v>13585</v>
      </c>
    </row>
    <row r="174" spans="1:3">
      <c r="A174" s="149" t="s">
        <v>13594</v>
      </c>
      <c r="B174" s="149" t="s">
        <v>10534</v>
      </c>
      <c r="C174" s="149" t="s">
        <v>13585</v>
      </c>
    </row>
    <row r="175" spans="1:3">
      <c r="A175" s="149" t="s">
        <v>13595</v>
      </c>
      <c r="B175" s="149" t="s">
        <v>10534</v>
      </c>
      <c r="C175" s="149" t="s">
        <v>13596</v>
      </c>
    </row>
    <row r="176" spans="1:3">
      <c r="A176" s="149" t="s">
        <v>13597</v>
      </c>
      <c r="B176" s="149" t="s">
        <v>10534</v>
      </c>
      <c r="C176" s="149" t="s">
        <v>13598</v>
      </c>
    </row>
    <row r="177" spans="1:3">
      <c r="A177" s="149" t="s">
        <v>6010</v>
      </c>
      <c r="B177" s="149" t="s">
        <v>10534</v>
      </c>
      <c r="C177" s="149" t="s">
        <v>13585</v>
      </c>
    </row>
    <row r="178" spans="1:3">
      <c r="A178" s="149" t="s">
        <v>13599</v>
      </c>
      <c r="B178" s="149" t="s">
        <v>10534</v>
      </c>
      <c r="C178" s="149" t="s">
        <v>13585</v>
      </c>
    </row>
    <row r="179" spans="1:3">
      <c r="A179" t="s">
        <v>4024</v>
      </c>
      <c r="B179" s="149" t="s">
        <v>10534</v>
      </c>
      <c r="C179" s="149" t="s">
        <v>13573</v>
      </c>
    </row>
    <row r="180" spans="1:3">
      <c r="A180" s="108" t="s">
        <v>5668</v>
      </c>
      <c r="B180" s="149" t="s">
        <v>10534</v>
      </c>
      <c r="C180" s="149" t="s">
        <v>13585</v>
      </c>
    </row>
    <row r="181" spans="1:3">
      <c r="A181" s="149" t="s">
        <v>4021</v>
      </c>
      <c r="B181" s="149" t="s">
        <v>10534</v>
      </c>
      <c r="C181" s="149" t="s">
        <v>13585</v>
      </c>
    </row>
    <row r="182" spans="1:3">
      <c r="A182" s="149" t="s">
        <v>5991</v>
      </c>
      <c r="B182" s="149" t="s">
        <v>10534</v>
      </c>
      <c r="C182" s="149" t="s">
        <v>13586</v>
      </c>
    </row>
    <row r="183" spans="1:3">
      <c r="A183" s="149" t="s">
        <v>5856</v>
      </c>
      <c r="B183" s="149" t="s">
        <v>10534</v>
      </c>
      <c r="C183" s="149" t="s">
        <v>13586</v>
      </c>
    </row>
    <row r="184" spans="1:3">
      <c r="A184" s="149" t="s">
        <v>9035</v>
      </c>
      <c r="B184" s="149"/>
      <c r="C184" s="149"/>
    </row>
    <row r="185" spans="1:3">
      <c r="A185" s="149" t="s">
        <v>5993</v>
      </c>
      <c r="B185" s="149"/>
      <c r="C185" s="149"/>
    </row>
    <row r="186" spans="1:3">
      <c r="A186" s="149" t="s">
        <v>3383</v>
      </c>
      <c r="B186" s="149" t="s">
        <v>10534</v>
      </c>
      <c r="C186" s="149" t="s">
        <v>13586</v>
      </c>
    </row>
    <row r="187" spans="1:3">
      <c r="A187" s="149" t="s">
        <v>6069</v>
      </c>
      <c r="B187" s="149"/>
      <c r="C187" s="149"/>
    </row>
    <row r="188" spans="1:3">
      <c r="A188" s="149" t="s">
        <v>5351</v>
      </c>
      <c r="B188" s="149" t="s">
        <v>10534</v>
      </c>
      <c r="C188" s="149" t="s">
        <v>13586</v>
      </c>
    </row>
    <row r="189" spans="1:3">
      <c r="A189" s="149" t="s">
        <v>3907</v>
      </c>
      <c r="B189" s="149"/>
      <c r="C189" s="149"/>
    </row>
    <row r="190" spans="1:3">
      <c r="A190" s="149" t="s">
        <v>3253</v>
      </c>
      <c r="B190" s="149"/>
      <c r="C190" s="149"/>
    </row>
    <row r="191" spans="1:3">
      <c r="A191" s="149" t="s">
        <v>12416</v>
      </c>
      <c r="B191" s="149" t="s">
        <v>10534</v>
      </c>
      <c r="C191" s="149" t="s">
        <v>13573</v>
      </c>
    </row>
    <row r="192" spans="1:3">
      <c r="A192" s="149"/>
      <c r="B192" s="149"/>
      <c r="C192" s="149"/>
    </row>
    <row r="193" spans="1:3">
      <c r="A193" s="149"/>
      <c r="B193" s="149"/>
      <c r="C193" s="149"/>
    </row>
    <row r="194" spans="1:3">
      <c r="A194" s="149"/>
      <c r="B194" s="149"/>
      <c r="C194" s="149"/>
    </row>
    <row r="195" spans="1:3">
      <c r="A195" s="149"/>
      <c r="B195" s="149"/>
      <c r="C195" s="149"/>
    </row>
    <row r="196" spans="1:3">
      <c r="A196" s="149"/>
      <c r="B196" s="149"/>
      <c r="C196" s="149"/>
    </row>
    <row r="197" spans="1:3">
      <c r="A197" s="149"/>
      <c r="B197" s="149"/>
      <c r="C197" s="149"/>
    </row>
    <row r="198" spans="1:3">
      <c r="A198" s="149"/>
      <c r="B198" s="149"/>
      <c r="C198" s="149"/>
    </row>
    <row r="199" spans="1:3">
      <c r="A199" s="149"/>
      <c r="B199" s="149"/>
      <c r="C199" s="149"/>
    </row>
    <row r="200" spans="1:3">
      <c r="A200" s="149"/>
      <c r="B200" s="149"/>
      <c r="C200" s="149"/>
    </row>
    <row r="201" spans="1:3">
      <c r="A201" s="149"/>
      <c r="B201" s="149"/>
      <c r="C201" s="149"/>
    </row>
    <row r="202" spans="1:3">
      <c r="A202" s="149"/>
      <c r="B202" s="149"/>
      <c r="C202" s="149"/>
    </row>
    <row r="203" spans="1:3">
      <c r="A203" s="149"/>
      <c r="B203" s="149"/>
      <c r="C203" s="149"/>
    </row>
    <row r="204" spans="1:3">
      <c r="A204" s="149"/>
      <c r="B204" s="149"/>
      <c r="C204" s="149"/>
    </row>
    <row r="205" spans="1:3">
      <c r="A205" s="149"/>
      <c r="B205" s="149"/>
      <c r="C205" s="149"/>
    </row>
    <row r="206" spans="1:3">
      <c r="A206" s="149"/>
      <c r="B206" s="149"/>
      <c r="C206" s="149"/>
    </row>
    <row r="207" spans="1:3">
      <c r="A207" s="149"/>
      <c r="B207" s="149"/>
      <c r="C207" s="149"/>
    </row>
    <row r="208" spans="1:3">
      <c r="A208" s="149"/>
      <c r="B208" s="149"/>
      <c r="C208" s="149"/>
    </row>
    <row r="209" spans="1:3">
      <c r="A209" s="149"/>
      <c r="B209" s="149"/>
      <c r="C209" s="149"/>
    </row>
    <row r="210" spans="1:3">
      <c r="A210" s="149"/>
      <c r="B210" s="149"/>
      <c r="C210" s="149"/>
    </row>
    <row r="211" spans="1:3">
      <c r="A211" s="149"/>
      <c r="B211" s="149"/>
      <c r="C211" s="149"/>
    </row>
    <row r="212" spans="1:3">
      <c r="A212" s="149"/>
      <c r="B212" s="149"/>
      <c r="C212" s="149"/>
    </row>
    <row r="213" spans="1:3">
      <c r="A213" s="149"/>
      <c r="B213" s="149"/>
      <c r="C213" s="149"/>
    </row>
    <row r="214" spans="1:3">
      <c r="A214" s="149"/>
      <c r="B214" s="149"/>
      <c r="C214" s="149"/>
    </row>
    <row r="215" spans="1:3">
      <c r="A215" s="149"/>
      <c r="B215" s="149"/>
      <c r="C215" s="149"/>
    </row>
    <row r="216" spans="1:3">
      <c r="A216" s="149"/>
      <c r="B216" s="149"/>
      <c r="C216" s="149"/>
    </row>
    <row r="217" spans="1:3">
      <c r="A217" s="149"/>
      <c r="B217" s="149"/>
      <c r="C217" s="149"/>
    </row>
    <row r="218" spans="1:3">
      <c r="A218" s="149"/>
      <c r="B218" s="149"/>
      <c r="C218" s="149"/>
    </row>
    <row r="219" spans="1:3">
      <c r="A219" s="149"/>
      <c r="B219" s="149"/>
      <c r="C219" s="149"/>
    </row>
    <row r="220" spans="1:3">
      <c r="A220" s="149"/>
      <c r="B220" s="149"/>
      <c r="C220" s="149"/>
    </row>
    <row r="221" spans="1:3">
      <c r="A221" s="149"/>
      <c r="B221" s="149"/>
      <c r="C221" s="149"/>
    </row>
    <row r="222" spans="1:3">
      <c r="A222" s="149"/>
      <c r="B222" s="149"/>
      <c r="C222" s="149"/>
    </row>
    <row r="223" spans="1:3">
      <c r="A223" s="149"/>
      <c r="B223" s="149"/>
      <c r="C223" s="149"/>
    </row>
    <row r="224" spans="1:3">
      <c r="A224" s="149"/>
      <c r="B224" s="149"/>
      <c r="C224" s="149"/>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BFC0B-5257-455B-AAB5-08FFC10BBF7C}">
  <dimension ref="A1:J50"/>
  <sheetViews>
    <sheetView topLeftCell="L1" zoomScaleNormal="100" workbookViewId="0">
      <selection activeCell="L12" sqref="L12"/>
    </sheetView>
  </sheetViews>
  <sheetFormatPr defaultRowHeight="15"/>
  <cols>
    <col min="1" max="1" width="8.140625" customWidth="1"/>
    <col min="2" max="2" width="17" bestFit="1" customWidth="1"/>
    <col min="3" max="3" width="14" bestFit="1" customWidth="1"/>
    <col min="4" max="9" width="13.85546875" bestFit="1" customWidth="1"/>
    <col min="10" max="10" width="29.85546875" bestFit="1" customWidth="1"/>
  </cols>
  <sheetData>
    <row r="1" spans="1:10">
      <c r="A1" s="844" t="s">
        <v>13600</v>
      </c>
      <c r="B1" s="850" t="s">
        <v>8745</v>
      </c>
      <c r="C1" s="834" t="s">
        <v>13601</v>
      </c>
      <c r="D1" s="835"/>
      <c r="E1" s="835"/>
      <c r="F1" s="835"/>
      <c r="G1" s="835"/>
      <c r="H1" s="834" t="s">
        <v>13602</v>
      </c>
      <c r="I1" s="835"/>
    </row>
    <row r="2" spans="1:10" ht="23.25">
      <c r="A2" s="845"/>
      <c r="B2" s="850"/>
      <c r="C2" s="473" t="s">
        <v>13603</v>
      </c>
      <c r="D2" s="473" t="s">
        <v>13604</v>
      </c>
      <c r="E2" s="473" t="s">
        <v>13605</v>
      </c>
      <c r="F2" s="473" t="s">
        <v>13606</v>
      </c>
      <c r="G2" s="473" t="s">
        <v>13607</v>
      </c>
      <c r="H2" s="474" t="s">
        <v>13608</v>
      </c>
      <c r="I2" s="474" t="s">
        <v>13609</v>
      </c>
      <c r="J2" s="475" t="s">
        <v>13610</v>
      </c>
    </row>
    <row r="3" spans="1:10" ht="14.45" customHeight="1">
      <c r="A3" s="836" t="s">
        <v>10220</v>
      </c>
      <c r="B3" s="482" t="s">
        <v>10896</v>
      </c>
      <c r="C3" s="481">
        <v>44956</v>
      </c>
      <c r="D3" s="481">
        <v>44957</v>
      </c>
      <c r="E3" s="481">
        <v>44958</v>
      </c>
      <c r="F3" s="481">
        <v>44987</v>
      </c>
      <c r="G3" s="481">
        <v>44960</v>
      </c>
      <c r="H3" s="480">
        <v>44961</v>
      </c>
      <c r="I3" s="483">
        <v>44962</v>
      </c>
      <c r="J3" s="31" t="s">
        <v>13611</v>
      </c>
    </row>
    <row r="4" spans="1:10">
      <c r="A4" s="836"/>
      <c r="B4" s="479" t="s">
        <v>10394</v>
      </c>
      <c r="C4" s="480">
        <v>44963</v>
      </c>
      <c r="D4" s="480">
        <v>44964</v>
      </c>
      <c r="E4" s="480">
        <v>44965</v>
      </c>
      <c r="F4" s="480">
        <v>44966</v>
      </c>
      <c r="G4" s="480">
        <v>44967</v>
      </c>
      <c r="H4" s="481">
        <v>44968</v>
      </c>
      <c r="I4" s="481">
        <v>44969</v>
      </c>
    </row>
    <row r="5" spans="1:10">
      <c r="A5" s="836"/>
      <c r="B5" s="482" t="s">
        <v>10896</v>
      </c>
      <c r="C5" s="481">
        <v>44970</v>
      </c>
      <c r="D5" s="481">
        <v>44971</v>
      </c>
      <c r="E5" s="481">
        <v>44972</v>
      </c>
      <c r="F5" s="481">
        <v>44973</v>
      </c>
      <c r="G5" s="483">
        <v>44974</v>
      </c>
      <c r="H5" s="483">
        <v>44975</v>
      </c>
      <c r="I5" s="483">
        <v>44976</v>
      </c>
      <c r="J5" s="39" t="s">
        <v>13611</v>
      </c>
    </row>
    <row r="6" spans="1:10">
      <c r="A6" s="836"/>
      <c r="B6" s="479" t="s">
        <v>10394</v>
      </c>
      <c r="C6" s="480">
        <v>44977</v>
      </c>
      <c r="D6" s="480">
        <v>44978</v>
      </c>
      <c r="E6" s="481">
        <v>44979</v>
      </c>
      <c r="F6" s="481">
        <v>44980</v>
      </c>
      <c r="G6" s="481">
        <v>44981</v>
      </c>
      <c r="H6" s="481">
        <v>44982</v>
      </c>
      <c r="I6" s="481">
        <v>44983</v>
      </c>
    </row>
    <row r="7" spans="1:10">
      <c r="A7" s="837"/>
      <c r="B7" s="479" t="s">
        <v>10394</v>
      </c>
      <c r="C7" s="480">
        <v>44984</v>
      </c>
      <c r="D7" s="480">
        <v>44985</v>
      </c>
      <c r="E7" s="480">
        <v>44986</v>
      </c>
      <c r="F7" s="480">
        <v>44987</v>
      </c>
      <c r="G7" s="480">
        <v>44988</v>
      </c>
      <c r="H7" s="480">
        <v>44989</v>
      </c>
      <c r="I7" s="480">
        <v>44990</v>
      </c>
    </row>
    <row r="8" spans="1:10">
      <c r="A8" s="838" t="s">
        <v>10238</v>
      </c>
      <c r="B8" s="479" t="s">
        <v>10896</v>
      </c>
      <c r="C8" s="480">
        <v>44991</v>
      </c>
      <c r="D8" s="480">
        <v>44992</v>
      </c>
      <c r="E8" s="480">
        <v>44993</v>
      </c>
      <c r="F8" s="480">
        <v>44994</v>
      </c>
      <c r="G8" s="480">
        <v>44995</v>
      </c>
      <c r="H8" s="480">
        <v>44996</v>
      </c>
      <c r="I8" s="480">
        <v>44997</v>
      </c>
    </row>
    <row r="9" spans="1:10">
      <c r="A9" s="839"/>
      <c r="B9" s="482" t="s">
        <v>10394</v>
      </c>
      <c r="C9" s="481">
        <v>44998</v>
      </c>
      <c r="D9" s="481">
        <v>44999</v>
      </c>
      <c r="E9" s="481">
        <v>45000</v>
      </c>
      <c r="F9" s="481">
        <v>45001</v>
      </c>
      <c r="G9" s="481">
        <v>45002</v>
      </c>
      <c r="H9" s="481">
        <v>45003</v>
      </c>
      <c r="I9" s="481">
        <v>45004</v>
      </c>
    </row>
    <row r="10" spans="1:10">
      <c r="A10" s="839"/>
      <c r="B10" s="479" t="s">
        <v>10896</v>
      </c>
      <c r="C10" s="480">
        <v>45005</v>
      </c>
      <c r="D10" s="484">
        <v>45006</v>
      </c>
      <c r="E10" s="480">
        <v>45007</v>
      </c>
      <c r="F10" s="480">
        <v>45008</v>
      </c>
      <c r="G10" s="480">
        <v>45009</v>
      </c>
      <c r="H10" s="480">
        <v>45010</v>
      </c>
      <c r="I10" s="480">
        <v>45011</v>
      </c>
      <c r="J10" s="31" t="s">
        <v>13612</v>
      </c>
    </row>
    <row r="11" spans="1:10">
      <c r="A11" s="839"/>
      <c r="B11" s="482" t="s">
        <v>10394</v>
      </c>
      <c r="C11" s="481">
        <v>45012</v>
      </c>
      <c r="D11" s="481">
        <v>45013</v>
      </c>
      <c r="E11" s="481">
        <v>45014</v>
      </c>
      <c r="F11" s="481">
        <v>45015</v>
      </c>
      <c r="G11" s="481">
        <v>45016</v>
      </c>
      <c r="H11" s="481">
        <v>45017</v>
      </c>
      <c r="I11" s="481">
        <v>45018</v>
      </c>
    </row>
    <row r="12" spans="1:10">
      <c r="A12" s="842" t="s">
        <v>10250</v>
      </c>
      <c r="B12" s="479" t="s">
        <v>10896</v>
      </c>
      <c r="C12" s="485">
        <v>45019</v>
      </c>
      <c r="D12" s="485">
        <v>45020</v>
      </c>
      <c r="E12" s="485">
        <v>45021</v>
      </c>
      <c r="F12" s="485">
        <v>45022</v>
      </c>
      <c r="G12" s="486">
        <v>45023</v>
      </c>
      <c r="H12" s="487">
        <v>45024</v>
      </c>
      <c r="I12" s="488">
        <v>45025</v>
      </c>
      <c r="J12" s="31" t="s">
        <v>13613</v>
      </c>
    </row>
    <row r="13" spans="1:10">
      <c r="A13" s="843"/>
      <c r="B13" s="482" t="s">
        <v>10394</v>
      </c>
      <c r="C13" s="489">
        <v>45026</v>
      </c>
      <c r="D13" s="489">
        <v>45027</v>
      </c>
      <c r="E13" s="489">
        <v>45028</v>
      </c>
      <c r="F13" s="489">
        <v>45029</v>
      </c>
      <c r="G13" s="489">
        <v>45030</v>
      </c>
      <c r="H13" s="490">
        <v>45031</v>
      </c>
      <c r="I13" s="489">
        <v>45032</v>
      </c>
    </row>
    <row r="14" spans="1:10">
      <c r="A14" s="843"/>
      <c r="B14" s="479" t="s">
        <v>10896</v>
      </c>
      <c r="C14" s="491">
        <v>45033</v>
      </c>
      <c r="D14" s="491">
        <v>45034</v>
      </c>
      <c r="E14" s="491">
        <v>45035</v>
      </c>
      <c r="F14" s="491">
        <v>45036</v>
      </c>
      <c r="G14" s="492">
        <v>45037</v>
      </c>
      <c r="H14" s="493">
        <v>45038</v>
      </c>
      <c r="I14" s="494">
        <v>45039</v>
      </c>
      <c r="J14" s="31" t="s">
        <v>13614</v>
      </c>
    </row>
    <row r="15" spans="1:10">
      <c r="A15" s="843"/>
      <c r="B15" s="482" t="s">
        <v>10394</v>
      </c>
      <c r="C15" s="489">
        <v>45040</v>
      </c>
      <c r="D15" s="489">
        <v>45041</v>
      </c>
      <c r="E15" s="489">
        <v>45042</v>
      </c>
      <c r="F15" s="489">
        <v>45043</v>
      </c>
      <c r="G15" s="489">
        <v>45044</v>
      </c>
      <c r="H15" s="490">
        <v>45045</v>
      </c>
      <c r="I15" s="489">
        <v>45046</v>
      </c>
    </row>
    <row r="16" spans="1:10" ht="15" customHeight="1">
      <c r="A16" s="846" t="s">
        <v>10666</v>
      </c>
      <c r="B16" s="479" t="s">
        <v>10896</v>
      </c>
      <c r="C16" s="495">
        <v>45047</v>
      </c>
      <c r="D16" s="491">
        <v>45048</v>
      </c>
      <c r="E16" s="491">
        <v>45049</v>
      </c>
      <c r="F16" s="491">
        <v>45050</v>
      </c>
      <c r="G16" s="491">
        <v>45051</v>
      </c>
      <c r="H16" s="493">
        <v>45052</v>
      </c>
      <c r="I16" s="494">
        <v>45053</v>
      </c>
      <c r="J16" s="133" t="s">
        <v>13615</v>
      </c>
    </row>
    <row r="17" spans="1:10" ht="15" customHeight="1">
      <c r="A17" s="846"/>
      <c r="B17" s="482" t="s">
        <v>10394</v>
      </c>
      <c r="C17" s="489">
        <v>45054</v>
      </c>
      <c r="D17" s="489">
        <v>45055</v>
      </c>
      <c r="E17" s="489">
        <v>45056</v>
      </c>
      <c r="F17" s="489">
        <v>45057</v>
      </c>
      <c r="G17" s="489">
        <v>45058</v>
      </c>
      <c r="H17" s="490">
        <v>45059</v>
      </c>
      <c r="I17" s="489">
        <v>45060</v>
      </c>
    </row>
    <row r="18" spans="1:10" ht="15" customHeight="1">
      <c r="A18" s="846"/>
      <c r="B18" s="479" t="s">
        <v>10896</v>
      </c>
      <c r="C18" s="491">
        <v>45061</v>
      </c>
      <c r="D18" s="491">
        <v>45062</v>
      </c>
      <c r="E18" s="491">
        <v>45063</v>
      </c>
      <c r="F18" s="491">
        <v>45064</v>
      </c>
      <c r="G18" s="491">
        <v>45065</v>
      </c>
      <c r="H18" s="493">
        <v>45066</v>
      </c>
      <c r="I18" s="491">
        <v>45067</v>
      </c>
    </row>
    <row r="19" spans="1:10" ht="15" customHeight="1">
      <c r="A19" s="846"/>
      <c r="B19" s="482" t="s">
        <v>10394</v>
      </c>
      <c r="C19" s="489">
        <v>45068</v>
      </c>
      <c r="D19" s="489">
        <v>45069</v>
      </c>
      <c r="E19" s="489">
        <v>45070</v>
      </c>
      <c r="F19" s="489">
        <v>45071</v>
      </c>
      <c r="G19" s="489">
        <v>45072</v>
      </c>
      <c r="H19" s="490">
        <v>45073</v>
      </c>
      <c r="I19" s="489">
        <v>45074</v>
      </c>
    </row>
    <row r="20" spans="1:10">
      <c r="A20" s="846"/>
      <c r="B20" s="479" t="s">
        <v>10896</v>
      </c>
      <c r="C20" s="491">
        <v>45075</v>
      </c>
      <c r="D20" s="491">
        <v>45076</v>
      </c>
      <c r="E20" s="491">
        <v>45077</v>
      </c>
      <c r="F20" s="491">
        <v>45078</v>
      </c>
      <c r="G20" s="491">
        <v>45079</v>
      </c>
      <c r="H20" s="493">
        <v>45080</v>
      </c>
      <c r="I20" s="491">
        <v>45081</v>
      </c>
    </row>
    <row r="21" spans="1:10" ht="15" customHeight="1">
      <c r="A21" s="847" t="s">
        <v>10719</v>
      </c>
      <c r="B21" s="482" t="s">
        <v>10394</v>
      </c>
      <c r="C21" s="489">
        <v>45082</v>
      </c>
      <c r="D21" s="489">
        <v>45083</v>
      </c>
      <c r="E21" s="489">
        <v>45084</v>
      </c>
      <c r="F21" s="492">
        <v>45085</v>
      </c>
      <c r="G21" s="489">
        <v>45086</v>
      </c>
      <c r="H21" s="490">
        <v>45087</v>
      </c>
      <c r="I21" s="496">
        <v>45088</v>
      </c>
      <c r="J21" s="31" t="s">
        <v>13616</v>
      </c>
    </row>
    <row r="22" spans="1:10" ht="15" customHeight="1">
      <c r="A22" s="848"/>
      <c r="B22" s="479" t="s">
        <v>10896</v>
      </c>
      <c r="C22" s="491">
        <v>45089</v>
      </c>
      <c r="D22" s="491">
        <v>45090</v>
      </c>
      <c r="E22" s="491">
        <v>45091</v>
      </c>
      <c r="F22" s="491">
        <v>45092</v>
      </c>
      <c r="G22" s="491">
        <v>45093</v>
      </c>
      <c r="H22" s="493">
        <v>45094</v>
      </c>
      <c r="I22" s="491">
        <v>45095</v>
      </c>
    </row>
    <row r="23" spans="1:10" ht="15" customHeight="1">
      <c r="A23" s="848"/>
      <c r="B23" s="482" t="s">
        <v>10394</v>
      </c>
      <c r="C23" s="489">
        <v>45096</v>
      </c>
      <c r="D23" s="489">
        <v>45097</v>
      </c>
      <c r="E23" s="489">
        <v>45098</v>
      </c>
      <c r="F23" s="489">
        <v>45099</v>
      </c>
      <c r="G23" s="489">
        <v>45100</v>
      </c>
      <c r="H23" s="490">
        <v>45101</v>
      </c>
      <c r="I23" s="489">
        <v>45102</v>
      </c>
    </row>
    <row r="24" spans="1:10" ht="15" customHeight="1">
      <c r="A24" s="849"/>
      <c r="B24" s="479" t="s">
        <v>10896</v>
      </c>
      <c r="C24" s="491">
        <v>45103</v>
      </c>
      <c r="D24" s="491">
        <v>45104</v>
      </c>
      <c r="E24" s="491">
        <v>45105</v>
      </c>
      <c r="F24" s="491">
        <v>45106</v>
      </c>
      <c r="G24" s="491">
        <v>45107</v>
      </c>
      <c r="H24" s="493">
        <v>45108</v>
      </c>
      <c r="I24" s="491">
        <v>45109</v>
      </c>
    </row>
    <row r="25" spans="1:10" ht="15" customHeight="1">
      <c r="A25" s="840" t="s">
        <v>10756</v>
      </c>
      <c r="B25" s="482" t="s">
        <v>10394</v>
      </c>
      <c r="C25" s="489">
        <v>45110</v>
      </c>
      <c r="D25" s="489">
        <v>45111</v>
      </c>
      <c r="E25" s="489">
        <v>45112</v>
      </c>
      <c r="F25" s="489">
        <v>45113</v>
      </c>
      <c r="G25" s="489">
        <v>45114</v>
      </c>
      <c r="H25" s="490">
        <v>45115</v>
      </c>
      <c r="I25" s="489">
        <v>45116</v>
      </c>
    </row>
    <row r="26" spans="1:10">
      <c r="A26" s="841"/>
      <c r="B26" s="479" t="s">
        <v>10896</v>
      </c>
      <c r="C26" s="491">
        <v>45117</v>
      </c>
      <c r="D26" s="491">
        <v>45118</v>
      </c>
      <c r="E26" s="491">
        <v>45119</v>
      </c>
      <c r="F26" s="491">
        <v>45120</v>
      </c>
      <c r="G26" s="491">
        <v>45121</v>
      </c>
      <c r="H26" s="493">
        <v>45122</v>
      </c>
      <c r="I26" s="491">
        <v>45123</v>
      </c>
    </row>
    <row r="27" spans="1:10">
      <c r="A27" s="841"/>
      <c r="B27" s="482" t="s">
        <v>10394</v>
      </c>
      <c r="C27" s="489">
        <v>45124</v>
      </c>
      <c r="D27" s="489">
        <v>45125</v>
      </c>
      <c r="E27" s="489">
        <v>45126</v>
      </c>
      <c r="F27" s="489">
        <v>45127</v>
      </c>
      <c r="G27" s="489">
        <v>45128</v>
      </c>
      <c r="H27" s="490">
        <v>45129</v>
      </c>
      <c r="I27" s="489">
        <v>45130</v>
      </c>
    </row>
    <row r="28" spans="1:10">
      <c r="A28" s="841"/>
      <c r="B28" s="479" t="s">
        <v>10896</v>
      </c>
      <c r="C28" s="491">
        <v>45131</v>
      </c>
      <c r="D28" s="491">
        <v>45132</v>
      </c>
      <c r="E28" s="491">
        <v>45133</v>
      </c>
      <c r="F28" s="491">
        <v>45134</v>
      </c>
      <c r="G28" s="491">
        <v>45135</v>
      </c>
      <c r="H28" s="493">
        <v>45136</v>
      </c>
      <c r="I28" s="491">
        <v>45137</v>
      </c>
    </row>
    <row r="29" spans="1:10">
      <c r="A29" s="826" t="s">
        <v>10798</v>
      </c>
      <c r="B29" s="482" t="s">
        <v>10394</v>
      </c>
      <c r="C29" s="489">
        <v>45138</v>
      </c>
      <c r="D29" s="489">
        <v>45139</v>
      </c>
      <c r="E29" s="489">
        <v>45140</v>
      </c>
      <c r="F29" s="489">
        <v>45141</v>
      </c>
      <c r="G29" s="489">
        <v>45142</v>
      </c>
      <c r="H29" s="490">
        <v>45143</v>
      </c>
      <c r="I29" s="489">
        <v>45144</v>
      </c>
    </row>
    <row r="30" spans="1:10">
      <c r="A30" s="826"/>
      <c r="B30" s="479" t="s">
        <v>10896</v>
      </c>
      <c r="C30" s="491">
        <v>45145</v>
      </c>
      <c r="D30" s="491">
        <v>45146</v>
      </c>
      <c r="E30" s="491">
        <v>45147</v>
      </c>
      <c r="F30" s="491">
        <v>45148</v>
      </c>
      <c r="G30" s="491">
        <v>45149</v>
      </c>
      <c r="H30" s="491">
        <v>45150</v>
      </c>
      <c r="I30" s="493">
        <v>45151</v>
      </c>
    </row>
    <row r="31" spans="1:10">
      <c r="A31" s="826"/>
      <c r="B31" s="482" t="s">
        <v>10394</v>
      </c>
      <c r="C31" s="489">
        <v>45152</v>
      </c>
      <c r="D31" s="489">
        <v>45153</v>
      </c>
      <c r="E31" s="489">
        <v>45154</v>
      </c>
      <c r="F31" s="489">
        <v>45155</v>
      </c>
      <c r="G31" s="489">
        <v>45156</v>
      </c>
      <c r="H31" s="489">
        <v>45157</v>
      </c>
      <c r="I31" s="490">
        <v>45158</v>
      </c>
    </row>
    <row r="32" spans="1:10">
      <c r="A32" s="826"/>
      <c r="B32" s="479" t="s">
        <v>10896</v>
      </c>
      <c r="C32" s="491">
        <v>45159</v>
      </c>
      <c r="D32" s="491">
        <v>45160</v>
      </c>
      <c r="E32" s="491">
        <v>45161</v>
      </c>
      <c r="F32" s="491">
        <v>45162</v>
      </c>
      <c r="G32" s="491">
        <v>45163</v>
      </c>
      <c r="H32" s="493">
        <v>45164</v>
      </c>
      <c r="I32" s="491">
        <v>45165</v>
      </c>
    </row>
    <row r="33" spans="1:10">
      <c r="A33" s="826"/>
      <c r="B33" s="482" t="s">
        <v>10394</v>
      </c>
      <c r="C33" s="489">
        <v>45166</v>
      </c>
      <c r="D33" s="489">
        <v>45167</v>
      </c>
      <c r="E33" s="489">
        <v>45168</v>
      </c>
      <c r="F33" s="489">
        <v>45169</v>
      </c>
      <c r="G33" s="489">
        <v>45170</v>
      </c>
      <c r="H33" s="489">
        <v>45171</v>
      </c>
      <c r="I33" s="490">
        <v>45172</v>
      </c>
    </row>
    <row r="34" spans="1:10">
      <c r="A34" s="827" t="s">
        <v>13617</v>
      </c>
      <c r="B34" s="479" t="s">
        <v>10896</v>
      </c>
      <c r="C34" s="491">
        <v>45173</v>
      </c>
      <c r="D34" s="491">
        <v>45174</v>
      </c>
      <c r="E34" s="491">
        <v>45175</v>
      </c>
      <c r="F34" s="495">
        <v>45176</v>
      </c>
      <c r="G34" s="491">
        <v>45177</v>
      </c>
      <c r="H34" s="491">
        <v>45178</v>
      </c>
      <c r="I34" s="497">
        <v>45179</v>
      </c>
      <c r="J34" s="39" t="s">
        <v>13618</v>
      </c>
    </row>
    <row r="35" spans="1:10">
      <c r="A35" s="827"/>
      <c r="B35" s="482" t="s">
        <v>10394</v>
      </c>
      <c r="C35" s="489">
        <v>45180</v>
      </c>
      <c r="D35" s="489">
        <v>45181</v>
      </c>
      <c r="E35" s="489">
        <v>45182</v>
      </c>
      <c r="F35" s="489">
        <v>45183</v>
      </c>
      <c r="G35" s="489">
        <v>45184</v>
      </c>
      <c r="H35" s="489">
        <v>45185</v>
      </c>
      <c r="I35" s="490">
        <v>45186</v>
      </c>
    </row>
    <row r="36" spans="1:10">
      <c r="A36" s="827"/>
      <c r="B36" s="479" t="s">
        <v>10896</v>
      </c>
      <c r="C36" s="491">
        <v>45187</v>
      </c>
      <c r="D36" s="491">
        <v>45188</v>
      </c>
      <c r="E36" s="491">
        <v>45189</v>
      </c>
      <c r="F36" s="491">
        <v>45190</v>
      </c>
      <c r="G36" s="491">
        <v>45191</v>
      </c>
      <c r="H36" s="493">
        <v>45192</v>
      </c>
      <c r="I36" s="491">
        <v>45193</v>
      </c>
    </row>
    <row r="37" spans="1:10">
      <c r="A37" s="827"/>
      <c r="B37" s="482" t="s">
        <v>10394</v>
      </c>
      <c r="C37" s="489">
        <v>45194</v>
      </c>
      <c r="D37" s="489">
        <v>45195</v>
      </c>
      <c r="E37" s="489">
        <v>45196</v>
      </c>
      <c r="F37" s="489">
        <v>45197</v>
      </c>
      <c r="G37" s="489">
        <v>45198</v>
      </c>
      <c r="H37" s="489">
        <v>45199</v>
      </c>
      <c r="I37" s="490">
        <v>45200</v>
      </c>
    </row>
    <row r="38" spans="1:10">
      <c r="A38" s="828" t="s">
        <v>13619</v>
      </c>
      <c r="B38" s="479" t="s">
        <v>10896</v>
      </c>
      <c r="C38" s="491">
        <v>45201</v>
      </c>
      <c r="D38" s="491">
        <v>45202</v>
      </c>
      <c r="E38" s="491">
        <v>45203</v>
      </c>
      <c r="F38" s="491">
        <v>45204</v>
      </c>
      <c r="G38" s="491">
        <v>45205</v>
      </c>
      <c r="H38" s="491">
        <v>45206</v>
      </c>
      <c r="I38" s="497">
        <v>45207</v>
      </c>
    </row>
    <row r="39" spans="1:10">
      <c r="A39" s="829"/>
      <c r="B39" s="482" t="s">
        <v>10394</v>
      </c>
      <c r="C39" s="489">
        <v>45208</v>
      </c>
      <c r="D39" s="489">
        <v>45209</v>
      </c>
      <c r="E39" s="489">
        <v>45210</v>
      </c>
      <c r="F39" s="492">
        <v>45211</v>
      </c>
      <c r="G39" s="489">
        <v>45212</v>
      </c>
      <c r="H39" s="489">
        <v>45213</v>
      </c>
      <c r="I39" s="498">
        <v>45214</v>
      </c>
      <c r="J39" s="39" t="s">
        <v>13620</v>
      </c>
    </row>
    <row r="40" spans="1:10">
      <c r="A40" s="829"/>
      <c r="B40" s="479" t="s">
        <v>10896</v>
      </c>
      <c r="C40" s="491">
        <v>45215</v>
      </c>
      <c r="D40" s="491">
        <v>45216</v>
      </c>
      <c r="E40" s="491">
        <v>45217</v>
      </c>
      <c r="F40" s="491">
        <v>45218</v>
      </c>
      <c r="G40" s="491">
        <v>45219</v>
      </c>
      <c r="H40" s="493">
        <v>45220</v>
      </c>
      <c r="I40" s="491">
        <v>45221</v>
      </c>
    </row>
    <row r="41" spans="1:10">
      <c r="A41" s="829"/>
      <c r="B41" s="482" t="s">
        <v>10394</v>
      </c>
      <c r="C41" s="489">
        <v>45222</v>
      </c>
      <c r="D41" s="489">
        <v>45223</v>
      </c>
      <c r="E41" s="489">
        <v>45224</v>
      </c>
      <c r="F41" s="489">
        <v>45225</v>
      </c>
      <c r="G41" s="489">
        <v>45226</v>
      </c>
      <c r="H41" s="489">
        <v>45227</v>
      </c>
      <c r="I41" s="490">
        <v>45228</v>
      </c>
    </row>
    <row r="42" spans="1:10">
      <c r="A42" s="830"/>
      <c r="B42" s="479" t="s">
        <v>10896</v>
      </c>
      <c r="C42" s="491">
        <v>45229</v>
      </c>
      <c r="D42" s="491">
        <v>45230</v>
      </c>
      <c r="E42" s="491">
        <v>45231</v>
      </c>
      <c r="F42" s="495">
        <v>45232</v>
      </c>
      <c r="G42" s="491">
        <v>45233</v>
      </c>
      <c r="H42" s="493">
        <v>45234</v>
      </c>
      <c r="I42" s="494">
        <v>45235</v>
      </c>
      <c r="J42" s="39" t="s">
        <v>13621</v>
      </c>
    </row>
    <row r="43" spans="1:10">
      <c r="A43" s="831" t="s">
        <v>13622</v>
      </c>
      <c r="B43" s="482" t="s">
        <v>10394</v>
      </c>
      <c r="C43" s="489">
        <v>45236</v>
      </c>
      <c r="D43" s="489">
        <v>45237</v>
      </c>
      <c r="E43" s="489">
        <v>45238</v>
      </c>
      <c r="F43" s="489">
        <v>45239</v>
      </c>
      <c r="G43" s="489">
        <v>45240</v>
      </c>
      <c r="H43" s="490">
        <v>45241</v>
      </c>
      <c r="I43" s="489">
        <v>45242</v>
      </c>
    </row>
    <row r="44" spans="1:10">
      <c r="A44" s="832"/>
      <c r="B44" s="479" t="s">
        <v>10896</v>
      </c>
      <c r="C44" s="491">
        <v>45243</v>
      </c>
      <c r="D44" s="491">
        <v>45244</v>
      </c>
      <c r="E44" s="492">
        <v>45245</v>
      </c>
      <c r="F44" s="491">
        <v>45246</v>
      </c>
      <c r="G44" s="491">
        <v>45247</v>
      </c>
      <c r="H44" s="493">
        <v>45248</v>
      </c>
      <c r="I44" s="494">
        <v>45249</v>
      </c>
      <c r="J44" s="39" t="s">
        <v>13623</v>
      </c>
    </row>
    <row r="45" spans="1:10">
      <c r="A45" s="832"/>
      <c r="B45" s="482" t="s">
        <v>10394</v>
      </c>
      <c r="C45" s="489">
        <v>45250</v>
      </c>
      <c r="D45" s="489">
        <v>45251</v>
      </c>
      <c r="E45" s="489">
        <v>45252</v>
      </c>
      <c r="F45" s="489">
        <v>45253</v>
      </c>
      <c r="G45" s="489">
        <v>45254</v>
      </c>
      <c r="H45" s="490">
        <v>45255</v>
      </c>
      <c r="I45" s="489">
        <v>45256</v>
      </c>
    </row>
    <row r="46" spans="1:10">
      <c r="A46" s="833"/>
      <c r="B46" s="479" t="s">
        <v>10896</v>
      </c>
      <c r="C46" s="491">
        <v>45257</v>
      </c>
      <c r="D46" s="491">
        <v>45258</v>
      </c>
      <c r="E46" s="491">
        <v>45259</v>
      </c>
      <c r="F46" s="491">
        <v>45260</v>
      </c>
      <c r="G46" s="491">
        <v>45261</v>
      </c>
      <c r="H46" s="493">
        <v>45262</v>
      </c>
      <c r="I46" s="491">
        <v>45263</v>
      </c>
    </row>
    <row r="47" spans="1:10">
      <c r="A47" s="823" t="s">
        <v>13624</v>
      </c>
      <c r="B47" s="482" t="s">
        <v>10394</v>
      </c>
      <c r="C47" s="489">
        <v>45264</v>
      </c>
      <c r="D47" s="489">
        <v>45265</v>
      </c>
      <c r="E47" s="489">
        <v>45266</v>
      </c>
      <c r="F47" s="489">
        <v>45267</v>
      </c>
      <c r="G47" s="489">
        <v>45268</v>
      </c>
      <c r="H47" s="490">
        <v>45269</v>
      </c>
      <c r="I47" s="489">
        <v>45270</v>
      </c>
    </row>
    <row r="48" spans="1:10" ht="14.1" customHeight="1">
      <c r="A48" s="824"/>
      <c r="B48" s="479" t="s">
        <v>10896</v>
      </c>
      <c r="C48" s="491">
        <v>45271</v>
      </c>
      <c r="D48" s="491">
        <v>45272</v>
      </c>
      <c r="E48" s="491">
        <v>45273</v>
      </c>
      <c r="F48" s="491">
        <v>45274</v>
      </c>
      <c r="G48" s="491">
        <v>45275</v>
      </c>
      <c r="H48" s="493">
        <v>45276</v>
      </c>
      <c r="I48" s="491">
        <v>45277</v>
      </c>
    </row>
    <row r="49" spans="1:10" ht="15.95" customHeight="1">
      <c r="A49" s="824"/>
      <c r="B49" s="482" t="s">
        <v>10394</v>
      </c>
      <c r="C49" s="489">
        <v>45278</v>
      </c>
      <c r="D49" s="489">
        <v>19</v>
      </c>
      <c r="E49" s="489">
        <v>45280</v>
      </c>
      <c r="F49" s="489">
        <v>45281</v>
      </c>
      <c r="G49" s="489">
        <v>45282</v>
      </c>
      <c r="H49" s="490">
        <v>45283</v>
      </c>
      <c r="I49" s="489">
        <v>45284</v>
      </c>
    </row>
    <row r="50" spans="1:10" ht="13.5" customHeight="1">
      <c r="A50" s="825"/>
      <c r="B50" s="479" t="s">
        <v>10896</v>
      </c>
      <c r="C50" s="495">
        <v>45285</v>
      </c>
      <c r="D50" s="491">
        <v>45286</v>
      </c>
      <c r="E50" s="491">
        <v>45287</v>
      </c>
      <c r="F50" s="491">
        <v>45288</v>
      </c>
      <c r="G50" s="491">
        <v>45289</v>
      </c>
      <c r="H50" s="491">
        <v>45290</v>
      </c>
      <c r="I50" s="497">
        <v>45291</v>
      </c>
      <c r="J50" s="39" t="s">
        <v>13625</v>
      </c>
    </row>
  </sheetData>
  <mergeCells count="15">
    <mergeCell ref="C1:G1"/>
    <mergeCell ref="H1:I1"/>
    <mergeCell ref="A3:A7"/>
    <mergeCell ref="A8:A11"/>
    <mergeCell ref="A25:A28"/>
    <mergeCell ref="A12:A15"/>
    <mergeCell ref="A1:A2"/>
    <mergeCell ref="A16:A20"/>
    <mergeCell ref="A21:A24"/>
    <mergeCell ref="B1:B2"/>
    <mergeCell ref="A47:A50"/>
    <mergeCell ref="A29:A33"/>
    <mergeCell ref="A34:A37"/>
    <mergeCell ref="A38:A42"/>
    <mergeCell ref="A43:A46"/>
  </mergeCells>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9903B-0DBE-4435-AC74-B82B94E0045C}">
  <dimension ref="A1:C9"/>
  <sheetViews>
    <sheetView workbookViewId="0"/>
  </sheetViews>
  <sheetFormatPr defaultRowHeight="15"/>
  <cols>
    <col min="1" max="1" width="37.140625" bestFit="1" customWidth="1"/>
    <col min="2" max="2" width="17" bestFit="1" customWidth="1"/>
    <col min="3" max="3" width="15.28515625" bestFit="1" customWidth="1"/>
  </cols>
  <sheetData>
    <row r="1" spans="1:3">
      <c r="A1" t="s">
        <v>7338</v>
      </c>
      <c r="B1" t="s">
        <v>12413</v>
      </c>
      <c r="C1" t="s">
        <v>13626</v>
      </c>
    </row>
    <row r="2" spans="1:3">
      <c r="A2" t="s">
        <v>3508</v>
      </c>
      <c r="B2" t="s">
        <v>13627</v>
      </c>
      <c r="C2" t="s">
        <v>13628</v>
      </c>
    </row>
    <row r="3" spans="1:3">
      <c r="A3" t="s">
        <v>6087</v>
      </c>
      <c r="B3" t="s">
        <v>13627</v>
      </c>
      <c r="C3" t="s">
        <v>13628</v>
      </c>
    </row>
    <row r="4" spans="1:3">
      <c r="A4" t="s">
        <v>6081</v>
      </c>
      <c r="B4" t="s">
        <v>13629</v>
      </c>
      <c r="C4" t="s">
        <v>13628</v>
      </c>
    </row>
    <row r="5" spans="1:3">
      <c r="A5" t="s">
        <v>5906</v>
      </c>
      <c r="B5" t="s">
        <v>13517</v>
      </c>
      <c r="C5" t="s">
        <v>13628</v>
      </c>
    </row>
    <row r="6" spans="1:3">
      <c r="A6" t="s">
        <v>2809</v>
      </c>
      <c r="B6" t="s">
        <v>13629</v>
      </c>
      <c r="C6" t="s">
        <v>13628</v>
      </c>
    </row>
    <row r="7" spans="1:3">
      <c r="A7" t="s">
        <v>6039</v>
      </c>
      <c r="B7" t="s">
        <v>13517</v>
      </c>
      <c r="C7" t="s">
        <v>13628</v>
      </c>
    </row>
    <row r="8" spans="1:3">
      <c r="A8" t="s">
        <v>1252</v>
      </c>
      <c r="B8" t="s">
        <v>13627</v>
      </c>
      <c r="C8" t="s">
        <v>13630</v>
      </c>
    </row>
    <row r="9" spans="1:3">
      <c r="A9" t="s">
        <v>3659</v>
      </c>
      <c r="B9" t="s">
        <v>13627</v>
      </c>
      <c r="C9" t="s">
        <v>13628</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4271D-1F19-42FD-8D69-229A98A756D4}">
  <dimension ref="A1:E4"/>
  <sheetViews>
    <sheetView workbookViewId="0"/>
  </sheetViews>
  <sheetFormatPr defaultRowHeight="15"/>
  <cols>
    <col min="1" max="1" width="31.85546875" bestFit="1" customWidth="1"/>
    <col min="2" max="2" width="15.85546875" bestFit="1" customWidth="1"/>
  </cols>
  <sheetData>
    <row r="1" spans="1:5">
      <c r="A1" t="s">
        <v>13631</v>
      </c>
      <c r="B1" t="s">
        <v>13632</v>
      </c>
      <c r="C1" t="s">
        <v>7628</v>
      </c>
      <c r="E1" t="s">
        <v>13633</v>
      </c>
    </row>
    <row r="2" spans="1:5">
      <c r="A2" t="s">
        <v>674</v>
      </c>
      <c r="B2" t="s">
        <v>13634</v>
      </c>
    </row>
    <row r="3" spans="1:5">
      <c r="A3" t="s">
        <v>5429</v>
      </c>
      <c r="B3" t="s">
        <v>13634</v>
      </c>
    </row>
    <row r="4" spans="1:5">
      <c r="A4" s="149" t="s">
        <v>5730</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9D0C2-40A4-449A-BD6A-8C5B4ECD3784}">
  <sheetPr>
    <pageSetUpPr fitToPage="1"/>
  </sheetPr>
  <dimension ref="A1:E183"/>
  <sheetViews>
    <sheetView topLeftCell="B129" workbookViewId="0">
      <selection activeCell="D131" sqref="D131"/>
    </sheetView>
  </sheetViews>
  <sheetFormatPr defaultRowHeight="15"/>
  <cols>
    <col min="1" max="1" width="15.140625" style="26" bestFit="1" customWidth="1"/>
    <col min="2" max="2" width="45.42578125" style="26" bestFit="1" customWidth="1"/>
    <col min="3" max="3" width="21.5703125" customWidth="1"/>
    <col min="4" max="4" width="18.7109375" customWidth="1"/>
    <col min="5" max="5" width="44.28515625" customWidth="1"/>
  </cols>
  <sheetData>
    <row r="1" spans="1:5" s="422" customFormat="1">
      <c r="A1" s="349" t="s">
        <v>4</v>
      </c>
      <c r="B1" s="349" t="s">
        <v>2756</v>
      </c>
      <c r="C1" s="349" t="s">
        <v>13635</v>
      </c>
      <c r="D1" s="349" t="s">
        <v>13636</v>
      </c>
      <c r="E1" s="349" t="s">
        <v>13637</v>
      </c>
    </row>
    <row r="2" spans="1:5">
      <c r="A2" s="20" t="s">
        <v>13638</v>
      </c>
      <c r="B2" s="20" t="s">
        <v>3959</v>
      </c>
      <c r="C2" s="149" t="s">
        <v>8929</v>
      </c>
      <c r="D2" s="149"/>
      <c r="E2" s="149"/>
    </row>
    <row r="3" spans="1:5">
      <c r="A3" s="20" t="s">
        <v>13638</v>
      </c>
      <c r="B3" s="20" t="s">
        <v>5404</v>
      </c>
      <c r="C3" s="149"/>
      <c r="D3" s="149" t="s">
        <v>8929</v>
      </c>
      <c r="E3" s="149"/>
    </row>
    <row r="4" spans="1:5">
      <c r="A4" s="20" t="s">
        <v>13638</v>
      </c>
      <c r="B4" s="20" t="s">
        <v>5441</v>
      </c>
      <c r="C4" s="149"/>
      <c r="D4" s="186" t="s">
        <v>8929</v>
      </c>
      <c r="E4" s="149"/>
    </row>
    <row r="5" spans="1:5">
      <c r="A5" s="20" t="s">
        <v>13638</v>
      </c>
      <c r="B5" s="20" t="s">
        <v>3096</v>
      </c>
      <c r="C5" s="149"/>
      <c r="D5" s="149" t="s">
        <v>8929</v>
      </c>
      <c r="E5" s="149"/>
    </row>
    <row r="6" spans="1:5">
      <c r="A6" s="20" t="s">
        <v>13638</v>
      </c>
      <c r="B6" s="20" t="s">
        <v>5431</v>
      </c>
      <c r="C6" s="149"/>
      <c r="D6" s="186" t="s">
        <v>8929</v>
      </c>
      <c r="E6" s="149"/>
    </row>
    <row r="7" spans="1:5">
      <c r="A7" s="20" t="s">
        <v>13638</v>
      </c>
      <c r="B7" s="20" t="s">
        <v>3950</v>
      </c>
      <c r="C7" s="149"/>
      <c r="D7" s="149" t="s">
        <v>8929</v>
      </c>
      <c r="E7" s="149"/>
    </row>
    <row r="8" spans="1:5">
      <c r="A8" s="20" t="s">
        <v>13638</v>
      </c>
      <c r="B8" s="20" t="s">
        <v>3939</v>
      </c>
      <c r="C8" s="149"/>
      <c r="D8" s="186" t="s">
        <v>8929</v>
      </c>
      <c r="E8" s="149"/>
    </row>
    <row r="9" spans="1:5">
      <c r="A9" s="20" t="s">
        <v>13638</v>
      </c>
      <c r="B9" s="20" t="s">
        <v>3929</v>
      </c>
      <c r="C9" s="149" t="s">
        <v>8929</v>
      </c>
      <c r="D9" s="149"/>
      <c r="E9" s="149"/>
    </row>
    <row r="10" spans="1:5">
      <c r="A10" s="20" t="s">
        <v>13638</v>
      </c>
      <c r="B10" s="20" t="s">
        <v>3921</v>
      </c>
      <c r="C10" s="149"/>
      <c r="D10" s="149" t="s">
        <v>8929</v>
      </c>
      <c r="E10" s="149"/>
    </row>
    <row r="11" spans="1:5">
      <c r="A11" s="20" t="s">
        <v>13638</v>
      </c>
      <c r="B11" s="20" t="s">
        <v>3904</v>
      </c>
      <c r="C11" s="149"/>
      <c r="D11" s="186" t="s">
        <v>8929</v>
      </c>
      <c r="E11" s="149"/>
    </row>
    <row r="12" spans="1:5">
      <c r="A12" s="20" t="s">
        <v>13638</v>
      </c>
      <c r="B12" s="20" t="s">
        <v>1580</v>
      </c>
      <c r="C12" s="149"/>
      <c r="D12" s="186" t="s">
        <v>8929</v>
      </c>
      <c r="E12" s="149"/>
    </row>
    <row r="13" spans="1:5">
      <c r="A13" s="20" t="s">
        <v>13638</v>
      </c>
      <c r="B13" s="20" t="s">
        <v>5377</v>
      </c>
      <c r="C13" s="149" t="s">
        <v>8929</v>
      </c>
      <c r="D13" s="149"/>
      <c r="E13" s="149"/>
    </row>
    <row r="14" spans="1:5">
      <c r="A14" s="20" t="s">
        <v>13638</v>
      </c>
      <c r="B14" s="20" t="s">
        <v>5381</v>
      </c>
      <c r="C14" s="149"/>
      <c r="D14" s="186" t="s">
        <v>8929</v>
      </c>
      <c r="E14" s="149"/>
    </row>
    <row r="15" spans="1:5">
      <c r="A15" s="20" t="s">
        <v>13638</v>
      </c>
      <c r="B15" s="20" t="s">
        <v>4011</v>
      </c>
      <c r="C15" s="149"/>
      <c r="D15" s="186" t="s">
        <v>8929</v>
      </c>
      <c r="E15" s="149"/>
    </row>
    <row r="16" spans="1:5">
      <c r="A16" s="20" t="s">
        <v>13638</v>
      </c>
      <c r="B16" s="20" t="s">
        <v>835</v>
      </c>
      <c r="C16" s="149"/>
      <c r="D16" s="186" t="s">
        <v>8929</v>
      </c>
      <c r="E16" s="149"/>
    </row>
    <row r="17" spans="1:5">
      <c r="A17" s="20" t="s">
        <v>13638</v>
      </c>
      <c r="B17" s="20" t="s">
        <v>3993</v>
      </c>
      <c r="C17" s="149"/>
      <c r="D17" s="186" t="s">
        <v>8929</v>
      </c>
      <c r="E17" s="149"/>
    </row>
    <row r="18" spans="1:5">
      <c r="A18" s="20" t="s">
        <v>13638</v>
      </c>
      <c r="B18" s="20" t="s">
        <v>3408</v>
      </c>
      <c r="C18" s="149" t="s">
        <v>8929</v>
      </c>
      <c r="D18" s="149"/>
      <c r="E18" s="149"/>
    </row>
    <row r="19" spans="1:5">
      <c r="A19" s="20" t="s">
        <v>13638</v>
      </c>
      <c r="B19" s="101" t="s">
        <v>3980</v>
      </c>
      <c r="C19" s="186" t="s">
        <v>8929</v>
      </c>
      <c r="D19" s="186"/>
      <c r="E19" s="186"/>
    </row>
    <row r="20" spans="1:5" s="422" customFormat="1">
      <c r="A20" s="349" t="s">
        <v>4</v>
      </c>
      <c r="B20" s="349" t="s">
        <v>2756</v>
      </c>
      <c r="C20" s="349" t="s">
        <v>13635</v>
      </c>
      <c r="D20" s="349" t="s">
        <v>13636</v>
      </c>
      <c r="E20" s="349" t="s">
        <v>13637</v>
      </c>
    </row>
    <row r="21" spans="1:5">
      <c r="A21" s="101" t="s">
        <v>558</v>
      </c>
      <c r="B21" s="101" t="s">
        <v>13639</v>
      </c>
      <c r="C21" s="186"/>
      <c r="D21" s="186" t="s">
        <v>8929</v>
      </c>
      <c r="E21" s="186"/>
    </row>
    <row r="22" spans="1:5">
      <c r="A22" s="20" t="s">
        <v>558</v>
      </c>
      <c r="B22" s="20" t="s">
        <v>3953</v>
      </c>
      <c r="C22" s="149"/>
      <c r="D22" s="186" t="s">
        <v>8929</v>
      </c>
      <c r="E22" s="149"/>
    </row>
    <row r="23" spans="1:5">
      <c r="A23" s="20" t="s">
        <v>558</v>
      </c>
      <c r="B23" s="20" t="s">
        <v>5400</v>
      </c>
      <c r="C23" s="149"/>
      <c r="D23" s="186" t="s">
        <v>8929</v>
      </c>
      <c r="E23" s="149"/>
    </row>
    <row r="24" spans="1:5">
      <c r="A24" s="20" t="s">
        <v>558</v>
      </c>
      <c r="B24" s="20" t="s">
        <v>10147</v>
      </c>
      <c r="C24" s="149"/>
      <c r="D24" s="186" t="s">
        <v>8929</v>
      </c>
      <c r="E24" s="149"/>
    </row>
    <row r="25" spans="1:5">
      <c r="A25" s="20" t="s">
        <v>558</v>
      </c>
      <c r="B25" s="20" t="s">
        <v>3048</v>
      </c>
      <c r="C25" s="149"/>
      <c r="D25" s="186" t="s">
        <v>8929</v>
      </c>
      <c r="E25" s="149"/>
    </row>
    <row r="26" spans="1:5">
      <c r="A26" s="20" t="s">
        <v>558</v>
      </c>
      <c r="B26" s="20" t="s">
        <v>3382</v>
      </c>
      <c r="C26" s="149"/>
      <c r="D26" s="186" t="s">
        <v>8929</v>
      </c>
      <c r="E26" s="149"/>
    </row>
    <row r="27" spans="1:5">
      <c r="A27" s="20" t="s">
        <v>558</v>
      </c>
      <c r="B27" s="20" t="s">
        <v>5422</v>
      </c>
      <c r="C27" s="149" t="s">
        <v>8929</v>
      </c>
      <c r="D27" s="149"/>
      <c r="E27" s="149"/>
    </row>
    <row r="28" spans="1:5">
      <c r="A28" s="20" t="s">
        <v>558</v>
      </c>
      <c r="B28" s="20" t="s">
        <v>3154</v>
      </c>
      <c r="C28" s="149"/>
      <c r="D28" s="186" t="s">
        <v>8929</v>
      </c>
      <c r="E28" s="149"/>
    </row>
    <row r="29" spans="1:5">
      <c r="A29" s="20" t="s">
        <v>558</v>
      </c>
      <c r="B29" s="20" t="s">
        <v>5445</v>
      </c>
      <c r="C29" s="149" t="s">
        <v>8929</v>
      </c>
      <c r="D29" s="149"/>
      <c r="E29" s="149"/>
    </row>
    <row r="30" spans="1:5">
      <c r="A30" s="20" t="s">
        <v>558</v>
      </c>
      <c r="B30" s="20" t="s">
        <v>5433</v>
      </c>
      <c r="C30" s="149"/>
      <c r="D30" s="186" t="s">
        <v>8929</v>
      </c>
      <c r="E30" s="149"/>
    </row>
    <row r="31" spans="1:5">
      <c r="A31" s="20" t="s">
        <v>558</v>
      </c>
      <c r="B31" s="20" t="s">
        <v>3106</v>
      </c>
      <c r="C31" s="149"/>
      <c r="D31" s="186" t="s">
        <v>8929</v>
      </c>
      <c r="E31" s="149"/>
    </row>
    <row r="32" spans="1:5">
      <c r="A32" s="20" t="s">
        <v>558</v>
      </c>
      <c r="B32" s="20" t="s">
        <v>3302</v>
      </c>
      <c r="C32" s="149" t="s">
        <v>8929</v>
      </c>
      <c r="D32" s="149"/>
      <c r="E32" s="149"/>
    </row>
    <row r="33" spans="1:5">
      <c r="A33" s="20" t="s">
        <v>558</v>
      </c>
      <c r="B33" s="20" t="s">
        <v>3438</v>
      </c>
      <c r="C33" s="149"/>
      <c r="D33" s="186" t="s">
        <v>8929</v>
      </c>
      <c r="E33" s="149"/>
    </row>
    <row r="34" spans="1:5">
      <c r="A34" s="20" t="s">
        <v>558</v>
      </c>
      <c r="B34" s="20" t="s">
        <v>3941</v>
      </c>
      <c r="C34" s="149"/>
      <c r="D34" s="186" t="s">
        <v>8929</v>
      </c>
      <c r="E34" s="149"/>
    </row>
    <row r="35" spans="1:5">
      <c r="A35" s="20" t="s">
        <v>558</v>
      </c>
      <c r="B35" s="20" t="s">
        <v>3914</v>
      </c>
      <c r="C35" s="149" t="s">
        <v>8929</v>
      </c>
      <c r="D35" s="149"/>
      <c r="E35" s="149"/>
    </row>
    <row r="36" spans="1:5">
      <c r="A36" s="20" t="s">
        <v>558</v>
      </c>
      <c r="B36" s="20" t="s">
        <v>3911</v>
      </c>
      <c r="C36" s="149"/>
      <c r="D36" s="186" t="s">
        <v>8929</v>
      </c>
      <c r="E36" s="149"/>
    </row>
    <row r="37" spans="1:5">
      <c r="A37" s="20" t="s">
        <v>558</v>
      </c>
      <c r="B37" s="20" t="s">
        <v>3917</v>
      </c>
      <c r="C37" s="149"/>
      <c r="D37" s="186" t="s">
        <v>8929</v>
      </c>
      <c r="E37" s="149"/>
    </row>
    <row r="38" spans="1:5">
      <c r="A38" s="20" t="s">
        <v>558</v>
      </c>
      <c r="B38" s="20" t="s">
        <v>3915</v>
      </c>
      <c r="C38" s="149"/>
      <c r="D38" s="186" t="s">
        <v>8929</v>
      </c>
      <c r="E38" s="149"/>
    </row>
    <row r="39" spans="1:5">
      <c r="A39" s="20" t="s">
        <v>558</v>
      </c>
      <c r="B39" s="459" t="s">
        <v>13640</v>
      </c>
      <c r="C39" s="149" t="s">
        <v>8929</v>
      </c>
      <c r="D39" s="186"/>
      <c r="E39" s="149"/>
    </row>
    <row r="40" spans="1:5">
      <c r="A40" s="20" t="s">
        <v>558</v>
      </c>
      <c r="B40" s="20" t="s">
        <v>3058</v>
      </c>
      <c r="C40" s="149"/>
      <c r="D40" s="186" t="s">
        <v>8929</v>
      </c>
      <c r="E40" s="149"/>
    </row>
    <row r="41" spans="1:5">
      <c r="A41" s="20" t="s">
        <v>558</v>
      </c>
      <c r="B41" s="20" t="s">
        <v>5383</v>
      </c>
      <c r="C41" s="149" t="s">
        <v>8929</v>
      </c>
      <c r="D41" s="149"/>
      <c r="E41" s="149"/>
    </row>
    <row r="42" spans="1:5">
      <c r="A42" s="20" t="s">
        <v>558</v>
      </c>
      <c r="B42" s="20" t="s">
        <v>2975</v>
      </c>
      <c r="C42" s="149"/>
      <c r="D42" s="186" t="s">
        <v>8929</v>
      </c>
      <c r="E42" s="149"/>
    </row>
    <row r="43" spans="1:5">
      <c r="A43" s="20" t="s">
        <v>558</v>
      </c>
      <c r="B43" s="20" t="s">
        <v>9035</v>
      </c>
      <c r="C43" s="149"/>
      <c r="D43" s="186" t="s">
        <v>8929</v>
      </c>
      <c r="E43" s="149"/>
    </row>
    <row r="44" spans="1:5">
      <c r="A44" s="20" t="s">
        <v>558</v>
      </c>
      <c r="B44" s="20" t="s">
        <v>4032</v>
      </c>
      <c r="C44" s="149"/>
      <c r="D44" s="186" t="s">
        <v>8929</v>
      </c>
      <c r="E44" s="149"/>
    </row>
    <row r="45" spans="1:5">
      <c r="A45" s="20" t="s">
        <v>558</v>
      </c>
      <c r="B45" s="20" t="s">
        <v>4027</v>
      </c>
      <c r="C45" s="149"/>
      <c r="D45" s="186" t="s">
        <v>8929</v>
      </c>
      <c r="E45" s="149"/>
    </row>
    <row r="46" spans="1:5">
      <c r="A46" s="101" t="s">
        <v>558</v>
      </c>
      <c r="B46" s="101" t="s">
        <v>4029</v>
      </c>
      <c r="C46" s="186" t="s">
        <v>8929</v>
      </c>
      <c r="D46" s="186"/>
      <c r="E46" s="186"/>
    </row>
    <row r="47" spans="1:5">
      <c r="A47" s="20" t="s">
        <v>558</v>
      </c>
      <c r="B47" s="20" t="s">
        <v>4010</v>
      </c>
      <c r="C47" s="149"/>
      <c r="D47" s="186" t="s">
        <v>8929</v>
      </c>
      <c r="E47" s="149"/>
    </row>
    <row r="48" spans="1:5">
      <c r="A48" s="20" t="s">
        <v>558</v>
      </c>
      <c r="B48" s="20" t="s">
        <v>4009</v>
      </c>
      <c r="C48" s="149" t="s">
        <v>8929</v>
      </c>
      <c r="D48" s="149"/>
      <c r="E48" s="149"/>
    </row>
    <row r="49" spans="1:5">
      <c r="A49" s="20" t="s">
        <v>558</v>
      </c>
      <c r="B49" s="20" t="s">
        <v>4018</v>
      </c>
      <c r="C49" s="149"/>
      <c r="D49" s="186" t="s">
        <v>8929</v>
      </c>
      <c r="E49" s="149"/>
    </row>
    <row r="50" spans="1:5">
      <c r="A50" s="101" t="s">
        <v>558</v>
      </c>
      <c r="B50" s="20" t="s">
        <v>4015</v>
      </c>
      <c r="C50" s="149"/>
      <c r="D50" s="186" t="s">
        <v>8929</v>
      </c>
      <c r="E50" s="149"/>
    </row>
    <row r="51" spans="1:5">
      <c r="A51" s="20" t="s">
        <v>558</v>
      </c>
      <c r="B51" s="20" t="s">
        <v>4006</v>
      </c>
      <c r="C51" s="149"/>
      <c r="D51" s="186" t="s">
        <v>8929</v>
      </c>
      <c r="E51" s="149"/>
    </row>
    <row r="52" spans="1:5">
      <c r="A52" s="20" t="s">
        <v>558</v>
      </c>
      <c r="B52" s="20" t="s">
        <v>4003</v>
      </c>
      <c r="C52" s="149"/>
      <c r="D52" s="186" t="s">
        <v>8929</v>
      </c>
      <c r="E52" s="149"/>
    </row>
    <row r="53" spans="1:5">
      <c r="A53" s="20" t="s">
        <v>558</v>
      </c>
      <c r="B53" s="20" t="s">
        <v>4001</v>
      </c>
      <c r="C53" s="149"/>
      <c r="D53" s="186" t="s">
        <v>8929</v>
      </c>
      <c r="E53" s="149"/>
    </row>
    <row r="54" spans="1:5">
      <c r="A54" s="101" t="s">
        <v>558</v>
      </c>
      <c r="B54" s="26" t="s">
        <v>3970</v>
      </c>
      <c r="C54" s="149"/>
      <c r="D54" s="186" t="s">
        <v>8929</v>
      </c>
      <c r="E54" s="149"/>
    </row>
    <row r="55" spans="1:5">
      <c r="A55" s="20" t="s">
        <v>558</v>
      </c>
      <c r="B55" s="20" t="s">
        <v>3997</v>
      </c>
      <c r="C55" s="149" t="s">
        <v>8929</v>
      </c>
      <c r="D55" s="149"/>
      <c r="E55" s="149"/>
    </row>
    <row r="56" spans="1:5">
      <c r="A56" s="20" t="s">
        <v>558</v>
      </c>
      <c r="B56" s="20" t="s">
        <v>3987</v>
      </c>
      <c r="C56" s="149"/>
      <c r="D56" s="186" t="s">
        <v>8929</v>
      </c>
      <c r="E56" s="149"/>
    </row>
    <row r="57" spans="1:5">
      <c r="A57" s="20" t="s">
        <v>558</v>
      </c>
      <c r="B57" s="20" t="s">
        <v>3985</v>
      </c>
      <c r="C57" s="149" t="s">
        <v>8929</v>
      </c>
      <c r="D57" s="149"/>
      <c r="E57" s="149"/>
    </row>
    <row r="58" spans="1:5">
      <c r="A58" s="20" t="s">
        <v>558</v>
      </c>
      <c r="B58" s="20" t="s">
        <v>3974</v>
      </c>
      <c r="C58" s="149"/>
      <c r="D58" s="186" t="s">
        <v>8929</v>
      </c>
      <c r="E58" s="149"/>
    </row>
    <row r="59" spans="1:5">
      <c r="A59" s="20" t="s">
        <v>558</v>
      </c>
      <c r="B59" s="20" t="s">
        <v>3196</v>
      </c>
      <c r="C59" s="149"/>
      <c r="D59" s="149"/>
      <c r="E59" s="149"/>
    </row>
    <row r="60" spans="1:5" s="422" customFormat="1">
      <c r="A60" s="349" t="s">
        <v>4</v>
      </c>
      <c r="B60" s="349" t="s">
        <v>2756</v>
      </c>
      <c r="C60" s="349" t="s">
        <v>13635</v>
      </c>
      <c r="D60" s="349" t="s">
        <v>13636</v>
      </c>
      <c r="E60" s="349" t="s">
        <v>13637</v>
      </c>
    </row>
    <row r="61" spans="1:5">
      <c r="A61" s="20" t="s">
        <v>7784</v>
      </c>
      <c r="B61" s="20" t="s">
        <v>4000</v>
      </c>
      <c r="C61" s="149"/>
      <c r="D61" s="149" t="s">
        <v>8929</v>
      </c>
      <c r="E61" s="149"/>
    </row>
    <row r="62" spans="1:5">
      <c r="A62" s="20" t="s">
        <v>7784</v>
      </c>
      <c r="B62" s="20" t="s">
        <v>3990</v>
      </c>
      <c r="C62" s="149"/>
      <c r="D62" s="149" t="s">
        <v>8929</v>
      </c>
      <c r="E62" s="149"/>
    </row>
    <row r="63" spans="1:5">
      <c r="A63" s="20" t="s">
        <v>7784</v>
      </c>
      <c r="B63" s="20" t="s">
        <v>5357</v>
      </c>
      <c r="C63" s="149"/>
      <c r="D63" s="149" t="s">
        <v>8929</v>
      </c>
      <c r="E63" s="149"/>
    </row>
    <row r="64" spans="1:5">
      <c r="A64" s="20" t="s">
        <v>7784</v>
      </c>
      <c r="B64" s="20" t="s">
        <v>5408</v>
      </c>
      <c r="C64" s="149"/>
      <c r="D64" s="149" t="s">
        <v>8929</v>
      </c>
      <c r="E64" s="149"/>
    </row>
    <row r="65" spans="1:5">
      <c r="A65" s="20" t="s">
        <v>7771</v>
      </c>
      <c r="B65" s="20" t="s">
        <v>5439</v>
      </c>
      <c r="C65" s="149" t="s">
        <v>8929</v>
      </c>
      <c r="D65" s="149"/>
      <c r="E65" s="149"/>
    </row>
    <row r="66" spans="1:5">
      <c r="A66" s="20" t="s">
        <v>7771</v>
      </c>
      <c r="B66" s="20" t="s">
        <v>5386</v>
      </c>
      <c r="C66" s="149"/>
      <c r="D66" s="149" t="s">
        <v>8929</v>
      </c>
      <c r="E66" s="149"/>
    </row>
    <row r="67" spans="1:5">
      <c r="A67" s="20" t="s">
        <v>13641</v>
      </c>
      <c r="B67" s="20" t="s">
        <v>5402</v>
      </c>
      <c r="C67" s="149"/>
      <c r="D67" s="149" t="s">
        <v>8929</v>
      </c>
      <c r="E67" s="149"/>
    </row>
    <row r="68" spans="1:5">
      <c r="A68" s="20" t="s">
        <v>13641</v>
      </c>
      <c r="B68" s="20" t="s">
        <v>13642</v>
      </c>
      <c r="C68" s="149"/>
      <c r="D68" s="149" t="s">
        <v>8929</v>
      </c>
      <c r="E68" s="149"/>
    </row>
    <row r="69" spans="1:5">
      <c r="A69" s="20" t="s">
        <v>13641</v>
      </c>
      <c r="B69" s="20" t="s">
        <v>3916</v>
      </c>
      <c r="C69" s="149"/>
      <c r="D69" s="149" t="s">
        <v>8929</v>
      </c>
      <c r="E69" s="149"/>
    </row>
    <row r="70" spans="1:5">
      <c r="A70" s="20" t="s">
        <v>13641</v>
      </c>
      <c r="B70" s="20" t="s">
        <v>3088</v>
      </c>
      <c r="C70" s="149"/>
      <c r="D70" s="149" t="s">
        <v>8929</v>
      </c>
      <c r="E70" s="149"/>
    </row>
    <row r="71" spans="1:5">
      <c r="A71" s="20" t="s">
        <v>13641</v>
      </c>
      <c r="B71" s="20" t="s">
        <v>3999</v>
      </c>
      <c r="C71" s="149"/>
      <c r="D71" s="149" t="s">
        <v>8929</v>
      </c>
      <c r="E71" s="149"/>
    </row>
    <row r="72" spans="1:5">
      <c r="A72" s="20" t="s">
        <v>13641</v>
      </c>
      <c r="B72" s="20" t="s">
        <v>3998</v>
      </c>
      <c r="C72" s="149"/>
      <c r="D72" s="149" t="s">
        <v>8929</v>
      </c>
      <c r="E72" s="149"/>
    </row>
    <row r="73" spans="1:5">
      <c r="A73" s="20" t="s">
        <v>13641</v>
      </c>
      <c r="B73" s="20" t="s">
        <v>3976</v>
      </c>
      <c r="C73" s="149" t="s">
        <v>8929</v>
      </c>
      <c r="D73" s="149"/>
      <c r="E73" s="149"/>
    </row>
    <row r="74" spans="1:5">
      <c r="A74" s="20" t="s">
        <v>13641</v>
      </c>
      <c r="B74" s="20" t="s">
        <v>3960</v>
      </c>
      <c r="C74" s="149" t="s">
        <v>8929</v>
      </c>
      <c r="D74" s="149"/>
      <c r="E74" s="149"/>
    </row>
    <row r="75" spans="1:5">
      <c r="A75" s="20" t="s">
        <v>7750</v>
      </c>
      <c r="B75" s="20" t="s">
        <v>5410</v>
      </c>
      <c r="C75" s="149"/>
      <c r="D75" s="149" t="s">
        <v>8929</v>
      </c>
      <c r="E75" s="149"/>
    </row>
    <row r="76" spans="1:5">
      <c r="A76" s="20" t="s">
        <v>7750</v>
      </c>
      <c r="B76" s="20" t="s">
        <v>4061</v>
      </c>
      <c r="C76" s="149"/>
      <c r="D76" s="149" t="s">
        <v>8929</v>
      </c>
      <c r="E76" s="149"/>
    </row>
    <row r="77" spans="1:5">
      <c r="A77" s="20" t="s">
        <v>7750</v>
      </c>
      <c r="B77" s="20" t="s">
        <v>3966</v>
      </c>
      <c r="C77" s="149" t="s">
        <v>8929</v>
      </c>
      <c r="D77" s="149"/>
      <c r="E77" s="149"/>
    </row>
    <row r="78" spans="1:5">
      <c r="A78" s="20" t="s">
        <v>7750</v>
      </c>
      <c r="B78" s="20" t="s">
        <v>3967</v>
      </c>
      <c r="C78" s="149"/>
      <c r="D78" s="149" t="s">
        <v>8929</v>
      </c>
      <c r="E78" s="149"/>
    </row>
    <row r="79" spans="1:5">
      <c r="A79" s="20" t="s">
        <v>7750</v>
      </c>
      <c r="B79" s="20" t="s">
        <v>3978</v>
      </c>
      <c r="C79" s="149"/>
      <c r="D79" s="149" t="s">
        <v>8929</v>
      </c>
      <c r="E79" s="149"/>
    </row>
    <row r="80" spans="1:5">
      <c r="A80" s="20" t="s">
        <v>7750</v>
      </c>
      <c r="B80" s="20" t="s">
        <v>3571</v>
      </c>
      <c r="C80" s="149" t="s">
        <v>8929</v>
      </c>
      <c r="D80" s="149"/>
      <c r="E80" s="149"/>
    </row>
    <row r="81" spans="1:5">
      <c r="A81" s="20" t="s">
        <v>7750</v>
      </c>
      <c r="B81" s="20" t="s">
        <v>5427</v>
      </c>
      <c r="C81" s="149"/>
      <c r="D81" s="149" t="s">
        <v>8929</v>
      </c>
      <c r="E81" s="149"/>
    </row>
    <row r="82" spans="1:5">
      <c r="A82" s="20" t="s">
        <v>7765</v>
      </c>
      <c r="B82" s="20" t="s">
        <v>3982</v>
      </c>
      <c r="C82" s="149"/>
      <c r="D82" s="149" t="s">
        <v>8929</v>
      </c>
      <c r="E82" s="149"/>
    </row>
    <row r="83" spans="1:5">
      <c r="A83" s="20" t="s">
        <v>7765</v>
      </c>
      <c r="B83" s="20" t="s">
        <v>3924</v>
      </c>
      <c r="C83" s="149"/>
      <c r="D83" s="149" t="s">
        <v>8929</v>
      </c>
      <c r="E83" s="149"/>
    </row>
    <row r="84" spans="1:5">
      <c r="A84" s="20" t="s">
        <v>7765</v>
      </c>
      <c r="B84" s="20" t="s">
        <v>10249</v>
      </c>
      <c r="C84" s="149"/>
      <c r="D84" s="149" t="s">
        <v>8929</v>
      </c>
      <c r="E84" s="149"/>
    </row>
    <row r="85" spans="1:5">
      <c r="A85" s="20" t="s">
        <v>7765</v>
      </c>
      <c r="B85" s="20" t="s">
        <v>3309</v>
      </c>
      <c r="C85" s="149"/>
      <c r="D85" s="149" t="s">
        <v>8929</v>
      </c>
      <c r="E85" s="149"/>
    </row>
    <row r="86" spans="1:5">
      <c r="A86" s="20" t="s">
        <v>7765</v>
      </c>
      <c r="B86" s="20" t="s">
        <v>5398</v>
      </c>
      <c r="C86" s="149"/>
      <c r="D86" s="149" t="s">
        <v>8929</v>
      </c>
      <c r="E86" s="149"/>
    </row>
    <row r="87" spans="1:5">
      <c r="A87" s="20" t="s">
        <v>7765</v>
      </c>
      <c r="B87" s="20" t="s">
        <v>3569</v>
      </c>
      <c r="C87" s="149"/>
      <c r="D87" s="149" t="s">
        <v>8929</v>
      </c>
      <c r="E87" s="149"/>
    </row>
    <row r="88" spans="1:5">
      <c r="A88" s="20" t="s">
        <v>7765</v>
      </c>
      <c r="B88" s="20" t="s">
        <v>3955</v>
      </c>
      <c r="C88" s="149"/>
      <c r="D88" s="149" t="s">
        <v>8929</v>
      </c>
      <c r="E88" s="149"/>
    </row>
    <row r="89" spans="1:5">
      <c r="A89" s="20" t="s">
        <v>7817</v>
      </c>
      <c r="B89" s="20" t="s">
        <v>3128</v>
      </c>
      <c r="C89" s="149"/>
      <c r="D89" s="149" t="s">
        <v>8929</v>
      </c>
      <c r="E89" s="149"/>
    </row>
    <row r="90" spans="1:5">
      <c r="A90" s="20" t="s">
        <v>7817</v>
      </c>
      <c r="B90" s="20" t="s">
        <v>4022</v>
      </c>
      <c r="C90" s="149"/>
      <c r="D90" s="149" t="s">
        <v>8929</v>
      </c>
      <c r="E90" s="149"/>
    </row>
    <row r="91" spans="1:5">
      <c r="A91" s="20" t="s">
        <v>7874</v>
      </c>
      <c r="B91" s="20" t="s">
        <v>4511</v>
      </c>
      <c r="C91" s="149"/>
      <c r="D91" s="149" t="s">
        <v>8929</v>
      </c>
      <c r="E91" s="149"/>
    </row>
    <row r="92" spans="1:5">
      <c r="A92" s="20" t="s">
        <v>7874</v>
      </c>
      <c r="B92" s="20" t="s">
        <v>5406</v>
      </c>
      <c r="C92" s="149"/>
      <c r="D92" s="149" t="s">
        <v>8929</v>
      </c>
      <c r="E92" s="149"/>
    </row>
    <row r="93" spans="1:5">
      <c r="A93" s="20" t="s">
        <v>7874</v>
      </c>
      <c r="B93" s="20" t="s">
        <v>5420</v>
      </c>
      <c r="C93" s="149"/>
      <c r="D93" s="149" t="s">
        <v>8929</v>
      </c>
      <c r="E93" s="149"/>
    </row>
    <row r="94" spans="1:5">
      <c r="A94" s="20" t="s">
        <v>7874</v>
      </c>
      <c r="B94" s="20" t="s">
        <v>5435</v>
      </c>
      <c r="C94" s="149" t="s">
        <v>8929</v>
      </c>
      <c r="D94" s="149"/>
      <c r="E94" s="149"/>
    </row>
    <row r="95" spans="1:5">
      <c r="A95" s="20" t="s">
        <v>7865</v>
      </c>
      <c r="B95" s="20" t="s">
        <v>3923</v>
      </c>
      <c r="C95" s="149"/>
      <c r="D95" s="149" t="s">
        <v>8929</v>
      </c>
      <c r="E95" s="149"/>
    </row>
    <row r="96" spans="1:5">
      <c r="A96" s="20" t="s">
        <v>7865</v>
      </c>
      <c r="B96" s="20" t="s">
        <v>10178</v>
      </c>
      <c r="C96" s="149"/>
      <c r="D96" s="149" t="s">
        <v>8929</v>
      </c>
      <c r="E96" s="149"/>
    </row>
    <row r="97" spans="1:5">
      <c r="A97" s="20" t="s">
        <v>7865</v>
      </c>
      <c r="B97" s="20" t="s">
        <v>5249</v>
      </c>
      <c r="C97" s="149" t="s">
        <v>8929</v>
      </c>
      <c r="D97" s="149"/>
      <c r="E97" s="149"/>
    </row>
    <row r="98" spans="1:5">
      <c r="A98" s="20" t="s">
        <v>7865</v>
      </c>
      <c r="B98" s="20" t="s">
        <v>3986</v>
      </c>
      <c r="C98" s="149"/>
      <c r="D98" s="149" t="s">
        <v>8929</v>
      </c>
      <c r="E98" s="149"/>
    </row>
    <row r="99" spans="1:5">
      <c r="A99" s="20" t="s">
        <v>8578</v>
      </c>
      <c r="B99" s="20" t="s">
        <v>5177</v>
      </c>
      <c r="C99" s="149"/>
      <c r="D99" s="149" t="s">
        <v>8929</v>
      </c>
      <c r="E99" s="149"/>
    </row>
    <row r="100" spans="1:5">
      <c r="A100" s="20" t="s">
        <v>8578</v>
      </c>
      <c r="B100" s="20" t="s">
        <v>3588</v>
      </c>
      <c r="C100" s="149" t="s">
        <v>8929</v>
      </c>
      <c r="D100" s="149"/>
      <c r="E100" s="149"/>
    </row>
    <row r="101" spans="1:5">
      <c r="A101" s="20" t="s">
        <v>1225</v>
      </c>
      <c r="B101" s="20" t="s">
        <v>3979</v>
      </c>
      <c r="C101" s="149" t="s">
        <v>8929</v>
      </c>
      <c r="D101" s="149"/>
      <c r="E101" s="149"/>
    </row>
    <row r="102" spans="1:5">
      <c r="A102" s="20" t="s">
        <v>1225</v>
      </c>
      <c r="B102" s="20" t="s">
        <v>3981</v>
      </c>
      <c r="C102" s="149"/>
      <c r="D102" s="149" t="s">
        <v>8929</v>
      </c>
      <c r="E102" s="149"/>
    </row>
    <row r="103" spans="1:5">
      <c r="A103" s="20" t="s">
        <v>1225</v>
      </c>
      <c r="B103" s="20" t="s">
        <v>13643</v>
      </c>
      <c r="C103" s="149"/>
      <c r="D103" s="149" t="s">
        <v>8929</v>
      </c>
      <c r="E103" s="149"/>
    </row>
    <row r="104" spans="1:5">
      <c r="A104" s="20" t="s">
        <v>1225</v>
      </c>
      <c r="B104" s="20" t="s">
        <v>3989</v>
      </c>
      <c r="C104" s="149"/>
      <c r="D104" s="149" t="s">
        <v>8929</v>
      </c>
      <c r="E104" s="149"/>
    </row>
    <row r="105" spans="1:5">
      <c r="A105" s="20" t="s">
        <v>1225</v>
      </c>
      <c r="B105" s="20" t="s">
        <v>2788</v>
      </c>
      <c r="C105" s="149"/>
      <c r="D105" s="149" t="s">
        <v>8929</v>
      </c>
      <c r="E105" s="149"/>
    </row>
    <row r="106" spans="1:5">
      <c r="A106" s="20" t="s">
        <v>1225</v>
      </c>
      <c r="B106" s="20" t="s">
        <v>5364</v>
      </c>
      <c r="C106" s="149"/>
      <c r="D106" s="149" t="s">
        <v>8929</v>
      </c>
      <c r="E106" s="149"/>
    </row>
    <row r="107" spans="1:5">
      <c r="A107" s="20" t="s">
        <v>1225</v>
      </c>
      <c r="B107" s="20" t="s">
        <v>3790</v>
      </c>
      <c r="C107" s="149" t="s">
        <v>8929</v>
      </c>
      <c r="D107" s="149"/>
      <c r="E107" s="149"/>
    </row>
    <row r="108" spans="1:5">
      <c r="A108" s="20" t="s">
        <v>1225</v>
      </c>
      <c r="B108" s="20" t="s">
        <v>3956</v>
      </c>
      <c r="C108" s="149"/>
      <c r="D108" s="149" t="s">
        <v>8929</v>
      </c>
      <c r="E108" s="149"/>
    </row>
    <row r="109" spans="1:5">
      <c r="A109" s="20" t="s">
        <v>1225</v>
      </c>
      <c r="B109" s="20" t="s">
        <v>3951</v>
      </c>
      <c r="C109" s="149"/>
      <c r="D109" s="149" t="s">
        <v>8929</v>
      </c>
      <c r="E109" s="149"/>
    </row>
    <row r="110" spans="1:5">
      <c r="A110" s="20" t="s">
        <v>1225</v>
      </c>
      <c r="B110" s="20" t="s">
        <v>5418</v>
      </c>
      <c r="C110" s="149" t="s">
        <v>8929</v>
      </c>
      <c r="D110" s="149"/>
      <c r="E110" s="149"/>
    </row>
    <row r="111" spans="1:5">
      <c r="A111" s="20" t="s">
        <v>1225</v>
      </c>
      <c r="B111" s="20" t="s">
        <v>5412</v>
      </c>
      <c r="C111" s="149"/>
      <c r="D111" s="149" t="s">
        <v>8929</v>
      </c>
      <c r="E111" s="149"/>
    </row>
    <row r="112" spans="1:5">
      <c r="A112" s="101" t="s">
        <v>1225</v>
      </c>
      <c r="B112" s="101" t="s">
        <v>5388</v>
      </c>
      <c r="C112" s="186" t="s">
        <v>8929</v>
      </c>
      <c r="D112" s="186"/>
      <c r="E112" s="186"/>
    </row>
    <row r="113" spans="1:5">
      <c r="A113" s="101" t="s">
        <v>1225</v>
      </c>
      <c r="B113" s="20" t="s">
        <v>3075</v>
      </c>
      <c r="C113" s="149"/>
      <c r="D113" s="149" t="s">
        <v>8929</v>
      </c>
      <c r="E113" s="149"/>
    </row>
    <row r="114" spans="1:5">
      <c r="A114" s="20" t="s">
        <v>7757</v>
      </c>
      <c r="B114" s="20" t="s">
        <v>3954</v>
      </c>
      <c r="C114" s="149"/>
      <c r="D114" s="149" t="s">
        <v>8929</v>
      </c>
      <c r="E114" s="149"/>
    </row>
    <row r="115" spans="1:5">
      <c r="A115" s="20" t="s">
        <v>7757</v>
      </c>
      <c r="B115" s="20" t="s">
        <v>3248</v>
      </c>
      <c r="C115" s="149"/>
      <c r="D115" s="149" t="s">
        <v>8929</v>
      </c>
      <c r="E115" s="149"/>
    </row>
    <row r="116" spans="1:5">
      <c r="A116" s="20" t="s">
        <v>7757</v>
      </c>
      <c r="B116" s="20" t="s">
        <v>3418</v>
      </c>
      <c r="C116" s="149" t="s">
        <v>8929</v>
      </c>
      <c r="D116" s="149"/>
      <c r="E116" s="149"/>
    </row>
    <row r="117" spans="1:5">
      <c r="A117" s="20" t="s">
        <v>7757</v>
      </c>
      <c r="B117" s="20" t="s">
        <v>3952</v>
      </c>
      <c r="C117" s="149"/>
      <c r="D117" s="149" t="s">
        <v>8929</v>
      </c>
      <c r="E117" s="149"/>
    </row>
    <row r="118" spans="1:5">
      <c r="A118" s="20" t="s">
        <v>7757</v>
      </c>
      <c r="B118" s="20" t="s">
        <v>3931</v>
      </c>
      <c r="C118" s="149"/>
      <c r="D118" s="149" t="s">
        <v>8929</v>
      </c>
      <c r="E118" s="149"/>
    </row>
    <row r="119" spans="1:5">
      <c r="A119" s="20" t="s">
        <v>7757</v>
      </c>
      <c r="B119" s="20" t="s">
        <v>3925</v>
      </c>
      <c r="C119" s="149"/>
      <c r="D119" s="149" t="s">
        <v>8929</v>
      </c>
      <c r="E119" s="149"/>
    </row>
    <row r="120" spans="1:5">
      <c r="A120" s="20" t="s">
        <v>7757</v>
      </c>
      <c r="B120" s="20" t="s">
        <v>3942</v>
      </c>
      <c r="C120" s="149"/>
      <c r="D120" s="149" t="s">
        <v>8929</v>
      </c>
      <c r="E120" s="149"/>
    </row>
    <row r="121" spans="1:5">
      <c r="A121" s="20" t="s">
        <v>7757</v>
      </c>
      <c r="B121" s="20" t="s">
        <v>3943</v>
      </c>
      <c r="C121" s="149"/>
      <c r="D121" s="149" t="s">
        <v>8929</v>
      </c>
      <c r="E121" s="149"/>
    </row>
    <row r="122" spans="1:5">
      <c r="A122" s="20" t="s">
        <v>7757</v>
      </c>
      <c r="B122" s="20" t="s">
        <v>5353</v>
      </c>
      <c r="C122" s="149"/>
      <c r="D122" s="149" t="s">
        <v>8929</v>
      </c>
      <c r="E122" s="149"/>
    </row>
    <row r="123" spans="1:5">
      <c r="A123" s="20" t="s">
        <v>7757</v>
      </c>
      <c r="B123" s="20" t="s">
        <v>4012</v>
      </c>
      <c r="C123" s="149"/>
      <c r="D123" s="149" t="s">
        <v>8929</v>
      </c>
      <c r="E123" s="149"/>
    </row>
    <row r="124" spans="1:5">
      <c r="A124" s="20" t="s">
        <v>7757</v>
      </c>
      <c r="B124" s="20" t="s">
        <v>3992</v>
      </c>
      <c r="C124" s="149"/>
      <c r="D124" s="149" t="s">
        <v>8929</v>
      </c>
      <c r="E124" s="149"/>
    </row>
    <row r="125" spans="1:5">
      <c r="A125" s="20" t="s">
        <v>7757</v>
      </c>
      <c r="B125" s="20" t="s">
        <v>3984</v>
      </c>
      <c r="C125" s="149"/>
      <c r="D125" s="149" t="s">
        <v>8929</v>
      </c>
      <c r="E125" s="149"/>
    </row>
    <row r="126" spans="1:5">
      <c r="A126" s="20" t="s">
        <v>7757</v>
      </c>
      <c r="B126" s="20" t="s">
        <v>3983</v>
      </c>
      <c r="C126" s="149"/>
      <c r="D126" s="149" t="s">
        <v>8929</v>
      </c>
      <c r="E126" s="149"/>
    </row>
    <row r="127" spans="1:5">
      <c r="A127" s="20" t="s">
        <v>7757</v>
      </c>
      <c r="B127" s="20" t="s">
        <v>5449</v>
      </c>
      <c r="C127" s="149" t="s">
        <v>8929</v>
      </c>
      <c r="D127" s="149"/>
      <c r="E127" s="149"/>
    </row>
    <row r="128" spans="1:5">
      <c r="A128" s="20" t="s">
        <v>7757</v>
      </c>
      <c r="B128" s="20" t="s">
        <v>3965</v>
      </c>
      <c r="C128" s="149"/>
      <c r="D128" s="149" t="s">
        <v>8929</v>
      </c>
      <c r="E128" s="149"/>
    </row>
    <row r="129" spans="1:5">
      <c r="A129" s="20" t="s">
        <v>7757</v>
      </c>
      <c r="B129" s="20" t="s">
        <v>3964</v>
      </c>
      <c r="C129" s="149"/>
      <c r="D129" s="149" t="s">
        <v>8929</v>
      </c>
      <c r="E129" s="149"/>
    </row>
    <row r="130" spans="1:5">
      <c r="A130" s="20" t="s">
        <v>7757</v>
      </c>
      <c r="B130" s="20" t="s">
        <v>3958</v>
      </c>
      <c r="C130" s="149"/>
      <c r="D130" s="149" t="s">
        <v>8929</v>
      </c>
      <c r="E130" s="149"/>
    </row>
    <row r="131" spans="1:5">
      <c r="A131" s="20" t="s">
        <v>7757</v>
      </c>
      <c r="B131" s="20" t="s">
        <v>3969</v>
      </c>
      <c r="C131" s="149" t="s">
        <v>8929</v>
      </c>
      <c r="D131" s="149"/>
      <c r="E131" s="149"/>
    </row>
    <row r="132" spans="1:5" s="422" customFormat="1">
      <c r="A132" s="349" t="s">
        <v>4</v>
      </c>
      <c r="B132" s="349" t="s">
        <v>2756</v>
      </c>
      <c r="C132" s="349" t="s">
        <v>13635</v>
      </c>
      <c r="D132" s="349" t="s">
        <v>13636</v>
      </c>
      <c r="E132" s="349" t="s">
        <v>13637</v>
      </c>
    </row>
    <row r="133" spans="1:5">
      <c r="A133" s="20" t="s">
        <v>558</v>
      </c>
      <c r="B133" s="20" t="s">
        <v>3995</v>
      </c>
      <c r="C133" s="149"/>
      <c r="D133" s="149"/>
      <c r="E133" s="149"/>
    </row>
    <row r="134" spans="1:5">
      <c r="A134" s="20" t="s">
        <v>558</v>
      </c>
      <c r="B134" s="20" t="s">
        <v>3995</v>
      </c>
      <c r="C134" s="149"/>
      <c r="D134" s="149"/>
      <c r="E134" s="149"/>
    </row>
    <row r="135" spans="1:5">
      <c r="A135" s="20" t="s">
        <v>558</v>
      </c>
      <c r="B135" s="20" t="s">
        <v>3988</v>
      </c>
      <c r="C135" s="149"/>
      <c r="D135" s="149"/>
      <c r="E135" s="149"/>
    </row>
    <row r="136" spans="1:5">
      <c r="A136" s="20" t="s">
        <v>558</v>
      </c>
      <c r="B136" s="20" t="s">
        <v>3968</v>
      </c>
      <c r="C136" s="149"/>
      <c r="D136" s="149"/>
      <c r="E136" s="149"/>
    </row>
    <row r="137" spans="1:5">
      <c r="A137" s="20" t="s">
        <v>558</v>
      </c>
      <c r="B137" s="20" t="s">
        <v>5371</v>
      </c>
      <c r="C137" s="149"/>
      <c r="D137" s="149"/>
      <c r="E137" s="149"/>
    </row>
    <row r="138" spans="1:5">
      <c r="A138" s="20" t="s">
        <v>9213</v>
      </c>
      <c r="B138" s="20" t="s">
        <v>4508</v>
      </c>
      <c r="C138" s="149"/>
      <c r="D138" s="149"/>
      <c r="E138" s="149"/>
    </row>
    <row r="139" spans="1:5">
      <c r="A139" s="20" t="s">
        <v>13644</v>
      </c>
      <c r="B139" s="20" t="s">
        <v>5460</v>
      </c>
      <c r="C139" s="149"/>
      <c r="D139" s="149"/>
      <c r="E139" s="149"/>
    </row>
    <row r="140" spans="1:5">
      <c r="A140" s="20" t="s">
        <v>9463</v>
      </c>
      <c r="B140" s="20" t="s">
        <v>3946</v>
      </c>
      <c r="C140" s="149"/>
      <c r="D140" s="149"/>
      <c r="E140" s="149"/>
    </row>
    <row r="141" spans="1:5">
      <c r="A141" s="20" t="s">
        <v>7784</v>
      </c>
      <c r="B141" s="20" t="s">
        <v>3836</v>
      </c>
      <c r="C141" s="149"/>
      <c r="D141" s="149"/>
      <c r="E141" s="149"/>
    </row>
    <row r="142" spans="1:5">
      <c r="A142" s="20"/>
      <c r="B142" s="349" t="s">
        <v>13645</v>
      </c>
      <c r="C142" s="349" t="s">
        <v>13635</v>
      </c>
      <c r="D142" s="349" t="s">
        <v>13636</v>
      </c>
      <c r="E142" s="349" t="s">
        <v>13637</v>
      </c>
    </row>
    <row r="143" spans="1:5">
      <c r="A143" s="20"/>
      <c r="B143" s="20" t="s">
        <v>5394</v>
      </c>
      <c r="C143" s="149"/>
      <c r="D143" s="149"/>
      <c r="E143" s="149"/>
    </row>
    <row r="144" spans="1:5">
      <c r="A144" s="20"/>
      <c r="B144" s="20" t="s">
        <v>5115</v>
      </c>
      <c r="C144" s="149"/>
      <c r="D144" s="149"/>
      <c r="E144" s="149"/>
    </row>
    <row r="145" spans="1:5">
      <c r="A145" s="20"/>
      <c r="B145" s="20" t="s">
        <v>13646</v>
      </c>
      <c r="C145" s="149"/>
      <c r="D145" s="149"/>
      <c r="E145" s="149"/>
    </row>
    <row r="146" spans="1:5">
      <c r="A146" s="20"/>
      <c r="B146" s="20" t="s">
        <v>5121</v>
      </c>
      <c r="C146" s="149"/>
      <c r="D146" s="149"/>
      <c r="E146" s="149"/>
    </row>
    <row r="147" spans="1:5">
      <c r="A147" s="20"/>
      <c r="B147" s="20" t="s">
        <v>5105</v>
      </c>
      <c r="C147" s="149"/>
      <c r="D147" s="149"/>
      <c r="E147" s="149"/>
    </row>
    <row r="148" spans="1:5">
      <c r="A148" s="20"/>
      <c r="B148" s="20" t="s">
        <v>5110</v>
      </c>
      <c r="C148" s="149" t="s">
        <v>8929</v>
      </c>
      <c r="D148" s="149"/>
      <c r="E148" s="149"/>
    </row>
    <row r="149" spans="1:5">
      <c r="A149" s="20"/>
      <c r="B149" s="20" t="s">
        <v>5192</v>
      </c>
      <c r="C149" s="149"/>
      <c r="D149" s="149"/>
      <c r="E149" s="149"/>
    </row>
    <row r="150" spans="1:5">
      <c r="A150" s="20"/>
      <c r="B150" s="20" t="s">
        <v>5351</v>
      </c>
      <c r="C150" s="149"/>
      <c r="D150" s="149"/>
      <c r="E150" s="149"/>
    </row>
    <row r="151" spans="1:5">
      <c r="A151" s="20"/>
      <c r="B151" s="20"/>
      <c r="C151" s="149"/>
      <c r="D151" s="149"/>
      <c r="E151" s="149"/>
    </row>
    <row r="152" spans="1:5">
      <c r="A152" s="20"/>
      <c r="B152" s="20"/>
      <c r="C152" s="149"/>
      <c r="D152" s="149"/>
      <c r="E152" s="149"/>
    </row>
    <row r="153" spans="1:5">
      <c r="A153" s="20"/>
      <c r="B153" s="20"/>
      <c r="C153" s="149"/>
      <c r="D153" s="149"/>
      <c r="E153" s="149"/>
    </row>
    <row r="154" spans="1:5">
      <c r="A154" s="20"/>
      <c r="B154" s="20"/>
      <c r="C154" s="149"/>
      <c r="D154" s="149"/>
      <c r="E154" s="149"/>
    </row>
    <row r="155" spans="1:5">
      <c r="A155" s="20"/>
      <c r="B155" s="20"/>
      <c r="C155" s="149"/>
      <c r="D155" s="149"/>
      <c r="E155" s="149"/>
    </row>
    <row r="156" spans="1:5">
      <c r="A156" s="20"/>
      <c r="B156" s="20"/>
      <c r="C156" s="149"/>
      <c r="D156" s="149"/>
      <c r="E156" s="149"/>
    </row>
    <row r="157" spans="1:5">
      <c r="A157" s="20"/>
      <c r="B157" s="20"/>
      <c r="C157" s="149"/>
      <c r="D157" s="149"/>
      <c r="E157" s="149"/>
    </row>
    <row r="158" spans="1:5">
      <c r="A158" s="20"/>
      <c r="B158" s="20"/>
      <c r="C158" s="149"/>
      <c r="D158" s="149"/>
      <c r="E158" s="149"/>
    </row>
    <row r="159" spans="1:5">
      <c r="A159" s="20"/>
      <c r="B159" s="20"/>
      <c r="C159" s="149"/>
      <c r="D159" s="149"/>
      <c r="E159" s="149"/>
    </row>
    <row r="160" spans="1:5">
      <c r="A160" s="20"/>
      <c r="B160" s="20"/>
      <c r="C160" s="149"/>
      <c r="D160" s="149"/>
      <c r="E160" s="149"/>
    </row>
    <row r="161" spans="1:5">
      <c r="A161" s="20"/>
      <c r="B161" s="20"/>
      <c r="C161" s="149"/>
      <c r="D161" s="149"/>
      <c r="E161" s="149"/>
    </row>
    <row r="162" spans="1:5">
      <c r="A162" s="20"/>
      <c r="B162" s="20"/>
      <c r="C162" s="149"/>
      <c r="D162" s="149"/>
      <c r="E162" s="149"/>
    </row>
    <row r="163" spans="1:5">
      <c r="A163" s="20"/>
      <c r="B163" s="20"/>
      <c r="C163" s="149"/>
      <c r="D163" s="149"/>
      <c r="E163" s="149"/>
    </row>
    <row r="164" spans="1:5">
      <c r="A164" s="20"/>
      <c r="B164" s="20"/>
      <c r="C164" s="149"/>
      <c r="D164" s="149"/>
      <c r="E164" s="149"/>
    </row>
    <row r="165" spans="1:5">
      <c r="A165" s="20"/>
      <c r="B165" s="20"/>
      <c r="C165" s="149"/>
      <c r="D165" s="149"/>
      <c r="E165" s="149"/>
    </row>
    <row r="166" spans="1:5">
      <c r="A166" s="20"/>
      <c r="B166" s="20"/>
      <c r="C166" s="149"/>
      <c r="D166" s="149"/>
      <c r="E166" s="149"/>
    </row>
    <row r="167" spans="1:5">
      <c r="A167" s="20"/>
      <c r="B167" s="20"/>
      <c r="C167" s="149"/>
      <c r="D167" s="149"/>
      <c r="E167" s="149"/>
    </row>
    <row r="168" spans="1:5">
      <c r="A168" s="20"/>
      <c r="B168" s="20"/>
      <c r="C168" s="149"/>
      <c r="D168" s="149"/>
      <c r="E168" s="149"/>
    </row>
    <row r="169" spans="1:5">
      <c r="A169" s="20"/>
      <c r="B169" s="20"/>
      <c r="C169" s="149"/>
      <c r="D169" s="149"/>
      <c r="E169" s="149"/>
    </row>
    <row r="170" spans="1:5">
      <c r="A170" s="20"/>
      <c r="B170" s="20"/>
      <c r="C170" s="149"/>
      <c r="D170" s="149"/>
      <c r="E170" s="149"/>
    </row>
    <row r="171" spans="1:5">
      <c r="A171" s="20"/>
      <c r="B171" s="20"/>
      <c r="C171" s="149"/>
      <c r="D171" s="149"/>
      <c r="E171" s="149"/>
    </row>
    <row r="172" spans="1:5">
      <c r="A172" s="20"/>
      <c r="B172" s="20"/>
      <c r="C172" s="149"/>
      <c r="D172" s="149"/>
      <c r="E172" s="149"/>
    </row>
    <row r="173" spans="1:5">
      <c r="A173" s="20"/>
      <c r="B173" s="20"/>
      <c r="C173" s="149"/>
      <c r="D173" s="149"/>
      <c r="E173" s="149"/>
    </row>
    <row r="174" spans="1:5">
      <c r="A174" s="20"/>
      <c r="B174" s="20"/>
      <c r="C174" s="149"/>
      <c r="D174" s="149"/>
      <c r="E174" s="149"/>
    </row>
    <row r="175" spans="1:5">
      <c r="A175" s="20"/>
      <c r="B175" s="20"/>
      <c r="C175" s="149"/>
      <c r="D175" s="149"/>
      <c r="E175" s="149"/>
    </row>
    <row r="176" spans="1:5">
      <c r="A176" s="20"/>
      <c r="B176" s="20"/>
      <c r="C176" s="149"/>
      <c r="D176" s="149"/>
      <c r="E176" s="149"/>
    </row>
    <row r="177" spans="1:5">
      <c r="A177" s="20"/>
      <c r="B177" s="20"/>
      <c r="C177" s="149"/>
      <c r="D177" s="149"/>
      <c r="E177" s="149"/>
    </row>
    <row r="178" spans="1:5">
      <c r="A178" s="20"/>
      <c r="B178" s="20"/>
      <c r="C178" s="149"/>
      <c r="D178" s="149"/>
      <c r="E178" s="149"/>
    </row>
    <row r="179" spans="1:5">
      <c r="A179" s="20"/>
      <c r="B179" s="20"/>
      <c r="C179" s="149"/>
      <c r="D179" s="149"/>
      <c r="E179" s="149"/>
    </row>
    <row r="180" spans="1:5">
      <c r="A180" s="20"/>
      <c r="B180" s="20"/>
      <c r="C180" s="149"/>
      <c r="D180" s="149"/>
      <c r="E180" s="149"/>
    </row>
    <row r="181" spans="1:5">
      <c r="A181" s="20"/>
      <c r="B181" s="20"/>
      <c r="C181" s="149"/>
      <c r="D181" s="149"/>
      <c r="E181" s="149"/>
    </row>
    <row r="182" spans="1:5">
      <c r="A182" s="20"/>
      <c r="B182" s="20"/>
      <c r="C182" s="149"/>
      <c r="D182" s="149"/>
      <c r="E182" s="149"/>
    </row>
    <row r="183" spans="1:5">
      <c r="A183" s="20"/>
      <c r="B183" s="20"/>
      <c r="C183" s="149"/>
      <c r="D183" s="149"/>
      <c r="E183" s="149"/>
    </row>
  </sheetData>
  <pageMargins left="0.7" right="0.7" top="0.75" bottom="0.75" header="0.3" footer="0.3"/>
  <pageSetup paperSize="9" scale="60" fitToHeight="0"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43DC8-F44F-4395-9D01-64E5E084C6BF}">
  <dimension ref="A1:E368"/>
  <sheetViews>
    <sheetView topLeftCell="A253" workbookViewId="0">
      <selection activeCell="A276" sqref="A276"/>
    </sheetView>
  </sheetViews>
  <sheetFormatPr defaultRowHeight="15"/>
  <cols>
    <col min="1" max="3" width="44" customWidth="1"/>
    <col min="4" max="4" width="7.140625" bestFit="1" customWidth="1"/>
    <col min="5" max="5" width="23.140625" customWidth="1"/>
  </cols>
  <sheetData>
    <row r="1" spans="1:5">
      <c r="A1" t="s">
        <v>13647</v>
      </c>
    </row>
    <row r="2" spans="1:5">
      <c r="A2" s="149" t="s">
        <v>7338</v>
      </c>
      <c r="B2" s="149" t="s">
        <v>13648</v>
      </c>
      <c r="C2" s="149" t="s">
        <v>5</v>
      </c>
      <c r="D2" s="149" t="s">
        <v>13649</v>
      </c>
      <c r="E2" s="149" t="s">
        <v>13650</v>
      </c>
    </row>
    <row r="3" spans="1:5">
      <c r="A3" s="149" t="s">
        <v>5321</v>
      </c>
      <c r="B3" s="149" t="s">
        <v>13651</v>
      </c>
      <c r="C3" s="149" t="s">
        <v>13652</v>
      </c>
      <c r="D3" s="149" t="s">
        <v>7495</v>
      </c>
      <c r="E3" s="108">
        <v>1001</v>
      </c>
    </row>
    <row r="4" spans="1:5">
      <c r="A4" s="149" t="s">
        <v>3733</v>
      </c>
      <c r="B4" s="149" t="s">
        <v>13653</v>
      </c>
      <c r="C4" s="149" t="s">
        <v>13654</v>
      </c>
      <c r="D4" s="149" t="s">
        <v>7495</v>
      </c>
      <c r="E4" s="108">
        <v>1002</v>
      </c>
    </row>
    <row r="5" spans="1:5">
      <c r="A5" s="149" t="s">
        <v>3733</v>
      </c>
      <c r="B5" s="149" t="s">
        <v>13655</v>
      </c>
      <c r="C5" s="149" t="s">
        <v>13656</v>
      </c>
      <c r="D5" s="149" t="s">
        <v>7495</v>
      </c>
      <c r="E5" s="108">
        <v>1003</v>
      </c>
    </row>
    <row r="6" spans="1:5">
      <c r="A6" s="149" t="s">
        <v>3733</v>
      </c>
      <c r="B6" s="149" t="s">
        <v>13657</v>
      </c>
      <c r="C6" s="149" t="s">
        <v>13658</v>
      </c>
      <c r="D6" s="149" t="s">
        <v>7495</v>
      </c>
      <c r="E6" s="108">
        <v>1004</v>
      </c>
    </row>
    <row r="7" spans="1:5">
      <c r="A7" s="149" t="s">
        <v>3733</v>
      </c>
      <c r="B7" s="149" t="s">
        <v>13659</v>
      </c>
      <c r="C7" s="149" t="s">
        <v>13660</v>
      </c>
      <c r="D7" s="149" t="s">
        <v>7495</v>
      </c>
      <c r="E7" s="108">
        <v>1005</v>
      </c>
    </row>
    <row r="8" spans="1:5">
      <c r="A8" s="149" t="s">
        <v>3733</v>
      </c>
      <c r="B8" s="149" t="s">
        <v>13661</v>
      </c>
      <c r="C8" s="149" t="s">
        <v>13662</v>
      </c>
      <c r="D8" s="149" t="s">
        <v>7415</v>
      </c>
      <c r="E8" s="108">
        <v>1006</v>
      </c>
    </row>
    <row r="9" spans="1:5">
      <c r="A9" s="149" t="s">
        <v>3733</v>
      </c>
      <c r="B9" s="149" t="s">
        <v>13663</v>
      </c>
      <c r="C9" s="149" t="s">
        <v>13664</v>
      </c>
      <c r="D9" s="149" t="s">
        <v>7415</v>
      </c>
      <c r="E9" s="108">
        <v>1007</v>
      </c>
    </row>
    <row r="10" spans="1:5">
      <c r="A10" s="149" t="s">
        <v>3733</v>
      </c>
      <c r="B10" s="149" t="s">
        <v>13665</v>
      </c>
      <c r="C10" s="149" t="s">
        <v>13666</v>
      </c>
      <c r="D10" s="149" t="s">
        <v>7415</v>
      </c>
      <c r="E10" s="108">
        <v>1008</v>
      </c>
    </row>
    <row r="11" spans="1:5">
      <c r="A11" s="149" t="s">
        <v>3733</v>
      </c>
      <c r="B11" s="149" t="s">
        <v>13667</v>
      </c>
      <c r="C11" s="149" t="s">
        <v>13668</v>
      </c>
      <c r="D11" s="149" t="s">
        <v>7415</v>
      </c>
      <c r="E11" s="108">
        <v>1009</v>
      </c>
    </row>
    <row r="12" spans="1:5">
      <c r="A12" s="149" t="s">
        <v>3733</v>
      </c>
      <c r="B12" s="149" t="s">
        <v>13669</v>
      </c>
      <c r="C12" s="149" t="s">
        <v>13670</v>
      </c>
      <c r="D12" s="149" t="s">
        <v>7415</v>
      </c>
      <c r="E12" s="108">
        <v>1010</v>
      </c>
    </row>
    <row r="13" spans="1:5">
      <c r="A13" s="149" t="s">
        <v>3733</v>
      </c>
      <c r="B13" s="149" t="s">
        <v>13671</v>
      </c>
      <c r="C13" s="149" t="s">
        <v>13672</v>
      </c>
      <c r="D13" s="149" t="s">
        <v>7415</v>
      </c>
      <c r="E13" s="108">
        <v>1011</v>
      </c>
    </row>
    <row r="14" spans="1:5">
      <c r="A14" s="149" t="s">
        <v>3733</v>
      </c>
      <c r="B14" s="108" t="s">
        <v>13673</v>
      </c>
      <c r="C14" s="108" t="s">
        <v>13674</v>
      </c>
      <c r="D14" s="108" t="s">
        <v>7413</v>
      </c>
      <c r="E14" s="262"/>
    </row>
    <row r="15" spans="1:5">
      <c r="A15" s="149" t="s">
        <v>3733</v>
      </c>
      <c r="B15" s="149" t="s">
        <v>13675</v>
      </c>
      <c r="C15" s="149" t="s">
        <v>13676</v>
      </c>
      <c r="D15" s="149" t="s">
        <v>7415</v>
      </c>
      <c r="E15" s="108">
        <v>1013</v>
      </c>
    </row>
    <row r="16" spans="1:5">
      <c r="A16" s="149" t="s">
        <v>3733</v>
      </c>
      <c r="B16" s="149" t="s">
        <v>13677</v>
      </c>
      <c r="C16" s="149" t="s">
        <v>13678</v>
      </c>
      <c r="D16" s="149" t="s">
        <v>7415</v>
      </c>
      <c r="E16" s="108">
        <v>1014</v>
      </c>
    </row>
    <row r="17" spans="1:5">
      <c r="A17" s="149" t="s">
        <v>3733</v>
      </c>
      <c r="B17" s="149" t="s">
        <v>13679</v>
      </c>
      <c r="C17" s="149" t="s">
        <v>13680</v>
      </c>
      <c r="D17" s="149" t="s">
        <v>7415</v>
      </c>
      <c r="E17" s="108">
        <v>1015</v>
      </c>
    </row>
    <row r="18" spans="1:5">
      <c r="A18" s="149" t="s">
        <v>3733</v>
      </c>
      <c r="B18" s="149" t="s">
        <v>13681</v>
      </c>
      <c r="C18" s="149" t="s">
        <v>13682</v>
      </c>
      <c r="D18" s="149" t="s">
        <v>7415</v>
      </c>
      <c r="E18" s="108">
        <v>1016</v>
      </c>
    </row>
    <row r="19" spans="1:5">
      <c r="A19" s="149" t="s">
        <v>3733</v>
      </c>
      <c r="B19" s="149" t="s">
        <v>13683</v>
      </c>
      <c r="C19" s="149" t="s">
        <v>13684</v>
      </c>
      <c r="D19" s="108" t="s">
        <v>7413</v>
      </c>
      <c r="E19" s="262"/>
    </row>
    <row r="20" spans="1:5">
      <c r="A20" s="149" t="s">
        <v>3733</v>
      </c>
      <c r="B20" s="149" t="s">
        <v>13685</v>
      </c>
      <c r="C20" s="149" t="s">
        <v>13686</v>
      </c>
      <c r="D20" s="262" t="s">
        <v>7415</v>
      </c>
      <c r="E20" s="108">
        <v>1018</v>
      </c>
    </row>
    <row r="21" spans="1:5">
      <c r="A21" s="149" t="s">
        <v>3733</v>
      </c>
      <c r="B21" s="149" t="s">
        <v>13687</v>
      </c>
      <c r="C21" s="149" t="s">
        <v>13688</v>
      </c>
      <c r="D21" s="149" t="s">
        <v>7415</v>
      </c>
      <c r="E21" s="108">
        <v>1019</v>
      </c>
    </row>
    <row r="22" spans="1:5">
      <c r="A22" s="149" t="s">
        <v>3733</v>
      </c>
      <c r="B22" s="149" t="s">
        <v>13689</v>
      </c>
      <c r="C22" s="149" t="s">
        <v>13690</v>
      </c>
      <c r="D22" s="149" t="s">
        <v>7415</v>
      </c>
      <c r="E22" s="108">
        <v>1020</v>
      </c>
    </row>
    <row r="23" spans="1:5">
      <c r="A23" s="149" t="s">
        <v>3733</v>
      </c>
      <c r="B23" s="149" t="s">
        <v>13691</v>
      </c>
      <c r="C23" s="149" t="s">
        <v>13692</v>
      </c>
      <c r="D23" s="149" t="s">
        <v>7415</v>
      </c>
      <c r="E23" s="108">
        <v>1021</v>
      </c>
    </row>
    <row r="24" spans="1:5">
      <c r="A24" s="149" t="s">
        <v>3733</v>
      </c>
      <c r="B24" s="149" t="s">
        <v>13693</v>
      </c>
      <c r="C24" s="149" t="s">
        <v>13694</v>
      </c>
      <c r="D24" s="149" t="s">
        <v>7415</v>
      </c>
      <c r="E24" s="108">
        <v>1022</v>
      </c>
    </row>
    <row r="25" spans="1:5">
      <c r="A25" s="149" t="s">
        <v>3733</v>
      </c>
      <c r="B25" s="149" t="s">
        <v>13695</v>
      </c>
      <c r="C25" s="149" t="s">
        <v>13696</v>
      </c>
      <c r="D25" s="108" t="s">
        <v>7413</v>
      </c>
      <c r="E25" s="262"/>
    </row>
    <row r="26" spans="1:5">
      <c r="A26" s="149" t="s">
        <v>3733</v>
      </c>
      <c r="B26" s="149" t="s">
        <v>13697</v>
      </c>
      <c r="C26" s="149" t="s">
        <v>13698</v>
      </c>
      <c r="D26" s="149" t="s">
        <v>7415</v>
      </c>
      <c r="E26" s="108">
        <v>1024</v>
      </c>
    </row>
    <row r="27" spans="1:5">
      <c r="A27" s="149" t="s">
        <v>3733</v>
      </c>
      <c r="B27" s="149" t="s">
        <v>13699</v>
      </c>
      <c r="C27" s="149" t="s">
        <v>13700</v>
      </c>
      <c r="D27" s="108" t="s">
        <v>7413</v>
      </c>
      <c r="E27" s="262"/>
    </row>
    <row r="28" spans="1:5">
      <c r="A28" s="149" t="s">
        <v>5256</v>
      </c>
      <c r="B28" s="149" t="s">
        <v>13701</v>
      </c>
      <c r="C28" s="149" t="s">
        <v>13702</v>
      </c>
      <c r="D28" s="149" t="s">
        <v>7495</v>
      </c>
      <c r="E28" s="365">
        <v>1026</v>
      </c>
    </row>
    <row r="29" spans="1:5">
      <c r="A29" s="149" t="s">
        <v>5256</v>
      </c>
      <c r="B29" s="149" t="s">
        <v>13703</v>
      </c>
      <c r="C29" s="149" t="s">
        <v>13704</v>
      </c>
      <c r="D29" s="149" t="s">
        <v>7495</v>
      </c>
      <c r="E29" s="365">
        <v>1027</v>
      </c>
    </row>
    <row r="30" spans="1:5">
      <c r="A30" s="149" t="s">
        <v>5256</v>
      </c>
      <c r="B30" s="149" t="s">
        <v>13705</v>
      </c>
      <c r="C30" s="149" t="s">
        <v>13706</v>
      </c>
      <c r="D30" s="149" t="s">
        <v>7495</v>
      </c>
      <c r="E30" s="365">
        <v>1028</v>
      </c>
    </row>
    <row r="31" spans="1:5">
      <c r="A31" s="149" t="s">
        <v>5256</v>
      </c>
      <c r="B31" s="149" t="s">
        <v>13705</v>
      </c>
      <c r="C31" s="149" t="s">
        <v>13707</v>
      </c>
      <c r="D31" s="149" t="s">
        <v>7495</v>
      </c>
      <c r="E31" s="365">
        <v>1029</v>
      </c>
    </row>
    <row r="32" spans="1:5">
      <c r="A32" s="149" t="s">
        <v>5256</v>
      </c>
      <c r="B32" s="149" t="s">
        <v>13708</v>
      </c>
      <c r="C32" s="149" t="s">
        <v>13709</v>
      </c>
      <c r="D32" s="149" t="s">
        <v>7495</v>
      </c>
      <c r="E32" s="365">
        <v>1030</v>
      </c>
    </row>
    <row r="33" spans="1:5">
      <c r="A33" s="341" t="s">
        <v>5256</v>
      </c>
      <c r="B33" s="149" t="s">
        <v>13710</v>
      </c>
      <c r="C33" s="149" t="s">
        <v>13711</v>
      </c>
      <c r="D33" s="149" t="s">
        <v>7495</v>
      </c>
      <c r="E33" s="365">
        <v>1031</v>
      </c>
    </row>
    <row r="34" spans="1:5">
      <c r="A34" s="341" t="s">
        <v>5256</v>
      </c>
      <c r="B34" s="149" t="s">
        <v>13712</v>
      </c>
      <c r="C34" s="149" t="s">
        <v>13713</v>
      </c>
      <c r="D34" s="149" t="s">
        <v>7495</v>
      </c>
      <c r="E34" s="365">
        <v>1032</v>
      </c>
    </row>
    <row r="35" spans="1:5">
      <c r="A35" s="341" t="s">
        <v>5256</v>
      </c>
      <c r="B35" s="149" t="s">
        <v>13714</v>
      </c>
      <c r="C35" s="149" t="s">
        <v>13715</v>
      </c>
      <c r="D35" s="149" t="s">
        <v>7495</v>
      </c>
      <c r="E35" s="365">
        <v>1033</v>
      </c>
    </row>
    <row r="36" spans="1:5">
      <c r="A36" s="341" t="s">
        <v>5256</v>
      </c>
      <c r="B36" s="149" t="s">
        <v>13716</v>
      </c>
      <c r="C36" s="149" t="s">
        <v>13717</v>
      </c>
      <c r="D36" s="149" t="s">
        <v>7495</v>
      </c>
      <c r="E36" s="365">
        <v>1034</v>
      </c>
    </row>
    <row r="37" spans="1:5">
      <c r="A37" s="341" t="s">
        <v>5256</v>
      </c>
      <c r="B37" s="186" t="s">
        <v>13718</v>
      </c>
      <c r="C37" s="186" t="s">
        <v>13719</v>
      </c>
      <c r="D37" s="186" t="s">
        <v>7495</v>
      </c>
      <c r="E37" s="366">
        <v>1035</v>
      </c>
    </row>
    <row r="38" spans="1:5">
      <c r="A38" s="341" t="s">
        <v>5256</v>
      </c>
      <c r="B38" s="149" t="s">
        <v>13720</v>
      </c>
      <c r="C38" s="149" t="s">
        <v>13721</v>
      </c>
      <c r="D38" s="149" t="s">
        <v>7495</v>
      </c>
      <c r="E38" s="365">
        <v>1036</v>
      </c>
    </row>
    <row r="39" spans="1:5">
      <c r="A39" s="341" t="s">
        <v>5256</v>
      </c>
      <c r="B39" s="149" t="s">
        <v>13722</v>
      </c>
      <c r="C39" s="149" t="s">
        <v>13723</v>
      </c>
      <c r="D39" s="149" t="s">
        <v>7495</v>
      </c>
      <c r="E39" s="365">
        <v>1037</v>
      </c>
    </row>
    <row r="40" spans="1:5">
      <c r="A40" s="341" t="s">
        <v>5256</v>
      </c>
      <c r="B40" s="149" t="s">
        <v>13724</v>
      </c>
      <c r="C40" s="149" t="s">
        <v>13725</v>
      </c>
      <c r="D40" s="149" t="s">
        <v>7495</v>
      </c>
      <c r="E40" s="365">
        <v>1038</v>
      </c>
    </row>
    <row r="41" spans="1:5">
      <c r="A41" s="341" t="s">
        <v>5256</v>
      </c>
      <c r="B41" s="149" t="s">
        <v>13726</v>
      </c>
      <c r="C41" s="149" t="s">
        <v>13727</v>
      </c>
      <c r="D41" s="149" t="s">
        <v>7495</v>
      </c>
      <c r="E41" s="365">
        <v>1039</v>
      </c>
    </row>
    <row r="42" spans="1:5">
      <c r="A42" s="341" t="s">
        <v>5256</v>
      </c>
      <c r="B42" s="149" t="s">
        <v>13728</v>
      </c>
      <c r="C42" s="149" t="s">
        <v>13729</v>
      </c>
      <c r="D42" s="149" t="s">
        <v>7495</v>
      </c>
      <c r="E42" s="365">
        <v>1040</v>
      </c>
    </row>
    <row r="43" spans="1:5">
      <c r="A43" s="341" t="s">
        <v>5256</v>
      </c>
      <c r="B43" s="149" t="s">
        <v>13730</v>
      </c>
      <c r="C43" s="149" t="s">
        <v>13731</v>
      </c>
      <c r="D43" s="149" t="s">
        <v>7495</v>
      </c>
      <c r="E43" s="365">
        <v>1041</v>
      </c>
    </row>
    <row r="44" spans="1:5">
      <c r="A44" s="341" t="s">
        <v>5256</v>
      </c>
      <c r="B44" s="149" t="s">
        <v>13732</v>
      </c>
      <c r="C44" s="149" t="s">
        <v>13733</v>
      </c>
      <c r="D44" s="149" t="s">
        <v>7495</v>
      </c>
      <c r="E44" s="365">
        <v>1042</v>
      </c>
    </row>
    <row r="45" spans="1:5">
      <c r="A45" s="341" t="s">
        <v>5256</v>
      </c>
      <c r="B45" s="149" t="s">
        <v>13734</v>
      </c>
      <c r="C45" s="149" t="s">
        <v>13735</v>
      </c>
      <c r="D45" s="149" t="s">
        <v>7495</v>
      </c>
      <c r="E45" s="365">
        <v>1043</v>
      </c>
    </row>
    <row r="46" spans="1:5">
      <c r="A46" s="149" t="s">
        <v>5256</v>
      </c>
      <c r="B46" s="149" t="s">
        <v>13736</v>
      </c>
      <c r="C46" s="149" t="s">
        <v>13737</v>
      </c>
      <c r="D46" s="149" t="s">
        <v>7495</v>
      </c>
      <c r="E46" s="365">
        <v>1044</v>
      </c>
    </row>
    <row r="47" spans="1:5">
      <c r="A47" s="341" t="s">
        <v>5256</v>
      </c>
      <c r="B47" s="149" t="s">
        <v>13738</v>
      </c>
      <c r="C47" s="149" t="s">
        <v>13739</v>
      </c>
      <c r="D47" s="149" t="s">
        <v>7495</v>
      </c>
      <c r="E47" s="365">
        <v>1045</v>
      </c>
    </row>
    <row r="48" spans="1:5">
      <c r="A48" s="341" t="s">
        <v>5256</v>
      </c>
      <c r="B48" s="149" t="s">
        <v>13740</v>
      </c>
      <c r="C48" s="149" t="s">
        <v>13741</v>
      </c>
      <c r="D48" s="149" t="s">
        <v>7495</v>
      </c>
      <c r="E48" s="365">
        <v>1046</v>
      </c>
    </row>
    <row r="49" spans="1:5">
      <c r="A49" s="341" t="s">
        <v>5256</v>
      </c>
      <c r="B49" s="149" t="s">
        <v>13742</v>
      </c>
      <c r="C49" s="149" t="s">
        <v>13743</v>
      </c>
      <c r="D49" s="149" t="s">
        <v>7495</v>
      </c>
      <c r="E49" s="365">
        <v>1047</v>
      </c>
    </row>
    <row r="50" spans="1:5">
      <c r="A50" s="341" t="s">
        <v>5256</v>
      </c>
      <c r="B50" s="149" t="s">
        <v>13744</v>
      </c>
      <c r="C50" s="149" t="s">
        <v>13745</v>
      </c>
      <c r="D50" s="149" t="s">
        <v>7495</v>
      </c>
      <c r="E50" s="365">
        <v>1048</v>
      </c>
    </row>
    <row r="51" spans="1:5">
      <c r="A51" s="341" t="s">
        <v>5256</v>
      </c>
      <c r="B51" s="149" t="s">
        <v>13746</v>
      </c>
      <c r="C51" s="149" t="s">
        <v>13747</v>
      </c>
      <c r="D51" s="149" t="s">
        <v>7495</v>
      </c>
      <c r="E51" s="365">
        <v>1049</v>
      </c>
    </row>
    <row r="52" spans="1:5">
      <c r="A52" s="340" t="s">
        <v>4013</v>
      </c>
      <c r="B52" s="149" t="s">
        <v>13748</v>
      </c>
      <c r="C52" s="149" t="s">
        <v>13749</v>
      </c>
      <c r="D52" s="149" t="s">
        <v>7495</v>
      </c>
      <c r="E52" s="108">
        <v>1050</v>
      </c>
    </row>
    <row r="53" spans="1:5">
      <c r="A53" s="341" t="s">
        <v>4013</v>
      </c>
      <c r="B53" s="149" t="s">
        <v>13750</v>
      </c>
      <c r="C53" s="149" t="s">
        <v>13751</v>
      </c>
      <c r="D53" s="149" t="s">
        <v>7495</v>
      </c>
      <c r="E53" s="108">
        <v>1051</v>
      </c>
    </row>
    <row r="54" spans="1:5">
      <c r="A54" s="341" t="s">
        <v>2264</v>
      </c>
      <c r="B54" s="149" t="s">
        <v>13752</v>
      </c>
      <c r="C54" s="149" t="s">
        <v>13753</v>
      </c>
      <c r="D54" s="149" t="s">
        <v>7495</v>
      </c>
      <c r="E54" s="108">
        <v>1052</v>
      </c>
    </row>
    <row r="55" spans="1:5">
      <c r="A55" s="341" t="s">
        <v>2264</v>
      </c>
      <c r="B55" s="149" t="s">
        <v>13754</v>
      </c>
      <c r="C55" s="149" t="s">
        <v>13755</v>
      </c>
      <c r="D55" s="149" t="s">
        <v>7495</v>
      </c>
      <c r="E55" s="108">
        <v>1053</v>
      </c>
    </row>
    <row r="56" spans="1:5">
      <c r="A56" s="149" t="s">
        <v>2264</v>
      </c>
      <c r="B56" s="149" t="s">
        <v>13756</v>
      </c>
      <c r="C56" s="149" t="s">
        <v>13757</v>
      </c>
      <c r="D56" s="149" t="s">
        <v>7495</v>
      </c>
      <c r="E56" s="108">
        <v>1054</v>
      </c>
    </row>
    <row r="57" spans="1:5">
      <c r="A57" s="149" t="s">
        <v>2264</v>
      </c>
      <c r="B57" s="149" t="s">
        <v>13758</v>
      </c>
      <c r="C57" s="149" t="s">
        <v>13759</v>
      </c>
      <c r="D57" s="149" t="s">
        <v>7495</v>
      </c>
      <c r="E57" s="108">
        <v>1055</v>
      </c>
    </row>
    <row r="58" spans="1:5">
      <c r="A58" s="149" t="s">
        <v>2264</v>
      </c>
      <c r="B58" s="149" t="s">
        <v>13760</v>
      </c>
      <c r="C58" s="149" t="s">
        <v>13761</v>
      </c>
      <c r="D58" s="149" t="s">
        <v>7495</v>
      </c>
      <c r="E58" s="108">
        <v>1056</v>
      </c>
    </row>
    <row r="59" spans="1:5">
      <c r="A59" s="149" t="s">
        <v>2264</v>
      </c>
      <c r="B59" s="149" t="s">
        <v>13762</v>
      </c>
      <c r="C59" s="149" t="s">
        <v>13763</v>
      </c>
      <c r="D59" s="149" t="s">
        <v>7495</v>
      </c>
      <c r="E59" s="108">
        <v>1057</v>
      </c>
    </row>
    <row r="60" spans="1:5">
      <c r="A60" s="149" t="s">
        <v>2264</v>
      </c>
      <c r="B60" s="149" t="s">
        <v>13764</v>
      </c>
      <c r="C60" s="149" t="s">
        <v>13765</v>
      </c>
      <c r="D60" s="149" t="s">
        <v>7495</v>
      </c>
      <c r="E60" s="108">
        <v>1058</v>
      </c>
    </row>
    <row r="61" spans="1:5">
      <c r="A61" s="149" t="s">
        <v>2264</v>
      </c>
      <c r="B61" s="149" t="s">
        <v>13766</v>
      </c>
      <c r="C61" s="149" t="s">
        <v>13767</v>
      </c>
      <c r="D61" s="149" t="s">
        <v>7495</v>
      </c>
      <c r="E61" s="108">
        <v>1059</v>
      </c>
    </row>
    <row r="62" spans="1:5">
      <c r="A62" s="149" t="s">
        <v>2264</v>
      </c>
      <c r="B62" s="149" t="s">
        <v>13768</v>
      </c>
      <c r="C62" s="149" t="s">
        <v>13769</v>
      </c>
      <c r="D62" s="149" t="s">
        <v>7495</v>
      </c>
      <c r="E62" s="108">
        <v>1060</v>
      </c>
    </row>
    <row r="63" spans="1:5">
      <c r="A63" s="149" t="s">
        <v>2264</v>
      </c>
      <c r="B63" s="149" t="s">
        <v>13770</v>
      </c>
      <c r="C63" s="149" t="s">
        <v>13771</v>
      </c>
      <c r="D63" s="149" t="s">
        <v>7495</v>
      </c>
      <c r="E63" s="108">
        <v>1061</v>
      </c>
    </row>
    <row r="64" spans="1:5">
      <c r="A64" s="149" t="s">
        <v>2264</v>
      </c>
      <c r="B64" s="149" t="s">
        <v>13772</v>
      </c>
      <c r="C64" s="149" t="s">
        <v>13773</v>
      </c>
      <c r="D64" s="149" t="s">
        <v>7495</v>
      </c>
      <c r="E64" s="108">
        <v>1062</v>
      </c>
    </row>
    <row r="65" spans="1:5">
      <c r="A65" s="149" t="s">
        <v>2264</v>
      </c>
      <c r="B65" s="149" t="s">
        <v>13774</v>
      </c>
      <c r="C65" s="149" t="s">
        <v>13775</v>
      </c>
      <c r="D65" s="108" t="s">
        <v>13776</v>
      </c>
      <c r="E65" s="108">
        <v>1063</v>
      </c>
    </row>
    <row r="66" spans="1:5">
      <c r="A66" s="149" t="s">
        <v>2264</v>
      </c>
      <c r="B66" s="149" t="s">
        <v>13777</v>
      </c>
      <c r="C66" t="s">
        <v>13778</v>
      </c>
      <c r="D66" s="149" t="s">
        <v>7495</v>
      </c>
      <c r="E66" s="108">
        <v>1064</v>
      </c>
    </row>
    <row r="67" spans="1:5">
      <c r="A67" s="149" t="s">
        <v>3074</v>
      </c>
      <c r="B67" s="149" t="s">
        <v>13779</v>
      </c>
      <c r="C67" s="62">
        <v>35998938374</v>
      </c>
      <c r="D67" s="149" t="s">
        <v>7415</v>
      </c>
      <c r="E67" s="108">
        <v>1065</v>
      </c>
    </row>
    <row r="68" spans="1:5">
      <c r="A68" s="149" t="s">
        <v>13780</v>
      </c>
      <c r="B68" s="149" t="s">
        <v>13781</v>
      </c>
      <c r="C68" s="149" t="s">
        <v>13782</v>
      </c>
      <c r="D68" s="149" t="s">
        <v>7415</v>
      </c>
      <c r="E68" s="108">
        <v>1066</v>
      </c>
    </row>
    <row r="69" spans="1:5">
      <c r="A69" s="149" t="s">
        <v>13780</v>
      </c>
      <c r="B69" s="149" t="s">
        <v>13783</v>
      </c>
      <c r="C69" s="149" t="s">
        <v>13784</v>
      </c>
      <c r="D69" s="149" t="s">
        <v>7415</v>
      </c>
      <c r="E69" s="108">
        <v>1067</v>
      </c>
    </row>
    <row r="70" spans="1:5">
      <c r="A70" s="149" t="s">
        <v>13780</v>
      </c>
      <c r="B70" s="149" t="s">
        <v>13785</v>
      </c>
      <c r="C70" s="149" t="s">
        <v>13786</v>
      </c>
      <c r="D70" s="149" t="s">
        <v>7415</v>
      </c>
      <c r="E70" s="108">
        <v>1068</v>
      </c>
    </row>
    <row r="71" spans="1:5">
      <c r="A71" s="149" t="s">
        <v>13780</v>
      </c>
      <c r="B71" s="149" t="s">
        <v>13787</v>
      </c>
      <c r="C71" s="149" t="s">
        <v>13788</v>
      </c>
      <c r="D71" s="149" t="s">
        <v>7415</v>
      </c>
      <c r="E71" s="108">
        <v>1069</v>
      </c>
    </row>
    <row r="72" spans="1:5">
      <c r="A72" s="149" t="s">
        <v>13780</v>
      </c>
      <c r="B72" s="149" t="s">
        <v>13789</v>
      </c>
      <c r="C72" s="149" t="s">
        <v>13790</v>
      </c>
      <c r="D72" s="149" t="s">
        <v>7415</v>
      </c>
      <c r="E72" s="108">
        <v>1070</v>
      </c>
    </row>
    <row r="73" spans="1:5">
      <c r="A73" s="149" t="s">
        <v>13780</v>
      </c>
      <c r="B73" s="149" t="s">
        <v>13791</v>
      </c>
      <c r="C73" s="149" t="s">
        <v>13792</v>
      </c>
      <c r="D73" s="149" t="s">
        <v>7415</v>
      </c>
      <c r="E73" s="108">
        <v>1071</v>
      </c>
    </row>
    <row r="74" spans="1:5">
      <c r="A74" s="149" t="s">
        <v>13780</v>
      </c>
      <c r="B74" s="149" t="s">
        <v>13793</v>
      </c>
      <c r="C74" s="149" t="s">
        <v>13794</v>
      </c>
      <c r="D74" s="108" t="s">
        <v>7413</v>
      </c>
      <c r="E74" s="262"/>
    </row>
    <row r="75" spans="1:5">
      <c r="A75" s="149" t="s">
        <v>13780</v>
      </c>
      <c r="B75" s="149" t="s">
        <v>13795</v>
      </c>
      <c r="C75" s="149" t="s">
        <v>13796</v>
      </c>
      <c r="D75" s="149" t="s">
        <v>7415</v>
      </c>
      <c r="E75" s="108">
        <v>1073</v>
      </c>
    </row>
    <row r="76" spans="1:5">
      <c r="A76" s="149" t="s">
        <v>13780</v>
      </c>
      <c r="B76" s="149" t="s">
        <v>13797</v>
      </c>
      <c r="C76" s="149" t="s">
        <v>13798</v>
      </c>
      <c r="D76" s="149" t="s">
        <v>7415</v>
      </c>
      <c r="E76" s="108">
        <v>1074</v>
      </c>
    </row>
    <row r="77" spans="1:5">
      <c r="A77" s="149" t="s">
        <v>13780</v>
      </c>
      <c r="B77" s="149" t="s">
        <v>13799</v>
      </c>
      <c r="C77" s="149" t="s">
        <v>13800</v>
      </c>
      <c r="D77" s="149" t="s">
        <v>7415</v>
      </c>
      <c r="E77" s="108">
        <v>1075</v>
      </c>
    </row>
    <row r="78" spans="1:5">
      <c r="A78" s="149" t="s">
        <v>13780</v>
      </c>
      <c r="B78" s="149" t="s">
        <v>13801</v>
      </c>
      <c r="C78" s="149" t="s">
        <v>13802</v>
      </c>
      <c r="D78" s="108" t="s">
        <v>7413</v>
      </c>
      <c r="E78" s="262"/>
    </row>
    <row r="79" spans="1:5">
      <c r="A79" s="149" t="s">
        <v>13780</v>
      </c>
      <c r="B79" s="149" t="s">
        <v>13803</v>
      </c>
      <c r="C79" s="149" t="s">
        <v>13804</v>
      </c>
      <c r="D79" s="149" t="s">
        <v>7415</v>
      </c>
      <c r="E79" s="108">
        <v>1077</v>
      </c>
    </row>
    <row r="80" spans="1:5">
      <c r="A80" s="149" t="s">
        <v>13780</v>
      </c>
      <c r="B80" s="186" t="s">
        <v>13805</v>
      </c>
      <c r="C80" s="186" t="s">
        <v>13806</v>
      </c>
      <c r="D80" s="186" t="s">
        <v>7415</v>
      </c>
      <c r="E80" s="108">
        <v>1078</v>
      </c>
    </row>
    <row r="81" spans="1:5">
      <c r="A81" s="295" t="s">
        <v>13780</v>
      </c>
      <c r="B81" s="149" t="s">
        <v>13807</v>
      </c>
      <c r="C81" s="149" t="s">
        <v>13808</v>
      </c>
      <c r="D81" s="149" t="s">
        <v>7413</v>
      </c>
      <c r="E81" s="108">
        <v>1079</v>
      </c>
    </row>
    <row r="82" spans="1:5">
      <c r="A82" s="295" t="s">
        <v>13780</v>
      </c>
      <c r="B82" s="149" t="s">
        <v>13809</v>
      </c>
      <c r="C82" s="149" t="s">
        <v>13810</v>
      </c>
      <c r="D82" s="108" t="s">
        <v>7413</v>
      </c>
      <c r="E82" s="262"/>
    </row>
    <row r="83" spans="1:5">
      <c r="A83" s="353" t="s">
        <v>13780</v>
      </c>
      <c r="B83" s="186" t="s">
        <v>13811</v>
      </c>
      <c r="C83" s="186" t="s">
        <v>13812</v>
      </c>
      <c r="D83" s="186" t="s">
        <v>7415</v>
      </c>
      <c r="E83" s="108">
        <v>1081</v>
      </c>
    </row>
    <row r="84" spans="1:5">
      <c r="A84" s="149" t="s">
        <v>13780</v>
      </c>
      <c r="B84" s="149" t="s">
        <v>13813</v>
      </c>
      <c r="C84" s="149" t="s">
        <v>13814</v>
      </c>
      <c r="D84" s="149" t="s">
        <v>7415</v>
      </c>
      <c r="E84" s="108">
        <v>1082</v>
      </c>
    </row>
    <row r="85" spans="1:5">
      <c r="A85" s="149" t="s">
        <v>13780</v>
      </c>
      <c r="B85" s="149" t="s">
        <v>13815</v>
      </c>
      <c r="C85" s="149" t="s">
        <v>13816</v>
      </c>
      <c r="D85" s="149" t="s">
        <v>7415</v>
      </c>
      <c r="E85" s="108">
        <v>1083</v>
      </c>
    </row>
    <row r="86" spans="1:5">
      <c r="A86" s="149" t="s">
        <v>13780</v>
      </c>
      <c r="B86" s="149" t="s">
        <v>13817</v>
      </c>
      <c r="C86" s="149" t="s">
        <v>13818</v>
      </c>
      <c r="D86" s="149" t="s">
        <v>7415</v>
      </c>
      <c r="E86" s="108">
        <v>1084</v>
      </c>
    </row>
    <row r="87" spans="1:5">
      <c r="A87" s="295" t="s">
        <v>13780</v>
      </c>
      <c r="B87" s="149" t="s">
        <v>13819</v>
      </c>
      <c r="C87" s="149" t="s">
        <v>13820</v>
      </c>
      <c r="D87" s="149" t="s">
        <v>7415</v>
      </c>
      <c r="E87" s="108">
        <v>1085</v>
      </c>
    </row>
    <row r="88" spans="1:5">
      <c r="A88" s="295" t="s">
        <v>13780</v>
      </c>
      <c r="B88" s="149" t="s">
        <v>13821</v>
      </c>
      <c r="C88" s="149" t="s">
        <v>13822</v>
      </c>
      <c r="D88" s="149" t="s">
        <v>7415</v>
      </c>
      <c r="E88" s="108">
        <v>1086</v>
      </c>
    </row>
    <row r="89" spans="1:5">
      <c r="A89" s="353" t="s">
        <v>13780</v>
      </c>
      <c r="B89" s="149" t="s">
        <v>13823</v>
      </c>
      <c r="C89" s="149" t="s">
        <v>13824</v>
      </c>
      <c r="D89" s="108" t="s">
        <v>7413</v>
      </c>
      <c r="E89" s="262"/>
    </row>
    <row r="90" spans="1:5">
      <c r="A90" s="353" t="s">
        <v>13780</v>
      </c>
      <c r="B90" s="149" t="s">
        <v>13825</v>
      </c>
      <c r="C90" s="149" t="s">
        <v>13826</v>
      </c>
      <c r="D90" s="149" t="s">
        <v>7415</v>
      </c>
      <c r="E90" s="108">
        <v>1088</v>
      </c>
    </row>
    <row r="91" spans="1:5">
      <c r="A91" s="149" t="s">
        <v>3106</v>
      </c>
      <c r="B91" s="149" t="s">
        <v>13803</v>
      </c>
      <c r="C91" s="149" t="s">
        <v>13827</v>
      </c>
      <c r="D91" s="149" t="s">
        <v>7415</v>
      </c>
      <c r="E91" s="365">
        <v>1089</v>
      </c>
    </row>
    <row r="92" spans="1:5">
      <c r="A92" s="149" t="s">
        <v>3106</v>
      </c>
      <c r="B92" s="149" t="s">
        <v>13828</v>
      </c>
      <c r="C92" s="149" t="s">
        <v>13829</v>
      </c>
      <c r="D92" s="108" t="s">
        <v>13776</v>
      </c>
      <c r="E92" s="262"/>
    </row>
    <row r="93" spans="1:5">
      <c r="A93" s="149" t="s">
        <v>3106</v>
      </c>
      <c r="B93" s="149" t="s">
        <v>13830</v>
      </c>
      <c r="C93" s="149" t="s">
        <v>13831</v>
      </c>
      <c r="D93" s="149" t="s">
        <v>7415</v>
      </c>
      <c r="E93" s="365">
        <v>1091</v>
      </c>
    </row>
    <row r="94" spans="1:5">
      <c r="A94" s="149" t="s">
        <v>3106</v>
      </c>
      <c r="B94" s="149" t="s">
        <v>13832</v>
      </c>
      <c r="C94" s="149" t="s">
        <v>13833</v>
      </c>
      <c r="D94" s="149" t="s">
        <v>7415</v>
      </c>
      <c r="E94" s="365">
        <v>1092</v>
      </c>
    </row>
    <row r="95" spans="1:5">
      <c r="A95" s="149" t="s">
        <v>3106</v>
      </c>
      <c r="B95" s="149" t="s">
        <v>13834</v>
      </c>
      <c r="C95" s="149" t="s">
        <v>13835</v>
      </c>
      <c r="D95" s="149" t="s">
        <v>7415</v>
      </c>
      <c r="E95" s="365">
        <v>1093</v>
      </c>
    </row>
    <row r="96" spans="1:5">
      <c r="A96" s="149" t="s">
        <v>3106</v>
      </c>
      <c r="B96" s="149" t="s">
        <v>13836</v>
      </c>
      <c r="C96" s="149" t="s">
        <v>13837</v>
      </c>
      <c r="D96" s="149" t="s">
        <v>7415</v>
      </c>
      <c r="E96" s="365">
        <v>1094</v>
      </c>
    </row>
    <row r="97" spans="1:5">
      <c r="A97" s="149" t="s">
        <v>3106</v>
      </c>
      <c r="B97" s="149" t="s">
        <v>13838</v>
      </c>
      <c r="C97" s="149" t="s">
        <v>13839</v>
      </c>
      <c r="D97" s="149" t="s">
        <v>7415</v>
      </c>
      <c r="E97" s="365">
        <v>1095</v>
      </c>
    </row>
    <row r="98" spans="1:5">
      <c r="A98" s="149" t="s">
        <v>3106</v>
      </c>
      <c r="B98" s="149" t="s">
        <v>13840</v>
      </c>
      <c r="C98" s="149" t="s">
        <v>13841</v>
      </c>
      <c r="D98" s="149" t="s">
        <v>7415</v>
      </c>
      <c r="E98" s="365">
        <v>1096</v>
      </c>
    </row>
    <row r="99" spans="1:5">
      <c r="A99" s="149" t="s">
        <v>3106</v>
      </c>
      <c r="B99" s="149" t="s">
        <v>13842</v>
      </c>
      <c r="C99" s="149" t="s">
        <v>13843</v>
      </c>
      <c r="D99" s="149" t="s">
        <v>7415</v>
      </c>
      <c r="E99" s="365">
        <v>1097</v>
      </c>
    </row>
    <row r="100" spans="1:5">
      <c r="A100" s="149" t="s">
        <v>3106</v>
      </c>
      <c r="B100" s="149" t="s">
        <v>13844</v>
      </c>
      <c r="C100" s="149" t="s">
        <v>13845</v>
      </c>
      <c r="D100" s="149" t="s">
        <v>7415</v>
      </c>
      <c r="E100" s="365">
        <v>1098</v>
      </c>
    </row>
    <row r="101" spans="1:5">
      <c r="A101" s="149" t="s">
        <v>3974</v>
      </c>
      <c r="B101" s="149" t="s">
        <v>13846</v>
      </c>
      <c r="C101" s="149" t="s">
        <v>13847</v>
      </c>
      <c r="D101" s="149" t="s">
        <v>7415</v>
      </c>
      <c r="E101" s="108">
        <v>1099</v>
      </c>
    </row>
    <row r="102" spans="1:5">
      <c r="A102" s="149" t="s">
        <v>10212</v>
      </c>
      <c r="B102" s="149" t="s">
        <v>13848</v>
      </c>
      <c r="C102" s="149" t="s">
        <v>13849</v>
      </c>
      <c r="D102" s="149" t="s">
        <v>7415</v>
      </c>
      <c r="E102" s="108">
        <v>1100</v>
      </c>
    </row>
    <row r="103" spans="1:5">
      <c r="A103" s="149" t="s">
        <v>13850</v>
      </c>
      <c r="B103" s="149" t="s">
        <v>13851</v>
      </c>
      <c r="C103" s="149" t="s">
        <v>13852</v>
      </c>
      <c r="D103" s="149" t="s">
        <v>7415</v>
      </c>
      <c r="E103" s="108">
        <v>1101</v>
      </c>
    </row>
    <row r="104" spans="1:5">
      <c r="A104" s="149" t="s">
        <v>13850</v>
      </c>
      <c r="B104" s="149" t="s">
        <v>13853</v>
      </c>
      <c r="C104" s="149" t="s">
        <v>13854</v>
      </c>
      <c r="D104" s="149" t="s">
        <v>7415</v>
      </c>
      <c r="E104" s="108">
        <v>1102</v>
      </c>
    </row>
    <row r="105" spans="1:5">
      <c r="A105" s="149" t="s">
        <v>3310</v>
      </c>
      <c r="B105" s="149" t="s">
        <v>13855</v>
      </c>
      <c r="C105" s="108" t="s">
        <v>13856</v>
      </c>
      <c r="D105" s="108" t="s">
        <v>13857</v>
      </c>
      <c r="E105" s="108">
        <v>1103</v>
      </c>
    </row>
    <row r="106" spans="1:5">
      <c r="A106" s="149" t="s">
        <v>3310</v>
      </c>
      <c r="B106" s="149" t="s">
        <v>13858</v>
      </c>
      <c r="C106" s="108" t="s">
        <v>13859</v>
      </c>
      <c r="D106" s="108" t="s">
        <v>7415</v>
      </c>
      <c r="E106" s="108">
        <v>1104</v>
      </c>
    </row>
    <row r="107" spans="1:5">
      <c r="A107" s="149" t="s">
        <v>3310</v>
      </c>
      <c r="B107" s="149" t="s">
        <v>13860</v>
      </c>
      <c r="C107" s="108" t="s">
        <v>13861</v>
      </c>
      <c r="D107" s="108" t="s">
        <v>7415</v>
      </c>
      <c r="E107" s="108">
        <v>1105</v>
      </c>
    </row>
    <row r="108" spans="1:5">
      <c r="A108" s="149" t="s">
        <v>3310</v>
      </c>
      <c r="B108" s="149" t="s">
        <v>13862</v>
      </c>
      <c r="C108" s="108" t="s">
        <v>13863</v>
      </c>
      <c r="D108" s="108" t="s">
        <v>7415</v>
      </c>
      <c r="E108" s="108">
        <v>1106</v>
      </c>
    </row>
    <row r="109" spans="1:5">
      <c r="A109" s="149" t="s">
        <v>3310</v>
      </c>
      <c r="B109" s="149" t="s">
        <v>13864</v>
      </c>
      <c r="C109" s="108" t="s">
        <v>13865</v>
      </c>
      <c r="D109" s="108" t="s">
        <v>7415</v>
      </c>
      <c r="E109" s="108">
        <v>1107</v>
      </c>
    </row>
    <row r="110" spans="1:5">
      <c r="A110" s="149" t="s">
        <v>3310</v>
      </c>
      <c r="B110" s="149" t="s">
        <v>13866</v>
      </c>
      <c r="C110" s="108" t="s">
        <v>13867</v>
      </c>
      <c r="D110" s="108" t="s">
        <v>7415</v>
      </c>
      <c r="E110" s="108">
        <v>1108</v>
      </c>
    </row>
    <row r="111" spans="1:5">
      <c r="A111" s="149" t="s">
        <v>3310</v>
      </c>
      <c r="B111" s="149" t="s">
        <v>13868</v>
      </c>
      <c r="C111" s="108" t="s">
        <v>13869</v>
      </c>
      <c r="D111" s="108" t="s">
        <v>7413</v>
      </c>
      <c r="E111" s="262"/>
    </row>
    <row r="112" spans="1:5">
      <c r="A112" s="149" t="s">
        <v>3310</v>
      </c>
      <c r="B112" s="149" t="s">
        <v>13870</v>
      </c>
      <c r="C112" s="108" t="s">
        <v>13871</v>
      </c>
      <c r="D112" s="108" t="s">
        <v>7415</v>
      </c>
      <c r="E112" s="108">
        <v>1110</v>
      </c>
    </row>
    <row r="113" spans="1:5">
      <c r="A113" s="149" t="s">
        <v>3310</v>
      </c>
      <c r="B113" s="149" t="s">
        <v>13872</v>
      </c>
      <c r="C113" s="108" t="s">
        <v>13873</v>
      </c>
      <c r="D113" s="108" t="s">
        <v>7415</v>
      </c>
      <c r="E113" s="108">
        <v>1111</v>
      </c>
    </row>
    <row r="114" spans="1:5">
      <c r="A114" s="149" t="s">
        <v>3310</v>
      </c>
      <c r="B114" s="149" t="s">
        <v>13874</v>
      </c>
      <c r="C114" s="108" t="s">
        <v>13875</v>
      </c>
      <c r="D114" s="108" t="s">
        <v>7413</v>
      </c>
      <c r="E114" s="262"/>
    </row>
    <row r="115" spans="1:5">
      <c r="A115" s="149" t="s">
        <v>3310</v>
      </c>
      <c r="B115" s="149" t="s">
        <v>13876</v>
      </c>
      <c r="C115" s="108" t="s">
        <v>13877</v>
      </c>
      <c r="D115" s="108" t="s">
        <v>7415</v>
      </c>
      <c r="E115" s="108">
        <v>1113</v>
      </c>
    </row>
    <row r="116" spans="1:5">
      <c r="A116" s="149" t="s">
        <v>3310</v>
      </c>
      <c r="B116" s="149" t="s">
        <v>13878</v>
      </c>
      <c r="C116" s="108" t="s">
        <v>13879</v>
      </c>
      <c r="D116" s="108" t="s">
        <v>7413</v>
      </c>
      <c r="E116" s="262"/>
    </row>
    <row r="117" spans="1:5">
      <c r="A117" s="149" t="s">
        <v>3310</v>
      </c>
      <c r="B117" s="149" t="s">
        <v>13880</v>
      </c>
      <c r="C117" s="108" t="s">
        <v>13881</v>
      </c>
      <c r="D117" s="108" t="s">
        <v>7415</v>
      </c>
      <c r="E117" s="108">
        <v>1115</v>
      </c>
    </row>
    <row r="118" spans="1:5">
      <c r="A118" s="149" t="s">
        <v>3310</v>
      </c>
      <c r="B118" s="149" t="s">
        <v>13882</v>
      </c>
      <c r="C118" s="108" t="s">
        <v>13883</v>
      </c>
      <c r="D118" s="108" t="s">
        <v>7415</v>
      </c>
      <c r="E118" s="108">
        <v>1116</v>
      </c>
    </row>
    <row r="119" spans="1:5">
      <c r="A119" s="149" t="s">
        <v>3310</v>
      </c>
      <c r="B119" s="149" t="s">
        <v>13884</v>
      </c>
      <c r="C119" s="108" t="s">
        <v>13885</v>
      </c>
      <c r="D119" s="108" t="s">
        <v>7415</v>
      </c>
      <c r="E119" s="108">
        <v>1117</v>
      </c>
    </row>
    <row r="120" spans="1:5">
      <c r="A120" s="149" t="s">
        <v>3310</v>
      </c>
      <c r="B120" s="149" t="s">
        <v>13886</v>
      </c>
      <c r="C120" s="108" t="s">
        <v>13887</v>
      </c>
      <c r="D120" s="108" t="s">
        <v>7415</v>
      </c>
      <c r="E120" s="108">
        <v>1118</v>
      </c>
    </row>
    <row r="121" spans="1:5">
      <c r="A121" s="149" t="s">
        <v>3310</v>
      </c>
      <c r="B121" s="149" t="s">
        <v>13888</v>
      </c>
      <c r="C121" s="108" t="s">
        <v>13889</v>
      </c>
      <c r="D121" s="108" t="s">
        <v>7415</v>
      </c>
      <c r="E121" s="108">
        <v>1119</v>
      </c>
    </row>
    <row r="122" spans="1:5">
      <c r="A122" s="149" t="s">
        <v>3310</v>
      </c>
      <c r="B122" s="149" t="s">
        <v>13890</v>
      </c>
      <c r="C122" s="108" t="s">
        <v>13891</v>
      </c>
      <c r="D122" s="108" t="s">
        <v>7415</v>
      </c>
      <c r="E122" s="108">
        <v>1120</v>
      </c>
    </row>
    <row r="123" spans="1:5">
      <c r="A123" s="149" t="s">
        <v>3310</v>
      </c>
      <c r="B123" s="149" t="s">
        <v>13892</v>
      </c>
      <c r="C123" s="108" t="s">
        <v>13893</v>
      </c>
      <c r="D123" s="108" t="s">
        <v>7415</v>
      </c>
      <c r="E123" s="108">
        <v>1121</v>
      </c>
    </row>
    <row r="124" spans="1:5">
      <c r="A124" s="149" t="s">
        <v>4070</v>
      </c>
      <c r="B124" s="149" t="s">
        <v>13894</v>
      </c>
      <c r="C124" s="108" t="s">
        <v>13895</v>
      </c>
      <c r="D124" s="410" t="s">
        <v>7415</v>
      </c>
      <c r="E124" s="108">
        <v>1122</v>
      </c>
    </row>
    <row r="125" spans="1:5">
      <c r="A125" s="149" t="s">
        <v>4070</v>
      </c>
      <c r="B125" s="149" t="s">
        <v>13896</v>
      </c>
      <c r="C125" s="108" t="s">
        <v>13897</v>
      </c>
      <c r="D125" s="108" t="s">
        <v>7415</v>
      </c>
      <c r="E125" s="108">
        <v>1123</v>
      </c>
    </row>
    <row r="126" spans="1:5">
      <c r="A126" s="149" t="s">
        <v>4070</v>
      </c>
      <c r="B126" s="149" t="s">
        <v>13898</v>
      </c>
      <c r="C126" s="108" t="s">
        <v>13899</v>
      </c>
      <c r="D126" s="108" t="s">
        <v>7415</v>
      </c>
      <c r="E126" s="108">
        <v>1124</v>
      </c>
    </row>
    <row r="127" spans="1:5">
      <c r="A127" s="149" t="s">
        <v>4070</v>
      </c>
      <c r="B127" s="149" t="s">
        <v>13900</v>
      </c>
      <c r="C127" s="108" t="s">
        <v>13901</v>
      </c>
      <c r="D127" s="108" t="s">
        <v>7415</v>
      </c>
      <c r="E127" s="108">
        <v>1125</v>
      </c>
    </row>
    <row r="128" spans="1:5">
      <c r="A128" s="149" t="s">
        <v>4070</v>
      </c>
      <c r="B128" s="149" t="s">
        <v>13902</v>
      </c>
      <c r="C128" s="108" t="s">
        <v>13903</v>
      </c>
      <c r="D128" s="108" t="s">
        <v>7415</v>
      </c>
      <c r="E128" s="108">
        <v>1126</v>
      </c>
    </row>
    <row r="129" spans="1:5">
      <c r="A129" s="149" t="s">
        <v>4070</v>
      </c>
      <c r="B129" s="149" t="s">
        <v>13904</v>
      </c>
      <c r="C129" s="108" t="s">
        <v>13905</v>
      </c>
      <c r="D129" s="108" t="s">
        <v>7413</v>
      </c>
      <c r="E129" s="262"/>
    </row>
    <row r="130" spans="1:5">
      <c r="A130" s="149" t="s">
        <v>4070</v>
      </c>
      <c r="B130" s="149" t="s">
        <v>13906</v>
      </c>
      <c r="C130" s="108" t="s">
        <v>13907</v>
      </c>
      <c r="D130" s="108" t="s">
        <v>7413</v>
      </c>
      <c r="E130" s="262"/>
    </row>
    <row r="131" spans="1:5">
      <c r="A131" s="149" t="s">
        <v>4070</v>
      </c>
      <c r="B131" s="149" t="s">
        <v>13908</v>
      </c>
      <c r="C131" s="108" t="s">
        <v>13909</v>
      </c>
      <c r="D131" s="108" t="s">
        <v>7413</v>
      </c>
      <c r="E131" s="262"/>
    </row>
    <row r="132" spans="1:5">
      <c r="A132" s="149" t="s">
        <v>4070</v>
      </c>
      <c r="B132" s="149" t="s">
        <v>13910</v>
      </c>
      <c r="C132" s="108" t="s">
        <v>13911</v>
      </c>
      <c r="D132" s="108" t="s">
        <v>7415</v>
      </c>
      <c r="E132" s="108">
        <v>1130</v>
      </c>
    </row>
    <row r="133" spans="1:5">
      <c r="A133" s="149" t="s">
        <v>4070</v>
      </c>
      <c r="B133" s="149" t="s">
        <v>13912</v>
      </c>
      <c r="C133" s="108" t="s">
        <v>13913</v>
      </c>
      <c r="D133" s="108" t="s">
        <v>7413</v>
      </c>
      <c r="E133" s="262"/>
    </row>
    <row r="134" spans="1:5">
      <c r="A134" s="149" t="s">
        <v>4070</v>
      </c>
      <c r="B134" s="149" t="s">
        <v>13914</v>
      </c>
      <c r="C134" s="108" t="s">
        <v>13915</v>
      </c>
      <c r="D134" s="108" t="s">
        <v>7415</v>
      </c>
      <c r="E134" s="108">
        <v>1132</v>
      </c>
    </row>
    <row r="135" spans="1:5">
      <c r="A135" s="149" t="s">
        <v>4070</v>
      </c>
      <c r="B135" s="149" t="s">
        <v>13916</v>
      </c>
      <c r="C135" s="108" t="s">
        <v>13917</v>
      </c>
      <c r="D135" s="108" t="s">
        <v>7415</v>
      </c>
      <c r="E135" s="108">
        <v>1133</v>
      </c>
    </row>
    <row r="136" spans="1:5">
      <c r="A136" s="149" t="s">
        <v>4070</v>
      </c>
      <c r="B136" s="149" t="s">
        <v>13918</v>
      </c>
      <c r="C136" s="108" t="s">
        <v>13919</v>
      </c>
      <c r="D136" s="108" t="s">
        <v>7415</v>
      </c>
      <c r="E136" s="108">
        <v>1134</v>
      </c>
    </row>
    <row r="137" spans="1:5">
      <c r="A137" s="149" t="s">
        <v>4070</v>
      </c>
      <c r="B137" s="149" t="s">
        <v>13920</v>
      </c>
      <c r="C137" s="108" t="s">
        <v>13921</v>
      </c>
      <c r="D137" s="108" t="s">
        <v>7415</v>
      </c>
      <c r="E137" s="108">
        <v>1135</v>
      </c>
    </row>
    <row r="138" spans="1:5">
      <c r="A138" s="149" t="s">
        <v>4070</v>
      </c>
      <c r="B138" s="149" t="s">
        <v>13922</v>
      </c>
      <c r="C138" s="108" t="s">
        <v>13923</v>
      </c>
      <c r="D138" s="108" t="s">
        <v>7415</v>
      </c>
      <c r="E138" s="108">
        <v>1136</v>
      </c>
    </row>
    <row r="139" spans="1:5">
      <c r="A139" s="149" t="s">
        <v>4070</v>
      </c>
      <c r="B139" s="149" t="s">
        <v>13924</v>
      </c>
      <c r="C139" s="108" t="s">
        <v>13925</v>
      </c>
      <c r="D139" s="108" t="s">
        <v>7415</v>
      </c>
      <c r="E139" s="108">
        <v>1137</v>
      </c>
    </row>
    <row r="140" spans="1:5">
      <c r="A140" s="149" t="s">
        <v>4070</v>
      </c>
      <c r="B140" s="149" t="s">
        <v>13926</v>
      </c>
      <c r="C140" s="108" t="s">
        <v>13927</v>
      </c>
      <c r="D140" s="108" t="s">
        <v>7415</v>
      </c>
      <c r="E140" s="108">
        <v>1138</v>
      </c>
    </row>
    <row r="141" spans="1:5">
      <c r="A141" s="149" t="s">
        <v>4070</v>
      </c>
      <c r="B141" s="149" t="s">
        <v>13928</v>
      </c>
      <c r="C141" s="108" t="s">
        <v>13929</v>
      </c>
      <c r="D141" s="108" t="s">
        <v>7415</v>
      </c>
      <c r="E141" s="108">
        <v>1139</v>
      </c>
    </row>
    <row r="142" spans="1:5">
      <c r="A142" s="149" t="s">
        <v>4070</v>
      </c>
      <c r="B142" s="149" t="s">
        <v>13930</v>
      </c>
      <c r="C142" s="108" t="s">
        <v>13931</v>
      </c>
      <c r="D142" s="108" t="s">
        <v>7413</v>
      </c>
      <c r="E142" s="262"/>
    </row>
    <row r="143" spans="1:5">
      <c r="A143" s="149" t="s">
        <v>4070</v>
      </c>
      <c r="B143" s="149" t="s">
        <v>13932</v>
      </c>
      <c r="C143" s="108" t="s">
        <v>13933</v>
      </c>
      <c r="D143" s="108" t="s">
        <v>7415</v>
      </c>
      <c r="E143" s="108">
        <v>1141</v>
      </c>
    </row>
    <row r="144" spans="1:5">
      <c r="A144" s="149" t="s">
        <v>4070</v>
      </c>
      <c r="B144" s="149" t="s">
        <v>13934</v>
      </c>
      <c r="C144" s="108" t="s">
        <v>13935</v>
      </c>
      <c r="D144" s="108" t="s">
        <v>7415</v>
      </c>
      <c r="E144" s="108">
        <v>1142</v>
      </c>
    </row>
    <row r="145" spans="1:5">
      <c r="A145" s="149" t="s">
        <v>4070</v>
      </c>
      <c r="B145" s="149" t="s">
        <v>13936</v>
      </c>
      <c r="C145" s="108" t="s">
        <v>13937</v>
      </c>
      <c r="D145" s="108" t="s">
        <v>7413</v>
      </c>
      <c r="E145" s="262"/>
    </row>
    <row r="146" spans="1:5">
      <c r="A146" s="149" t="s">
        <v>4070</v>
      </c>
      <c r="B146" s="149" t="s">
        <v>13938</v>
      </c>
      <c r="C146" s="108" t="s">
        <v>13939</v>
      </c>
      <c r="D146" s="108" t="s">
        <v>7413</v>
      </c>
      <c r="E146" s="262"/>
    </row>
    <row r="147" spans="1:5">
      <c r="A147" s="149" t="s">
        <v>4070</v>
      </c>
      <c r="B147" s="149" t="s">
        <v>13940</v>
      </c>
      <c r="C147" s="108" t="s">
        <v>13941</v>
      </c>
      <c r="D147" s="108" t="s">
        <v>7415</v>
      </c>
      <c r="E147" s="108">
        <v>1145</v>
      </c>
    </row>
    <row r="148" spans="1:5">
      <c r="A148" s="149" t="s">
        <v>4070</v>
      </c>
      <c r="B148" s="149" t="s">
        <v>13942</v>
      </c>
      <c r="C148" s="108" t="s">
        <v>13943</v>
      </c>
      <c r="D148" s="108" t="s">
        <v>13857</v>
      </c>
      <c r="E148" s="108">
        <v>1146</v>
      </c>
    </row>
    <row r="149" spans="1:5">
      <c r="A149" s="149" t="s">
        <v>4070</v>
      </c>
      <c r="B149" s="149" t="s">
        <v>13944</v>
      </c>
      <c r="C149" s="108" t="s">
        <v>13945</v>
      </c>
      <c r="D149" s="108" t="s">
        <v>7415</v>
      </c>
      <c r="E149" s="108">
        <v>1147</v>
      </c>
    </row>
    <row r="150" spans="1:5">
      <c r="A150" s="149" t="s">
        <v>4070</v>
      </c>
      <c r="B150" s="149" t="s">
        <v>13946</v>
      </c>
      <c r="C150" s="108" t="s">
        <v>13947</v>
      </c>
      <c r="D150" s="108" t="s">
        <v>7415</v>
      </c>
      <c r="E150" s="108">
        <v>1148</v>
      </c>
    </row>
    <row r="151" spans="1:5">
      <c r="A151" s="149" t="s">
        <v>4070</v>
      </c>
      <c r="B151" s="149" t="s">
        <v>13948</v>
      </c>
      <c r="C151" s="108" t="s">
        <v>13949</v>
      </c>
      <c r="D151" s="108" t="s">
        <v>7415</v>
      </c>
      <c r="E151" s="108">
        <v>1149</v>
      </c>
    </row>
    <row r="152" spans="1:5">
      <c r="A152" s="149" t="s">
        <v>4070</v>
      </c>
      <c r="B152" s="149" t="s">
        <v>13950</v>
      </c>
      <c r="C152" s="108" t="s">
        <v>13951</v>
      </c>
      <c r="D152" s="108" t="s">
        <v>7415</v>
      </c>
      <c r="E152" s="108">
        <v>1150</v>
      </c>
    </row>
    <row r="153" spans="1:5">
      <c r="A153" s="149" t="s">
        <v>4070</v>
      </c>
      <c r="B153" s="149" t="s">
        <v>13952</v>
      </c>
      <c r="C153" s="108" t="s">
        <v>13953</v>
      </c>
      <c r="D153" s="108" t="s">
        <v>7415</v>
      </c>
      <c r="E153" s="108">
        <v>1151</v>
      </c>
    </row>
    <row r="154" spans="1:5">
      <c r="A154" s="149" t="s">
        <v>4070</v>
      </c>
      <c r="B154" s="149" t="s">
        <v>13954</v>
      </c>
      <c r="C154" s="108" t="s">
        <v>13955</v>
      </c>
      <c r="D154" s="108" t="s">
        <v>7413</v>
      </c>
      <c r="E154" s="262"/>
    </row>
    <row r="155" spans="1:5">
      <c r="A155" s="149" t="s">
        <v>4055</v>
      </c>
      <c r="B155" s="149" t="s">
        <v>13956</v>
      </c>
      <c r="C155" s="149" t="s">
        <v>13957</v>
      </c>
      <c r="D155" s="149" t="s">
        <v>7495</v>
      </c>
      <c r="E155" s="365">
        <v>1153</v>
      </c>
    </row>
    <row r="156" spans="1:5">
      <c r="A156" s="149" t="s">
        <v>4055</v>
      </c>
      <c r="B156" s="149" t="s">
        <v>13958</v>
      </c>
      <c r="C156" s="149" t="s">
        <v>13959</v>
      </c>
      <c r="D156" s="149" t="s">
        <v>7700</v>
      </c>
      <c r="E156" s="262"/>
    </row>
    <row r="157" spans="1:5">
      <c r="A157" s="149" t="s">
        <v>4055</v>
      </c>
      <c r="B157" s="149" t="s">
        <v>13960</v>
      </c>
      <c r="C157" s="149" t="s">
        <v>13961</v>
      </c>
      <c r="D157" s="149" t="s">
        <v>7495</v>
      </c>
      <c r="E157" s="365">
        <v>1155</v>
      </c>
    </row>
    <row r="158" spans="1:5">
      <c r="A158" s="149" t="s">
        <v>4055</v>
      </c>
      <c r="B158" s="149" t="s">
        <v>13962</v>
      </c>
      <c r="C158" s="149" t="s">
        <v>13903</v>
      </c>
      <c r="D158" s="149" t="s">
        <v>7495</v>
      </c>
      <c r="E158" s="365">
        <v>1156</v>
      </c>
    </row>
    <row r="159" spans="1:5">
      <c r="A159" s="149" t="s">
        <v>4055</v>
      </c>
      <c r="B159" s="149" t="s">
        <v>13963</v>
      </c>
      <c r="C159" s="149" t="s">
        <v>13964</v>
      </c>
      <c r="D159" s="149" t="s">
        <v>7495</v>
      </c>
      <c r="E159" s="365">
        <v>1157</v>
      </c>
    </row>
    <row r="160" spans="1:5">
      <c r="A160" s="149" t="s">
        <v>4055</v>
      </c>
      <c r="B160" s="149" t="s">
        <v>13965</v>
      </c>
      <c r="C160" s="149" t="s">
        <v>13966</v>
      </c>
      <c r="D160" s="149" t="s">
        <v>7700</v>
      </c>
      <c r="E160" s="365"/>
    </row>
    <row r="161" spans="1:5">
      <c r="A161" s="149" t="s">
        <v>4055</v>
      </c>
      <c r="B161" s="149" t="s">
        <v>13967</v>
      </c>
      <c r="C161" s="149" t="s">
        <v>13968</v>
      </c>
      <c r="D161" s="149" t="s">
        <v>7700</v>
      </c>
      <c r="E161" s="262"/>
    </row>
    <row r="162" spans="1:5">
      <c r="A162" s="149" t="s">
        <v>4055</v>
      </c>
      <c r="B162" s="149" t="s">
        <v>13969</v>
      </c>
      <c r="C162" s="149" t="s">
        <v>13970</v>
      </c>
      <c r="D162" s="149" t="s">
        <v>7495</v>
      </c>
      <c r="E162" s="365">
        <v>1160</v>
      </c>
    </row>
    <row r="163" spans="1:5">
      <c r="A163" s="149" t="s">
        <v>4055</v>
      </c>
      <c r="B163" s="149" t="s">
        <v>13971</v>
      </c>
      <c r="C163" s="149" t="s">
        <v>13972</v>
      </c>
      <c r="D163" s="149" t="s">
        <v>7495</v>
      </c>
      <c r="E163" s="365">
        <v>1161</v>
      </c>
    </row>
    <row r="164" spans="1:5">
      <c r="A164" s="149" t="s">
        <v>4055</v>
      </c>
      <c r="B164" s="149" t="s">
        <v>13973</v>
      </c>
      <c r="C164" s="149" t="s">
        <v>13974</v>
      </c>
      <c r="D164" s="149" t="s">
        <v>7495</v>
      </c>
      <c r="E164" s="365">
        <v>1162</v>
      </c>
    </row>
    <row r="165" spans="1:5">
      <c r="A165" s="149" t="s">
        <v>4055</v>
      </c>
      <c r="B165" s="149" t="s">
        <v>13975</v>
      </c>
      <c r="C165" s="149" t="s">
        <v>13976</v>
      </c>
      <c r="D165" s="149" t="s">
        <v>7495</v>
      </c>
      <c r="E165" s="365">
        <v>1163</v>
      </c>
    </row>
    <row r="166" spans="1:5">
      <c r="A166" s="149" t="s">
        <v>4055</v>
      </c>
      <c r="B166" s="149" t="s">
        <v>13977</v>
      </c>
      <c r="C166" s="149" t="s">
        <v>13978</v>
      </c>
      <c r="D166" s="149" t="s">
        <v>7495</v>
      </c>
      <c r="E166" s="365">
        <v>1164</v>
      </c>
    </row>
    <row r="167" spans="1:5">
      <c r="A167" s="149" t="s">
        <v>4055</v>
      </c>
      <c r="B167" s="149" t="s">
        <v>13979</v>
      </c>
      <c r="C167" s="149" t="s">
        <v>13980</v>
      </c>
      <c r="D167" s="149" t="s">
        <v>7495</v>
      </c>
      <c r="E167" s="365">
        <v>1165</v>
      </c>
    </row>
    <row r="168" spans="1:5">
      <c r="A168" s="149" t="s">
        <v>4055</v>
      </c>
      <c r="B168" s="149" t="s">
        <v>13981</v>
      </c>
      <c r="C168" s="149" t="s">
        <v>13982</v>
      </c>
      <c r="D168" s="149" t="s">
        <v>7495</v>
      </c>
      <c r="E168" s="365">
        <v>1166</v>
      </c>
    </row>
    <row r="169" spans="1:5">
      <c r="A169" s="149" t="s">
        <v>4055</v>
      </c>
      <c r="B169" s="149" t="s">
        <v>13983</v>
      </c>
      <c r="C169" s="149" t="s">
        <v>13984</v>
      </c>
      <c r="D169" s="149" t="s">
        <v>7495</v>
      </c>
      <c r="E169" s="365">
        <v>1167</v>
      </c>
    </row>
    <row r="170" spans="1:5">
      <c r="A170" s="149" t="s">
        <v>4055</v>
      </c>
      <c r="B170" s="149" t="s">
        <v>13985</v>
      </c>
      <c r="C170" s="149" t="s">
        <v>13986</v>
      </c>
      <c r="D170" s="149" t="s">
        <v>7495</v>
      </c>
      <c r="E170" s="365">
        <v>1168</v>
      </c>
    </row>
    <row r="171" spans="1:5">
      <c r="A171" s="149" t="s">
        <v>4055</v>
      </c>
      <c r="B171" s="149" t="s">
        <v>13987</v>
      </c>
      <c r="C171" s="149" t="s">
        <v>13988</v>
      </c>
      <c r="D171" s="149" t="s">
        <v>7495</v>
      </c>
      <c r="E171" s="365">
        <v>1169</v>
      </c>
    </row>
    <row r="172" spans="1:5">
      <c r="A172" s="149" t="s">
        <v>4055</v>
      </c>
      <c r="B172" s="149" t="s">
        <v>13989</v>
      </c>
      <c r="C172" s="149" t="s">
        <v>13990</v>
      </c>
      <c r="D172" s="149" t="s">
        <v>7495</v>
      </c>
      <c r="E172" s="365">
        <v>1170</v>
      </c>
    </row>
    <row r="173" spans="1:5">
      <c r="A173" s="149" t="s">
        <v>4055</v>
      </c>
      <c r="B173" s="149" t="s">
        <v>13991</v>
      </c>
      <c r="C173" s="149" t="s">
        <v>13992</v>
      </c>
      <c r="D173" s="149" t="s">
        <v>7495</v>
      </c>
      <c r="E173" s="365">
        <v>1171</v>
      </c>
    </row>
    <row r="174" spans="1:5">
      <c r="A174" s="149" t="s">
        <v>4055</v>
      </c>
      <c r="B174" s="149" t="s">
        <v>13993</v>
      </c>
      <c r="C174" s="149" t="s">
        <v>13994</v>
      </c>
      <c r="D174" s="149" t="s">
        <v>7495</v>
      </c>
      <c r="E174" s="365">
        <v>1172</v>
      </c>
    </row>
    <row r="175" spans="1:5">
      <c r="A175" s="149" t="s">
        <v>4055</v>
      </c>
      <c r="B175" s="149" t="s">
        <v>13995</v>
      </c>
      <c r="C175" s="149" t="s">
        <v>13996</v>
      </c>
      <c r="D175" s="149" t="s">
        <v>7495</v>
      </c>
      <c r="E175" s="365">
        <v>1173</v>
      </c>
    </row>
    <row r="176" spans="1:5">
      <c r="A176" s="149" t="s">
        <v>4055</v>
      </c>
      <c r="B176" s="149" t="s">
        <v>13997</v>
      </c>
      <c r="C176" s="149" t="s">
        <v>13998</v>
      </c>
      <c r="D176" s="149" t="s">
        <v>7495</v>
      </c>
      <c r="E176" s="365">
        <v>1174</v>
      </c>
    </row>
    <row r="177" spans="1:5">
      <c r="A177" s="149" t="s">
        <v>4055</v>
      </c>
      <c r="B177" s="149" t="s">
        <v>13999</v>
      </c>
      <c r="C177" s="149" t="s">
        <v>14000</v>
      </c>
      <c r="D177" s="149" t="s">
        <v>7495</v>
      </c>
      <c r="E177" s="365">
        <v>1175</v>
      </c>
    </row>
    <row r="178" spans="1:5">
      <c r="A178" s="149" t="s">
        <v>4055</v>
      </c>
      <c r="B178" s="149" t="s">
        <v>14001</v>
      </c>
      <c r="C178" s="149" t="s">
        <v>14002</v>
      </c>
      <c r="D178" s="149" t="s">
        <v>7495</v>
      </c>
      <c r="E178" s="365">
        <v>1176</v>
      </c>
    </row>
    <row r="179" spans="1:5">
      <c r="A179" s="149" t="s">
        <v>4055</v>
      </c>
      <c r="B179" s="149" t="s">
        <v>14003</v>
      </c>
      <c r="C179" s="149" t="s">
        <v>14004</v>
      </c>
      <c r="D179" s="149" t="s">
        <v>7495</v>
      </c>
      <c r="E179" s="365">
        <v>1177</v>
      </c>
    </row>
    <row r="180" spans="1:5">
      <c r="A180" s="149" t="s">
        <v>4055</v>
      </c>
      <c r="B180" s="149" t="s">
        <v>14005</v>
      </c>
      <c r="C180" s="149" t="s">
        <v>14006</v>
      </c>
      <c r="D180" s="149" t="s">
        <v>7495</v>
      </c>
      <c r="E180" s="365">
        <v>1178</v>
      </c>
    </row>
    <row r="181" spans="1:5">
      <c r="A181" s="149" t="s">
        <v>3966</v>
      </c>
      <c r="B181" s="149" t="s">
        <v>14007</v>
      </c>
      <c r="C181" s="149" t="s">
        <v>14008</v>
      </c>
      <c r="D181" s="108" t="s">
        <v>7413</v>
      </c>
      <c r="E181" s="262"/>
    </row>
    <row r="182" spans="1:5">
      <c r="A182" s="149" t="s">
        <v>3966</v>
      </c>
      <c r="B182" s="149" t="s">
        <v>14009</v>
      </c>
      <c r="C182" s="149" t="s">
        <v>14010</v>
      </c>
      <c r="D182" s="149" t="s">
        <v>7415</v>
      </c>
      <c r="E182" s="108">
        <v>1180</v>
      </c>
    </row>
    <row r="183" spans="1:5">
      <c r="A183" s="149" t="s">
        <v>3966</v>
      </c>
      <c r="B183" s="149" t="s">
        <v>14011</v>
      </c>
      <c r="C183" s="149" t="s">
        <v>14012</v>
      </c>
      <c r="D183" s="149" t="s">
        <v>7415</v>
      </c>
      <c r="E183" s="108">
        <v>1181</v>
      </c>
    </row>
    <row r="184" spans="1:5">
      <c r="A184" s="149" t="s">
        <v>3966</v>
      </c>
      <c r="B184" s="149" t="s">
        <v>14013</v>
      </c>
      <c r="C184" s="149" t="s">
        <v>14014</v>
      </c>
      <c r="D184" s="149" t="s">
        <v>7415</v>
      </c>
      <c r="E184" s="108">
        <v>1182</v>
      </c>
    </row>
    <row r="185" spans="1:5">
      <c r="A185" s="149" t="s">
        <v>3966</v>
      </c>
      <c r="B185" s="149" t="s">
        <v>14015</v>
      </c>
      <c r="C185" s="149" t="s">
        <v>14016</v>
      </c>
      <c r="D185" s="149" t="s">
        <v>7415</v>
      </c>
      <c r="E185" s="108">
        <v>1183</v>
      </c>
    </row>
    <row r="186" spans="1:5">
      <c r="A186" s="149" t="s">
        <v>258</v>
      </c>
      <c r="B186" s="149" t="s">
        <v>14017</v>
      </c>
      <c r="C186" s="149" t="s">
        <v>14018</v>
      </c>
      <c r="D186" s="108" t="s">
        <v>7413</v>
      </c>
      <c r="E186" s="262"/>
    </row>
    <row r="187" spans="1:5">
      <c r="A187" s="149" t="s">
        <v>258</v>
      </c>
      <c r="B187" s="149" t="s">
        <v>14019</v>
      </c>
      <c r="C187" s="149" t="s">
        <v>14020</v>
      </c>
      <c r="D187" s="149" t="s">
        <v>7495</v>
      </c>
      <c r="E187" s="108">
        <v>1185</v>
      </c>
    </row>
    <row r="188" spans="1:5">
      <c r="A188" s="149" t="s">
        <v>258</v>
      </c>
      <c r="B188" s="149" t="s">
        <v>14021</v>
      </c>
      <c r="C188" s="149" t="s">
        <v>14022</v>
      </c>
      <c r="D188" s="108" t="s">
        <v>7413</v>
      </c>
      <c r="E188" s="262"/>
    </row>
    <row r="189" spans="1:5">
      <c r="A189" s="149" t="s">
        <v>258</v>
      </c>
      <c r="B189" s="149" t="s">
        <v>10896</v>
      </c>
      <c r="C189" s="149" t="s">
        <v>14023</v>
      </c>
      <c r="D189" s="149" t="s">
        <v>7495</v>
      </c>
      <c r="E189" s="108">
        <v>1187</v>
      </c>
    </row>
    <row r="190" spans="1:5">
      <c r="A190" s="149" t="s">
        <v>258</v>
      </c>
      <c r="B190" s="149" t="s">
        <v>14024</v>
      </c>
      <c r="C190" s="149" t="s">
        <v>14023</v>
      </c>
      <c r="D190" s="108" t="s">
        <v>7413</v>
      </c>
      <c r="E190" s="262"/>
    </row>
    <row r="191" spans="1:5">
      <c r="A191" s="149" t="s">
        <v>258</v>
      </c>
      <c r="B191" s="149" t="s">
        <v>14025</v>
      </c>
      <c r="C191" s="149" t="s">
        <v>14026</v>
      </c>
      <c r="D191" s="149" t="s">
        <v>7495</v>
      </c>
      <c r="E191" s="108">
        <v>1189</v>
      </c>
    </row>
    <row r="192" spans="1:5">
      <c r="A192" s="149" t="s">
        <v>258</v>
      </c>
      <c r="B192" s="149" t="s">
        <v>14027</v>
      </c>
      <c r="C192" s="149" t="s">
        <v>14028</v>
      </c>
      <c r="D192" s="149" t="s">
        <v>7495</v>
      </c>
      <c r="E192" s="108">
        <v>1190</v>
      </c>
    </row>
    <row r="193" spans="1:5">
      <c r="A193" s="149" t="s">
        <v>258</v>
      </c>
      <c r="B193" s="149" t="s">
        <v>14029</v>
      </c>
      <c r="C193" s="149" t="s">
        <v>14030</v>
      </c>
      <c r="D193" s="149" t="s">
        <v>7495</v>
      </c>
      <c r="E193" s="108">
        <v>1191</v>
      </c>
    </row>
    <row r="194" spans="1:5">
      <c r="A194" s="149" t="s">
        <v>258</v>
      </c>
      <c r="B194" s="149" t="s">
        <v>14031</v>
      </c>
      <c r="C194" s="149" t="s">
        <v>14032</v>
      </c>
      <c r="D194" s="149" t="s">
        <v>7495</v>
      </c>
      <c r="E194" s="108">
        <v>1192</v>
      </c>
    </row>
    <row r="195" spans="1:5">
      <c r="A195" s="149" t="s">
        <v>258</v>
      </c>
      <c r="B195" s="149" t="s">
        <v>14033</v>
      </c>
      <c r="C195" s="149" t="s">
        <v>14034</v>
      </c>
      <c r="D195" s="149" t="s">
        <v>7495</v>
      </c>
      <c r="E195" s="108">
        <v>1193</v>
      </c>
    </row>
    <row r="196" spans="1:5">
      <c r="A196" s="149" t="s">
        <v>258</v>
      </c>
      <c r="B196" s="149" t="s">
        <v>14035</v>
      </c>
      <c r="C196" s="149" t="s">
        <v>14036</v>
      </c>
      <c r="D196" s="149" t="s">
        <v>7495</v>
      </c>
      <c r="E196" s="108">
        <v>1194</v>
      </c>
    </row>
    <row r="197" spans="1:5">
      <c r="A197" s="149" t="s">
        <v>258</v>
      </c>
      <c r="B197" s="149" t="s">
        <v>14037</v>
      </c>
      <c r="C197" s="149" t="s">
        <v>14038</v>
      </c>
      <c r="D197" s="149" t="s">
        <v>7495</v>
      </c>
      <c r="E197" s="108">
        <v>1195</v>
      </c>
    </row>
    <row r="198" spans="1:5">
      <c r="A198" s="149" t="s">
        <v>258</v>
      </c>
      <c r="B198" s="149" t="s">
        <v>14039</v>
      </c>
      <c r="C198" s="149" t="s">
        <v>14040</v>
      </c>
      <c r="D198" s="149" t="s">
        <v>7495</v>
      </c>
      <c r="E198" s="108">
        <v>1196</v>
      </c>
    </row>
    <row r="199" spans="1:5">
      <c r="A199" s="149" t="s">
        <v>258</v>
      </c>
      <c r="B199" s="149" t="s">
        <v>14041</v>
      </c>
      <c r="C199" s="149" t="s">
        <v>14042</v>
      </c>
      <c r="D199" s="149" t="s">
        <v>7495</v>
      </c>
      <c r="E199" s="108">
        <v>1197</v>
      </c>
    </row>
    <row r="200" spans="1:5">
      <c r="A200" s="149" t="s">
        <v>258</v>
      </c>
      <c r="B200" s="149" t="s">
        <v>14043</v>
      </c>
      <c r="C200" s="149" t="s">
        <v>14044</v>
      </c>
      <c r="D200" s="149" t="s">
        <v>7495</v>
      </c>
      <c r="E200" s="108">
        <v>1198</v>
      </c>
    </row>
    <row r="201" spans="1:5">
      <c r="A201" s="149" t="s">
        <v>258</v>
      </c>
      <c r="B201" s="149" t="s">
        <v>14045</v>
      </c>
      <c r="C201" s="149" t="s">
        <v>14046</v>
      </c>
      <c r="D201" s="262" t="s">
        <v>7415</v>
      </c>
      <c r="E201" s="108">
        <v>1199</v>
      </c>
    </row>
    <row r="202" spans="1:5">
      <c r="A202" s="149" t="s">
        <v>258</v>
      </c>
      <c r="B202" s="149" t="s">
        <v>14047</v>
      </c>
      <c r="C202" s="149" t="s">
        <v>14048</v>
      </c>
      <c r="D202" s="149" t="s">
        <v>7495</v>
      </c>
      <c r="E202" s="108">
        <v>1200</v>
      </c>
    </row>
    <row r="203" spans="1:5">
      <c r="A203" s="149" t="s">
        <v>258</v>
      </c>
      <c r="B203" s="149" t="s">
        <v>14049</v>
      </c>
      <c r="C203" s="149" t="s">
        <v>14050</v>
      </c>
      <c r="D203" s="149" t="s">
        <v>7495</v>
      </c>
      <c r="E203" s="108">
        <v>1201</v>
      </c>
    </row>
    <row r="204" spans="1:5">
      <c r="A204" s="149" t="s">
        <v>258</v>
      </c>
      <c r="B204" s="149" t="s">
        <v>14051</v>
      </c>
      <c r="C204" s="149" t="s">
        <v>14052</v>
      </c>
      <c r="D204" s="108" t="s">
        <v>7413</v>
      </c>
      <c r="E204" s="262"/>
    </row>
    <row r="205" spans="1:5">
      <c r="A205" s="149" t="s">
        <v>258</v>
      </c>
      <c r="B205" s="149" t="s">
        <v>14053</v>
      </c>
      <c r="C205" s="149" t="s">
        <v>14054</v>
      </c>
      <c r="D205" s="149" t="s">
        <v>7495</v>
      </c>
      <c r="E205" s="108">
        <v>1203</v>
      </c>
    </row>
    <row r="206" spans="1:5">
      <c r="A206" s="149" t="s">
        <v>258</v>
      </c>
      <c r="B206" s="149" t="s">
        <v>14055</v>
      </c>
      <c r="C206" s="149" t="s">
        <v>14056</v>
      </c>
      <c r="D206" s="149" t="s">
        <v>7495</v>
      </c>
      <c r="E206" s="108">
        <v>1204</v>
      </c>
    </row>
    <row r="207" spans="1:5">
      <c r="A207" s="149" t="s">
        <v>258</v>
      </c>
      <c r="B207" s="149" t="s">
        <v>14057</v>
      </c>
      <c r="C207" s="149" t="s">
        <v>14058</v>
      </c>
      <c r="D207" s="149" t="s">
        <v>7495</v>
      </c>
      <c r="E207" s="108">
        <v>1205</v>
      </c>
    </row>
    <row r="208" spans="1:5">
      <c r="A208" s="149" t="s">
        <v>258</v>
      </c>
      <c r="B208" s="149" t="s">
        <v>14059</v>
      </c>
      <c r="C208" s="149" t="s">
        <v>13978</v>
      </c>
      <c r="D208" s="108" t="s">
        <v>7413</v>
      </c>
      <c r="E208" s="108">
        <v>1206</v>
      </c>
    </row>
    <row r="209" spans="1:5">
      <c r="A209" s="149" t="s">
        <v>258</v>
      </c>
      <c r="B209" s="149" t="s">
        <v>14060</v>
      </c>
      <c r="C209" s="149" t="s">
        <v>14061</v>
      </c>
      <c r="D209" s="149" t="s">
        <v>7495</v>
      </c>
      <c r="E209" s="108">
        <v>1207</v>
      </c>
    </row>
    <row r="210" spans="1:5">
      <c r="A210" s="149" t="s">
        <v>258</v>
      </c>
      <c r="B210" s="149" t="s">
        <v>14062</v>
      </c>
      <c r="C210" s="149" t="s">
        <v>14063</v>
      </c>
      <c r="D210" s="108" t="s">
        <v>7413</v>
      </c>
      <c r="E210" s="262"/>
    </row>
    <row r="211" spans="1:5">
      <c r="A211" s="149" t="s">
        <v>258</v>
      </c>
      <c r="B211" s="149" t="s">
        <v>14064</v>
      </c>
      <c r="C211" s="149" t="s">
        <v>14065</v>
      </c>
      <c r="D211" s="149" t="s">
        <v>7415</v>
      </c>
      <c r="E211" s="108">
        <v>1209</v>
      </c>
    </row>
    <row r="212" spans="1:5">
      <c r="A212" s="149" t="s">
        <v>258</v>
      </c>
      <c r="B212" s="149" t="s">
        <v>14066</v>
      </c>
      <c r="C212" s="149" t="s">
        <v>14067</v>
      </c>
      <c r="D212" s="108" t="s">
        <v>7413</v>
      </c>
      <c r="E212" s="262"/>
    </row>
    <row r="213" spans="1:5">
      <c r="A213" s="149" t="s">
        <v>258</v>
      </c>
      <c r="B213" s="149" t="s">
        <v>14068</v>
      </c>
      <c r="C213" s="149" t="s">
        <v>14069</v>
      </c>
      <c r="D213" s="149" t="s">
        <v>7415</v>
      </c>
      <c r="E213" s="108">
        <v>1211</v>
      </c>
    </row>
    <row r="214" spans="1:5">
      <c r="A214" s="149" t="s">
        <v>258</v>
      </c>
      <c r="B214" s="149" t="s">
        <v>14070</v>
      </c>
      <c r="C214" s="149" t="s">
        <v>14071</v>
      </c>
      <c r="D214" s="108" t="s">
        <v>7413</v>
      </c>
      <c r="E214" s="262"/>
    </row>
    <row r="215" spans="1:5">
      <c r="A215" s="149" t="s">
        <v>258</v>
      </c>
      <c r="B215" s="149" t="s">
        <v>14072</v>
      </c>
      <c r="C215" s="149" t="s">
        <v>14073</v>
      </c>
      <c r="D215" s="149" t="s">
        <v>7415</v>
      </c>
      <c r="E215" s="108">
        <v>1213</v>
      </c>
    </row>
    <row r="216" spans="1:5">
      <c r="A216" s="149" t="s">
        <v>258</v>
      </c>
      <c r="B216" s="149" t="s">
        <v>14074</v>
      </c>
      <c r="C216" s="149" t="s">
        <v>14075</v>
      </c>
      <c r="D216" s="149" t="s">
        <v>7415</v>
      </c>
      <c r="E216" s="108">
        <v>1214</v>
      </c>
    </row>
    <row r="217" spans="1:5">
      <c r="A217" s="149" t="s">
        <v>258</v>
      </c>
      <c r="B217" s="149" t="s">
        <v>14076</v>
      </c>
      <c r="C217" s="149" t="s">
        <v>14077</v>
      </c>
      <c r="D217" s="149" t="s">
        <v>7415</v>
      </c>
      <c r="E217" s="108">
        <v>1215</v>
      </c>
    </row>
    <row r="218" spans="1:5">
      <c r="A218" s="149" t="s">
        <v>258</v>
      </c>
      <c r="B218" t="s">
        <v>14078</v>
      </c>
      <c r="C218" s="149" t="s">
        <v>14079</v>
      </c>
      <c r="D218" s="108" t="s">
        <v>7413</v>
      </c>
      <c r="E218" s="262"/>
    </row>
    <row r="219" spans="1:5">
      <c r="A219" s="149" t="s">
        <v>258</v>
      </c>
      <c r="B219" s="149" t="s">
        <v>14080</v>
      </c>
      <c r="C219" s="149" t="s">
        <v>14081</v>
      </c>
      <c r="D219" s="149" t="s">
        <v>7415</v>
      </c>
      <c r="E219" s="108">
        <v>1217</v>
      </c>
    </row>
    <row r="220" spans="1:5">
      <c r="A220" s="149" t="s">
        <v>258</v>
      </c>
      <c r="B220" s="149" t="s">
        <v>14082</v>
      </c>
      <c r="C220" s="149" t="s">
        <v>14083</v>
      </c>
      <c r="D220" s="149" t="s">
        <v>7415</v>
      </c>
      <c r="E220" s="108">
        <v>1218</v>
      </c>
    </row>
    <row r="221" spans="1:5">
      <c r="A221" s="149" t="s">
        <v>258</v>
      </c>
      <c r="B221" s="149" t="s">
        <v>14084</v>
      </c>
      <c r="C221" s="149" t="s">
        <v>14085</v>
      </c>
      <c r="D221" s="149" t="s">
        <v>7415</v>
      </c>
      <c r="E221" s="108">
        <v>1219</v>
      </c>
    </row>
    <row r="222" spans="1:5">
      <c r="A222" s="149" t="s">
        <v>258</v>
      </c>
      <c r="B222" s="149" t="s">
        <v>14086</v>
      </c>
      <c r="C222" s="149" t="s">
        <v>14087</v>
      </c>
      <c r="D222" s="108" t="s">
        <v>7413</v>
      </c>
      <c r="E222" s="262"/>
    </row>
    <row r="223" spans="1:5">
      <c r="A223" s="149" t="s">
        <v>258</v>
      </c>
      <c r="B223" s="149" t="s">
        <v>14088</v>
      </c>
      <c r="C223" s="149" t="s">
        <v>14089</v>
      </c>
      <c r="D223" s="149" t="s">
        <v>7495</v>
      </c>
      <c r="E223" s="108">
        <v>1221</v>
      </c>
    </row>
    <row r="224" spans="1:5">
      <c r="A224" s="149" t="s">
        <v>258</v>
      </c>
      <c r="B224" s="149" t="s">
        <v>14090</v>
      </c>
      <c r="C224" s="149" t="s">
        <v>14091</v>
      </c>
      <c r="D224" s="149" t="s">
        <v>7495</v>
      </c>
      <c r="E224" s="108">
        <v>1222</v>
      </c>
    </row>
    <row r="225" spans="1:5">
      <c r="A225" s="149" t="s">
        <v>258</v>
      </c>
      <c r="B225" s="149" t="s">
        <v>14092</v>
      </c>
      <c r="C225" s="149" t="s">
        <v>14093</v>
      </c>
      <c r="D225" s="149" t="s">
        <v>7495</v>
      </c>
      <c r="E225" s="108">
        <v>1223</v>
      </c>
    </row>
    <row r="226" spans="1:5">
      <c r="A226" s="149" t="s">
        <v>258</v>
      </c>
      <c r="B226" s="149" t="s">
        <v>14094</v>
      </c>
      <c r="C226" s="149" t="s">
        <v>14095</v>
      </c>
      <c r="D226" s="149" t="s">
        <v>7495</v>
      </c>
      <c r="E226" s="108">
        <v>1224</v>
      </c>
    </row>
    <row r="227" spans="1:5">
      <c r="A227" s="149" t="s">
        <v>258</v>
      </c>
      <c r="B227" s="149" t="s">
        <v>14096</v>
      </c>
      <c r="C227" s="149" t="s">
        <v>14097</v>
      </c>
      <c r="D227" s="149" t="s">
        <v>7495</v>
      </c>
      <c r="E227" s="108">
        <v>1225</v>
      </c>
    </row>
    <row r="228" spans="1:5">
      <c r="A228" s="149" t="s">
        <v>258</v>
      </c>
      <c r="B228" s="149" t="s">
        <v>14098</v>
      </c>
      <c r="C228" s="149" t="s">
        <v>14099</v>
      </c>
      <c r="D228" s="108" t="s">
        <v>7413</v>
      </c>
      <c r="E228" s="262"/>
    </row>
    <row r="229" spans="1:5">
      <c r="A229" s="149" t="s">
        <v>258</v>
      </c>
      <c r="B229" s="149" t="s">
        <v>14100</v>
      </c>
      <c r="C229" s="149" t="s">
        <v>14101</v>
      </c>
      <c r="D229" s="149" t="s">
        <v>7495</v>
      </c>
      <c r="E229" s="108">
        <v>1227</v>
      </c>
    </row>
    <row r="230" spans="1:5">
      <c r="A230" s="149" t="s">
        <v>258</v>
      </c>
      <c r="B230" s="149" t="s">
        <v>14102</v>
      </c>
      <c r="C230" s="149" t="s">
        <v>14103</v>
      </c>
      <c r="D230" s="149" t="s">
        <v>7495</v>
      </c>
      <c r="E230" s="108">
        <v>1228</v>
      </c>
    </row>
    <row r="231" spans="1:5">
      <c r="A231" s="149" t="s">
        <v>258</v>
      </c>
      <c r="B231" s="149" t="s">
        <v>14104</v>
      </c>
      <c r="C231" s="149" t="s">
        <v>14105</v>
      </c>
      <c r="D231" s="108" t="s">
        <v>7413</v>
      </c>
      <c r="E231" s="262"/>
    </row>
    <row r="232" spans="1:5">
      <c r="A232" s="149" t="s">
        <v>258</v>
      </c>
      <c r="B232" s="149" t="s">
        <v>14106</v>
      </c>
      <c r="C232" s="149" t="s">
        <v>14107</v>
      </c>
      <c r="D232" s="149" t="s">
        <v>7495</v>
      </c>
      <c r="E232" s="108">
        <v>1230</v>
      </c>
    </row>
    <row r="233" spans="1:5">
      <c r="A233" s="149" t="s">
        <v>258</v>
      </c>
      <c r="B233" s="149" t="s">
        <v>14108</v>
      </c>
      <c r="C233" s="149" t="s">
        <v>14109</v>
      </c>
      <c r="D233" s="149" t="s">
        <v>7495</v>
      </c>
      <c r="E233" s="108">
        <v>1231</v>
      </c>
    </row>
    <row r="234" spans="1:5">
      <c r="A234" s="149" t="s">
        <v>258</v>
      </c>
      <c r="B234" s="262" t="s">
        <v>14110</v>
      </c>
      <c r="C234" s="149" t="s">
        <v>14111</v>
      </c>
      <c r="D234" s="149" t="s">
        <v>7415</v>
      </c>
      <c r="E234" s="108">
        <v>1232</v>
      </c>
    </row>
    <row r="235" spans="1:5">
      <c r="A235" s="149" t="s">
        <v>258</v>
      </c>
      <c r="B235" s="149" t="s">
        <v>14112</v>
      </c>
      <c r="C235" s="149" t="s">
        <v>14113</v>
      </c>
      <c r="D235" s="108" t="s">
        <v>7413</v>
      </c>
      <c r="E235" s="262"/>
    </row>
    <row r="236" spans="1:5">
      <c r="A236" s="149" t="s">
        <v>258</v>
      </c>
      <c r="B236" s="149" t="s">
        <v>14114</v>
      </c>
      <c r="C236" s="149" t="s">
        <v>14115</v>
      </c>
      <c r="D236" s="149" t="s">
        <v>7415</v>
      </c>
      <c r="E236" s="108">
        <v>1234</v>
      </c>
    </row>
    <row r="237" spans="1:5">
      <c r="A237" s="149" t="s">
        <v>258</v>
      </c>
      <c r="B237" s="149" t="s">
        <v>14116</v>
      </c>
      <c r="C237" s="149" t="s">
        <v>14117</v>
      </c>
      <c r="D237" s="149" t="s">
        <v>7415</v>
      </c>
      <c r="E237" s="108">
        <v>1235</v>
      </c>
    </row>
    <row r="238" spans="1:5">
      <c r="A238" s="149" t="s">
        <v>258</v>
      </c>
      <c r="B238" s="149" t="s">
        <v>14118</v>
      </c>
      <c r="C238" s="149" t="s">
        <v>14119</v>
      </c>
      <c r="D238" s="149" t="s">
        <v>7415</v>
      </c>
      <c r="E238" s="108">
        <v>1236</v>
      </c>
    </row>
    <row r="239" spans="1:5">
      <c r="A239" s="149" t="s">
        <v>258</v>
      </c>
      <c r="B239" s="149" t="s">
        <v>14120</v>
      </c>
      <c r="C239" s="149" t="s">
        <v>14121</v>
      </c>
      <c r="D239" s="149" t="s">
        <v>7415</v>
      </c>
      <c r="E239" s="108">
        <v>1237</v>
      </c>
    </row>
    <row r="240" spans="1:5">
      <c r="A240" s="149" t="s">
        <v>258</v>
      </c>
      <c r="B240" s="149" t="s">
        <v>14122</v>
      </c>
      <c r="C240" s="149" t="s">
        <v>14123</v>
      </c>
      <c r="D240" s="149" t="s">
        <v>7415</v>
      </c>
      <c r="E240" s="108">
        <v>1238</v>
      </c>
    </row>
    <row r="241" spans="1:5">
      <c r="A241" s="149" t="s">
        <v>258</v>
      </c>
      <c r="B241" s="149" t="s">
        <v>14124</v>
      </c>
      <c r="C241" s="149" t="s">
        <v>14125</v>
      </c>
      <c r="D241" s="149" t="s">
        <v>7415</v>
      </c>
      <c r="E241" s="108">
        <v>1239</v>
      </c>
    </row>
    <row r="242" spans="1:5">
      <c r="A242" s="149" t="s">
        <v>258</v>
      </c>
      <c r="B242" s="149" t="s">
        <v>14126</v>
      </c>
      <c r="C242" s="149" t="s">
        <v>14127</v>
      </c>
      <c r="D242" s="149" t="s">
        <v>7415</v>
      </c>
      <c r="E242" s="108">
        <v>1240</v>
      </c>
    </row>
    <row r="243" spans="1:5">
      <c r="A243" s="149" t="s">
        <v>258</v>
      </c>
      <c r="B243" s="149" t="s">
        <v>14128</v>
      </c>
      <c r="C243" s="149" t="s">
        <v>14129</v>
      </c>
      <c r="D243" s="149" t="s">
        <v>7415</v>
      </c>
      <c r="E243" s="108">
        <v>1241</v>
      </c>
    </row>
    <row r="244" spans="1:5">
      <c r="A244" s="149" t="s">
        <v>258</v>
      </c>
      <c r="B244" s="149" t="s">
        <v>14130</v>
      </c>
      <c r="C244" s="149" t="s">
        <v>14131</v>
      </c>
      <c r="D244" s="108" t="s">
        <v>7413</v>
      </c>
      <c r="E244" s="262"/>
    </row>
    <row r="245" spans="1:5">
      <c r="A245" s="149" t="s">
        <v>258</v>
      </c>
      <c r="B245" s="149" t="s">
        <v>14132</v>
      </c>
      <c r="C245" s="149" t="s">
        <v>14133</v>
      </c>
      <c r="D245" s="149" t="s">
        <v>7415</v>
      </c>
      <c r="E245" s="108">
        <v>1243</v>
      </c>
    </row>
    <row r="246" spans="1:5">
      <c r="A246" s="149" t="s">
        <v>258</v>
      </c>
      <c r="B246" s="149" t="s">
        <v>14134</v>
      </c>
      <c r="C246" s="149" t="s">
        <v>14135</v>
      </c>
      <c r="D246" s="149" t="s">
        <v>7415</v>
      </c>
      <c r="E246" s="108">
        <v>1244</v>
      </c>
    </row>
    <row r="247" spans="1:5">
      <c r="A247" s="149" t="s">
        <v>258</v>
      </c>
      <c r="B247" s="149" t="s">
        <v>14136</v>
      </c>
      <c r="C247" s="149" t="s">
        <v>14137</v>
      </c>
      <c r="D247" s="108" t="s">
        <v>7413</v>
      </c>
      <c r="E247" s="262"/>
    </row>
    <row r="248" spans="1:5">
      <c r="A248" s="149" t="s">
        <v>258</v>
      </c>
      <c r="B248" s="149" t="s">
        <v>14138</v>
      </c>
      <c r="C248" s="149" t="s">
        <v>14139</v>
      </c>
      <c r="D248" s="149" t="s">
        <v>7415</v>
      </c>
      <c r="E248" s="108">
        <v>1246</v>
      </c>
    </row>
    <row r="249" spans="1:5">
      <c r="A249" s="149" t="s">
        <v>258</v>
      </c>
      <c r="B249" s="149" t="s">
        <v>14140</v>
      </c>
      <c r="C249" s="149" t="s">
        <v>14141</v>
      </c>
      <c r="D249" s="411" t="s">
        <v>7415</v>
      </c>
      <c r="E249" s="108">
        <v>1247</v>
      </c>
    </row>
    <row r="250" spans="1:5">
      <c r="A250" s="149" t="s">
        <v>258</v>
      </c>
      <c r="B250" s="149" t="s">
        <v>14142</v>
      </c>
      <c r="C250" s="149" t="s">
        <v>14143</v>
      </c>
      <c r="D250" s="149" t="s">
        <v>7415</v>
      </c>
      <c r="E250" s="108">
        <v>1248</v>
      </c>
    </row>
    <row r="251" spans="1:5">
      <c r="A251" s="149" t="s">
        <v>258</v>
      </c>
      <c r="B251" s="149" t="s">
        <v>14144</v>
      </c>
      <c r="C251" s="149" t="s">
        <v>14145</v>
      </c>
      <c r="D251" s="149" t="s">
        <v>7415</v>
      </c>
      <c r="E251" s="108">
        <v>1249</v>
      </c>
    </row>
    <row r="252" spans="1:5">
      <c r="A252" s="149" t="s">
        <v>258</v>
      </c>
      <c r="B252" s="149" t="s">
        <v>14146</v>
      </c>
      <c r="C252" s="149" t="s">
        <v>14147</v>
      </c>
      <c r="D252" s="149" t="s">
        <v>7415</v>
      </c>
      <c r="E252" s="108">
        <v>1250</v>
      </c>
    </row>
    <row r="253" spans="1:5">
      <c r="A253" s="149" t="s">
        <v>258</v>
      </c>
      <c r="B253" s="149" t="s">
        <v>14148</v>
      </c>
      <c r="C253" s="149" t="s">
        <v>14149</v>
      </c>
      <c r="D253" s="108" t="s">
        <v>7413</v>
      </c>
      <c r="E253" s="262"/>
    </row>
    <row r="254" spans="1:5">
      <c r="A254" s="149" t="s">
        <v>258</v>
      </c>
      <c r="B254" s="149" t="s">
        <v>14150</v>
      </c>
      <c r="C254" s="149" t="s">
        <v>14151</v>
      </c>
      <c r="D254" s="108" t="s">
        <v>7413</v>
      </c>
      <c r="E254" s="262"/>
    </row>
    <row r="255" spans="1:5">
      <c r="A255" s="149" t="s">
        <v>258</v>
      </c>
      <c r="B255" s="149" t="s">
        <v>14152</v>
      </c>
      <c r="C255" s="149" t="s">
        <v>14153</v>
      </c>
      <c r="D255" s="108" t="s">
        <v>7413</v>
      </c>
      <c r="E255" s="262"/>
    </row>
    <row r="256" spans="1:5">
      <c r="A256" s="149" t="s">
        <v>258</v>
      </c>
      <c r="B256" s="149" t="s">
        <v>14154</v>
      </c>
      <c r="C256" s="149" t="s">
        <v>14155</v>
      </c>
      <c r="D256" s="108" t="s">
        <v>7413</v>
      </c>
      <c r="E256" s="262"/>
    </row>
    <row r="257" spans="1:5">
      <c r="A257" s="149" t="s">
        <v>258</v>
      </c>
      <c r="B257" s="149" t="s">
        <v>14156</v>
      </c>
      <c r="C257" s="149" t="s">
        <v>14157</v>
      </c>
      <c r="D257" s="108" t="s">
        <v>7413</v>
      </c>
      <c r="E257" s="262"/>
    </row>
    <row r="258" spans="1:5">
      <c r="A258" s="149" t="s">
        <v>258</v>
      </c>
      <c r="B258" s="149" t="s">
        <v>14158</v>
      </c>
      <c r="C258" s="149" t="s">
        <v>14159</v>
      </c>
      <c r="D258" s="108" t="s">
        <v>7413</v>
      </c>
      <c r="E258" s="262"/>
    </row>
    <row r="259" spans="1:5">
      <c r="A259" s="149" t="s">
        <v>3216</v>
      </c>
      <c r="B259" s="149" t="s">
        <v>14160</v>
      </c>
      <c r="C259" s="149" t="s">
        <v>14161</v>
      </c>
      <c r="D259" s="149" t="s">
        <v>7415</v>
      </c>
      <c r="E259" s="108">
        <v>1257</v>
      </c>
    </row>
    <row r="260" spans="1:5">
      <c r="A260" s="149" t="s">
        <v>14162</v>
      </c>
      <c r="B260" s="149" t="s">
        <v>14163</v>
      </c>
      <c r="C260" s="149" t="s">
        <v>14164</v>
      </c>
      <c r="D260" s="149" t="s">
        <v>7415</v>
      </c>
      <c r="E260" s="108">
        <v>1258</v>
      </c>
    </row>
    <row r="261" spans="1:5">
      <c r="A261" s="149" t="s">
        <v>3700</v>
      </c>
      <c r="B261" s="149" t="s">
        <v>14165</v>
      </c>
      <c r="C261" s="59" t="s">
        <v>14166</v>
      </c>
      <c r="D261" s="149" t="s">
        <v>7415</v>
      </c>
      <c r="E261" s="108">
        <v>1259</v>
      </c>
    </row>
    <row r="262" spans="1:5">
      <c r="A262" s="149" t="s">
        <v>835</v>
      </c>
      <c r="B262" s="149" t="s">
        <v>14167</v>
      </c>
      <c r="C262" s="149" t="s">
        <v>14168</v>
      </c>
      <c r="D262" s="149" t="s">
        <v>7415</v>
      </c>
      <c r="E262" s="108">
        <v>1260</v>
      </c>
    </row>
    <row r="263" spans="1:5">
      <c r="A263" s="149" t="s">
        <v>835</v>
      </c>
      <c r="B263" s="149" t="s">
        <v>14169</v>
      </c>
      <c r="C263" s="149" t="s">
        <v>14170</v>
      </c>
      <c r="D263" s="149" t="s">
        <v>7415</v>
      </c>
      <c r="E263" s="108">
        <v>1261</v>
      </c>
    </row>
    <row r="264" spans="1:5">
      <c r="A264" s="149" t="s">
        <v>835</v>
      </c>
      <c r="B264" s="149" t="s">
        <v>14171</v>
      </c>
      <c r="C264" s="149" t="s">
        <v>14172</v>
      </c>
      <c r="D264" s="149" t="s">
        <v>7415</v>
      </c>
      <c r="E264" s="108">
        <v>1262</v>
      </c>
    </row>
    <row r="265" spans="1:5">
      <c r="A265" s="149" t="s">
        <v>835</v>
      </c>
      <c r="B265" s="149" t="s">
        <v>14173</v>
      </c>
      <c r="C265" s="149" t="s">
        <v>14174</v>
      </c>
      <c r="D265" s="149" t="s">
        <v>7415</v>
      </c>
      <c r="E265" s="108">
        <v>1263</v>
      </c>
    </row>
    <row r="266" spans="1:5">
      <c r="A266" s="149" t="s">
        <v>835</v>
      </c>
      <c r="B266" s="149" t="s">
        <v>14175</v>
      </c>
      <c r="C266" s="149" t="s">
        <v>14176</v>
      </c>
      <c r="D266" s="149" t="s">
        <v>7495</v>
      </c>
      <c r="E266" s="108">
        <v>1264</v>
      </c>
    </row>
    <row r="267" spans="1:5">
      <c r="A267" s="149" t="s">
        <v>835</v>
      </c>
      <c r="B267" s="149" t="s">
        <v>14177</v>
      </c>
      <c r="C267" s="149" t="s">
        <v>14178</v>
      </c>
      <c r="D267" s="149" t="s">
        <v>7415</v>
      </c>
      <c r="E267" s="108">
        <v>1265</v>
      </c>
    </row>
    <row r="268" spans="1:5">
      <c r="A268" s="149" t="s">
        <v>835</v>
      </c>
      <c r="B268" s="149" t="s">
        <v>14179</v>
      </c>
      <c r="C268" s="149" t="s">
        <v>14180</v>
      </c>
      <c r="D268" s="108" t="s">
        <v>7413</v>
      </c>
      <c r="E268" s="262"/>
    </row>
    <row r="269" spans="1:5">
      <c r="A269" s="149" t="s">
        <v>835</v>
      </c>
      <c r="B269" s="149" t="s">
        <v>14181</v>
      </c>
      <c r="C269" s="149" t="s">
        <v>14182</v>
      </c>
      <c r="D269" s="149" t="s">
        <v>7415</v>
      </c>
      <c r="E269" s="108">
        <v>1267</v>
      </c>
    </row>
    <row r="270" spans="1:5">
      <c r="A270" s="149" t="s">
        <v>835</v>
      </c>
      <c r="B270" s="149" t="s">
        <v>14183</v>
      </c>
      <c r="C270" s="149" t="s">
        <v>14184</v>
      </c>
      <c r="D270" s="108" t="s">
        <v>7413</v>
      </c>
      <c r="E270" s="262"/>
    </row>
    <row r="271" spans="1:5">
      <c r="A271" s="149" t="s">
        <v>14185</v>
      </c>
      <c r="B271" s="262" t="s">
        <v>13772</v>
      </c>
      <c r="C271" s="59">
        <v>19996370559</v>
      </c>
      <c r="D271" s="149" t="s">
        <v>7415</v>
      </c>
      <c r="E271" s="108">
        <v>1269</v>
      </c>
    </row>
    <row r="272" spans="1:5">
      <c r="A272" s="149" t="s">
        <v>14186</v>
      </c>
      <c r="B272" s="149" t="s">
        <v>14187</v>
      </c>
      <c r="C272" s="62">
        <v>998175043</v>
      </c>
      <c r="D272" s="149" t="s">
        <v>7415</v>
      </c>
      <c r="E272" s="108">
        <v>1270</v>
      </c>
    </row>
    <row r="273" spans="1:5">
      <c r="A273" s="149" t="s">
        <v>5105</v>
      </c>
      <c r="B273" s="149" t="s">
        <v>14188</v>
      </c>
      <c r="C273" s="149" t="s">
        <v>14189</v>
      </c>
      <c r="D273" s="149" t="s">
        <v>7415</v>
      </c>
      <c r="E273" s="108">
        <v>1271</v>
      </c>
    </row>
    <row r="274" spans="1:5">
      <c r="A274" s="149"/>
      <c r="B274" s="149"/>
      <c r="C274" s="149"/>
      <c r="D274" s="149"/>
      <c r="E274" s="149">
        <v>1272</v>
      </c>
    </row>
    <row r="275" spans="1:5">
      <c r="A275" s="149"/>
      <c r="B275" s="149"/>
      <c r="C275" s="149"/>
      <c r="D275" s="149"/>
      <c r="E275" s="149">
        <v>1273</v>
      </c>
    </row>
    <row r="276" spans="1:5">
      <c r="A276" s="149"/>
      <c r="B276" s="149"/>
      <c r="C276" s="149"/>
      <c r="D276" s="149"/>
      <c r="E276" s="149">
        <v>1274</v>
      </c>
    </row>
    <row r="277" spans="1:5">
      <c r="A277" s="149"/>
      <c r="B277" s="149"/>
      <c r="C277" s="149"/>
      <c r="D277" s="149"/>
      <c r="E277" s="149">
        <v>1275</v>
      </c>
    </row>
    <row r="278" spans="1:5">
      <c r="A278" s="149"/>
      <c r="B278" s="149"/>
      <c r="C278" s="149"/>
      <c r="D278" s="149"/>
      <c r="E278" s="149">
        <v>1276</v>
      </c>
    </row>
    <row r="279" spans="1:5">
      <c r="A279" s="149"/>
      <c r="B279" s="149"/>
      <c r="C279" s="149"/>
      <c r="D279" s="149"/>
      <c r="E279" s="149">
        <v>1277</v>
      </c>
    </row>
    <row r="280" spans="1:5">
      <c r="A280" s="149"/>
      <c r="B280" s="149"/>
      <c r="C280" s="149"/>
      <c r="D280" s="149"/>
      <c r="E280" s="149">
        <v>1278</v>
      </c>
    </row>
    <row r="281" spans="1:5">
      <c r="A281" s="149"/>
      <c r="B281" s="149"/>
      <c r="C281" s="149"/>
      <c r="D281" s="149"/>
      <c r="E281" s="149">
        <v>1279</v>
      </c>
    </row>
    <row r="282" spans="1:5">
      <c r="A282" s="149"/>
      <c r="B282" s="149"/>
      <c r="C282" s="149"/>
      <c r="D282" s="149"/>
      <c r="E282" s="149">
        <v>1280</v>
      </c>
    </row>
    <row r="283" spans="1:5">
      <c r="A283" s="149"/>
      <c r="B283" s="149"/>
      <c r="C283" s="149"/>
      <c r="D283" s="149"/>
      <c r="E283" s="149">
        <v>1281</v>
      </c>
    </row>
    <row r="284" spans="1:5">
      <c r="A284" s="149"/>
      <c r="B284" s="149"/>
      <c r="C284" s="149"/>
      <c r="D284" s="149"/>
      <c r="E284" s="149">
        <v>1282</v>
      </c>
    </row>
    <row r="285" spans="1:5">
      <c r="A285" s="149"/>
      <c r="B285" s="149"/>
      <c r="C285" s="149"/>
      <c r="D285" s="149"/>
      <c r="E285" s="149">
        <v>1283</v>
      </c>
    </row>
    <row r="286" spans="1:5">
      <c r="A286" s="149"/>
      <c r="B286" s="149"/>
      <c r="C286" s="149"/>
      <c r="D286" s="149"/>
      <c r="E286" s="149">
        <v>1284</v>
      </c>
    </row>
    <row r="287" spans="1:5">
      <c r="A287" s="149" t="s">
        <v>14162</v>
      </c>
      <c r="B287" s="149" t="s">
        <v>14163</v>
      </c>
      <c r="C287" s="149" t="s">
        <v>14164</v>
      </c>
      <c r="D287" s="149"/>
      <c r="E287" s="149">
        <v>1285</v>
      </c>
    </row>
    <row r="288" spans="1:5">
      <c r="A288" s="149"/>
      <c r="B288" s="149"/>
      <c r="C288" s="149"/>
      <c r="D288" s="149"/>
      <c r="E288" s="149">
        <v>1286</v>
      </c>
    </row>
    <row r="289" spans="1:5">
      <c r="A289" s="149"/>
      <c r="B289" s="149"/>
      <c r="C289" s="149"/>
      <c r="D289" s="149"/>
      <c r="E289" s="149">
        <v>1287</v>
      </c>
    </row>
    <row r="290" spans="1:5">
      <c r="A290" s="149"/>
      <c r="B290" s="149"/>
      <c r="C290" s="149"/>
      <c r="D290" s="149"/>
      <c r="E290" s="149">
        <v>1288</v>
      </c>
    </row>
    <row r="291" spans="1:5">
      <c r="A291" s="149"/>
      <c r="B291" s="149"/>
      <c r="C291" s="149"/>
      <c r="D291" s="149"/>
      <c r="E291" s="149">
        <v>1289</v>
      </c>
    </row>
    <row r="292" spans="1:5">
      <c r="A292" s="149"/>
      <c r="B292" s="149"/>
      <c r="C292" s="149"/>
      <c r="D292" s="149"/>
      <c r="E292" s="149">
        <v>1290</v>
      </c>
    </row>
    <row r="293" spans="1:5">
      <c r="A293" s="149"/>
      <c r="B293" s="149"/>
      <c r="C293" s="149"/>
      <c r="D293" s="149"/>
      <c r="E293" s="149">
        <v>1291</v>
      </c>
    </row>
    <row r="294" spans="1:5">
      <c r="A294" s="149"/>
      <c r="B294" s="149"/>
      <c r="C294" s="149"/>
      <c r="D294" s="149"/>
      <c r="E294" s="149">
        <v>1292</v>
      </c>
    </row>
    <row r="295" spans="1:5">
      <c r="A295" s="149"/>
      <c r="B295" s="149"/>
      <c r="C295" s="149"/>
      <c r="D295" s="149"/>
      <c r="E295" s="149">
        <v>1293</v>
      </c>
    </row>
    <row r="296" spans="1:5">
      <c r="A296" s="149"/>
      <c r="B296" s="149"/>
      <c r="C296" s="149"/>
      <c r="D296" s="149"/>
      <c r="E296" s="149">
        <v>1294</v>
      </c>
    </row>
    <row r="297" spans="1:5">
      <c r="A297" s="149"/>
      <c r="B297" s="149"/>
      <c r="C297" s="149"/>
      <c r="D297" s="149"/>
      <c r="E297" s="149">
        <v>1295</v>
      </c>
    </row>
    <row r="298" spans="1:5">
      <c r="A298" s="149"/>
      <c r="B298" s="149"/>
      <c r="C298" s="149"/>
      <c r="D298" s="149"/>
      <c r="E298" s="149">
        <v>1296</v>
      </c>
    </row>
    <row r="299" spans="1:5">
      <c r="A299" s="149"/>
      <c r="B299" s="149"/>
      <c r="C299" s="149"/>
      <c r="D299" s="149"/>
      <c r="E299" s="149">
        <v>1297</v>
      </c>
    </row>
    <row r="300" spans="1:5">
      <c r="A300" s="149"/>
      <c r="B300" s="149"/>
      <c r="C300" s="149"/>
      <c r="D300" s="149"/>
      <c r="E300" s="149">
        <v>1298</v>
      </c>
    </row>
    <row r="301" spans="1:5">
      <c r="A301" s="149"/>
      <c r="B301" s="149"/>
      <c r="C301" s="149"/>
      <c r="D301" s="149"/>
      <c r="E301" s="149">
        <v>1299</v>
      </c>
    </row>
    <row r="302" spans="1:5">
      <c r="A302" s="149"/>
      <c r="B302" s="149"/>
      <c r="C302" s="149"/>
      <c r="D302" s="149"/>
      <c r="E302" s="149">
        <v>1300</v>
      </c>
    </row>
    <row r="303" spans="1:5">
      <c r="A303" s="149"/>
      <c r="B303" s="149"/>
      <c r="C303" s="149"/>
      <c r="D303" s="149"/>
      <c r="E303" s="149">
        <v>1301</v>
      </c>
    </row>
    <row r="304" spans="1:5">
      <c r="A304" s="149"/>
      <c r="B304" s="149"/>
      <c r="C304" s="149"/>
      <c r="D304" s="149"/>
      <c r="E304" s="149">
        <v>1302</v>
      </c>
    </row>
    <row r="305" spans="1:5">
      <c r="A305" s="149"/>
      <c r="B305" s="149"/>
      <c r="C305" s="149"/>
      <c r="D305" s="149"/>
      <c r="E305" s="149">
        <v>1303</v>
      </c>
    </row>
    <row r="306" spans="1:5">
      <c r="A306" s="149"/>
      <c r="B306" s="149"/>
      <c r="C306" s="149"/>
      <c r="D306" s="149"/>
      <c r="E306" s="149">
        <v>1304</v>
      </c>
    </row>
    <row r="307" spans="1:5">
      <c r="A307" s="149"/>
      <c r="B307" s="149"/>
      <c r="C307" s="149"/>
      <c r="D307" s="149"/>
      <c r="E307" s="149">
        <v>1305</v>
      </c>
    </row>
    <row r="308" spans="1:5">
      <c r="A308" s="149"/>
      <c r="B308" s="149"/>
      <c r="C308" s="149"/>
      <c r="D308" s="149"/>
      <c r="E308" s="149">
        <v>1306</v>
      </c>
    </row>
    <row r="309" spans="1:5">
      <c r="A309" s="149"/>
      <c r="B309" s="149"/>
      <c r="C309" s="149"/>
      <c r="D309" s="149"/>
      <c r="E309" s="149">
        <v>1307</v>
      </c>
    </row>
    <row r="310" spans="1:5">
      <c r="A310" s="149"/>
      <c r="B310" s="149"/>
      <c r="C310" s="149"/>
      <c r="D310" s="149"/>
      <c r="E310" s="149">
        <v>1308</v>
      </c>
    </row>
    <row r="311" spans="1:5">
      <c r="A311" s="149"/>
      <c r="B311" s="149"/>
      <c r="C311" s="149"/>
      <c r="D311" s="149"/>
      <c r="E311" s="149">
        <v>1309</v>
      </c>
    </row>
    <row r="312" spans="1:5">
      <c r="A312" s="149"/>
      <c r="B312" s="149"/>
      <c r="C312" s="149"/>
      <c r="D312" s="149"/>
      <c r="E312" s="149">
        <v>1310</v>
      </c>
    </row>
    <row r="313" spans="1:5">
      <c r="A313" s="149"/>
      <c r="B313" s="149"/>
      <c r="C313" s="149"/>
      <c r="D313" s="149"/>
      <c r="E313" s="149">
        <v>1311</v>
      </c>
    </row>
    <row r="314" spans="1:5">
      <c r="A314" s="149"/>
      <c r="B314" s="149"/>
      <c r="C314" s="149"/>
      <c r="D314" s="149"/>
      <c r="E314" s="149">
        <v>1312</v>
      </c>
    </row>
    <row r="315" spans="1:5">
      <c r="A315" s="149"/>
      <c r="B315" s="149"/>
      <c r="C315" s="149"/>
      <c r="D315" s="149"/>
      <c r="E315" s="149">
        <v>1313</v>
      </c>
    </row>
    <row r="316" spans="1:5">
      <c r="A316" s="149"/>
      <c r="B316" s="149"/>
      <c r="C316" s="149"/>
      <c r="D316" s="149"/>
      <c r="E316" s="149">
        <v>1314</v>
      </c>
    </row>
    <row r="317" spans="1:5">
      <c r="A317" s="149"/>
      <c r="B317" s="149"/>
      <c r="C317" s="149"/>
      <c r="D317" s="149"/>
      <c r="E317" s="149">
        <v>1315</v>
      </c>
    </row>
    <row r="318" spans="1:5">
      <c r="A318" s="149"/>
      <c r="B318" s="149"/>
      <c r="C318" s="149"/>
      <c r="D318" s="149"/>
      <c r="E318" s="149">
        <v>1316</v>
      </c>
    </row>
    <row r="319" spans="1:5">
      <c r="A319" s="149"/>
      <c r="B319" s="149"/>
      <c r="C319" s="149"/>
      <c r="D319" s="149"/>
      <c r="E319" s="149">
        <v>1317</v>
      </c>
    </row>
    <row r="320" spans="1:5">
      <c r="A320" s="149"/>
      <c r="B320" s="149"/>
      <c r="C320" s="149"/>
      <c r="D320" s="149"/>
      <c r="E320" s="149">
        <v>1318</v>
      </c>
    </row>
    <row r="321" spans="1:5">
      <c r="A321" s="149"/>
      <c r="B321" s="149"/>
      <c r="C321" s="149"/>
      <c r="D321" s="149"/>
      <c r="E321" s="149">
        <v>1319</v>
      </c>
    </row>
    <row r="322" spans="1:5">
      <c r="A322" s="149"/>
      <c r="B322" s="149"/>
      <c r="C322" s="149"/>
      <c r="D322" s="149"/>
      <c r="E322" s="149">
        <v>1320</v>
      </c>
    </row>
    <row r="323" spans="1:5">
      <c r="A323" s="149"/>
      <c r="B323" s="149"/>
      <c r="C323" s="149"/>
      <c r="D323" s="149"/>
      <c r="E323" s="149">
        <v>1321</v>
      </c>
    </row>
    <row r="324" spans="1:5">
      <c r="A324" s="149"/>
      <c r="B324" s="149"/>
      <c r="C324" s="149"/>
      <c r="D324" s="149"/>
      <c r="E324" s="149">
        <v>1322</v>
      </c>
    </row>
    <row r="325" spans="1:5">
      <c r="A325" s="149"/>
      <c r="B325" s="149"/>
      <c r="C325" s="149"/>
      <c r="D325" s="149"/>
      <c r="E325" s="149">
        <v>1323</v>
      </c>
    </row>
    <row r="326" spans="1:5">
      <c r="A326" s="149"/>
      <c r="B326" s="149"/>
      <c r="C326" s="149"/>
      <c r="D326" s="149"/>
      <c r="E326" s="149">
        <v>1324</v>
      </c>
    </row>
    <row r="327" spans="1:5">
      <c r="A327" s="149"/>
      <c r="B327" s="149"/>
      <c r="C327" s="149"/>
      <c r="D327" s="149"/>
      <c r="E327" s="149">
        <v>1325</v>
      </c>
    </row>
    <row r="328" spans="1:5">
      <c r="A328" s="149"/>
      <c r="B328" s="149"/>
      <c r="C328" s="149"/>
      <c r="D328" s="149"/>
      <c r="E328" s="149">
        <v>1326</v>
      </c>
    </row>
    <row r="329" spans="1:5">
      <c r="A329" s="149"/>
      <c r="B329" s="149"/>
      <c r="C329" s="149"/>
      <c r="D329" s="149"/>
      <c r="E329" s="149">
        <v>1327</v>
      </c>
    </row>
    <row r="330" spans="1:5">
      <c r="A330" s="149"/>
      <c r="B330" s="149"/>
      <c r="C330" s="149"/>
      <c r="D330" s="149"/>
      <c r="E330" s="149">
        <v>1328</v>
      </c>
    </row>
    <row r="331" spans="1:5">
      <c r="A331" s="149"/>
      <c r="B331" s="149"/>
      <c r="C331" s="149"/>
      <c r="D331" s="149"/>
      <c r="E331" s="149">
        <v>1329</v>
      </c>
    </row>
    <row r="332" spans="1:5">
      <c r="A332" s="149"/>
      <c r="B332" s="149"/>
      <c r="C332" s="149"/>
      <c r="D332" s="149"/>
      <c r="E332" s="149">
        <v>1330</v>
      </c>
    </row>
    <row r="333" spans="1:5">
      <c r="A333" s="149"/>
      <c r="B333" s="149"/>
      <c r="C333" s="149"/>
      <c r="D333" s="149"/>
      <c r="E333" s="149">
        <v>1331</v>
      </c>
    </row>
    <row r="334" spans="1:5">
      <c r="A334" s="149"/>
      <c r="B334" s="149"/>
      <c r="C334" s="149"/>
      <c r="D334" s="149"/>
      <c r="E334" s="149">
        <v>1332</v>
      </c>
    </row>
    <row r="335" spans="1:5">
      <c r="A335" s="149"/>
      <c r="B335" s="149"/>
      <c r="C335" s="149"/>
      <c r="D335" s="149"/>
      <c r="E335" s="149">
        <v>1333</v>
      </c>
    </row>
    <row r="336" spans="1:5">
      <c r="A336" s="149"/>
      <c r="B336" s="149"/>
      <c r="C336" s="149"/>
      <c r="D336" s="149"/>
      <c r="E336" s="149">
        <v>1334</v>
      </c>
    </row>
    <row r="337" spans="1:5">
      <c r="A337" s="149"/>
      <c r="B337" s="149"/>
      <c r="C337" s="149"/>
      <c r="D337" s="149"/>
      <c r="E337" s="149">
        <v>1335</v>
      </c>
    </row>
    <row r="338" spans="1:5">
      <c r="A338" s="149"/>
      <c r="B338" s="149"/>
      <c r="C338" s="149"/>
      <c r="D338" s="149"/>
      <c r="E338" s="149">
        <v>1336</v>
      </c>
    </row>
    <row r="339" spans="1:5">
      <c r="A339" s="149"/>
      <c r="B339" s="149"/>
      <c r="C339" s="149"/>
      <c r="D339" s="149"/>
      <c r="E339" s="149">
        <v>1337</v>
      </c>
    </row>
    <row r="340" spans="1:5">
      <c r="A340" s="149"/>
      <c r="B340" s="149"/>
      <c r="C340" s="149"/>
      <c r="D340" s="149"/>
      <c r="E340" s="149">
        <v>1338</v>
      </c>
    </row>
    <row r="341" spans="1:5">
      <c r="A341" s="149"/>
      <c r="B341" s="149"/>
      <c r="C341" s="149"/>
      <c r="D341" s="149"/>
      <c r="E341" s="149">
        <v>1339</v>
      </c>
    </row>
    <row r="342" spans="1:5">
      <c r="A342" s="149"/>
      <c r="B342" s="149"/>
      <c r="C342" s="149"/>
      <c r="D342" s="149"/>
      <c r="E342" s="149">
        <v>1340</v>
      </c>
    </row>
    <row r="343" spans="1:5">
      <c r="A343" s="149"/>
      <c r="B343" s="149"/>
      <c r="C343" s="149"/>
      <c r="D343" s="149"/>
      <c r="E343" s="149">
        <v>1341</v>
      </c>
    </row>
    <row r="344" spans="1:5">
      <c r="A344" s="149"/>
      <c r="B344" s="149"/>
      <c r="C344" s="149"/>
      <c r="D344" s="149"/>
      <c r="E344" s="149">
        <v>1342</v>
      </c>
    </row>
    <row r="345" spans="1:5">
      <c r="A345" s="149"/>
      <c r="B345" s="149"/>
      <c r="C345" s="149"/>
      <c r="D345" s="149"/>
      <c r="E345" s="149">
        <v>1343</v>
      </c>
    </row>
    <row r="346" spans="1:5">
      <c r="A346" s="149"/>
      <c r="B346" s="149"/>
      <c r="C346" s="149"/>
      <c r="D346" s="149"/>
      <c r="E346" s="149">
        <v>1344</v>
      </c>
    </row>
    <row r="347" spans="1:5">
      <c r="A347" s="149"/>
      <c r="B347" s="149"/>
      <c r="C347" s="149"/>
      <c r="D347" s="149"/>
      <c r="E347" s="149">
        <v>1345</v>
      </c>
    </row>
    <row r="348" spans="1:5">
      <c r="A348" s="149"/>
      <c r="B348" s="149"/>
      <c r="C348" s="149"/>
      <c r="D348" s="149"/>
      <c r="E348" s="149">
        <v>1346</v>
      </c>
    </row>
    <row r="349" spans="1:5">
      <c r="A349" s="149"/>
      <c r="B349" s="149"/>
      <c r="C349" s="149"/>
      <c r="D349" s="149"/>
      <c r="E349" s="149">
        <v>1347</v>
      </c>
    </row>
    <row r="350" spans="1:5">
      <c r="A350" s="149"/>
      <c r="B350" s="149"/>
      <c r="C350" s="149"/>
      <c r="D350" s="149"/>
      <c r="E350" s="149">
        <v>1348</v>
      </c>
    </row>
    <row r="351" spans="1:5">
      <c r="A351" s="149"/>
      <c r="B351" s="149"/>
      <c r="C351" s="149"/>
      <c r="D351" s="149"/>
      <c r="E351" s="149">
        <v>1349</v>
      </c>
    </row>
    <row r="352" spans="1:5">
      <c r="A352" s="149"/>
      <c r="B352" s="149"/>
      <c r="C352" s="149"/>
      <c r="D352" s="149"/>
      <c r="E352" s="149">
        <v>1350</v>
      </c>
    </row>
    <row r="353" spans="1:5">
      <c r="A353" s="149"/>
      <c r="B353" s="149"/>
      <c r="C353" s="149"/>
      <c r="D353" s="149"/>
      <c r="E353" s="149">
        <v>1351</v>
      </c>
    </row>
    <row r="354" spans="1:5">
      <c r="A354" s="149"/>
      <c r="B354" s="149"/>
      <c r="C354" s="149"/>
      <c r="D354" s="149"/>
      <c r="E354" s="149">
        <v>1352</v>
      </c>
    </row>
    <row r="355" spans="1:5">
      <c r="A355" s="149"/>
      <c r="B355" s="149"/>
      <c r="C355" s="149"/>
      <c r="D355" s="149"/>
      <c r="E355" s="149">
        <v>1353</v>
      </c>
    </row>
    <row r="356" spans="1:5">
      <c r="A356" s="149"/>
      <c r="B356" s="149"/>
      <c r="C356" s="149"/>
      <c r="D356" s="149"/>
      <c r="E356" s="149">
        <v>1354</v>
      </c>
    </row>
    <row r="357" spans="1:5">
      <c r="A357" s="149"/>
      <c r="B357" s="149"/>
      <c r="C357" s="149"/>
      <c r="D357" s="149"/>
      <c r="E357" s="149">
        <v>1355</v>
      </c>
    </row>
    <row r="358" spans="1:5">
      <c r="A358" s="149"/>
      <c r="B358" s="149"/>
      <c r="C358" s="149"/>
      <c r="D358" s="149"/>
      <c r="E358" s="149">
        <v>1356</v>
      </c>
    </row>
    <row r="359" spans="1:5">
      <c r="A359" s="186"/>
      <c r="B359" s="186"/>
      <c r="C359" s="186"/>
      <c r="D359" s="186"/>
      <c r="E359" s="186">
        <v>1357</v>
      </c>
    </row>
    <row r="360" spans="1:5">
      <c r="A360" s="149"/>
      <c r="B360" s="149"/>
      <c r="C360" s="149"/>
      <c r="D360" s="149"/>
      <c r="E360" s="149">
        <v>1358</v>
      </c>
    </row>
    <row r="361" spans="1:5">
      <c r="A361" s="149"/>
      <c r="B361" s="149"/>
      <c r="C361" s="149"/>
      <c r="D361" s="149"/>
      <c r="E361" s="149">
        <v>1359</v>
      </c>
    </row>
    <row r="362" spans="1:5">
      <c r="A362" s="149"/>
      <c r="B362" s="149"/>
      <c r="C362" s="149"/>
      <c r="D362" s="149"/>
      <c r="E362" s="149">
        <v>1360</v>
      </c>
    </row>
    <row r="363" spans="1:5">
      <c r="A363" s="149"/>
      <c r="B363" s="149"/>
      <c r="C363" s="149"/>
      <c r="D363" s="149"/>
      <c r="E363" s="149">
        <v>1361</v>
      </c>
    </row>
    <row r="364" spans="1:5">
      <c r="A364" s="149"/>
      <c r="B364" s="149"/>
      <c r="C364" s="149"/>
      <c r="D364" s="149"/>
      <c r="E364" s="149">
        <v>1362</v>
      </c>
    </row>
    <row r="365" spans="1:5">
      <c r="A365" s="149"/>
      <c r="B365" s="149"/>
      <c r="C365" s="149"/>
      <c r="D365" s="149"/>
      <c r="E365" s="149">
        <v>1363</v>
      </c>
    </row>
    <row r="366" spans="1:5">
      <c r="A366" s="149"/>
      <c r="B366" s="149"/>
      <c r="C366" s="149"/>
      <c r="D366" s="149"/>
      <c r="E366" s="149">
        <v>1364</v>
      </c>
    </row>
    <row r="367" spans="1:5">
      <c r="A367" s="149"/>
      <c r="B367" s="149"/>
      <c r="C367" s="149"/>
      <c r="D367" s="149"/>
      <c r="E367" s="149">
        <v>1365</v>
      </c>
    </row>
    <row r="368" spans="1:5">
      <c r="A368" s="149"/>
      <c r="B368" s="149"/>
      <c r="C368" s="149"/>
      <c r="D368" s="149"/>
      <c r="E368" s="149">
        <v>1366</v>
      </c>
    </row>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603C-7C10-474B-AB67-B2F7B61C684A}">
  <dimension ref="A1:D62"/>
  <sheetViews>
    <sheetView topLeftCell="A11" workbookViewId="0">
      <selection activeCell="A20" sqref="A20"/>
    </sheetView>
  </sheetViews>
  <sheetFormatPr defaultRowHeight="15"/>
  <cols>
    <col min="1" max="1" width="49.5703125" customWidth="1"/>
    <col min="2" max="2" width="26.7109375" customWidth="1"/>
    <col min="3" max="3" width="128.7109375" customWidth="1"/>
    <col min="4" max="4" width="27.85546875" customWidth="1"/>
  </cols>
  <sheetData>
    <row r="1" spans="1:4">
      <c r="A1" s="349" t="s">
        <v>2756</v>
      </c>
      <c r="B1" s="349" t="s">
        <v>14190</v>
      </c>
      <c r="C1" s="350" t="s">
        <v>14191</v>
      </c>
      <c r="D1" s="351" t="s">
        <v>14192</v>
      </c>
    </row>
    <row r="2" spans="1:4">
      <c r="A2" s="149" t="s">
        <v>3980</v>
      </c>
      <c r="B2" s="149" t="s">
        <v>4467</v>
      </c>
      <c r="C2" s="295" t="s">
        <v>14193</v>
      </c>
      <c r="D2" s="149" t="s">
        <v>14194</v>
      </c>
    </row>
    <row r="3" spans="1:4">
      <c r="A3" s="149" t="s">
        <v>3624</v>
      </c>
      <c r="B3" s="149" t="s">
        <v>14195</v>
      </c>
      <c r="C3" s="295" t="s">
        <v>14196</v>
      </c>
      <c r="D3" s="149" t="s">
        <v>10896</v>
      </c>
    </row>
    <row r="4" spans="1:4">
      <c r="A4" s="149" t="s">
        <v>3041</v>
      </c>
      <c r="B4" s="149" t="s">
        <v>14197</v>
      </c>
      <c r="C4" s="295" t="s">
        <v>14198</v>
      </c>
      <c r="D4" s="149" t="s">
        <v>10896</v>
      </c>
    </row>
    <row r="5" spans="1:4">
      <c r="A5" s="149" t="s">
        <v>3075</v>
      </c>
      <c r="B5" s="149" t="s">
        <v>14199</v>
      </c>
      <c r="C5" s="295" t="s">
        <v>14200</v>
      </c>
      <c r="D5" s="149" t="s">
        <v>14194</v>
      </c>
    </row>
    <row r="6" spans="1:4">
      <c r="A6" s="149" t="s">
        <v>2777</v>
      </c>
      <c r="B6" s="149" t="s">
        <v>5088</v>
      </c>
      <c r="C6" s="295" t="s">
        <v>14201</v>
      </c>
      <c r="D6" s="149" t="s">
        <v>14194</v>
      </c>
    </row>
    <row r="7" spans="1:4">
      <c r="A7" s="149" t="s">
        <v>14202</v>
      </c>
      <c r="B7" s="296" t="s">
        <v>14203</v>
      </c>
      <c r="C7" s="295" t="s">
        <v>14204</v>
      </c>
      <c r="D7" s="186" t="s">
        <v>10896</v>
      </c>
    </row>
    <row r="8" spans="1:4">
      <c r="A8" s="149" t="s">
        <v>3645</v>
      </c>
      <c r="B8" s="149" t="s">
        <v>14205</v>
      </c>
      <c r="C8" s="295" t="s">
        <v>14206</v>
      </c>
      <c r="D8" s="149" t="s">
        <v>14194</v>
      </c>
    </row>
    <row r="9" spans="1:4">
      <c r="A9" s="149" t="s">
        <v>10015</v>
      </c>
      <c r="B9" s="149" t="s">
        <v>14207</v>
      </c>
      <c r="C9" s="295" t="s">
        <v>14208</v>
      </c>
      <c r="D9" s="187" t="s">
        <v>14209</v>
      </c>
    </row>
    <row r="10" spans="1:4">
      <c r="A10" s="149" t="s">
        <v>2768</v>
      </c>
      <c r="B10" s="149" t="s">
        <v>5136</v>
      </c>
      <c r="C10" s="295" t="s">
        <v>14210</v>
      </c>
      <c r="D10" s="149" t="s">
        <v>14209</v>
      </c>
    </row>
    <row r="11" spans="1:4">
      <c r="A11" s="149" t="s">
        <v>1967</v>
      </c>
      <c r="B11" s="149" t="s">
        <v>4762</v>
      </c>
      <c r="C11" s="295" t="s">
        <v>14211</v>
      </c>
      <c r="D11" s="149" t="s">
        <v>14209</v>
      </c>
    </row>
    <row r="12" spans="1:4">
      <c r="A12" s="149" t="s">
        <v>2889</v>
      </c>
      <c r="B12" s="149" t="s">
        <v>4280</v>
      </c>
      <c r="C12" s="295" t="s">
        <v>14212</v>
      </c>
      <c r="D12" s="149" t="s">
        <v>10896</v>
      </c>
    </row>
    <row r="13" spans="1:4">
      <c r="A13" s="149" t="s">
        <v>3611</v>
      </c>
      <c r="B13" s="149" t="s">
        <v>5147</v>
      </c>
      <c r="C13" s="295" t="s">
        <v>14196</v>
      </c>
      <c r="D13" s="149" t="s">
        <v>10896</v>
      </c>
    </row>
    <row r="14" spans="1:4">
      <c r="A14" s="149" t="s">
        <v>4049</v>
      </c>
      <c r="B14" s="149" t="s">
        <v>240</v>
      </c>
      <c r="C14" s="295" t="s">
        <v>14213</v>
      </c>
      <c r="D14" s="149" t="s">
        <v>10896</v>
      </c>
    </row>
    <row r="15" spans="1:4">
      <c r="A15" s="149" t="s">
        <v>2767</v>
      </c>
      <c r="B15" s="149" t="s">
        <v>5143</v>
      </c>
      <c r="C15" s="295" t="s">
        <v>14214</v>
      </c>
      <c r="D15" s="149" t="s">
        <v>10896</v>
      </c>
    </row>
    <row r="16" spans="1:4">
      <c r="A16" s="149" t="s">
        <v>3958</v>
      </c>
      <c r="B16" s="149" t="s">
        <v>4491</v>
      </c>
      <c r="C16" s="295" t="s">
        <v>14215</v>
      </c>
      <c r="D16" s="149" t="s">
        <v>14209</v>
      </c>
    </row>
    <row r="17" spans="1:4">
      <c r="A17" s="149" t="s">
        <v>994</v>
      </c>
      <c r="B17" s="149" t="s">
        <v>14216</v>
      </c>
      <c r="C17" s="295" t="s">
        <v>14217</v>
      </c>
      <c r="D17" s="149" t="s">
        <v>14209</v>
      </c>
    </row>
    <row r="18" spans="1:4">
      <c r="A18" s="149" t="s">
        <v>3668</v>
      </c>
      <c r="B18" s="149" t="s">
        <v>5062</v>
      </c>
      <c r="C18" s="295" t="s">
        <v>14218</v>
      </c>
      <c r="D18" s="149" t="s">
        <v>14209</v>
      </c>
    </row>
    <row r="19" spans="1:4">
      <c r="A19" s="149" t="s">
        <v>4055</v>
      </c>
      <c r="B19" s="149" t="s">
        <v>4381</v>
      </c>
      <c r="C19" s="295" t="s">
        <v>14219</v>
      </c>
      <c r="D19" s="149" t="s">
        <v>10896</v>
      </c>
    </row>
    <row r="20" spans="1:4">
      <c r="A20" s="149" t="s">
        <v>2760</v>
      </c>
      <c r="B20" s="149" t="s">
        <v>5131</v>
      </c>
      <c r="C20" s="295" t="s">
        <v>14220</v>
      </c>
      <c r="D20" s="149" t="s">
        <v>10896</v>
      </c>
    </row>
    <row r="21" spans="1:4">
      <c r="A21" s="149" t="s">
        <v>3983</v>
      </c>
      <c r="B21" s="149" t="s">
        <v>1875</v>
      </c>
      <c r="C21" s="295" t="s">
        <v>14221</v>
      </c>
      <c r="D21" s="149" t="s">
        <v>14209</v>
      </c>
    </row>
    <row r="22" spans="1:4">
      <c r="A22" s="149"/>
      <c r="B22" s="149"/>
      <c r="C22" s="295"/>
      <c r="D22" s="149"/>
    </row>
    <row r="23" spans="1:4">
      <c r="A23" s="149"/>
      <c r="B23" s="149"/>
      <c r="C23" s="295"/>
      <c r="D23" s="149"/>
    </row>
    <row r="24" spans="1:4">
      <c r="A24" s="149" t="s">
        <v>14222</v>
      </c>
      <c r="B24" s="149"/>
      <c r="C24" s="295"/>
      <c r="D24" s="149"/>
    </row>
    <row r="25" spans="1:4">
      <c r="A25" s="149" t="s">
        <v>93</v>
      </c>
      <c r="B25" s="149"/>
      <c r="C25" s="295"/>
      <c r="D25" s="149"/>
    </row>
    <row r="26" spans="1:4">
      <c r="A26" s="149"/>
      <c r="B26" s="149"/>
      <c r="C26" s="295"/>
      <c r="D26" s="149"/>
    </row>
    <row r="27" spans="1:4">
      <c r="A27" s="149"/>
      <c r="B27" s="149"/>
      <c r="C27" s="295"/>
      <c r="D27" s="149"/>
    </row>
    <row r="28" spans="1:4">
      <c r="A28" s="149"/>
      <c r="B28" s="149"/>
      <c r="C28" s="295"/>
      <c r="D28" s="149"/>
    </row>
    <row r="29" spans="1:4">
      <c r="A29" s="149"/>
      <c r="B29" s="149"/>
      <c r="C29" s="295"/>
      <c r="D29" s="149"/>
    </row>
    <row r="30" spans="1:4">
      <c r="A30" s="149"/>
      <c r="B30" s="149"/>
      <c r="C30" s="295"/>
      <c r="D30" s="149"/>
    </row>
    <row r="31" spans="1:4">
      <c r="A31" s="149"/>
      <c r="B31" s="149"/>
      <c r="C31" s="295"/>
      <c r="D31" s="149"/>
    </row>
    <row r="32" spans="1:4">
      <c r="A32" s="149"/>
      <c r="B32" s="149"/>
      <c r="C32" s="295"/>
      <c r="D32" s="149"/>
    </row>
    <row r="33" spans="1:4">
      <c r="A33" s="149"/>
      <c r="B33" s="149"/>
      <c r="C33" s="295"/>
      <c r="D33" s="149"/>
    </row>
    <row r="34" spans="1:4">
      <c r="A34" s="149"/>
      <c r="B34" s="149"/>
      <c r="C34" s="295"/>
      <c r="D34" s="149"/>
    </row>
    <row r="35" spans="1:4">
      <c r="A35" s="149"/>
      <c r="B35" s="149"/>
      <c r="C35" s="295"/>
      <c r="D35" s="149"/>
    </row>
    <row r="36" spans="1:4">
      <c r="A36" s="149"/>
      <c r="B36" s="149"/>
      <c r="C36" s="295"/>
      <c r="D36" s="149"/>
    </row>
    <row r="37" spans="1:4">
      <c r="A37" s="149"/>
      <c r="B37" s="149"/>
      <c r="C37" s="295"/>
      <c r="D37" s="149"/>
    </row>
    <row r="38" spans="1:4">
      <c r="A38" s="149"/>
      <c r="B38" s="149"/>
      <c r="C38" s="295"/>
      <c r="D38" s="149"/>
    </row>
    <row r="39" spans="1:4">
      <c r="A39" s="149"/>
      <c r="B39" s="149"/>
      <c r="C39" s="295"/>
      <c r="D39" s="149"/>
    </row>
    <row r="40" spans="1:4">
      <c r="A40" s="149"/>
      <c r="B40" s="149"/>
      <c r="C40" s="295"/>
      <c r="D40" s="149"/>
    </row>
    <row r="41" spans="1:4">
      <c r="A41" s="149"/>
      <c r="B41" s="149"/>
      <c r="C41" s="295"/>
      <c r="D41" s="149"/>
    </row>
    <row r="42" spans="1:4">
      <c r="A42" s="149"/>
      <c r="B42" s="149"/>
      <c r="C42" s="295"/>
      <c r="D42" s="149"/>
    </row>
    <row r="43" spans="1:4">
      <c r="A43" s="149"/>
      <c r="B43" s="149"/>
      <c r="C43" s="295"/>
      <c r="D43" s="149"/>
    </row>
    <row r="44" spans="1:4">
      <c r="A44" s="149"/>
      <c r="B44" s="149"/>
      <c r="C44" s="295"/>
      <c r="D44" s="149"/>
    </row>
    <row r="45" spans="1:4">
      <c r="A45" s="149"/>
      <c r="B45" s="149"/>
      <c r="C45" s="295"/>
      <c r="D45" s="149"/>
    </row>
    <row r="46" spans="1:4">
      <c r="A46" s="149"/>
      <c r="B46" s="149"/>
      <c r="C46" s="295"/>
      <c r="D46" s="149"/>
    </row>
    <row r="47" spans="1:4">
      <c r="A47" s="149"/>
      <c r="B47" s="149"/>
      <c r="C47" s="295"/>
      <c r="D47" s="149"/>
    </row>
    <row r="48" spans="1:4">
      <c r="A48" s="149"/>
      <c r="B48" s="149"/>
      <c r="C48" s="295"/>
      <c r="D48" s="149"/>
    </row>
    <row r="49" spans="1:4">
      <c r="A49" s="149"/>
      <c r="B49" s="149"/>
      <c r="C49" s="295"/>
      <c r="D49" s="149"/>
    </row>
    <row r="50" spans="1:4">
      <c r="A50" s="149"/>
      <c r="B50" s="149"/>
      <c r="C50" s="295"/>
      <c r="D50" s="149"/>
    </row>
    <row r="51" spans="1:4">
      <c r="A51" s="149"/>
      <c r="B51" s="149"/>
      <c r="C51" s="295"/>
      <c r="D51" s="149"/>
    </row>
    <row r="52" spans="1:4">
      <c r="A52" s="149"/>
      <c r="B52" s="149"/>
      <c r="C52" s="295"/>
      <c r="D52" s="149"/>
    </row>
    <row r="53" spans="1:4">
      <c r="A53" s="149"/>
      <c r="B53" s="149"/>
      <c r="C53" s="295"/>
      <c r="D53" s="149"/>
    </row>
    <row r="54" spans="1:4">
      <c r="A54" s="149"/>
      <c r="B54" s="149"/>
      <c r="C54" s="295"/>
      <c r="D54" s="149"/>
    </row>
    <row r="55" spans="1:4">
      <c r="A55" s="149"/>
      <c r="B55" s="149"/>
      <c r="C55" s="295"/>
      <c r="D55" s="149"/>
    </row>
    <row r="56" spans="1:4">
      <c r="A56" s="149"/>
      <c r="B56" s="149"/>
      <c r="C56" s="295"/>
      <c r="D56" s="149"/>
    </row>
    <row r="57" spans="1:4">
      <c r="A57" s="149"/>
      <c r="B57" s="149"/>
      <c r="C57" s="295"/>
      <c r="D57" s="149"/>
    </row>
    <row r="58" spans="1:4">
      <c r="A58" s="149"/>
      <c r="B58" s="149"/>
      <c r="C58" s="295"/>
      <c r="D58" s="149"/>
    </row>
    <row r="59" spans="1:4">
      <c r="A59" s="149"/>
      <c r="B59" s="149"/>
      <c r="C59" s="295"/>
      <c r="D59" s="149"/>
    </row>
    <row r="60" spans="1:4">
      <c r="A60" s="149"/>
      <c r="B60" s="149"/>
      <c r="C60" s="295"/>
      <c r="D60" s="149"/>
    </row>
    <row r="61" spans="1:4">
      <c r="A61" s="149"/>
      <c r="B61" s="149"/>
      <c r="C61" s="295"/>
      <c r="D61" s="149"/>
    </row>
    <row r="62" spans="1:4">
      <c r="A62" s="149"/>
      <c r="B62" s="149"/>
      <c r="C62" s="295"/>
      <c r="D62" s="149"/>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31623-DCA6-47DF-A81D-0E880A83A006}">
  <sheetPr codeName="Planilha7"/>
  <dimension ref="A1:R540"/>
  <sheetViews>
    <sheetView topLeftCell="A480" workbookViewId="0">
      <selection activeCell="B518" sqref="B518"/>
    </sheetView>
  </sheetViews>
  <sheetFormatPr defaultRowHeight="15"/>
  <cols>
    <col min="2" max="2" width="86.28515625" bestFit="1" customWidth="1"/>
    <col min="3" max="4" width="16.7109375" customWidth="1"/>
    <col min="5" max="5" width="17.7109375" bestFit="1" customWidth="1"/>
    <col min="6" max="6" width="16.7109375" customWidth="1"/>
    <col min="7" max="7" width="17.28515625" bestFit="1" customWidth="1"/>
    <col min="8" max="8" width="16.7109375" bestFit="1" customWidth="1"/>
    <col min="9" max="9" width="29.28515625" bestFit="1" customWidth="1"/>
    <col min="10" max="10" width="41.85546875" bestFit="1" customWidth="1"/>
    <col min="11" max="11" width="26.7109375" bestFit="1" customWidth="1"/>
    <col min="13" max="13" width="25.7109375" bestFit="1" customWidth="1"/>
    <col min="14" max="14" width="24.42578125" bestFit="1" customWidth="1"/>
    <col min="15" max="15" width="22.5703125" bestFit="1" customWidth="1"/>
  </cols>
  <sheetData>
    <row r="1" spans="1:18" ht="15.75">
      <c r="B1" s="190" t="s">
        <v>8910</v>
      </c>
      <c r="C1" s="106" t="s">
        <v>14223</v>
      </c>
      <c r="D1" s="106"/>
      <c r="E1" s="105" t="s">
        <v>8924</v>
      </c>
      <c r="F1" s="105" t="s">
        <v>8925</v>
      </c>
      <c r="G1" s="105" t="s">
        <v>7746</v>
      </c>
      <c r="H1" s="105" t="s">
        <v>8926</v>
      </c>
      <c r="I1" s="105" t="s">
        <v>8927</v>
      </c>
      <c r="J1" s="105" t="s">
        <v>7744</v>
      </c>
      <c r="K1" s="105" t="s">
        <v>4</v>
      </c>
      <c r="L1" s="105" t="s">
        <v>7339</v>
      </c>
      <c r="M1" s="105" t="s">
        <v>8928</v>
      </c>
      <c r="N1" s="105" t="s">
        <v>14224</v>
      </c>
      <c r="O1" s="21"/>
    </row>
    <row r="2" spans="1:18">
      <c r="B2" s="34" t="s">
        <v>4021</v>
      </c>
      <c r="C2" s="107" t="s">
        <v>8929</v>
      </c>
      <c r="D2" s="107" t="str">
        <f>$B$1</f>
        <v>Novembro</v>
      </c>
      <c r="E2" s="19" t="s">
        <v>847</v>
      </c>
      <c r="F2" s="19">
        <v>18157427</v>
      </c>
      <c r="G2" s="92">
        <v>34117</v>
      </c>
      <c r="H2" s="19" t="s">
        <v>4419</v>
      </c>
      <c r="I2" s="19"/>
      <c r="J2" s="19" t="s">
        <v>14225</v>
      </c>
      <c r="K2" s="19" t="s">
        <v>7771</v>
      </c>
      <c r="L2" s="19" t="s">
        <v>8935</v>
      </c>
      <c r="M2" s="19">
        <v>20</v>
      </c>
      <c r="N2" s="93">
        <v>76</v>
      </c>
      <c r="O2" s="94" t="s">
        <v>14226</v>
      </c>
      <c r="R2" s="137"/>
    </row>
    <row r="3" spans="1:18">
      <c r="B3" s="34" t="s">
        <v>4020</v>
      </c>
      <c r="C3" s="107" t="s">
        <v>8929</v>
      </c>
      <c r="D3" s="107" t="str">
        <f t="shared" ref="D3:D66" si="0">$B$1</f>
        <v>Novembro</v>
      </c>
      <c r="E3" s="19" t="s">
        <v>2087</v>
      </c>
      <c r="F3" s="19" t="s">
        <v>14227</v>
      </c>
      <c r="G3" s="92">
        <v>20893</v>
      </c>
      <c r="H3" s="19" t="s">
        <v>4420</v>
      </c>
      <c r="I3" s="19"/>
      <c r="J3" s="19" t="s">
        <v>14228</v>
      </c>
      <c r="K3" s="19" t="s">
        <v>558</v>
      </c>
      <c r="L3" s="19" t="s">
        <v>8935</v>
      </c>
      <c r="M3" s="19">
        <v>30</v>
      </c>
      <c r="N3" s="93">
        <v>80</v>
      </c>
      <c r="O3" s="20" t="s">
        <v>14229</v>
      </c>
    </row>
    <row r="4" spans="1:18">
      <c r="B4" s="34" t="s">
        <v>14230</v>
      </c>
      <c r="C4" s="107" t="s">
        <v>8929</v>
      </c>
      <c r="D4" s="107" t="str">
        <f t="shared" si="0"/>
        <v>Novembro</v>
      </c>
      <c r="E4" s="19" t="s">
        <v>963</v>
      </c>
      <c r="F4" s="19" t="s">
        <v>14231</v>
      </c>
      <c r="G4" s="92">
        <v>31073</v>
      </c>
      <c r="H4" s="19" t="s">
        <v>14232</v>
      </c>
      <c r="I4" s="95" t="s">
        <v>14233</v>
      </c>
      <c r="J4" s="19" t="s">
        <v>14234</v>
      </c>
      <c r="K4" s="19" t="s">
        <v>558</v>
      </c>
      <c r="L4" s="19" t="s">
        <v>8935</v>
      </c>
      <c r="M4" s="19">
        <v>20</v>
      </c>
      <c r="N4" s="93">
        <v>75</v>
      </c>
      <c r="O4" s="20" t="s">
        <v>14235</v>
      </c>
    </row>
    <row r="5" spans="1:18">
      <c r="B5" s="34" t="s">
        <v>4019</v>
      </c>
      <c r="C5" s="107" t="s">
        <v>8929</v>
      </c>
      <c r="D5" s="107" t="str">
        <f t="shared" si="0"/>
        <v>Novembro</v>
      </c>
      <c r="E5" s="19" t="s">
        <v>574</v>
      </c>
      <c r="F5" s="19"/>
      <c r="G5" s="19"/>
      <c r="H5" s="19" t="s">
        <v>14236</v>
      </c>
      <c r="I5" s="95" t="s">
        <v>14237</v>
      </c>
      <c r="J5" s="19" t="s">
        <v>14238</v>
      </c>
      <c r="K5" s="19" t="s">
        <v>558</v>
      </c>
      <c r="L5" s="19" t="s">
        <v>8935</v>
      </c>
      <c r="M5" s="19">
        <v>30</v>
      </c>
      <c r="N5" s="93">
        <v>75</v>
      </c>
      <c r="O5" s="20" t="s">
        <v>14239</v>
      </c>
    </row>
    <row r="6" spans="1:18">
      <c r="B6" s="34" t="s">
        <v>4019</v>
      </c>
      <c r="C6" s="107" t="s">
        <v>8929</v>
      </c>
      <c r="D6" s="107" t="str">
        <f t="shared" si="0"/>
        <v>Novembro</v>
      </c>
      <c r="E6" s="19" t="s">
        <v>14240</v>
      </c>
      <c r="F6" s="19">
        <v>1349808911</v>
      </c>
      <c r="G6" s="92">
        <v>27900</v>
      </c>
      <c r="H6" s="19" t="s">
        <v>14241</v>
      </c>
      <c r="I6" s="95" t="s">
        <v>14237</v>
      </c>
      <c r="J6" s="19" t="s">
        <v>14242</v>
      </c>
      <c r="K6" s="19" t="s">
        <v>1225</v>
      </c>
      <c r="L6" s="19" t="s">
        <v>8935</v>
      </c>
      <c r="M6" s="19">
        <v>30</v>
      </c>
      <c r="N6" s="93">
        <v>75</v>
      </c>
      <c r="O6" s="20" t="s">
        <v>14239</v>
      </c>
    </row>
    <row r="7" spans="1:18" ht="16.5">
      <c r="B7" s="34" t="s">
        <v>4093</v>
      </c>
      <c r="C7" s="107" t="s">
        <v>8929</v>
      </c>
      <c r="D7" s="107" t="str">
        <f t="shared" si="0"/>
        <v>Novembro</v>
      </c>
      <c r="E7" s="96" t="s">
        <v>14243</v>
      </c>
      <c r="F7" s="96">
        <v>13998665</v>
      </c>
      <c r="G7" s="97">
        <v>29275</v>
      </c>
      <c r="H7" s="20" t="s">
        <v>2035</v>
      </c>
      <c r="I7" s="20"/>
      <c r="J7" s="20" t="s">
        <v>14244</v>
      </c>
      <c r="K7" s="20" t="s">
        <v>7765</v>
      </c>
      <c r="L7" s="20" t="s">
        <v>8935</v>
      </c>
      <c r="M7" s="20">
        <v>15</v>
      </c>
      <c r="N7" s="93">
        <v>59.9</v>
      </c>
      <c r="O7" s="20" t="s">
        <v>14245</v>
      </c>
    </row>
    <row r="8" spans="1:18">
      <c r="B8" s="34" t="s">
        <v>4018</v>
      </c>
      <c r="C8" s="107" t="s">
        <v>8929</v>
      </c>
      <c r="D8" s="107" t="str">
        <f t="shared" si="0"/>
        <v>Novembro</v>
      </c>
      <c r="E8" s="20" t="s">
        <v>591</v>
      </c>
      <c r="F8" s="20"/>
      <c r="G8" s="94">
        <v>20812</v>
      </c>
      <c r="H8" s="20" t="s">
        <v>14246</v>
      </c>
      <c r="I8" s="98" t="s">
        <v>14247</v>
      </c>
      <c r="J8" s="20" t="s">
        <v>14248</v>
      </c>
      <c r="K8" s="20" t="s">
        <v>558</v>
      </c>
      <c r="L8" s="20" t="s">
        <v>8940</v>
      </c>
      <c r="M8" s="20">
        <v>5</v>
      </c>
      <c r="N8" s="93">
        <v>75</v>
      </c>
      <c r="O8" s="20" t="s">
        <v>14249</v>
      </c>
    </row>
    <row r="9" spans="1:18">
      <c r="B9" s="34" t="s">
        <v>1544</v>
      </c>
      <c r="C9" s="107" t="s">
        <v>8929</v>
      </c>
      <c r="D9" s="107" t="str">
        <f t="shared" si="0"/>
        <v>Novembro</v>
      </c>
      <c r="E9" s="20">
        <v>55016952604</v>
      </c>
      <c r="F9" s="20" t="s">
        <v>14250</v>
      </c>
      <c r="G9" s="92">
        <v>22726</v>
      </c>
      <c r="H9" s="20">
        <v>35999836066</v>
      </c>
      <c r="I9" s="98" t="s">
        <v>14251</v>
      </c>
      <c r="J9" s="20" t="s">
        <v>14252</v>
      </c>
      <c r="K9" s="20" t="s">
        <v>558</v>
      </c>
      <c r="L9" s="20" t="s">
        <v>8940</v>
      </c>
      <c r="M9" s="20">
        <v>20</v>
      </c>
      <c r="N9" s="93">
        <v>75</v>
      </c>
      <c r="O9" s="20" t="s">
        <v>14226</v>
      </c>
    </row>
    <row r="10" spans="1:18">
      <c r="B10" s="34" t="s">
        <v>4016</v>
      </c>
      <c r="C10" s="107" t="s">
        <v>8929</v>
      </c>
      <c r="D10" s="107" t="str">
        <f t="shared" si="0"/>
        <v>Novembro</v>
      </c>
      <c r="E10" s="20" t="s">
        <v>1764</v>
      </c>
      <c r="F10" s="20" t="s">
        <v>14253</v>
      </c>
      <c r="G10" s="94">
        <v>35587</v>
      </c>
      <c r="H10" s="20" t="s">
        <v>14254</v>
      </c>
      <c r="I10" s="98" t="s">
        <v>14255</v>
      </c>
      <c r="J10" s="20" t="s">
        <v>14256</v>
      </c>
      <c r="K10" s="20" t="s">
        <v>558</v>
      </c>
      <c r="L10" s="20" t="s">
        <v>8935</v>
      </c>
      <c r="M10" s="20">
        <v>25</v>
      </c>
      <c r="N10" s="93">
        <v>60</v>
      </c>
      <c r="O10" s="20" t="s">
        <v>14257</v>
      </c>
    </row>
    <row r="11" spans="1:18">
      <c r="B11" s="34" t="s">
        <v>4015</v>
      </c>
      <c r="C11" s="107" t="s">
        <v>8929</v>
      </c>
      <c r="D11" s="107" t="str">
        <f t="shared" si="0"/>
        <v>Novembro</v>
      </c>
      <c r="E11" s="20" t="s">
        <v>7777</v>
      </c>
      <c r="F11" s="96">
        <v>16904442</v>
      </c>
      <c r="G11" s="20"/>
      <c r="H11" s="20" t="s">
        <v>14258</v>
      </c>
      <c r="I11" s="20"/>
      <c r="J11" s="20" t="s">
        <v>14259</v>
      </c>
      <c r="K11" s="20" t="s">
        <v>9510</v>
      </c>
      <c r="L11" s="20" t="s">
        <v>8940</v>
      </c>
      <c r="M11" s="20">
        <v>10</v>
      </c>
      <c r="N11" s="93">
        <v>90</v>
      </c>
      <c r="O11" s="20" t="s">
        <v>14260</v>
      </c>
    </row>
    <row r="12" spans="1:18">
      <c r="B12" s="34" t="s">
        <v>4014</v>
      </c>
      <c r="C12" s="107" t="s">
        <v>8929</v>
      </c>
      <c r="D12" s="107" t="str">
        <f t="shared" si="0"/>
        <v>Novembro</v>
      </c>
      <c r="E12" s="20" t="s">
        <v>174</v>
      </c>
      <c r="F12" s="20" t="s">
        <v>14261</v>
      </c>
      <c r="G12" s="94">
        <v>24384</v>
      </c>
      <c r="H12" s="20" t="s">
        <v>4429</v>
      </c>
      <c r="I12" s="20"/>
      <c r="J12" s="20" t="s">
        <v>14262</v>
      </c>
      <c r="K12" s="20" t="s">
        <v>9203</v>
      </c>
      <c r="L12" s="20" t="s">
        <v>8935</v>
      </c>
      <c r="M12" s="20">
        <v>25</v>
      </c>
      <c r="N12" s="93">
        <v>80</v>
      </c>
      <c r="O12" s="20" t="s">
        <v>14263</v>
      </c>
    </row>
    <row r="13" spans="1:18">
      <c r="A13" t="s">
        <v>14264</v>
      </c>
      <c r="B13" s="34" t="s">
        <v>4096</v>
      </c>
      <c r="C13" s="107" t="s">
        <v>8929</v>
      </c>
      <c r="D13" s="107" t="str">
        <f t="shared" si="0"/>
        <v>Novembro</v>
      </c>
      <c r="E13" s="20" t="s">
        <v>292</v>
      </c>
      <c r="F13" s="20" t="s">
        <v>14265</v>
      </c>
      <c r="G13" s="94">
        <v>18955</v>
      </c>
      <c r="H13" s="20" t="s">
        <v>14266</v>
      </c>
      <c r="I13" s="20"/>
      <c r="J13" s="20" t="s">
        <v>14267</v>
      </c>
      <c r="K13" s="20" t="s">
        <v>9203</v>
      </c>
      <c r="L13" s="20" t="s">
        <v>9432</v>
      </c>
      <c r="M13" s="20">
        <v>30</v>
      </c>
      <c r="N13" s="93">
        <v>99.9</v>
      </c>
      <c r="O13" s="20" t="s">
        <v>14239</v>
      </c>
    </row>
    <row r="14" spans="1:18">
      <c r="B14" s="34" t="s">
        <v>4011</v>
      </c>
      <c r="C14" s="107" t="s">
        <v>8929</v>
      </c>
      <c r="D14" s="107" t="str">
        <f t="shared" si="0"/>
        <v>Novembro</v>
      </c>
      <c r="E14" s="20" t="s">
        <v>518</v>
      </c>
      <c r="F14" s="20">
        <v>530374936</v>
      </c>
      <c r="G14" s="94">
        <v>31974</v>
      </c>
      <c r="H14" s="20">
        <v>35998895409</v>
      </c>
      <c r="I14" s="20"/>
      <c r="J14" s="20" t="s">
        <v>14268</v>
      </c>
      <c r="K14" s="20" t="s">
        <v>32</v>
      </c>
      <c r="L14" s="20" t="s">
        <v>8935</v>
      </c>
      <c r="M14" s="20">
        <v>15</v>
      </c>
      <c r="N14" s="93">
        <v>50</v>
      </c>
      <c r="O14" s="20" t="s">
        <v>14269</v>
      </c>
    </row>
    <row r="15" spans="1:18">
      <c r="B15" s="34" t="s">
        <v>4012</v>
      </c>
      <c r="C15" s="107" t="s">
        <v>8929</v>
      </c>
      <c r="D15" s="107" t="str">
        <f t="shared" si="0"/>
        <v>Novembro</v>
      </c>
      <c r="E15" s="20" t="s">
        <v>1720</v>
      </c>
      <c r="F15" s="20" t="s">
        <v>14270</v>
      </c>
      <c r="G15" s="94">
        <v>26203</v>
      </c>
      <c r="H15" s="20" t="s">
        <v>14271</v>
      </c>
      <c r="I15" s="20"/>
      <c r="J15" s="20" t="s">
        <v>14272</v>
      </c>
      <c r="K15" s="20" t="s">
        <v>220</v>
      </c>
      <c r="L15" s="20" t="s">
        <v>9294</v>
      </c>
      <c r="M15" s="20">
        <v>20</v>
      </c>
      <c r="N15" s="93">
        <v>79.900000000000006</v>
      </c>
      <c r="O15" s="20" t="s">
        <v>14269</v>
      </c>
    </row>
    <row r="16" spans="1:18">
      <c r="B16" s="34" t="s">
        <v>4013</v>
      </c>
      <c r="C16" s="107" t="s">
        <v>8929</v>
      </c>
      <c r="D16" s="107" t="str">
        <f t="shared" si="0"/>
        <v>Novembro</v>
      </c>
      <c r="E16" s="20" t="s">
        <v>1712</v>
      </c>
      <c r="F16" s="20" t="s">
        <v>14273</v>
      </c>
      <c r="G16" s="94">
        <v>34553</v>
      </c>
      <c r="H16" s="20" t="s">
        <v>14274</v>
      </c>
      <c r="I16" s="20"/>
      <c r="J16" s="20" t="s">
        <v>14275</v>
      </c>
      <c r="K16" s="20" t="s">
        <v>1347</v>
      </c>
      <c r="L16" s="20" t="s">
        <v>8935</v>
      </c>
      <c r="M16" s="20">
        <v>20</v>
      </c>
      <c r="N16" s="93">
        <v>79.900000000000006</v>
      </c>
      <c r="O16" s="20" t="s">
        <v>14226</v>
      </c>
    </row>
    <row r="17" spans="1:15">
      <c r="B17" s="34" t="s">
        <v>4009</v>
      </c>
      <c r="C17" s="107" t="s">
        <v>8929</v>
      </c>
      <c r="D17" s="107" t="str">
        <f t="shared" si="0"/>
        <v>Novembro</v>
      </c>
      <c r="E17" s="20" t="s">
        <v>118</v>
      </c>
      <c r="F17" s="20" t="s">
        <v>14276</v>
      </c>
      <c r="G17" s="94">
        <v>24751</v>
      </c>
      <c r="H17" s="20" t="s">
        <v>14277</v>
      </c>
      <c r="I17" s="20"/>
      <c r="J17" s="20" t="s">
        <v>14278</v>
      </c>
      <c r="K17" s="20" t="s">
        <v>9203</v>
      </c>
      <c r="L17" s="20" t="s">
        <v>8935</v>
      </c>
      <c r="M17" s="20">
        <v>20</v>
      </c>
      <c r="N17" s="93">
        <v>70</v>
      </c>
      <c r="O17" s="20" t="s">
        <v>14226</v>
      </c>
    </row>
    <row r="18" spans="1:15">
      <c r="B18" s="34" t="s">
        <v>3999</v>
      </c>
      <c r="C18" s="107" t="s">
        <v>8929</v>
      </c>
      <c r="D18" s="107" t="str">
        <f t="shared" si="0"/>
        <v>Novembro</v>
      </c>
      <c r="E18" s="20" t="s">
        <v>1657</v>
      </c>
      <c r="F18" s="96">
        <v>17851610</v>
      </c>
      <c r="G18" s="94">
        <v>17759</v>
      </c>
      <c r="H18" s="20" t="s">
        <v>1656</v>
      </c>
      <c r="I18" s="99" t="s">
        <v>14279</v>
      </c>
      <c r="J18" s="20" t="s">
        <v>14280</v>
      </c>
      <c r="K18" s="20" t="s">
        <v>1168</v>
      </c>
      <c r="L18" s="20" t="s">
        <v>9271</v>
      </c>
      <c r="M18" s="20">
        <v>20</v>
      </c>
      <c r="N18" s="93">
        <v>75</v>
      </c>
      <c r="O18" s="20" t="s">
        <v>14226</v>
      </c>
    </row>
    <row r="19" spans="1:15">
      <c r="B19" s="34" t="s">
        <v>4010</v>
      </c>
      <c r="C19" s="107" t="s">
        <v>8929</v>
      </c>
      <c r="D19" s="107" t="str">
        <f t="shared" si="0"/>
        <v>Novembro</v>
      </c>
      <c r="E19" s="20" t="s">
        <v>133</v>
      </c>
      <c r="F19" s="20" t="s">
        <v>14281</v>
      </c>
      <c r="G19" s="94">
        <v>28090</v>
      </c>
      <c r="H19" s="20">
        <v>35999161146</v>
      </c>
      <c r="I19" s="20"/>
      <c r="J19" s="20" t="s">
        <v>14282</v>
      </c>
      <c r="K19" s="20" t="s">
        <v>9203</v>
      </c>
      <c r="L19" s="20" t="s">
        <v>9171</v>
      </c>
      <c r="M19" s="20">
        <v>20</v>
      </c>
      <c r="N19" s="93">
        <v>70</v>
      </c>
      <c r="O19" s="20" t="s">
        <v>14226</v>
      </c>
    </row>
    <row r="20" spans="1:15">
      <c r="B20" s="34" t="s">
        <v>3996</v>
      </c>
      <c r="C20" s="107" t="s">
        <v>8929</v>
      </c>
      <c r="D20" s="107" t="str">
        <f t="shared" si="0"/>
        <v>Novembro</v>
      </c>
      <c r="E20" s="20" t="s">
        <v>636</v>
      </c>
      <c r="F20" s="20" t="s">
        <v>14283</v>
      </c>
      <c r="G20" s="94">
        <v>22812</v>
      </c>
      <c r="H20" s="20" t="s">
        <v>14284</v>
      </c>
      <c r="I20" s="20"/>
      <c r="J20" s="20" t="s">
        <v>14285</v>
      </c>
      <c r="K20" s="20" t="s">
        <v>1347</v>
      </c>
      <c r="L20" s="20" t="s">
        <v>9271</v>
      </c>
      <c r="M20" s="20">
        <v>10</v>
      </c>
      <c r="N20" s="93">
        <v>70</v>
      </c>
      <c r="O20" s="20" t="s">
        <v>14286</v>
      </c>
    </row>
    <row r="21" spans="1:15">
      <c r="B21" s="34" t="s">
        <v>4001</v>
      </c>
      <c r="C21" s="107" t="s">
        <v>8929</v>
      </c>
      <c r="D21" s="107" t="str">
        <f t="shared" si="0"/>
        <v>Novembro</v>
      </c>
      <c r="E21" s="20" t="s">
        <v>560</v>
      </c>
      <c r="F21" s="20" t="s">
        <v>14287</v>
      </c>
      <c r="G21" s="94">
        <v>31286</v>
      </c>
      <c r="H21" s="20" t="s">
        <v>559</v>
      </c>
      <c r="I21" s="20"/>
      <c r="J21" s="20" t="s">
        <v>14288</v>
      </c>
      <c r="K21" s="20" t="s">
        <v>9510</v>
      </c>
      <c r="L21" s="20" t="s">
        <v>9271</v>
      </c>
      <c r="M21" s="20">
        <v>5</v>
      </c>
      <c r="N21" s="93">
        <v>60</v>
      </c>
      <c r="O21" s="94" t="s">
        <v>14289</v>
      </c>
    </row>
    <row r="22" spans="1:15">
      <c r="B22" s="34" t="s">
        <v>4000</v>
      </c>
      <c r="C22" s="107" t="s">
        <v>8929</v>
      </c>
      <c r="D22" s="107" t="str">
        <f t="shared" si="0"/>
        <v>Novembro</v>
      </c>
      <c r="E22" s="20" t="s">
        <v>1760</v>
      </c>
      <c r="F22" s="20" t="s">
        <v>14290</v>
      </c>
      <c r="G22" s="94">
        <v>28624</v>
      </c>
      <c r="H22" s="20" t="s">
        <v>4443</v>
      </c>
      <c r="I22" s="98" t="s">
        <v>14291</v>
      </c>
      <c r="J22" s="20" t="s">
        <v>14292</v>
      </c>
      <c r="K22" s="20" t="s">
        <v>14293</v>
      </c>
      <c r="L22" s="20" t="s">
        <v>9271</v>
      </c>
      <c r="M22" s="20">
        <v>30</v>
      </c>
      <c r="N22" s="93">
        <v>60</v>
      </c>
      <c r="O22" s="20" t="s">
        <v>14294</v>
      </c>
    </row>
    <row r="23" spans="1:15">
      <c r="B23" s="34" t="s">
        <v>3998</v>
      </c>
      <c r="C23" s="107" t="s">
        <v>8929</v>
      </c>
      <c r="D23" s="107" t="str">
        <f t="shared" si="0"/>
        <v>Novembro</v>
      </c>
      <c r="E23" s="20" t="s">
        <v>1036</v>
      </c>
      <c r="F23" s="20" t="s">
        <v>14295</v>
      </c>
      <c r="G23" s="94">
        <v>20489</v>
      </c>
      <c r="H23" s="20" t="s">
        <v>14296</v>
      </c>
      <c r="I23" s="20"/>
      <c r="J23" s="20" t="s">
        <v>7820</v>
      </c>
      <c r="K23" s="20" t="s">
        <v>1347</v>
      </c>
      <c r="L23" s="20" t="s">
        <v>9294</v>
      </c>
      <c r="M23" s="20">
        <v>20</v>
      </c>
      <c r="N23" s="93">
        <v>60</v>
      </c>
      <c r="O23" s="20" t="s">
        <v>14294</v>
      </c>
    </row>
    <row r="24" spans="1:15">
      <c r="B24" s="34" t="s">
        <v>2972</v>
      </c>
      <c r="C24" s="107" t="s">
        <v>8929</v>
      </c>
      <c r="D24" s="107" t="str">
        <f t="shared" si="0"/>
        <v>Novembro</v>
      </c>
      <c r="E24" s="20" t="s">
        <v>14297</v>
      </c>
      <c r="F24" s="20" t="s">
        <v>14298</v>
      </c>
      <c r="G24" s="94">
        <v>19231</v>
      </c>
      <c r="H24" s="20">
        <v>35999181486</v>
      </c>
      <c r="I24" s="20"/>
      <c r="J24" s="20" t="s">
        <v>14299</v>
      </c>
      <c r="K24" s="20" t="s">
        <v>7784</v>
      </c>
      <c r="L24" s="20" t="s">
        <v>8995</v>
      </c>
      <c r="M24" s="20">
        <v>20</v>
      </c>
      <c r="N24" s="93">
        <v>90</v>
      </c>
      <c r="O24" s="20" t="s">
        <v>14300</v>
      </c>
    </row>
    <row r="25" spans="1:15">
      <c r="A25" t="s">
        <v>14264</v>
      </c>
      <c r="B25" s="34" t="s">
        <v>4006</v>
      </c>
      <c r="C25" s="107" t="s">
        <v>8929</v>
      </c>
      <c r="D25" s="107" t="str">
        <f t="shared" si="0"/>
        <v>Novembro</v>
      </c>
      <c r="E25" s="20" t="s">
        <v>14301</v>
      </c>
      <c r="F25" s="20" t="s">
        <v>14302</v>
      </c>
      <c r="G25" s="94">
        <v>21627</v>
      </c>
      <c r="H25" s="20">
        <v>9919190232</v>
      </c>
      <c r="I25" s="20"/>
      <c r="J25" s="20" t="s">
        <v>14303</v>
      </c>
      <c r="K25" s="20" t="s">
        <v>9203</v>
      </c>
      <c r="L25" s="20" t="s">
        <v>9271</v>
      </c>
      <c r="M25" s="20">
        <v>10</v>
      </c>
      <c r="N25" s="93">
        <v>60</v>
      </c>
      <c r="O25" s="20" t="s">
        <v>14304</v>
      </c>
    </row>
    <row r="26" spans="1:15">
      <c r="B26" s="34" t="s">
        <v>4005</v>
      </c>
      <c r="C26" s="107" t="s">
        <v>8929</v>
      </c>
      <c r="D26" s="107" t="str">
        <f t="shared" si="0"/>
        <v>Novembro</v>
      </c>
      <c r="E26" s="20" t="s">
        <v>14305</v>
      </c>
      <c r="F26" s="20" t="s">
        <v>14306</v>
      </c>
      <c r="G26" s="94">
        <v>23671</v>
      </c>
      <c r="H26" s="20" t="s">
        <v>4439</v>
      </c>
      <c r="I26" s="20"/>
      <c r="J26" s="20" t="s">
        <v>14307</v>
      </c>
      <c r="K26" s="20" t="s">
        <v>14308</v>
      </c>
      <c r="L26" s="20" t="s">
        <v>8935</v>
      </c>
      <c r="M26" s="20">
        <v>10</v>
      </c>
      <c r="N26" s="93">
        <v>60</v>
      </c>
      <c r="O26" s="20" t="s">
        <v>14309</v>
      </c>
    </row>
    <row r="27" spans="1:15">
      <c r="B27" s="34" t="s">
        <v>4003</v>
      </c>
      <c r="C27" s="107" t="s">
        <v>8929</v>
      </c>
      <c r="D27" s="107" t="str">
        <f t="shared" si="0"/>
        <v>Novembro</v>
      </c>
      <c r="E27" s="20" t="s">
        <v>2078</v>
      </c>
      <c r="F27" s="20" t="s">
        <v>14310</v>
      </c>
      <c r="G27" s="94">
        <v>30825</v>
      </c>
      <c r="H27" s="20" t="s">
        <v>2077</v>
      </c>
      <c r="I27" s="20"/>
      <c r="J27" s="20" t="s">
        <v>14311</v>
      </c>
      <c r="K27" s="20" t="s">
        <v>14312</v>
      </c>
      <c r="L27" s="20" t="s">
        <v>9271</v>
      </c>
      <c r="M27" s="20">
        <v>15</v>
      </c>
      <c r="N27" s="93">
        <v>70</v>
      </c>
      <c r="O27" s="20" t="s">
        <v>14313</v>
      </c>
    </row>
    <row r="28" spans="1:15">
      <c r="B28" s="34" t="s">
        <v>14314</v>
      </c>
      <c r="C28" s="107" t="s">
        <v>8929</v>
      </c>
      <c r="D28" s="107" t="str">
        <f t="shared" si="0"/>
        <v>Novembro</v>
      </c>
      <c r="E28" s="20">
        <v>40880804831</v>
      </c>
      <c r="F28" s="96">
        <v>468530290</v>
      </c>
      <c r="G28" s="94">
        <v>34917</v>
      </c>
      <c r="H28" s="20" t="s">
        <v>14315</v>
      </c>
      <c r="I28" s="98" t="s">
        <v>14316</v>
      </c>
      <c r="J28" s="20" t="s">
        <v>14317</v>
      </c>
      <c r="K28" s="20" t="s">
        <v>9203</v>
      </c>
      <c r="L28" s="20" t="s">
        <v>8935</v>
      </c>
      <c r="M28" s="20">
        <v>10</v>
      </c>
      <c r="N28" s="93">
        <v>60</v>
      </c>
      <c r="O28" s="20" t="s">
        <v>14260</v>
      </c>
    </row>
    <row r="29" spans="1:15">
      <c r="B29" s="34" t="s">
        <v>14318</v>
      </c>
      <c r="C29" s="107" t="s">
        <v>8929</v>
      </c>
      <c r="D29" s="107" t="str">
        <f t="shared" si="0"/>
        <v>Novembro</v>
      </c>
      <c r="E29" s="20" t="s">
        <v>1755</v>
      </c>
      <c r="F29" s="20" t="s">
        <v>14319</v>
      </c>
      <c r="G29" s="94">
        <v>27908</v>
      </c>
      <c r="H29" s="20" t="s">
        <v>14320</v>
      </c>
      <c r="I29" s="20"/>
      <c r="J29" s="20" t="s">
        <v>14321</v>
      </c>
      <c r="K29" s="20" t="s">
        <v>32</v>
      </c>
      <c r="L29" s="20" t="s">
        <v>8935</v>
      </c>
      <c r="M29" s="20">
        <v>20</v>
      </c>
      <c r="N29" s="93">
        <v>40</v>
      </c>
      <c r="O29" s="20" t="s">
        <v>14309</v>
      </c>
    </row>
    <row r="30" spans="1:15">
      <c r="B30" s="34" t="s">
        <v>2287</v>
      </c>
      <c r="C30" s="107" t="s">
        <v>8929</v>
      </c>
      <c r="D30" s="107" t="str">
        <f t="shared" si="0"/>
        <v>Novembro</v>
      </c>
      <c r="E30" s="20" t="s">
        <v>14322</v>
      </c>
      <c r="F30" s="20" t="s">
        <v>14323</v>
      </c>
      <c r="G30" s="94">
        <v>19898</v>
      </c>
      <c r="H30" s="20" t="s">
        <v>14324</v>
      </c>
      <c r="I30" s="20"/>
      <c r="J30" s="20" t="s">
        <v>14325</v>
      </c>
      <c r="K30" s="20" t="s">
        <v>14293</v>
      </c>
      <c r="L30" s="20" t="s">
        <v>8935</v>
      </c>
      <c r="M30" s="20">
        <v>10</v>
      </c>
      <c r="N30" s="93">
        <v>60</v>
      </c>
      <c r="O30" s="20" t="s">
        <v>14326</v>
      </c>
    </row>
    <row r="31" spans="1:15">
      <c r="B31" s="34" t="s">
        <v>3997</v>
      </c>
      <c r="C31" s="107" t="s">
        <v>8929</v>
      </c>
      <c r="D31" s="107" t="str">
        <f t="shared" si="0"/>
        <v>Novembro</v>
      </c>
      <c r="E31" s="20" t="s">
        <v>546</v>
      </c>
      <c r="F31" s="96">
        <v>12334051</v>
      </c>
      <c r="G31" s="94">
        <v>31181</v>
      </c>
      <c r="H31" s="20" t="s">
        <v>545</v>
      </c>
      <c r="I31" s="20"/>
      <c r="J31" s="20" t="s">
        <v>14327</v>
      </c>
      <c r="K31" s="20" t="s">
        <v>558</v>
      </c>
      <c r="L31" s="20" t="s">
        <v>8940</v>
      </c>
      <c r="M31" s="20" t="s">
        <v>10210</v>
      </c>
      <c r="N31" s="93">
        <v>79.900000000000006</v>
      </c>
      <c r="O31" s="20" t="s">
        <v>14260</v>
      </c>
    </row>
    <row r="32" spans="1:15">
      <c r="B32" s="34" t="s">
        <v>835</v>
      </c>
      <c r="C32" s="107" t="s">
        <v>8929</v>
      </c>
      <c r="D32" s="107" t="str">
        <f t="shared" si="0"/>
        <v>Novembro</v>
      </c>
      <c r="E32" s="20" t="s">
        <v>839</v>
      </c>
      <c r="F32" s="20" t="s">
        <v>14328</v>
      </c>
      <c r="G32" s="94">
        <v>23108</v>
      </c>
      <c r="H32" s="20">
        <v>35991674520</v>
      </c>
      <c r="I32" s="20"/>
      <c r="J32" s="20" t="s">
        <v>14329</v>
      </c>
      <c r="K32" s="20" t="s">
        <v>14330</v>
      </c>
      <c r="L32" s="20" t="s">
        <v>8935</v>
      </c>
      <c r="M32" s="20">
        <v>10</v>
      </c>
      <c r="N32" s="93">
        <v>70</v>
      </c>
      <c r="O32" s="94" t="s">
        <v>14331</v>
      </c>
    </row>
    <row r="33" spans="2:15">
      <c r="B33" s="34" t="s">
        <v>1060</v>
      </c>
      <c r="C33" s="107" t="s">
        <v>8929</v>
      </c>
      <c r="D33" s="107" t="str">
        <f t="shared" si="0"/>
        <v>Novembro</v>
      </c>
      <c r="E33" s="20" t="s">
        <v>1063</v>
      </c>
      <c r="F33" s="20">
        <v>14233177</v>
      </c>
      <c r="G33" s="94">
        <v>22343</v>
      </c>
      <c r="H33" s="20">
        <v>35998310405</v>
      </c>
      <c r="I33" s="20"/>
      <c r="J33" s="20" t="s">
        <v>14332</v>
      </c>
      <c r="K33" s="20" t="s">
        <v>32</v>
      </c>
      <c r="L33" s="20" t="s">
        <v>9271</v>
      </c>
      <c r="M33" s="20">
        <v>20</v>
      </c>
      <c r="N33" s="93">
        <v>60</v>
      </c>
      <c r="O33" s="20" t="s">
        <v>14333</v>
      </c>
    </row>
    <row r="34" spans="2:15">
      <c r="B34" s="34" t="s">
        <v>3992</v>
      </c>
      <c r="C34" s="107" t="s">
        <v>8929</v>
      </c>
      <c r="D34" s="107" t="str">
        <f t="shared" si="0"/>
        <v>Novembro</v>
      </c>
      <c r="E34" s="20" t="s">
        <v>919</v>
      </c>
      <c r="F34" s="20" t="s">
        <v>14334</v>
      </c>
      <c r="G34" s="94">
        <v>20591</v>
      </c>
      <c r="H34" s="20">
        <v>35998411078</v>
      </c>
      <c r="I34" s="20"/>
      <c r="J34" s="20" t="s">
        <v>14335</v>
      </c>
      <c r="K34" s="20" t="s">
        <v>220</v>
      </c>
      <c r="L34" s="20" t="s">
        <v>8935</v>
      </c>
      <c r="M34" s="20">
        <v>10</v>
      </c>
      <c r="N34" s="93">
        <v>70</v>
      </c>
      <c r="O34" s="20" t="s">
        <v>14336</v>
      </c>
    </row>
    <row r="35" spans="2:15">
      <c r="B35" s="34" t="s">
        <v>3991</v>
      </c>
      <c r="C35" s="107" t="s">
        <v>8929</v>
      </c>
      <c r="D35" s="107" t="str">
        <f t="shared" si="0"/>
        <v>Novembro</v>
      </c>
      <c r="E35" s="20" t="s">
        <v>216</v>
      </c>
      <c r="F35" s="20" t="s">
        <v>14337</v>
      </c>
      <c r="G35" s="94">
        <v>32318</v>
      </c>
      <c r="H35" s="20">
        <v>35999506571</v>
      </c>
      <c r="I35" s="20"/>
      <c r="J35" s="20" t="s">
        <v>14338</v>
      </c>
      <c r="K35" s="20" t="s">
        <v>14339</v>
      </c>
      <c r="L35" s="20" t="s">
        <v>9188</v>
      </c>
      <c r="M35" s="20">
        <v>20</v>
      </c>
      <c r="N35" s="93">
        <v>60</v>
      </c>
      <c r="O35" s="20" t="s">
        <v>14340</v>
      </c>
    </row>
    <row r="36" spans="2:15">
      <c r="B36" s="34" t="s">
        <v>3990</v>
      </c>
      <c r="C36" s="107" t="s">
        <v>8929</v>
      </c>
      <c r="D36" s="107" t="str">
        <f t="shared" si="0"/>
        <v>Novembro</v>
      </c>
      <c r="E36" s="20" t="s">
        <v>14341</v>
      </c>
      <c r="F36" s="20" t="s">
        <v>14342</v>
      </c>
      <c r="G36" s="94">
        <v>28973</v>
      </c>
      <c r="H36" s="20" t="s">
        <v>14343</v>
      </c>
      <c r="I36" s="20"/>
      <c r="J36" s="20" t="s">
        <v>14344</v>
      </c>
      <c r="K36" s="20" t="s">
        <v>14293</v>
      </c>
      <c r="L36" s="20" t="s">
        <v>8935</v>
      </c>
      <c r="M36" s="20">
        <v>20</v>
      </c>
      <c r="N36" s="93">
        <v>50</v>
      </c>
      <c r="O36" s="20" t="s">
        <v>14309</v>
      </c>
    </row>
    <row r="37" spans="2:15">
      <c r="B37" s="34" t="s">
        <v>14345</v>
      </c>
      <c r="C37" s="107" t="s">
        <v>8929</v>
      </c>
      <c r="D37" s="107" t="str">
        <f t="shared" si="0"/>
        <v>Novembro</v>
      </c>
      <c r="E37" s="20" t="s">
        <v>1333</v>
      </c>
      <c r="F37" s="20" t="s">
        <v>14346</v>
      </c>
      <c r="G37" s="94">
        <v>28021</v>
      </c>
      <c r="H37" s="20" t="s">
        <v>14347</v>
      </c>
      <c r="I37" s="20"/>
      <c r="J37" s="20" t="s">
        <v>14348</v>
      </c>
      <c r="K37" s="20" t="s">
        <v>558</v>
      </c>
      <c r="L37" s="20" t="s">
        <v>8935</v>
      </c>
      <c r="M37" s="20">
        <v>20</v>
      </c>
      <c r="N37" s="93">
        <v>70</v>
      </c>
      <c r="O37" s="20" t="s">
        <v>14349</v>
      </c>
    </row>
    <row r="38" spans="2:15">
      <c r="B38" s="34" t="s">
        <v>14350</v>
      </c>
      <c r="C38" s="107" t="s">
        <v>8929</v>
      </c>
      <c r="D38" s="107" t="str">
        <f t="shared" si="0"/>
        <v>Novembro</v>
      </c>
      <c r="E38" s="20" t="s">
        <v>1333</v>
      </c>
      <c r="F38" s="20" t="s">
        <v>14346</v>
      </c>
      <c r="G38" s="94">
        <v>28021</v>
      </c>
      <c r="H38" s="20" t="s">
        <v>14347</v>
      </c>
      <c r="I38" s="20"/>
      <c r="J38" s="20" t="s">
        <v>14351</v>
      </c>
      <c r="K38" s="20" t="s">
        <v>558</v>
      </c>
      <c r="L38" s="20" t="s">
        <v>8935</v>
      </c>
      <c r="M38" s="20">
        <v>20</v>
      </c>
      <c r="N38" s="93">
        <v>70</v>
      </c>
      <c r="O38" s="20" t="s">
        <v>14349</v>
      </c>
    </row>
    <row r="39" spans="2:15">
      <c r="B39" s="34" t="s">
        <v>3989</v>
      </c>
      <c r="C39" s="107" t="s">
        <v>8929</v>
      </c>
      <c r="D39" s="107" t="str">
        <f t="shared" si="0"/>
        <v>Novembro</v>
      </c>
      <c r="E39" s="20" t="s">
        <v>555</v>
      </c>
      <c r="F39" s="20" t="s">
        <v>14352</v>
      </c>
      <c r="G39" s="94">
        <v>35408</v>
      </c>
      <c r="H39" s="20" t="s">
        <v>14353</v>
      </c>
      <c r="I39" s="20"/>
      <c r="J39" s="20" t="s">
        <v>14354</v>
      </c>
      <c r="K39" s="20" t="s">
        <v>1225</v>
      </c>
      <c r="L39" s="20" t="s">
        <v>8935</v>
      </c>
      <c r="M39" s="20">
        <v>15</v>
      </c>
      <c r="N39" s="93">
        <v>70</v>
      </c>
      <c r="O39" s="20" t="s">
        <v>14355</v>
      </c>
    </row>
    <row r="40" spans="2:15">
      <c r="B40" s="34" t="s">
        <v>3993</v>
      </c>
      <c r="C40" s="107" t="s">
        <v>8929</v>
      </c>
      <c r="D40" s="107" t="str">
        <f t="shared" si="0"/>
        <v>Novembro</v>
      </c>
      <c r="E40" s="20" t="s">
        <v>2245</v>
      </c>
      <c r="F40" s="20" t="s">
        <v>14356</v>
      </c>
      <c r="G40" s="94">
        <v>30959</v>
      </c>
      <c r="H40" s="20" t="s">
        <v>14357</v>
      </c>
      <c r="I40" s="20"/>
      <c r="J40" s="20" t="s">
        <v>14358</v>
      </c>
      <c r="K40" s="20" t="s">
        <v>14330</v>
      </c>
      <c r="L40" s="20" t="s">
        <v>8935</v>
      </c>
      <c r="M40" s="20">
        <v>20</v>
      </c>
      <c r="N40" s="93">
        <v>70</v>
      </c>
      <c r="O40" s="20" t="s">
        <v>14226</v>
      </c>
    </row>
    <row r="41" spans="2:15">
      <c r="B41" s="34" t="s">
        <v>721</v>
      </c>
      <c r="C41" s="107" t="s">
        <v>8929</v>
      </c>
      <c r="D41" s="107" t="str">
        <f t="shared" si="0"/>
        <v>Novembro</v>
      </c>
      <c r="E41" s="100" t="s">
        <v>14359</v>
      </c>
      <c r="F41" s="96">
        <v>7624201</v>
      </c>
      <c r="G41" s="94">
        <v>27157</v>
      </c>
      <c r="H41" s="20" t="s">
        <v>723</v>
      </c>
      <c r="I41" s="20"/>
      <c r="J41" s="20" t="s">
        <v>722</v>
      </c>
      <c r="K41" s="20" t="s">
        <v>1225</v>
      </c>
      <c r="L41" s="20" t="s">
        <v>9271</v>
      </c>
      <c r="M41" s="20">
        <v>25</v>
      </c>
      <c r="N41" s="93">
        <v>60</v>
      </c>
      <c r="O41" s="20" t="s">
        <v>14360</v>
      </c>
    </row>
    <row r="42" spans="2:15">
      <c r="B42" s="34" t="s">
        <v>4101</v>
      </c>
      <c r="C42" s="107" t="s">
        <v>8929</v>
      </c>
      <c r="D42" s="107" t="str">
        <f t="shared" si="0"/>
        <v>Novembro</v>
      </c>
      <c r="E42" s="20" t="s">
        <v>606</v>
      </c>
      <c r="F42" s="20" t="s">
        <v>14361</v>
      </c>
      <c r="G42" s="94">
        <v>28610</v>
      </c>
      <c r="H42" s="20" t="s">
        <v>14362</v>
      </c>
      <c r="I42" s="20"/>
      <c r="J42" s="20" t="s">
        <v>14363</v>
      </c>
      <c r="K42" s="20" t="s">
        <v>220</v>
      </c>
      <c r="L42" s="20" t="s">
        <v>9432</v>
      </c>
      <c r="M42" s="20">
        <v>20</v>
      </c>
      <c r="N42" s="93">
        <v>70</v>
      </c>
      <c r="O42" s="20" t="s">
        <v>14364</v>
      </c>
    </row>
    <row r="43" spans="2:15">
      <c r="B43" s="34" t="s">
        <v>2788</v>
      </c>
      <c r="C43" s="107" t="s">
        <v>8929</v>
      </c>
      <c r="D43" s="107" t="str">
        <f t="shared" si="0"/>
        <v>Novembro</v>
      </c>
      <c r="E43" s="20" t="s">
        <v>947</v>
      </c>
      <c r="F43" s="20">
        <v>293015089</v>
      </c>
      <c r="G43" s="94">
        <v>25747</v>
      </c>
      <c r="H43" s="20" t="s">
        <v>14365</v>
      </c>
      <c r="I43" s="20"/>
      <c r="J43" s="20" t="s">
        <v>14366</v>
      </c>
      <c r="K43" s="20" t="s">
        <v>14367</v>
      </c>
      <c r="L43" s="20" t="s">
        <v>9271</v>
      </c>
      <c r="M43" s="20">
        <v>20</v>
      </c>
      <c r="N43" s="93">
        <v>50</v>
      </c>
      <c r="O43" s="20" t="s">
        <v>14309</v>
      </c>
    </row>
    <row r="44" spans="2:15">
      <c r="B44" s="34" t="s">
        <v>13643</v>
      </c>
      <c r="C44" s="107" t="s">
        <v>8929</v>
      </c>
      <c r="D44" s="107" t="str">
        <f t="shared" si="0"/>
        <v>Novembro</v>
      </c>
      <c r="E44" s="20" t="s">
        <v>690</v>
      </c>
      <c r="F44" s="20" t="s">
        <v>14368</v>
      </c>
      <c r="G44" s="94">
        <v>23370</v>
      </c>
      <c r="H44" s="20" t="s">
        <v>14369</v>
      </c>
      <c r="I44" s="20"/>
      <c r="J44" s="20" t="s">
        <v>14370</v>
      </c>
      <c r="K44" s="20" t="s">
        <v>1225</v>
      </c>
      <c r="L44" s="20" t="s">
        <v>9569</v>
      </c>
      <c r="M44" s="20">
        <v>15</v>
      </c>
      <c r="N44" s="93">
        <v>70</v>
      </c>
      <c r="O44" s="20" t="s">
        <v>14371</v>
      </c>
    </row>
    <row r="45" spans="2:15">
      <c r="B45" s="34" t="s">
        <v>3984</v>
      </c>
      <c r="C45" s="107" t="s">
        <v>8929</v>
      </c>
      <c r="D45" s="107" t="str">
        <f t="shared" si="0"/>
        <v>Novembro</v>
      </c>
      <c r="E45" s="20" t="s">
        <v>927</v>
      </c>
      <c r="F45" s="20" t="s">
        <v>14372</v>
      </c>
      <c r="G45" s="94">
        <v>25861</v>
      </c>
      <c r="H45" s="20">
        <v>35998418890</v>
      </c>
      <c r="I45" s="20"/>
      <c r="J45" s="20" t="s">
        <v>14373</v>
      </c>
      <c r="K45" s="20" t="s">
        <v>14374</v>
      </c>
      <c r="L45" s="20" t="s">
        <v>9171</v>
      </c>
      <c r="M45" s="20">
        <v>10</v>
      </c>
      <c r="N45" s="93">
        <v>60</v>
      </c>
      <c r="O45" s="94" t="s">
        <v>14375</v>
      </c>
    </row>
    <row r="46" spans="2:15">
      <c r="B46" s="34" t="s">
        <v>14376</v>
      </c>
      <c r="C46" s="107" t="s">
        <v>8929</v>
      </c>
      <c r="D46" s="107" t="str">
        <f t="shared" si="0"/>
        <v>Novembro</v>
      </c>
      <c r="E46" s="20" t="s">
        <v>14377</v>
      </c>
      <c r="F46" s="20" t="s">
        <v>14378</v>
      </c>
      <c r="G46" s="94">
        <v>32063</v>
      </c>
      <c r="H46" s="20">
        <v>999268040</v>
      </c>
      <c r="I46" s="20"/>
      <c r="J46" s="20" t="s">
        <v>14379</v>
      </c>
      <c r="K46" s="20" t="s">
        <v>14380</v>
      </c>
      <c r="L46" s="20" t="s">
        <v>8935</v>
      </c>
      <c r="M46" s="20">
        <v>30</v>
      </c>
      <c r="N46" s="93">
        <v>60</v>
      </c>
      <c r="O46" s="20" t="s">
        <v>14294</v>
      </c>
    </row>
    <row r="47" spans="2:15">
      <c r="B47" s="34" t="s">
        <v>3986</v>
      </c>
      <c r="C47" s="107" t="s">
        <v>8929</v>
      </c>
      <c r="D47" s="107" t="str">
        <f t="shared" si="0"/>
        <v>Novembro</v>
      </c>
      <c r="E47" s="20" t="s">
        <v>1369</v>
      </c>
      <c r="F47" s="20" t="s">
        <v>14381</v>
      </c>
      <c r="G47" s="94">
        <v>24200</v>
      </c>
      <c r="H47" s="20">
        <v>998123743</v>
      </c>
      <c r="I47" s="20"/>
      <c r="J47" s="20" t="s">
        <v>14382</v>
      </c>
      <c r="K47" s="20" t="s">
        <v>7865</v>
      </c>
      <c r="L47" s="20" t="s">
        <v>8935</v>
      </c>
      <c r="M47" s="20">
        <v>25</v>
      </c>
      <c r="N47" s="93">
        <v>60</v>
      </c>
      <c r="O47" s="20" t="s">
        <v>14383</v>
      </c>
    </row>
    <row r="48" spans="2:15">
      <c r="B48" s="36" t="s">
        <v>3981</v>
      </c>
      <c r="C48" s="107" t="s">
        <v>8929</v>
      </c>
      <c r="D48" s="107" t="str">
        <f t="shared" si="0"/>
        <v>Novembro</v>
      </c>
      <c r="E48" s="20" t="s">
        <v>2042</v>
      </c>
      <c r="F48" s="20" t="s">
        <v>14384</v>
      </c>
      <c r="G48" s="94">
        <v>33742</v>
      </c>
      <c r="H48" s="20" t="s">
        <v>14385</v>
      </c>
      <c r="I48" s="20"/>
      <c r="J48" s="20" t="s">
        <v>14386</v>
      </c>
      <c r="K48" s="20" t="s">
        <v>1225</v>
      </c>
      <c r="L48" s="20" t="s">
        <v>8935</v>
      </c>
      <c r="M48" s="20">
        <v>20</v>
      </c>
      <c r="N48" s="93">
        <v>70</v>
      </c>
      <c r="O48" s="94" t="s">
        <v>14226</v>
      </c>
    </row>
    <row r="49" spans="2:15">
      <c r="B49" s="34" t="s">
        <v>2906</v>
      </c>
      <c r="C49" s="107" t="s">
        <v>8929</v>
      </c>
      <c r="D49" s="107" t="str">
        <f t="shared" si="0"/>
        <v>Novembro</v>
      </c>
      <c r="E49" s="20" t="s">
        <v>435</v>
      </c>
      <c r="F49" s="20" t="s">
        <v>14387</v>
      </c>
      <c r="G49" s="94">
        <v>32234</v>
      </c>
      <c r="H49" s="20" t="s">
        <v>434</v>
      </c>
      <c r="I49" s="20"/>
      <c r="J49" s="20" t="s">
        <v>14388</v>
      </c>
      <c r="K49" s="20" t="s">
        <v>90</v>
      </c>
      <c r="L49" s="20" t="s">
        <v>9518</v>
      </c>
      <c r="M49" s="20">
        <v>15</v>
      </c>
      <c r="N49" s="93">
        <v>70</v>
      </c>
      <c r="O49" s="20" t="s">
        <v>14389</v>
      </c>
    </row>
    <row r="50" spans="2:15">
      <c r="B50" s="34" t="s">
        <v>3980</v>
      </c>
      <c r="C50" s="107" t="s">
        <v>8929</v>
      </c>
      <c r="D50" s="107" t="str">
        <f t="shared" si="0"/>
        <v>Novembro</v>
      </c>
      <c r="E50" s="20" t="s">
        <v>1222</v>
      </c>
      <c r="F50" s="20" t="s">
        <v>14390</v>
      </c>
      <c r="G50" s="94">
        <v>29229</v>
      </c>
      <c r="H50" s="20" t="s">
        <v>14391</v>
      </c>
      <c r="I50" s="20"/>
      <c r="J50" s="20" t="s">
        <v>14392</v>
      </c>
      <c r="K50" s="20" t="s">
        <v>90</v>
      </c>
      <c r="L50" s="20" t="s">
        <v>8935</v>
      </c>
      <c r="M50" s="20">
        <v>20</v>
      </c>
      <c r="N50" s="93">
        <v>40</v>
      </c>
      <c r="O50" s="93" t="s">
        <v>14226</v>
      </c>
    </row>
    <row r="51" spans="2:15">
      <c r="B51" s="34" t="s">
        <v>3979</v>
      </c>
      <c r="C51" s="107" t="s">
        <v>8929</v>
      </c>
      <c r="D51" s="107" t="str">
        <f t="shared" si="0"/>
        <v>Novembro</v>
      </c>
      <c r="E51" s="20" t="s">
        <v>915</v>
      </c>
      <c r="F51" s="96">
        <v>17170619</v>
      </c>
      <c r="G51" s="94">
        <v>32896</v>
      </c>
      <c r="H51" s="20" t="s">
        <v>914</v>
      </c>
      <c r="I51" s="20"/>
      <c r="J51" s="20" t="s">
        <v>14393</v>
      </c>
      <c r="K51" s="20" t="s">
        <v>1225</v>
      </c>
      <c r="L51" s="20" t="s">
        <v>9271</v>
      </c>
      <c r="M51" s="20">
        <v>10</v>
      </c>
      <c r="N51" s="93">
        <v>70</v>
      </c>
      <c r="O51" s="93" t="s">
        <v>14331</v>
      </c>
    </row>
    <row r="52" spans="2:15">
      <c r="B52" s="34" t="s">
        <v>2900</v>
      </c>
      <c r="C52" s="107" t="s">
        <v>8929</v>
      </c>
      <c r="D52" s="107" t="str">
        <f t="shared" si="0"/>
        <v>Novembro</v>
      </c>
      <c r="E52" s="20" t="s">
        <v>2134</v>
      </c>
      <c r="F52" s="20">
        <v>11610743</v>
      </c>
      <c r="G52" s="94">
        <v>31496</v>
      </c>
      <c r="H52" s="20" t="s">
        <v>14394</v>
      </c>
      <c r="I52" s="20"/>
      <c r="J52" s="20" t="s">
        <v>14395</v>
      </c>
      <c r="K52" s="20" t="s">
        <v>32</v>
      </c>
      <c r="L52" s="20" t="s">
        <v>8935</v>
      </c>
      <c r="M52" s="20" t="s">
        <v>14396</v>
      </c>
      <c r="N52" s="93">
        <v>50</v>
      </c>
      <c r="O52" s="20" t="s">
        <v>14397</v>
      </c>
    </row>
    <row r="53" spans="2:15">
      <c r="B53" s="34" t="s">
        <v>3973</v>
      </c>
      <c r="C53" s="107" t="s">
        <v>8929</v>
      </c>
      <c r="D53" s="107" t="str">
        <f>$B$1</f>
        <v>Novembro</v>
      </c>
      <c r="E53" s="20" t="s">
        <v>1271</v>
      </c>
      <c r="F53" s="20" t="s">
        <v>14398</v>
      </c>
      <c r="G53" s="94">
        <v>21128</v>
      </c>
      <c r="H53" s="20" t="s">
        <v>4473</v>
      </c>
      <c r="I53" s="20"/>
      <c r="J53" s="20" t="s">
        <v>14399</v>
      </c>
      <c r="K53" s="20" t="s">
        <v>32</v>
      </c>
      <c r="L53" s="20" t="s">
        <v>9319</v>
      </c>
      <c r="M53" s="20">
        <v>20</v>
      </c>
      <c r="N53" s="93">
        <v>60</v>
      </c>
      <c r="O53" s="20" t="s">
        <v>14309</v>
      </c>
    </row>
    <row r="54" spans="2:15">
      <c r="B54" s="34" t="s">
        <v>3967</v>
      </c>
      <c r="C54" s="107" t="s">
        <v>8929</v>
      </c>
      <c r="D54" s="107" t="str">
        <f t="shared" si="0"/>
        <v>Novembro</v>
      </c>
      <c r="E54" s="20" t="s">
        <v>971</v>
      </c>
      <c r="F54" s="20" t="s">
        <v>14400</v>
      </c>
      <c r="G54" s="94">
        <v>27479</v>
      </c>
      <c r="H54" s="20" t="s">
        <v>14401</v>
      </c>
      <c r="I54" s="20"/>
      <c r="J54" s="20" t="s">
        <v>14402</v>
      </c>
      <c r="K54" s="20" t="s">
        <v>14403</v>
      </c>
      <c r="L54" s="20" t="s">
        <v>9319</v>
      </c>
      <c r="M54" s="20">
        <v>10</v>
      </c>
      <c r="N54" s="93">
        <v>60</v>
      </c>
      <c r="O54" s="20" t="s">
        <v>14331</v>
      </c>
    </row>
    <row r="55" spans="2:15">
      <c r="B55" s="34" t="s">
        <v>3976</v>
      </c>
      <c r="C55" s="107" t="s">
        <v>8929</v>
      </c>
      <c r="D55" s="107" t="str">
        <f t="shared" si="0"/>
        <v>Novembro</v>
      </c>
      <c r="E55" s="20" t="s">
        <v>943</v>
      </c>
      <c r="F55" s="20">
        <v>13547608</v>
      </c>
      <c r="G55" s="94">
        <v>19421</v>
      </c>
      <c r="H55" s="20" t="s">
        <v>14404</v>
      </c>
      <c r="I55" s="20"/>
      <c r="J55" s="20" t="s">
        <v>14405</v>
      </c>
      <c r="K55" s="20" t="s">
        <v>1347</v>
      </c>
      <c r="L55" s="20" t="s">
        <v>9319</v>
      </c>
      <c r="M55" s="20">
        <v>5</v>
      </c>
      <c r="N55" s="93">
        <v>70</v>
      </c>
      <c r="O55" s="20" t="s">
        <v>14397</v>
      </c>
    </row>
    <row r="56" spans="2:15">
      <c r="B56" s="34" t="s">
        <v>3978</v>
      </c>
      <c r="C56" s="107" t="s">
        <v>8929</v>
      </c>
      <c r="D56" s="107" t="str">
        <f t="shared" si="0"/>
        <v>Novembro</v>
      </c>
      <c r="E56" s="20" t="s">
        <v>2137</v>
      </c>
      <c r="F56" s="96">
        <v>8579505</v>
      </c>
      <c r="G56" s="94">
        <v>21543</v>
      </c>
      <c r="H56" s="20" t="s">
        <v>14406</v>
      </c>
      <c r="I56" s="20"/>
      <c r="J56" s="20" t="s">
        <v>14407</v>
      </c>
      <c r="K56" s="20" t="s">
        <v>90</v>
      </c>
      <c r="L56" s="20" t="s">
        <v>9319</v>
      </c>
      <c r="M56" s="20">
        <v>20</v>
      </c>
      <c r="N56" s="93">
        <v>60</v>
      </c>
      <c r="O56" s="94" t="s">
        <v>14309</v>
      </c>
    </row>
    <row r="57" spans="2:15">
      <c r="B57" s="34" t="s">
        <v>3969</v>
      </c>
      <c r="C57" s="107" t="s">
        <v>8929</v>
      </c>
      <c r="D57" s="107" t="str">
        <f t="shared" si="0"/>
        <v>Novembro</v>
      </c>
      <c r="E57" s="20" t="s">
        <v>1499</v>
      </c>
      <c r="F57" s="20">
        <v>12868854</v>
      </c>
      <c r="G57" s="94">
        <v>29960</v>
      </c>
      <c r="H57" s="20" t="s">
        <v>14408</v>
      </c>
      <c r="I57" s="20"/>
      <c r="J57" s="20" t="s">
        <v>14409</v>
      </c>
      <c r="K57" s="20" t="s">
        <v>9489</v>
      </c>
      <c r="L57" s="20" t="s">
        <v>9319</v>
      </c>
      <c r="M57" s="20">
        <v>15</v>
      </c>
      <c r="N57" s="93">
        <v>50</v>
      </c>
      <c r="O57" s="94" t="s">
        <v>14410</v>
      </c>
    </row>
    <row r="58" spans="2:15">
      <c r="B58" s="34" t="s">
        <v>14411</v>
      </c>
      <c r="C58" s="107" t="s">
        <v>8929</v>
      </c>
      <c r="D58" s="107" t="str">
        <f t="shared" si="0"/>
        <v>Novembro</v>
      </c>
      <c r="E58" s="20" t="s">
        <v>1537</v>
      </c>
      <c r="F58" s="20" t="s">
        <v>14412</v>
      </c>
      <c r="G58" s="94">
        <v>28186</v>
      </c>
      <c r="H58" s="20">
        <v>35999163104</v>
      </c>
      <c r="I58" s="20"/>
      <c r="J58" s="20" t="s">
        <v>14413</v>
      </c>
      <c r="K58" s="20" t="s">
        <v>9203</v>
      </c>
      <c r="L58" s="20" t="s">
        <v>9319</v>
      </c>
      <c r="M58" s="20">
        <v>20</v>
      </c>
      <c r="N58" s="93">
        <v>70</v>
      </c>
      <c r="O58" s="20" t="s">
        <v>14226</v>
      </c>
    </row>
    <row r="59" spans="2:15">
      <c r="B59" s="34" t="s">
        <v>3970</v>
      </c>
      <c r="C59" s="107" t="s">
        <v>8929</v>
      </c>
      <c r="D59" s="107" t="str">
        <f t="shared" si="0"/>
        <v>Novembro</v>
      </c>
      <c r="E59" s="20" t="s">
        <v>1187</v>
      </c>
      <c r="F59" s="20" t="s">
        <v>14414</v>
      </c>
      <c r="G59" s="94">
        <v>27332</v>
      </c>
      <c r="H59" s="20" t="s">
        <v>14415</v>
      </c>
      <c r="I59" s="20"/>
      <c r="J59" s="20" t="s">
        <v>14416</v>
      </c>
      <c r="K59" s="20" t="s">
        <v>9203</v>
      </c>
      <c r="L59" s="20" t="s">
        <v>9319</v>
      </c>
      <c r="M59" s="20">
        <v>10</v>
      </c>
      <c r="N59" s="93">
        <v>40</v>
      </c>
      <c r="O59" s="20"/>
    </row>
    <row r="60" spans="2:15">
      <c r="B60" s="34" t="s">
        <v>3971</v>
      </c>
      <c r="C60" s="107" t="s">
        <v>8929</v>
      </c>
      <c r="D60" s="107" t="str">
        <f t="shared" si="0"/>
        <v>Novembro</v>
      </c>
      <c r="E60" s="20" t="s">
        <v>164</v>
      </c>
      <c r="F60" s="20" t="s">
        <v>14417</v>
      </c>
      <c r="G60" s="20"/>
      <c r="H60" s="20" t="s">
        <v>14418</v>
      </c>
      <c r="I60" s="20"/>
      <c r="J60" s="20" t="s">
        <v>14419</v>
      </c>
      <c r="K60" s="20" t="s">
        <v>7765</v>
      </c>
      <c r="L60" s="20" t="s">
        <v>9319</v>
      </c>
      <c r="M60" s="20">
        <v>15</v>
      </c>
      <c r="N60" s="93">
        <v>50</v>
      </c>
      <c r="O60" s="94">
        <v>44180</v>
      </c>
    </row>
    <row r="61" spans="2:15">
      <c r="B61" s="34" t="s">
        <v>2942</v>
      </c>
      <c r="C61" s="107" t="s">
        <v>8929</v>
      </c>
      <c r="D61" s="107" t="str">
        <f t="shared" si="0"/>
        <v>Novembro</v>
      </c>
      <c r="E61" s="20" t="s">
        <v>1885</v>
      </c>
      <c r="F61" s="20" t="s">
        <v>14420</v>
      </c>
      <c r="G61" s="94">
        <v>27319</v>
      </c>
      <c r="H61" s="20">
        <v>35991147759</v>
      </c>
      <c r="I61" s="20"/>
      <c r="J61" s="20" t="s">
        <v>14421</v>
      </c>
      <c r="K61" s="20" t="s">
        <v>14422</v>
      </c>
      <c r="L61" s="20" t="s">
        <v>9518</v>
      </c>
      <c r="M61" s="20">
        <v>30</v>
      </c>
      <c r="N61" s="93">
        <v>90</v>
      </c>
      <c r="O61" s="20" t="s">
        <v>14239</v>
      </c>
    </row>
    <row r="62" spans="2:15">
      <c r="B62" s="34" t="s">
        <v>3075</v>
      </c>
      <c r="C62" s="107" t="s">
        <v>8929</v>
      </c>
      <c r="D62" s="107" t="str">
        <f t="shared" si="0"/>
        <v>Novembro</v>
      </c>
      <c r="E62" s="20" t="s">
        <v>200</v>
      </c>
      <c r="F62" s="20">
        <v>14877308</v>
      </c>
      <c r="G62" s="94">
        <v>31762</v>
      </c>
      <c r="H62" s="20">
        <v>35998946054</v>
      </c>
      <c r="I62" s="20"/>
      <c r="J62" s="20" t="s">
        <v>14423</v>
      </c>
      <c r="K62" s="20" t="s">
        <v>14367</v>
      </c>
      <c r="L62" s="20" t="s">
        <v>9319</v>
      </c>
      <c r="M62" s="20">
        <v>20</v>
      </c>
      <c r="N62" s="93">
        <v>60</v>
      </c>
      <c r="O62" s="20" t="s">
        <v>14424</v>
      </c>
    </row>
    <row r="63" spans="2:15">
      <c r="B63" s="34" t="s">
        <v>3963</v>
      </c>
      <c r="C63" s="107" t="s">
        <v>8929</v>
      </c>
      <c r="D63" s="107" t="str">
        <f t="shared" si="0"/>
        <v>Novembro</v>
      </c>
      <c r="E63" s="20" t="s">
        <v>1965</v>
      </c>
      <c r="F63" s="20">
        <v>797308504</v>
      </c>
      <c r="G63" s="94">
        <v>28391</v>
      </c>
      <c r="H63" s="20">
        <v>35997499302</v>
      </c>
      <c r="I63" s="20"/>
      <c r="J63" s="20" t="s">
        <v>14425</v>
      </c>
      <c r="K63" s="20" t="s">
        <v>14426</v>
      </c>
      <c r="L63" s="20" t="s">
        <v>9319</v>
      </c>
      <c r="M63" s="20">
        <v>20</v>
      </c>
      <c r="N63" s="93">
        <v>76</v>
      </c>
      <c r="O63" s="20" t="s">
        <v>14226</v>
      </c>
    </row>
    <row r="64" spans="2:15">
      <c r="B64" s="34" t="s">
        <v>3959</v>
      </c>
      <c r="C64" s="107" t="s">
        <v>8929</v>
      </c>
      <c r="D64" s="107" t="str">
        <f t="shared" si="0"/>
        <v>Novembro</v>
      </c>
      <c r="E64" s="20" t="s">
        <v>1459</v>
      </c>
      <c r="F64" s="20">
        <v>18812932</v>
      </c>
      <c r="G64" s="94">
        <v>27474</v>
      </c>
      <c r="H64" s="20">
        <v>35999095971</v>
      </c>
      <c r="I64" s="20"/>
      <c r="J64" s="20" t="s">
        <v>14427</v>
      </c>
      <c r="K64" s="20" t="s">
        <v>14428</v>
      </c>
      <c r="L64" s="20" t="s">
        <v>9319</v>
      </c>
      <c r="M64" s="20">
        <v>20</v>
      </c>
      <c r="N64" s="93">
        <v>60</v>
      </c>
      <c r="O64" s="20" t="s">
        <v>14429</v>
      </c>
    </row>
    <row r="65" spans="1:15">
      <c r="B65" s="34" t="s">
        <v>14430</v>
      </c>
      <c r="C65" s="107" t="s">
        <v>8929</v>
      </c>
      <c r="D65" s="107" t="str">
        <f t="shared" si="0"/>
        <v>Novembro</v>
      </c>
      <c r="E65" s="20" t="s">
        <v>513</v>
      </c>
      <c r="F65" s="20">
        <v>28734040064</v>
      </c>
      <c r="G65" s="20"/>
      <c r="H65" s="20">
        <v>35998599078</v>
      </c>
      <c r="I65" s="20"/>
      <c r="J65" s="20" t="s">
        <v>14431</v>
      </c>
      <c r="K65" s="20" t="s">
        <v>1168</v>
      </c>
      <c r="L65" s="20" t="s">
        <v>9319</v>
      </c>
      <c r="M65" s="20">
        <v>25</v>
      </c>
      <c r="N65" s="93">
        <v>70</v>
      </c>
      <c r="O65" s="20" t="s">
        <v>14432</v>
      </c>
    </row>
    <row r="66" spans="1:15">
      <c r="B66" s="34" t="s">
        <v>3965</v>
      </c>
      <c r="C66" s="107" t="s">
        <v>8929</v>
      </c>
      <c r="D66" s="107" t="str">
        <f t="shared" si="0"/>
        <v>Novembro</v>
      </c>
      <c r="E66" s="20" t="s">
        <v>1773</v>
      </c>
      <c r="F66" s="20" t="s">
        <v>14433</v>
      </c>
      <c r="G66" s="94">
        <v>33091</v>
      </c>
      <c r="H66" s="20" t="s">
        <v>4482</v>
      </c>
      <c r="I66" s="20"/>
      <c r="J66" s="20" t="s">
        <v>14434</v>
      </c>
      <c r="K66" s="20" t="s">
        <v>1519</v>
      </c>
      <c r="L66" s="20" t="s">
        <v>9498</v>
      </c>
      <c r="M66" s="20">
        <v>20</v>
      </c>
      <c r="N66" s="93">
        <v>50</v>
      </c>
      <c r="O66" s="94" t="s">
        <v>14435</v>
      </c>
    </row>
    <row r="67" spans="1:15">
      <c r="A67" t="s">
        <v>14264</v>
      </c>
      <c r="B67" s="34" t="s">
        <v>3964</v>
      </c>
      <c r="C67" s="107" t="s">
        <v>8929</v>
      </c>
      <c r="D67" s="107" t="str">
        <f t="shared" ref="D67:D78" si="1">$B$1</f>
        <v>Novembro</v>
      </c>
      <c r="E67" s="20" t="s">
        <v>1483</v>
      </c>
      <c r="F67" s="96" t="s">
        <v>14436</v>
      </c>
      <c r="G67" s="94">
        <v>29477</v>
      </c>
      <c r="H67" s="20">
        <v>35998049724</v>
      </c>
      <c r="I67" s="20"/>
      <c r="J67" s="20" t="s">
        <v>14437</v>
      </c>
      <c r="K67" s="20" t="s">
        <v>14380</v>
      </c>
      <c r="L67" s="20" t="s">
        <v>9319</v>
      </c>
      <c r="M67" s="20">
        <v>10</v>
      </c>
      <c r="N67" s="93">
        <v>70</v>
      </c>
      <c r="O67" s="20" t="s">
        <v>14331</v>
      </c>
    </row>
    <row r="68" spans="1:15">
      <c r="B68" s="34" t="s">
        <v>3961</v>
      </c>
      <c r="C68" s="107" t="s">
        <v>8929</v>
      </c>
      <c r="D68" s="107" t="str">
        <f t="shared" si="1"/>
        <v>Novembro</v>
      </c>
      <c r="E68" s="20" t="s">
        <v>1455</v>
      </c>
      <c r="F68" s="20" t="s">
        <v>14438</v>
      </c>
      <c r="G68" s="94">
        <v>30147</v>
      </c>
      <c r="H68" s="20">
        <v>35998845200</v>
      </c>
      <c r="I68" s="20"/>
      <c r="J68" s="20" t="s">
        <v>14439</v>
      </c>
      <c r="K68" s="20" t="s">
        <v>14440</v>
      </c>
      <c r="L68" s="20" t="s">
        <v>9319</v>
      </c>
      <c r="M68" s="20">
        <v>30</v>
      </c>
      <c r="N68" s="93">
        <v>69.900000000000006</v>
      </c>
      <c r="O68" s="20" t="s">
        <v>14239</v>
      </c>
    </row>
    <row r="69" spans="1:15">
      <c r="B69" s="34" t="s">
        <v>3962</v>
      </c>
      <c r="C69" s="107" t="s">
        <v>8929</v>
      </c>
      <c r="D69" s="107" t="str">
        <f t="shared" si="1"/>
        <v>Novembro</v>
      </c>
      <c r="E69" s="20" t="s">
        <v>2095</v>
      </c>
      <c r="F69" s="20" t="s">
        <v>14441</v>
      </c>
      <c r="G69" s="94">
        <v>23852</v>
      </c>
      <c r="H69" s="20">
        <v>35999048995</v>
      </c>
      <c r="I69" s="20"/>
      <c r="J69" s="20" t="s">
        <v>14442</v>
      </c>
      <c r="K69" s="20" t="s">
        <v>1347</v>
      </c>
      <c r="L69" s="20" t="s">
        <v>9518</v>
      </c>
      <c r="M69" s="20">
        <v>10</v>
      </c>
      <c r="N69" s="93">
        <v>69.900000000000006</v>
      </c>
      <c r="O69" s="94" t="s">
        <v>14443</v>
      </c>
    </row>
    <row r="70" spans="1:15">
      <c r="B70" s="34" t="s">
        <v>14444</v>
      </c>
      <c r="C70" s="107" t="s">
        <v>8929</v>
      </c>
      <c r="D70" s="107" t="str">
        <f t="shared" si="1"/>
        <v>Novembro</v>
      </c>
      <c r="E70" s="20" t="s">
        <v>1487</v>
      </c>
      <c r="F70" s="20" t="s">
        <v>14445</v>
      </c>
      <c r="G70" s="94">
        <v>31839</v>
      </c>
      <c r="H70" s="20" t="s">
        <v>14446</v>
      </c>
      <c r="I70" s="20"/>
      <c r="J70" s="20" t="s">
        <v>14447</v>
      </c>
      <c r="K70" s="20" t="s">
        <v>7765</v>
      </c>
      <c r="L70" s="20" t="s">
        <v>9319</v>
      </c>
      <c r="M70" s="20">
        <v>15</v>
      </c>
      <c r="N70" s="93">
        <v>50</v>
      </c>
      <c r="O70" s="94" t="s">
        <v>14448</v>
      </c>
    </row>
    <row r="71" spans="1:15">
      <c r="B71" s="34" t="s">
        <v>3960</v>
      </c>
      <c r="C71" s="107" t="s">
        <v>8929</v>
      </c>
      <c r="D71" s="107" t="str">
        <f t="shared" si="1"/>
        <v>Novembro</v>
      </c>
      <c r="E71" s="20" t="s">
        <v>1375</v>
      </c>
      <c r="F71" s="20" t="s">
        <v>14449</v>
      </c>
      <c r="G71" s="94">
        <v>22977</v>
      </c>
      <c r="H71" s="20">
        <v>35998161945</v>
      </c>
      <c r="I71" s="20"/>
      <c r="J71" s="20" t="s">
        <v>14450</v>
      </c>
      <c r="K71" s="20" t="s">
        <v>14451</v>
      </c>
      <c r="L71" s="20" t="s">
        <v>9319</v>
      </c>
      <c r="M71" s="20">
        <v>20</v>
      </c>
      <c r="N71" s="93">
        <v>70</v>
      </c>
      <c r="O71" s="20" t="s">
        <v>14226</v>
      </c>
    </row>
    <row r="72" spans="1:15">
      <c r="B72" s="36" t="s">
        <v>3958</v>
      </c>
      <c r="C72" s="107" t="s">
        <v>8929</v>
      </c>
      <c r="D72" s="107" t="str">
        <f t="shared" si="1"/>
        <v>Novembro</v>
      </c>
      <c r="E72" s="20" t="s">
        <v>1844</v>
      </c>
      <c r="F72" s="20">
        <v>18010123</v>
      </c>
      <c r="G72" s="94">
        <v>34899</v>
      </c>
      <c r="H72" s="20" t="s">
        <v>14452</v>
      </c>
      <c r="I72" s="20"/>
      <c r="J72" s="20" t="s">
        <v>14453</v>
      </c>
      <c r="K72" s="20" t="s">
        <v>14454</v>
      </c>
      <c r="L72" s="20" t="s">
        <v>9319</v>
      </c>
      <c r="M72" s="20">
        <v>10</v>
      </c>
      <c r="N72" s="93">
        <v>70</v>
      </c>
      <c r="O72" s="94" t="s">
        <v>14331</v>
      </c>
    </row>
    <row r="73" spans="1:15">
      <c r="B73" s="34" t="s">
        <v>3955</v>
      </c>
      <c r="C73" s="107" t="s">
        <v>8929</v>
      </c>
      <c r="D73" s="107" t="str">
        <f t="shared" si="1"/>
        <v>Novembro</v>
      </c>
      <c r="E73" s="20" t="s">
        <v>60</v>
      </c>
      <c r="F73" s="20" t="s">
        <v>14455</v>
      </c>
      <c r="G73" s="94">
        <v>29163</v>
      </c>
      <c r="H73" s="20">
        <v>35999148656</v>
      </c>
      <c r="I73" s="20"/>
      <c r="J73" s="20" t="s">
        <v>14456</v>
      </c>
      <c r="K73" s="20" t="s">
        <v>7765</v>
      </c>
      <c r="L73" s="20" t="s">
        <v>9319</v>
      </c>
      <c r="M73" s="20">
        <v>15</v>
      </c>
      <c r="N73" s="93">
        <v>60</v>
      </c>
      <c r="O73" s="20" t="s">
        <v>14269</v>
      </c>
    </row>
    <row r="74" spans="1:15">
      <c r="B74" s="34" t="s">
        <v>14457</v>
      </c>
      <c r="C74" s="107" t="s">
        <v>8929</v>
      </c>
      <c r="D74" s="107" t="str">
        <f t="shared" si="1"/>
        <v>Novembro</v>
      </c>
      <c r="E74" s="20" t="s">
        <v>15</v>
      </c>
      <c r="F74" s="20" t="s">
        <v>14458</v>
      </c>
      <c r="G74" s="94">
        <v>28227</v>
      </c>
      <c r="H74" s="20" t="s">
        <v>14459</v>
      </c>
      <c r="I74" s="20"/>
      <c r="J74" s="20" t="s">
        <v>14460</v>
      </c>
      <c r="K74" s="20" t="s">
        <v>7874</v>
      </c>
      <c r="L74" s="20" t="s">
        <v>9319</v>
      </c>
      <c r="M74" s="20">
        <v>10</v>
      </c>
      <c r="N74" s="93">
        <v>80</v>
      </c>
      <c r="O74" s="94" t="s">
        <v>14331</v>
      </c>
    </row>
    <row r="75" spans="1:15">
      <c r="B75" s="34" t="s">
        <v>3047</v>
      </c>
      <c r="C75" s="107" t="s">
        <v>8929</v>
      </c>
      <c r="D75" s="107" t="str">
        <f t="shared" si="1"/>
        <v>Novembro</v>
      </c>
      <c r="E75" s="20" t="s">
        <v>2046</v>
      </c>
      <c r="F75" s="96">
        <v>21568425</v>
      </c>
      <c r="G75" s="94">
        <v>36958</v>
      </c>
      <c r="H75" s="20">
        <v>35997034931</v>
      </c>
      <c r="I75" s="20"/>
      <c r="J75" s="20" t="s">
        <v>14461</v>
      </c>
      <c r="K75" s="20" t="s">
        <v>7765</v>
      </c>
      <c r="L75" s="20" t="s">
        <v>9319</v>
      </c>
      <c r="M75" s="20">
        <v>15</v>
      </c>
      <c r="N75" s="93">
        <v>60</v>
      </c>
      <c r="O75" s="94" t="s">
        <v>14269</v>
      </c>
    </row>
    <row r="76" spans="1:15">
      <c r="B76" s="34" t="s">
        <v>3953</v>
      </c>
      <c r="C76" s="107" t="s">
        <v>8929</v>
      </c>
      <c r="D76" s="107" t="str">
        <f t="shared" si="1"/>
        <v>Novembro</v>
      </c>
      <c r="E76" s="20" t="s">
        <v>2028</v>
      </c>
      <c r="F76" s="20" t="s">
        <v>14462</v>
      </c>
      <c r="G76" s="94">
        <v>22395</v>
      </c>
      <c r="H76" s="20">
        <v>35999014619</v>
      </c>
      <c r="I76" s="20"/>
      <c r="J76" s="20" t="s">
        <v>14463</v>
      </c>
      <c r="K76" s="20" t="s">
        <v>558</v>
      </c>
      <c r="L76" s="20" t="s">
        <v>9518</v>
      </c>
      <c r="M76" s="20">
        <v>10</v>
      </c>
      <c r="N76" s="93">
        <v>75.900000000000006</v>
      </c>
      <c r="O76" s="94" t="s">
        <v>14331</v>
      </c>
    </row>
    <row r="77" spans="1:15">
      <c r="A77" t="s">
        <v>14264</v>
      </c>
      <c r="B77" s="34" t="s">
        <v>3947</v>
      </c>
      <c r="C77" s="107" t="s">
        <v>8929</v>
      </c>
      <c r="D77" s="107" t="str">
        <f t="shared" si="1"/>
        <v>Novembro</v>
      </c>
      <c r="E77" s="20" t="s">
        <v>892</v>
      </c>
      <c r="F77" s="20"/>
      <c r="G77" s="20"/>
      <c r="H77" s="20" t="s">
        <v>14464</v>
      </c>
      <c r="I77" s="20"/>
      <c r="J77" s="20" t="s">
        <v>14465</v>
      </c>
      <c r="K77" s="20" t="s">
        <v>9253</v>
      </c>
      <c r="L77" s="20" t="s">
        <v>9319</v>
      </c>
      <c r="M77" s="20">
        <v>10</v>
      </c>
      <c r="N77" s="93">
        <v>70</v>
      </c>
      <c r="O77" s="20" t="s">
        <v>14331</v>
      </c>
    </row>
    <row r="78" spans="1:15">
      <c r="B78" s="34" t="s">
        <v>3947</v>
      </c>
      <c r="C78" s="107" t="s">
        <v>8929</v>
      </c>
      <c r="D78" s="107" t="str">
        <f t="shared" si="1"/>
        <v>Novembro</v>
      </c>
      <c r="E78" s="20" t="s">
        <v>892</v>
      </c>
      <c r="F78" s="20"/>
      <c r="G78" s="20"/>
      <c r="H78" s="20">
        <v>35999946287</v>
      </c>
      <c r="I78" s="20"/>
      <c r="J78" s="20" t="s">
        <v>14466</v>
      </c>
      <c r="K78" s="20" t="s">
        <v>9510</v>
      </c>
      <c r="L78" s="20" t="s">
        <v>9319</v>
      </c>
      <c r="M78" s="20">
        <v>10</v>
      </c>
      <c r="N78" s="93">
        <v>70</v>
      </c>
      <c r="O78" s="20" t="s">
        <v>14331</v>
      </c>
    </row>
    <row r="79" spans="1:15">
      <c r="B79" s="34" t="s">
        <v>3950</v>
      </c>
      <c r="C79" s="107" t="s">
        <v>8929</v>
      </c>
      <c r="D79" s="107" t="str">
        <f>$B$1</f>
        <v>Novembro</v>
      </c>
      <c r="E79" s="20" t="s">
        <v>76</v>
      </c>
      <c r="F79" s="20" t="s">
        <v>14467</v>
      </c>
      <c r="G79" s="94">
        <v>25652</v>
      </c>
      <c r="H79" s="20">
        <v>35997254661</v>
      </c>
      <c r="I79" s="20"/>
      <c r="J79" s="20" t="s">
        <v>14468</v>
      </c>
      <c r="K79" s="20" t="s">
        <v>14469</v>
      </c>
      <c r="L79" s="20" t="s">
        <v>9319</v>
      </c>
      <c r="M79" s="20">
        <v>10</v>
      </c>
      <c r="N79" s="93">
        <v>50</v>
      </c>
      <c r="O79" s="20" t="s">
        <v>14331</v>
      </c>
    </row>
    <row r="80" spans="1:15">
      <c r="B80" s="34" t="s">
        <v>3946</v>
      </c>
      <c r="C80" s="107" t="s">
        <v>8929</v>
      </c>
      <c r="D80" s="107" t="str">
        <f t="shared" ref="D80:D94" si="2">$B$1</f>
        <v>Novembro</v>
      </c>
      <c r="E80" s="20" t="s">
        <v>1786</v>
      </c>
      <c r="F80" s="20">
        <v>5684199</v>
      </c>
      <c r="G80" s="94">
        <v>27270</v>
      </c>
      <c r="H80" s="20">
        <v>35998950580</v>
      </c>
      <c r="I80" s="20">
        <v>35997208239</v>
      </c>
      <c r="J80" s="20" t="s">
        <v>14470</v>
      </c>
      <c r="K80" s="20" t="s">
        <v>7765</v>
      </c>
      <c r="L80" s="20" t="s">
        <v>9319</v>
      </c>
      <c r="M80" s="20">
        <v>10</v>
      </c>
      <c r="N80" s="93">
        <v>50</v>
      </c>
      <c r="O80" s="20" t="s">
        <v>14331</v>
      </c>
    </row>
    <row r="81" spans="2:15">
      <c r="B81" s="34" t="s">
        <v>14471</v>
      </c>
      <c r="C81" s="107" t="s">
        <v>8929</v>
      </c>
      <c r="D81" s="107" t="str">
        <f t="shared" si="2"/>
        <v>Novembro</v>
      </c>
      <c r="E81" s="20">
        <v>12812532602</v>
      </c>
      <c r="F81" s="20">
        <v>19094670</v>
      </c>
      <c r="G81" s="94">
        <v>35296</v>
      </c>
      <c r="H81" s="20">
        <v>35998975082</v>
      </c>
      <c r="I81" s="20"/>
      <c r="J81" s="20" t="s">
        <v>14472</v>
      </c>
      <c r="K81" s="20" t="s">
        <v>7869</v>
      </c>
      <c r="L81" s="20" t="s">
        <v>9319</v>
      </c>
      <c r="M81" s="20">
        <v>20</v>
      </c>
      <c r="N81" s="93">
        <v>70</v>
      </c>
      <c r="O81" s="20" t="s">
        <v>14226</v>
      </c>
    </row>
    <row r="82" spans="2:15">
      <c r="B82" s="34" t="s">
        <v>3954</v>
      </c>
      <c r="C82" s="107" t="s">
        <v>8929</v>
      </c>
      <c r="D82" s="107" t="str">
        <f t="shared" si="2"/>
        <v>Novembro</v>
      </c>
      <c r="E82" s="20" t="s">
        <v>1443</v>
      </c>
      <c r="F82" s="20" t="s">
        <v>14473</v>
      </c>
      <c r="G82" s="94">
        <v>31723</v>
      </c>
      <c r="H82" s="20">
        <v>35998387449</v>
      </c>
      <c r="I82" s="20"/>
      <c r="J82" s="20" t="s">
        <v>14474</v>
      </c>
      <c r="K82" s="20" t="s">
        <v>7869</v>
      </c>
      <c r="L82" s="20" t="s">
        <v>9319</v>
      </c>
      <c r="M82" s="20">
        <v>15</v>
      </c>
      <c r="N82" s="93">
        <v>50</v>
      </c>
      <c r="O82" s="94" t="s">
        <v>14269</v>
      </c>
    </row>
    <row r="83" spans="2:15">
      <c r="B83" s="34" t="s">
        <v>3952</v>
      </c>
      <c r="C83" s="107" t="s">
        <v>8929</v>
      </c>
      <c r="D83" s="107" t="str">
        <f t="shared" si="2"/>
        <v>Novembro</v>
      </c>
      <c r="E83" s="20" t="s">
        <v>1661</v>
      </c>
      <c r="F83" s="20" t="s">
        <v>14475</v>
      </c>
      <c r="G83" s="94">
        <v>30775</v>
      </c>
      <c r="H83" s="20">
        <v>35997356397</v>
      </c>
      <c r="I83" s="20"/>
      <c r="J83" s="20" t="s">
        <v>14476</v>
      </c>
      <c r="K83" s="20" t="s">
        <v>14477</v>
      </c>
      <c r="L83" s="20" t="s">
        <v>9319</v>
      </c>
      <c r="M83" s="20">
        <v>25</v>
      </c>
      <c r="N83" s="93">
        <v>70</v>
      </c>
      <c r="O83" s="20" t="s">
        <v>14432</v>
      </c>
    </row>
    <row r="84" spans="2:15">
      <c r="B84" s="34" t="s">
        <v>3948</v>
      </c>
      <c r="C84" s="107" t="s">
        <v>8929</v>
      </c>
      <c r="D84" s="107" t="str">
        <f t="shared" si="2"/>
        <v>Novembro</v>
      </c>
      <c r="E84" s="20" t="s">
        <v>937</v>
      </c>
      <c r="F84" s="20"/>
      <c r="G84" s="94">
        <v>20322</v>
      </c>
      <c r="H84" s="20" t="s">
        <v>4501</v>
      </c>
      <c r="I84" s="20"/>
      <c r="J84" s="20" t="s">
        <v>14478</v>
      </c>
      <c r="K84" s="20" t="s">
        <v>9510</v>
      </c>
      <c r="L84" s="20" t="s">
        <v>9319</v>
      </c>
      <c r="M84" s="20">
        <v>30</v>
      </c>
      <c r="N84" s="93">
        <v>50</v>
      </c>
      <c r="O84" s="20" t="s">
        <v>14239</v>
      </c>
    </row>
    <row r="85" spans="2:15">
      <c r="B85" s="34" t="s">
        <v>4502</v>
      </c>
      <c r="C85" s="107" t="s">
        <v>8929</v>
      </c>
      <c r="D85" s="107" t="str">
        <f t="shared" si="2"/>
        <v>Novembro</v>
      </c>
      <c r="E85" s="20" t="s">
        <v>2175</v>
      </c>
      <c r="F85" s="96">
        <v>12055763</v>
      </c>
      <c r="G85" s="94">
        <v>22290</v>
      </c>
      <c r="H85" s="20" t="s">
        <v>4503</v>
      </c>
      <c r="I85" s="20"/>
      <c r="J85" s="20" t="s">
        <v>14479</v>
      </c>
      <c r="K85" s="20" t="s">
        <v>9510</v>
      </c>
      <c r="L85" s="20" t="s">
        <v>9319</v>
      </c>
      <c r="M85" s="20">
        <v>10</v>
      </c>
      <c r="N85" s="93">
        <v>60</v>
      </c>
      <c r="O85" s="20" t="s">
        <v>14331</v>
      </c>
    </row>
    <row r="86" spans="2:15">
      <c r="B86" s="34" t="s">
        <v>3944</v>
      </c>
      <c r="C86" s="107" t="s">
        <v>8929</v>
      </c>
      <c r="D86" s="107" t="str">
        <f t="shared" si="2"/>
        <v>Novembro</v>
      </c>
      <c r="E86" s="20" t="s">
        <v>1791</v>
      </c>
      <c r="F86" s="20" t="s">
        <v>14480</v>
      </c>
      <c r="G86" s="94">
        <v>33897</v>
      </c>
      <c r="H86" s="20" t="s">
        <v>14481</v>
      </c>
      <c r="I86" s="20"/>
      <c r="J86" s="20" t="s">
        <v>14482</v>
      </c>
      <c r="K86" s="20" t="s">
        <v>90</v>
      </c>
      <c r="L86" s="20" t="s">
        <v>9319</v>
      </c>
      <c r="M86" s="20">
        <v>25</v>
      </c>
      <c r="N86" s="93">
        <v>70</v>
      </c>
      <c r="O86" s="20" t="s">
        <v>14432</v>
      </c>
    </row>
    <row r="87" spans="2:15">
      <c r="B87" s="34" t="s">
        <v>3937</v>
      </c>
      <c r="C87" s="107" t="s">
        <v>8929</v>
      </c>
      <c r="D87" s="107" t="str">
        <f t="shared" si="2"/>
        <v>Novembro</v>
      </c>
      <c r="E87" s="20" t="s">
        <v>1901</v>
      </c>
      <c r="F87" s="20" t="s">
        <v>14483</v>
      </c>
      <c r="G87" s="94">
        <v>31191</v>
      </c>
      <c r="H87" s="20" t="s">
        <v>14484</v>
      </c>
      <c r="I87" s="20"/>
      <c r="J87" s="20" t="s">
        <v>14485</v>
      </c>
      <c r="K87" s="20" t="s">
        <v>7771</v>
      </c>
      <c r="L87" s="20" t="s">
        <v>9319</v>
      </c>
      <c r="M87" s="20">
        <v>10</v>
      </c>
      <c r="N87" s="93">
        <v>60</v>
      </c>
      <c r="O87" s="20" t="s">
        <v>14331</v>
      </c>
    </row>
    <row r="88" spans="2:15">
      <c r="B88" s="34" t="s">
        <v>14486</v>
      </c>
      <c r="C88" s="107" t="s">
        <v>8929</v>
      </c>
      <c r="D88" s="107" t="str">
        <f t="shared" si="2"/>
        <v>Novembro</v>
      </c>
      <c r="E88" s="20" t="s">
        <v>2204</v>
      </c>
      <c r="F88" s="20">
        <v>329510898</v>
      </c>
      <c r="G88" s="94">
        <v>30474</v>
      </c>
      <c r="H88" s="20" t="s">
        <v>4436</v>
      </c>
      <c r="I88" s="20"/>
      <c r="J88" s="20" t="s">
        <v>14487</v>
      </c>
      <c r="K88" s="20" t="s">
        <v>9203</v>
      </c>
      <c r="L88" s="20" t="s">
        <v>9490</v>
      </c>
      <c r="M88" s="20">
        <v>10</v>
      </c>
      <c r="N88" s="93">
        <v>120</v>
      </c>
      <c r="O88" s="20" t="s">
        <v>14488</v>
      </c>
    </row>
    <row r="89" spans="2:15">
      <c r="B89" s="34" t="s">
        <v>2901</v>
      </c>
      <c r="C89" s="107" t="s">
        <v>8929</v>
      </c>
      <c r="D89" s="107" t="str">
        <f t="shared" si="2"/>
        <v>Novembro</v>
      </c>
      <c r="E89" s="20" t="s">
        <v>1045</v>
      </c>
      <c r="F89" s="20" t="s">
        <v>14489</v>
      </c>
      <c r="G89" s="94">
        <v>29640</v>
      </c>
      <c r="H89" s="20" t="s">
        <v>14490</v>
      </c>
      <c r="I89" s="20"/>
      <c r="J89" s="20" t="s">
        <v>14491</v>
      </c>
      <c r="K89" s="20" t="s">
        <v>14330</v>
      </c>
      <c r="L89" s="20" t="s">
        <v>8935</v>
      </c>
      <c r="M89" s="20">
        <v>25</v>
      </c>
      <c r="N89" s="93">
        <v>70</v>
      </c>
      <c r="O89" s="20" t="s">
        <v>14492</v>
      </c>
    </row>
    <row r="90" spans="2:15">
      <c r="B90" s="34" t="s">
        <v>3943</v>
      </c>
      <c r="C90" s="107" t="s">
        <v>8929</v>
      </c>
      <c r="D90" s="107" t="str">
        <f t="shared" si="2"/>
        <v>Novembro</v>
      </c>
      <c r="E90" s="20">
        <v>43242804600</v>
      </c>
      <c r="F90" s="20" t="s">
        <v>14493</v>
      </c>
      <c r="G90" s="20">
        <v>19041960</v>
      </c>
      <c r="H90" s="20">
        <v>35999362904</v>
      </c>
      <c r="I90" s="20"/>
      <c r="J90" s="20" t="s">
        <v>14494</v>
      </c>
      <c r="K90" s="20" t="s">
        <v>7869</v>
      </c>
      <c r="L90" s="20" t="s">
        <v>9319</v>
      </c>
      <c r="M90" s="20">
        <v>10</v>
      </c>
      <c r="N90" s="93">
        <v>70</v>
      </c>
      <c r="O90" s="20" t="s">
        <v>14495</v>
      </c>
    </row>
    <row r="91" spans="2:15">
      <c r="B91" s="34" t="s">
        <v>3942</v>
      </c>
      <c r="C91" s="107" t="s">
        <v>8929</v>
      </c>
      <c r="D91" s="107" t="str">
        <f t="shared" si="2"/>
        <v>Novembro</v>
      </c>
      <c r="E91" s="20" t="s">
        <v>2108</v>
      </c>
      <c r="F91" s="20" t="s">
        <v>9347</v>
      </c>
      <c r="G91" s="94">
        <v>32623</v>
      </c>
      <c r="H91" s="20" t="s">
        <v>9348</v>
      </c>
      <c r="I91" s="20"/>
      <c r="J91" s="20" t="s">
        <v>14496</v>
      </c>
      <c r="K91" s="20" t="s">
        <v>1519</v>
      </c>
      <c r="L91" s="20" t="s">
        <v>9319</v>
      </c>
      <c r="M91" s="20">
        <v>15</v>
      </c>
      <c r="N91" s="93">
        <v>60</v>
      </c>
      <c r="O91" s="20" t="s">
        <v>14269</v>
      </c>
    </row>
    <row r="92" spans="2:15">
      <c r="B92" s="34" t="s">
        <v>3939</v>
      </c>
      <c r="C92" s="107" t="s">
        <v>8929</v>
      </c>
      <c r="D92" s="107" t="str">
        <f t="shared" si="2"/>
        <v>Novembro</v>
      </c>
      <c r="E92" s="20" t="s">
        <v>728</v>
      </c>
      <c r="F92" s="20" t="s">
        <v>14497</v>
      </c>
      <c r="G92" s="94">
        <v>30734</v>
      </c>
      <c r="H92" s="20" t="s">
        <v>14498</v>
      </c>
      <c r="I92" s="20"/>
      <c r="J92" s="20" t="s">
        <v>14499</v>
      </c>
      <c r="K92" s="20" t="s">
        <v>14330</v>
      </c>
      <c r="L92" s="20" t="s">
        <v>9319</v>
      </c>
      <c r="M92" s="20">
        <v>20</v>
      </c>
      <c r="N92" s="93">
        <v>70</v>
      </c>
      <c r="O92" s="20" t="s">
        <v>14226</v>
      </c>
    </row>
    <row r="93" spans="2:15">
      <c r="B93" s="36" t="s">
        <v>3926</v>
      </c>
      <c r="C93" s="107" t="s">
        <v>8929</v>
      </c>
      <c r="D93" s="107" t="str">
        <f t="shared" si="2"/>
        <v>Novembro</v>
      </c>
      <c r="E93" s="20" t="s">
        <v>1383</v>
      </c>
      <c r="F93" s="96">
        <v>22073045</v>
      </c>
      <c r="G93" s="94">
        <v>37351</v>
      </c>
      <c r="H93" s="20">
        <v>35998926875</v>
      </c>
      <c r="I93" s="20"/>
      <c r="J93" s="20" t="s">
        <v>14500</v>
      </c>
      <c r="K93" s="20" t="s">
        <v>14501</v>
      </c>
      <c r="L93" s="20" t="s">
        <v>9319</v>
      </c>
      <c r="M93" s="20">
        <v>10</v>
      </c>
      <c r="N93" s="93">
        <v>70</v>
      </c>
      <c r="O93" s="20" t="s">
        <v>14331</v>
      </c>
    </row>
    <row r="94" spans="2:15">
      <c r="B94" s="36" t="s">
        <v>3938</v>
      </c>
      <c r="C94" s="107" t="s">
        <v>8929</v>
      </c>
      <c r="D94" s="107" t="str">
        <f t="shared" si="2"/>
        <v>Novembro</v>
      </c>
      <c r="E94" s="20" t="s">
        <v>1569</v>
      </c>
      <c r="F94" s="20" t="s">
        <v>14502</v>
      </c>
      <c r="G94" s="94">
        <v>28685</v>
      </c>
      <c r="H94" s="20" t="s">
        <v>4518</v>
      </c>
      <c r="I94" s="20"/>
      <c r="J94" s="20" t="s">
        <v>14503</v>
      </c>
      <c r="K94" s="20" t="s">
        <v>1225</v>
      </c>
      <c r="L94" s="20" t="s">
        <v>9319</v>
      </c>
      <c r="M94" s="20">
        <v>25</v>
      </c>
      <c r="N94" s="93">
        <v>60</v>
      </c>
      <c r="O94" s="20" t="s">
        <v>14432</v>
      </c>
    </row>
    <row r="95" spans="2:15">
      <c r="B95" s="191" t="s">
        <v>7628</v>
      </c>
      <c r="C95" s="192"/>
      <c r="D95" s="192"/>
      <c r="E95" s="192"/>
      <c r="F95" s="192"/>
      <c r="G95" s="192"/>
      <c r="H95" s="192"/>
      <c r="I95" s="192"/>
      <c r="J95" s="192"/>
      <c r="K95" s="192"/>
      <c r="L95" s="192"/>
      <c r="M95" s="192"/>
      <c r="N95" s="192"/>
      <c r="O95" s="192"/>
    </row>
    <row r="96" spans="2:15">
      <c r="B96" s="37" t="s">
        <v>3936</v>
      </c>
      <c r="C96" s="39" t="s">
        <v>8929</v>
      </c>
      <c r="D96" s="148" t="str">
        <f>$B$95</f>
        <v>Dezembro</v>
      </c>
      <c r="E96" s="73" t="s">
        <v>656</v>
      </c>
      <c r="F96" s="73" t="s">
        <v>14504</v>
      </c>
      <c r="G96" s="74">
        <v>27091</v>
      </c>
      <c r="H96" s="73" t="s">
        <v>14505</v>
      </c>
      <c r="I96" s="73"/>
      <c r="J96" s="73" t="s">
        <v>14506</v>
      </c>
      <c r="K96" s="73" t="s">
        <v>7784</v>
      </c>
      <c r="L96" s="73" t="s">
        <v>9319</v>
      </c>
      <c r="M96" s="73">
        <v>10</v>
      </c>
      <c r="N96" s="109">
        <v>50</v>
      </c>
      <c r="O96" s="73" t="s">
        <v>14331</v>
      </c>
    </row>
    <row r="97" spans="1:15">
      <c r="B97" s="37" t="s">
        <v>3932</v>
      </c>
      <c r="C97" s="39" t="s">
        <v>8929</v>
      </c>
      <c r="D97" s="148" t="str">
        <f t="shared" ref="D97:D159" si="3">$B$95</f>
        <v>Dezembro</v>
      </c>
      <c r="E97" s="20" t="s">
        <v>959</v>
      </c>
      <c r="F97" s="20">
        <v>15494171</v>
      </c>
      <c r="G97" s="94">
        <v>31618</v>
      </c>
      <c r="H97" s="20">
        <v>35999488311</v>
      </c>
      <c r="I97" s="20"/>
      <c r="J97" s="20" t="s">
        <v>14507</v>
      </c>
      <c r="K97" s="20" t="s">
        <v>7765</v>
      </c>
      <c r="L97" s="20" t="s">
        <v>9319</v>
      </c>
      <c r="M97" s="20">
        <v>10</v>
      </c>
      <c r="N97" s="93">
        <v>50</v>
      </c>
      <c r="O97" s="20" t="s">
        <v>14508</v>
      </c>
    </row>
    <row r="98" spans="1:15">
      <c r="B98" s="37" t="s">
        <v>3935</v>
      </c>
      <c r="C98" s="39" t="s">
        <v>8929</v>
      </c>
      <c r="D98" s="148" t="str">
        <f t="shared" si="3"/>
        <v>Dezembro</v>
      </c>
      <c r="E98" s="20" t="s">
        <v>138</v>
      </c>
      <c r="F98" s="20" t="s">
        <v>14509</v>
      </c>
      <c r="G98" s="94">
        <v>29955</v>
      </c>
      <c r="H98" s="20">
        <v>35998420386</v>
      </c>
      <c r="I98" s="20"/>
      <c r="J98" s="20" t="s">
        <v>14510</v>
      </c>
      <c r="K98" s="20" t="s">
        <v>14511</v>
      </c>
      <c r="L98" s="20" t="s">
        <v>9319</v>
      </c>
      <c r="M98" s="20">
        <v>5</v>
      </c>
      <c r="N98" s="93">
        <v>50</v>
      </c>
      <c r="O98" s="20" t="s">
        <v>14397</v>
      </c>
    </row>
    <row r="99" spans="1:15">
      <c r="B99" s="37" t="s">
        <v>3934</v>
      </c>
      <c r="C99" s="39" t="s">
        <v>8929</v>
      </c>
      <c r="D99" s="148" t="str">
        <f t="shared" si="3"/>
        <v>Dezembro</v>
      </c>
      <c r="E99" s="20" t="s">
        <v>875</v>
      </c>
      <c r="F99" s="20" t="s">
        <v>14512</v>
      </c>
      <c r="G99" s="94">
        <v>31569</v>
      </c>
      <c r="H99" s="20" t="s">
        <v>14513</v>
      </c>
      <c r="I99" s="20"/>
      <c r="J99" s="20" t="s">
        <v>14514</v>
      </c>
      <c r="K99" s="20" t="s">
        <v>14339</v>
      </c>
      <c r="L99" s="20" t="s">
        <v>9319</v>
      </c>
      <c r="M99" s="20">
        <v>20</v>
      </c>
      <c r="N99" s="93">
        <v>60</v>
      </c>
      <c r="O99" s="20" t="s">
        <v>14226</v>
      </c>
    </row>
    <row r="100" spans="1:15">
      <c r="B100" s="37" t="s">
        <v>3931</v>
      </c>
      <c r="C100" s="39" t="s">
        <v>8929</v>
      </c>
      <c r="D100" s="148" t="str">
        <f t="shared" si="3"/>
        <v>Dezembro</v>
      </c>
      <c r="E100" s="20" t="s">
        <v>463</v>
      </c>
      <c r="F100" s="25">
        <v>4478538</v>
      </c>
      <c r="G100" s="94">
        <v>24737</v>
      </c>
      <c r="H100" s="20" t="s">
        <v>4525</v>
      </c>
      <c r="I100" s="20"/>
      <c r="J100" s="20" t="s">
        <v>14515</v>
      </c>
      <c r="K100" s="20" t="s">
        <v>14440</v>
      </c>
      <c r="L100" s="20" t="s">
        <v>9319</v>
      </c>
      <c r="M100" s="20">
        <v>25</v>
      </c>
      <c r="N100" s="93">
        <v>70</v>
      </c>
      <c r="O100" s="20" t="s">
        <v>14432</v>
      </c>
    </row>
    <row r="101" spans="1:15">
      <c r="B101" s="37" t="s">
        <v>3933</v>
      </c>
      <c r="C101" s="39" t="s">
        <v>8929</v>
      </c>
      <c r="D101" s="148" t="str">
        <f t="shared" si="3"/>
        <v>Dezembro</v>
      </c>
      <c r="E101" s="20" t="s">
        <v>1423</v>
      </c>
      <c r="F101" s="20">
        <v>11744660</v>
      </c>
      <c r="G101" s="94">
        <v>27150</v>
      </c>
      <c r="H101" s="20" t="s">
        <v>1152</v>
      </c>
      <c r="I101" s="20"/>
      <c r="J101" s="20" t="s">
        <v>14516</v>
      </c>
      <c r="K101" s="20" t="s">
        <v>14517</v>
      </c>
      <c r="L101" s="20" t="s">
        <v>9319</v>
      </c>
      <c r="M101" s="20">
        <v>10</v>
      </c>
      <c r="N101" s="93">
        <v>70</v>
      </c>
      <c r="O101" s="94" t="s">
        <v>14508</v>
      </c>
    </row>
    <row r="102" spans="1:15">
      <c r="B102" s="37" t="s">
        <v>4112</v>
      </c>
      <c r="C102" s="39" t="s">
        <v>8929</v>
      </c>
      <c r="D102" s="148" t="str">
        <f t="shared" si="3"/>
        <v>Dezembro</v>
      </c>
      <c r="E102" s="20" t="s">
        <v>1284</v>
      </c>
      <c r="F102" s="20" t="s">
        <v>14518</v>
      </c>
      <c r="G102" s="94">
        <v>29676</v>
      </c>
      <c r="H102" s="20">
        <v>35999968869</v>
      </c>
      <c r="I102" s="20"/>
      <c r="J102" s="20" t="s">
        <v>14519</v>
      </c>
      <c r="K102" s="20" t="s">
        <v>90</v>
      </c>
      <c r="L102" s="20" t="s">
        <v>9319</v>
      </c>
      <c r="M102" s="20">
        <v>15</v>
      </c>
      <c r="N102" s="93">
        <v>60</v>
      </c>
      <c r="O102" s="20" t="s">
        <v>14520</v>
      </c>
    </row>
    <row r="103" spans="1:15">
      <c r="B103" s="37" t="s">
        <v>3929</v>
      </c>
      <c r="C103" s="39" t="s">
        <v>8929</v>
      </c>
      <c r="D103" s="148" t="str">
        <f t="shared" si="3"/>
        <v>Dezembro</v>
      </c>
      <c r="E103" s="20" t="s">
        <v>2128</v>
      </c>
      <c r="F103" s="20">
        <v>23790370037</v>
      </c>
      <c r="G103" s="94"/>
      <c r="H103" s="20" t="s">
        <v>4528</v>
      </c>
      <c r="I103" s="20"/>
      <c r="J103" s="20" t="s">
        <v>14521</v>
      </c>
      <c r="K103" s="20" t="s">
        <v>14428</v>
      </c>
      <c r="L103" s="20" t="s">
        <v>9319</v>
      </c>
      <c r="M103" s="20">
        <v>20</v>
      </c>
      <c r="N103" s="93">
        <v>60</v>
      </c>
      <c r="O103" s="94" t="s">
        <v>14226</v>
      </c>
    </row>
    <row r="104" spans="1:15">
      <c r="A104" t="s">
        <v>14264</v>
      </c>
      <c r="B104" s="37" t="s">
        <v>14522</v>
      </c>
      <c r="C104" s="39" t="s">
        <v>8929</v>
      </c>
      <c r="D104" s="148" t="str">
        <f t="shared" si="3"/>
        <v>Dezembro</v>
      </c>
      <c r="E104" s="20" t="s">
        <v>1360</v>
      </c>
      <c r="F104" s="96">
        <v>13601937</v>
      </c>
      <c r="G104" s="94">
        <v>29180</v>
      </c>
      <c r="H104" s="20">
        <v>35999847949</v>
      </c>
      <c r="I104" s="20"/>
      <c r="J104" s="20">
        <v>35</v>
      </c>
      <c r="K104" s="20" t="s">
        <v>9510</v>
      </c>
      <c r="L104" s="20" t="s">
        <v>9319</v>
      </c>
      <c r="M104" s="20">
        <v>10</v>
      </c>
      <c r="N104" s="93">
        <v>75.900000000000006</v>
      </c>
      <c r="O104" s="20" t="s">
        <v>14508</v>
      </c>
    </row>
    <row r="105" spans="1:15">
      <c r="B105" s="37" t="s">
        <v>14523</v>
      </c>
      <c r="C105" s="39" t="s">
        <v>8929</v>
      </c>
      <c r="D105" s="148" t="str">
        <f t="shared" si="3"/>
        <v>Dezembro</v>
      </c>
      <c r="E105" s="110" t="s">
        <v>14524</v>
      </c>
      <c r="F105" s="110" t="s">
        <v>14525</v>
      </c>
      <c r="G105" s="111">
        <v>31440</v>
      </c>
      <c r="H105" s="110" t="s">
        <v>14526</v>
      </c>
      <c r="I105" s="112" t="s">
        <v>14527</v>
      </c>
      <c r="J105" s="110" t="s">
        <v>7756</v>
      </c>
      <c r="K105" s="110" t="s">
        <v>7757</v>
      </c>
      <c r="L105" s="110" t="s">
        <v>8940</v>
      </c>
      <c r="M105" s="110">
        <v>10</v>
      </c>
      <c r="N105" s="93"/>
      <c r="O105" s="20"/>
    </row>
    <row r="106" spans="1:15">
      <c r="B106" s="37" t="s">
        <v>3898</v>
      </c>
      <c r="C106" s="39" t="s">
        <v>8929</v>
      </c>
      <c r="D106" s="148" t="str">
        <f t="shared" si="3"/>
        <v>Dezembro</v>
      </c>
      <c r="E106" s="20" t="s">
        <v>1360</v>
      </c>
      <c r="F106" s="96">
        <v>13601937</v>
      </c>
      <c r="G106" s="94">
        <v>29180</v>
      </c>
      <c r="H106" s="20">
        <v>35999847949</v>
      </c>
      <c r="I106" s="20"/>
      <c r="J106" s="20" t="s">
        <v>14528</v>
      </c>
      <c r="K106" s="20" t="s">
        <v>1347</v>
      </c>
      <c r="L106" s="20" t="s">
        <v>9319</v>
      </c>
      <c r="M106" s="20">
        <v>10</v>
      </c>
      <c r="N106" s="93">
        <v>75.900000000000006</v>
      </c>
      <c r="O106" s="20" t="s">
        <v>14508</v>
      </c>
    </row>
    <row r="107" spans="1:15">
      <c r="B107" s="37" t="s">
        <v>3919</v>
      </c>
      <c r="C107" s="39" t="s">
        <v>8929</v>
      </c>
      <c r="D107" s="148" t="str">
        <f t="shared" si="3"/>
        <v>Dezembro</v>
      </c>
      <c r="E107" s="101" t="s">
        <v>14529</v>
      </c>
      <c r="F107" s="104" t="s">
        <v>14530</v>
      </c>
      <c r="G107" s="102">
        <v>20773</v>
      </c>
      <c r="H107" s="101" t="s">
        <v>4541</v>
      </c>
      <c r="I107" s="101"/>
      <c r="J107" s="101" t="s">
        <v>14531</v>
      </c>
      <c r="K107" s="101" t="s">
        <v>8578</v>
      </c>
      <c r="L107" s="101" t="s">
        <v>9319</v>
      </c>
      <c r="M107" s="101">
        <v>20</v>
      </c>
      <c r="N107" s="103">
        <v>60</v>
      </c>
      <c r="O107" s="101" t="s">
        <v>14226</v>
      </c>
    </row>
    <row r="108" spans="1:15">
      <c r="B108" s="37" t="s">
        <v>3917</v>
      </c>
      <c r="C108" s="39" t="s">
        <v>8929</v>
      </c>
      <c r="D108" s="148" t="str">
        <f t="shared" si="3"/>
        <v>Dezembro</v>
      </c>
      <c r="E108" s="20" t="s">
        <v>1696</v>
      </c>
      <c r="F108" s="96" t="s">
        <v>14532</v>
      </c>
      <c r="G108" s="94">
        <v>26519</v>
      </c>
      <c r="H108" s="20" t="s">
        <v>4545</v>
      </c>
      <c r="I108" s="20"/>
      <c r="J108" s="20" t="s">
        <v>14533</v>
      </c>
      <c r="K108" s="20" t="s">
        <v>9510</v>
      </c>
      <c r="L108" s="20" t="s">
        <v>9319</v>
      </c>
      <c r="M108" s="20">
        <v>20</v>
      </c>
      <c r="N108" s="93">
        <v>60</v>
      </c>
      <c r="O108" s="93" t="s">
        <v>14226</v>
      </c>
    </row>
    <row r="109" spans="1:15">
      <c r="B109" s="37" t="s">
        <v>3916</v>
      </c>
      <c r="C109" s="39" t="s">
        <v>8929</v>
      </c>
      <c r="D109" s="148" t="str">
        <f t="shared" si="3"/>
        <v>Dezembro</v>
      </c>
      <c r="E109" s="20" t="s">
        <v>1439</v>
      </c>
      <c r="F109" s="96" t="s">
        <v>14534</v>
      </c>
      <c r="G109" s="94">
        <v>31994</v>
      </c>
      <c r="H109" s="20" t="s">
        <v>14535</v>
      </c>
      <c r="I109" s="20"/>
      <c r="J109" s="20" t="s">
        <v>14536</v>
      </c>
      <c r="K109" s="20" t="s">
        <v>1347</v>
      </c>
      <c r="L109" s="20" t="s">
        <v>9319</v>
      </c>
      <c r="M109" s="20">
        <v>20</v>
      </c>
      <c r="N109" s="93">
        <v>60</v>
      </c>
      <c r="O109" s="93" t="s">
        <v>14226</v>
      </c>
    </row>
    <row r="110" spans="1:15">
      <c r="B110" s="37" t="s">
        <v>3915</v>
      </c>
      <c r="C110" s="39" t="s">
        <v>8929</v>
      </c>
      <c r="D110" s="148" t="str">
        <f t="shared" si="3"/>
        <v>Dezembro</v>
      </c>
      <c r="E110" s="20" t="s">
        <v>416</v>
      </c>
      <c r="F110" s="96" t="s">
        <v>14537</v>
      </c>
      <c r="G110" s="94">
        <v>30580</v>
      </c>
      <c r="H110" s="20" t="s">
        <v>14538</v>
      </c>
      <c r="I110" s="20"/>
      <c r="J110" s="20" t="s">
        <v>14539</v>
      </c>
      <c r="K110" s="20" t="s">
        <v>19</v>
      </c>
      <c r="L110" s="20" t="s">
        <v>9319</v>
      </c>
      <c r="M110" s="20">
        <v>20</v>
      </c>
      <c r="N110" s="93">
        <v>70</v>
      </c>
      <c r="O110" s="20" t="s">
        <v>14540</v>
      </c>
    </row>
    <row r="111" spans="1:15">
      <c r="B111" s="37" t="s">
        <v>3921</v>
      </c>
      <c r="C111" s="39" t="s">
        <v>8929</v>
      </c>
      <c r="D111" s="148" t="str">
        <f t="shared" si="3"/>
        <v>Dezembro</v>
      </c>
      <c r="E111" s="20" t="s">
        <v>2006</v>
      </c>
      <c r="F111" s="96" t="s">
        <v>14541</v>
      </c>
      <c r="G111" s="94">
        <v>26520</v>
      </c>
      <c r="H111" s="20">
        <v>35999078354</v>
      </c>
      <c r="I111" s="20"/>
      <c r="J111" s="20" t="s">
        <v>14542</v>
      </c>
      <c r="K111" s="20" t="s">
        <v>14543</v>
      </c>
      <c r="L111" s="20" t="s">
        <v>9319</v>
      </c>
      <c r="M111" s="20">
        <v>25</v>
      </c>
      <c r="N111" s="93">
        <v>70</v>
      </c>
      <c r="O111" s="20" t="s">
        <v>14432</v>
      </c>
    </row>
    <row r="112" spans="1:15">
      <c r="B112" s="37" t="s">
        <v>3920</v>
      </c>
      <c r="C112" s="39" t="s">
        <v>8929</v>
      </c>
      <c r="D112" s="148" t="str">
        <f t="shared" si="3"/>
        <v>Dezembro</v>
      </c>
      <c r="E112" s="20" t="s">
        <v>1954</v>
      </c>
      <c r="F112" s="96">
        <v>203432137</v>
      </c>
      <c r="G112" s="94">
        <v>24490</v>
      </c>
      <c r="H112" s="20">
        <v>35997505022</v>
      </c>
      <c r="I112" s="20"/>
      <c r="J112" s="20" t="s">
        <v>14544</v>
      </c>
      <c r="K112" s="20" t="s">
        <v>7771</v>
      </c>
      <c r="L112" s="20" t="s">
        <v>9319</v>
      </c>
      <c r="M112" s="20">
        <v>30</v>
      </c>
      <c r="N112" s="93">
        <v>75.900000000000006</v>
      </c>
      <c r="O112" s="20" t="s">
        <v>14239</v>
      </c>
    </row>
    <row r="113" spans="1:16">
      <c r="B113" s="37" t="s">
        <v>3924</v>
      </c>
      <c r="C113" s="39" t="s">
        <v>8929</v>
      </c>
      <c r="D113" s="148" t="str">
        <f t="shared" si="3"/>
        <v>Dezembro</v>
      </c>
      <c r="E113" s="20" t="s">
        <v>870</v>
      </c>
      <c r="F113" s="96">
        <v>14649899</v>
      </c>
      <c r="G113" s="94">
        <v>31401</v>
      </c>
      <c r="H113" s="20" t="s">
        <v>14545</v>
      </c>
      <c r="I113" s="20"/>
      <c r="J113" s="20" t="s">
        <v>14546</v>
      </c>
      <c r="K113" s="20" t="s">
        <v>105</v>
      </c>
      <c r="L113" s="20" t="s">
        <v>9319</v>
      </c>
      <c r="M113" s="20">
        <v>20</v>
      </c>
      <c r="N113" s="93">
        <v>70</v>
      </c>
      <c r="O113" s="20" t="s">
        <v>14226</v>
      </c>
    </row>
    <row r="114" spans="1:16">
      <c r="B114" s="37" t="s">
        <v>3923</v>
      </c>
      <c r="C114" s="39" t="s">
        <v>8929</v>
      </c>
      <c r="D114" s="148" t="str">
        <f t="shared" si="3"/>
        <v>Dezembro</v>
      </c>
      <c r="E114" s="20" t="s">
        <v>2224</v>
      </c>
      <c r="F114" s="96" t="s">
        <v>14547</v>
      </c>
      <c r="G114" s="94">
        <v>25901</v>
      </c>
      <c r="H114" s="20">
        <v>35999704712</v>
      </c>
      <c r="I114" s="20"/>
      <c r="J114" s="20" t="s">
        <v>14548</v>
      </c>
      <c r="K114" s="20" t="s">
        <v>7865</v>
      </c>
      <c r="L114" s="20" t="s">
        <v>9319</v>
      </c>
      <c r="M114" s="20">
        <v>20</v>
      </c>
      <c r="N114" s="93">
        <v>60</v>
      </c>
      <c r="O114" s="20" t="s">
        <v>14226</v>
      </c>
    </row>
    <row r="115" spans="1:16">
      <c r="B115" s="37" t="s">
        <v>14549</v>
      </c>
      <c r="C115" s="39" t="s">
        <v>8929</v>
      </c>
      <c r="D115" s="148" t="str">
        <f t="shared" si="3"/>
        <v>Dezembro</v>
      </c>
      <c r="E115" s="20" t="s">
        <v>1397</v>
      </c>
      <c r="F115" s="96" t="s">
        <v>14550</v>
      </c>
      <c r="G115" s="94">
        <v>23056</v>
      </c>
      <c r="H115" s="20">
        <v>35999646008</v>
      </c>
      <c r="I115" s="20"/>
      <c r="J115" s="20" t="s">
        <v>14551</v>
      </c>
      <c r="K115" s="20" t="s">
        <v>9510</v>
      </c>
      <c r="L115" s="20" t="s">
        <v>9319</v>
      </c>
      <c r="M115" s="20">
        <v>15</v>
      </c>
      <c r="N115" s="93">
        <v>60</v>
      </c>
      <c r="O115" s="20" t="s">
        <v>14269</v>
      </c>
    </row>
    <row r="116" spans="1:16">
      <c r="B116" s="37" t="s">
        <v>3909</v>
      </c>
      <c r="C116" s="39" t="s">
        <v>8929</v>
      </c>
      <c r="D116" s="148" t="str">
        <f t="shared" si="3"/>
        <v>Dezembro</v>
      </c>
      <c r="E116" s="20" t="s">
        <v>1397</v>
      </c>
      <c r="F116" s="96" t="s">
        <v>14550</v>
      </c>
      <c r="G116" s="94">
        <v>23056</v>
      </c>
      <c r="H116" s="20">
        <v>35999646008</v>
      </c>
      <c r="I116" s="20"/>
      <c r="J116" s="20" t="s">
        <v>14552</v>
      </c>
      <c r="K116" s="20" t="s">
        <v>9510</v>
      </c>
      <c r="L116" s="20" t="s">
        <v>9319</v>
      </c>
      <c r="M116" s="20">
        <v>15</v>
      </c>
      <c r="N116" s="93">
        <v>60</v>
      </c>
      <c r="O116" s="20" t="s">
        <v>14269</v>
      </c>
    </row>
    <row r="117" spans="1:16">
      <c r="B117" s="37" t="s">
        <v>3914</v>
      </c>
      <c r="C117" s="39" t="s">
        <v>8929</v>
      </c>
      <c r="D117" s="148" t="str">
        <f t="shared" si="3"/>
        <v>Dezembro</v>
      </c>
      <c r="E117" s="20" t="s">
        <v>1139</v>
      </c>
      <c r="F117" s="96" t="s">
        <v>14553</v>
      </c>
      <c r="G117" s="94">
        <v>21037</v>
      </c>
      <c r="H117" s="20" t="s">
        <v>14554</v>
      </c>
      <c r="I117" s="20"/>
      <c r="J117" t="s">
        <v>14555</v>
      </c>
      <c r="K117" s="20" t="s">
        <v>9510</v>
      </c>
      <c r="L117" s="20" t="s">
        <v>9569</v>
      </c>
      <c r="M117" s="20">
        <v>20</v>
      </c>
      <c r="N117" s="93">
        <v>60</v>
      </c>
      <c r="O117" s="20" t="s">
        <v>14226</v>
      </c>
    </row>
    <row r="118" spans="1:16">
      <c r="B118" s="37" t="s">
        <v>3911</v>
      </c>
      <c r="C118" s="39" t="s">
        <v>8929</v>
      </c>
      <c r="D118" s="148" t="str">
        <f t="shared" si="3"/>
        <v>Dezembro</v>
      </c>
      <c r="E118" s="20" t="s">
        <v>1246</v>
      </c>
      <c r="F118" s="96" t="s">
        <v>14556</v>
      </c>
      <c r="G118" s="94">
        <v>27004</v>
      </c>
      <c r="H118" s="20">
        <v>35997312506</v>
      </c>
      <c r="I118" s="20"/>
      <c r="J118" s="20" t="s">
        <v>14557</v>
      </c>
      <c r="K118" s="20" t="s">
        <v>9510</v>
      </c>
      <c r="L118" s="20" t="s">
        <v>9319</v>
      </c>
      <c r="M118" s="20">
        <v>20</v>
      </c>
      <c r="N118" s="93">
        <v>70</v>
      </c>
      <c r="O118" s="20" t="s">
        <v>14558</v>
      </c>
    </row>
    <row r="119" spans="1:16">
      <c r="B119" s="37" t="s">
        <v>3913</v>
      </c>
      <c r="C119" s="39" t="s">
        <v>8929</v>
      </c>
      <c r="D119" s="148" t="str">
        <f t="shared" si="3"/>
        <v>Dezembro</v>
      </c>
      <c r="E119" s="20" t="s">
        <v>977</v>
      </c>
      <c r="F119" s="96" t="s">
        <v>14559</v>
      </c>
      <c r="G119" s="94">
        <v>28198</v>
      </c>
      <c r="H119" s="20" t="s">
        <v>14560</v>
      </c>
      <c r="I119" s="20"/>
      <c r="J119" s="20" t="s">
        <v>14561</v>
      </c>
      <c r="K119" s="20" t="s">
        <v>975</v>
      </c>
      <c r="L119" s="20" t="s">
        <v>8940</v>
      </c>
      <c r="M119" s="20">
        <v>20</v>
      </c>
      <c r="N119" s="93">
        <v>85.9</v>
      </c>
      <c r="O119" s="20" t="s">
        <v>14226</v>
      </c>
    </row>
    <row r="120" spans="1:16">
      <c r="B120" s="37" t="s">
        <v>3912</v>
      </c>
      <c r="C120" s="39" t="s">
        <v>8929</v>
      </c>
      <c r="D120" s="148" t="str">
        <f t="shared" si="3"/>
        <v>Dezembro</v>
      </c>
      <c r="E120" s="20" t="s">
        <v>1905</v>
      </c>
      <c r="F120" s="96" t="s">
        <v>14562</v>
      </c>
      <c r="G120" s="94">
        <v>31503</v>
      </c>
      <c r="H120" s="20" t="s">
        <v>14563</v>
      </c>
      <c r="I120" s="20"/>
      <c r="J120" s="20" t="s">
        <v>14564</v>
      </c>
      <c r="K120" s="20" t="s">
        <v>90</v>
      </c>
      <c r="L120" s="20" t="s">
        <v>9319</v>
      </c>
      <c r="M120" s="20">
        <v>10</v>
      </c>
      <c r="N120" s="93">
        <v>60</v>
      </c>
      <c r="O120" s="20" t="s">
        <v>14286</v>
      </c>
      <c r="P120" t="s">
        <v>14565</v>
      </c>
    </row>
    <row r="121" spans="1:16">
      <c r="B121" s="37" t="s">
        <v>3908</v>
      </c>
      <c r="C121" s="39" t="s">
        <v>8929</v>
      </c>
      <c r="D121" s="148" t="str">
        <f t="shared" si="3"/>
        <v>Dezembro</v>
      </c>
      <c r="E121" s="20" t="s">
        <v>1072</v>
      </c>
      <c r="F121" s="96">
        <v>14342155</v>
      </c>
      <c r="G121" s="94">
        <v>33113</v>
      </c>
      <c r="H121" s="20">
        <v>35999949521</v>
      </c>
      <c r="I121" s="20"/>
      <c r="J121" s="20" t="s">
        <v>14566</v>
      </c>
      <c r="K121" s="20" t="s">
        <v>9510</v>
      </c>
      <c r="L121" s="20" t="s">
        <v>9319</v>
      </c>
      <c r="M121" s="20">
        <v>10</v>
      </c>
      <c r="N121" s="93">
        <v>70</v>
      </c>
      <c r="O121" s="20" t="s">
        <v>14331</v>
      </c>
    </row>
    <row r="122" spans="1:16">
      <c r="B122" s="37" t="s">
        <v>2761</v>
      </c>
      <c r="C122" s="39" t="s">
        <v>8929</v>
      </c>
      <c r="D122" s="148" t="str">
        <f t="shared" si="3"/>
        <v>Dezembro</v>
      </c>
      <c r="E122" s="20" t="s">
        <v>123</v>
      </c>
      <c r="F122" s="96" t="s">
        <v>14567</v>
      </c>
      <c r="G122" s="94">
        <v>27458</v>
      </c>
      <c r="H122" s="20">
        <v>35997064412</v>
      </c>
      <c r="I122" s="20"/>
      <c r="J122" s="20" t="s">
        <v>14568</v>
      </c>
      <c r="K122" s="20" t="s">
        <v>7869</v>
      </c>
      <c r="L122" s="20" t="s">
        <v>9319</v>
      </c>
      <c r="M122" s="20">
        <v>30</v>
      </c>
      <c r="N122" s="93">
        <v>60</v>
      </c>
      <c r="O122" s="20" t="s">
        <v>14569</v>
      </c>
    </row>
    <row r="123" spans="1:16">
      <c r="B123" s="37" t="s">
        <v>11900</v>
      </c>
      <c r="C123" s="39" t="s">
        <v>8929</v>
      </c>
      <c r="D123" s="148" t="str">
        <f t="shared" si="3"/>
        <v>Dezembro</v>
      </c>
      <c r="E123" s="20" t="s">
        <v>1267</v>
      </c>
      <c r="F123" s="20" t="s">
        <v>14570</v>
      </c>
      <c r="G123" s="94">
        <v>35824</v>
      </c>
      <c r="H123" s="20" t="s">
        <v>14571</v>
      </c>
      <c r="I123" s="20"/>
      <c r="J123" s="20" t="s">
        <v>14572</v>
      </c>
      <c r="K123" s="20" t="s">
        <v>1168</v>
      </c>
      <c r="L123" s="20" t="s">
        <v>8940</v>
      </c>
      <c r="M123" s="20">
        <v>30</v>
      </c>
      <c r="N123" s="93">
        <v>70</v>
      </c>
      <c r="O123" s="20" t="s">
        <v>14573</v>
      </c>
    </row>
    <row r="124" spans="1:16">
      <c r="A124" t="s">
        <v>14264</v>
      </c>
      <c r="B124" s="37" t="s">
        <v>3907</v>
      </c>
      <c r="C124" s="39" t="s">
        <v>8929</v>
      </c>
      <c r="D124" s="148" t="str">
        <f t="shared" si="3"/>
        <v>Dezembro</v>
      </c>
      <c r="E124" s="20" t="s">
        <v>1750</v>
      </c>
      <c r="F124" s="20">
        <v>274386161</v>
      </c>
      <c r="G124" s="94">
        <v>26968</v>
      </c>
      <c r="H124" s="20" t="s">
        <v>1749</v>
      </c>
      <c r="I124" s="20"/>
      <c r="J124" s="20" t="s">
        <v>14574</v>
      </c>
      <c r="K124" s="20" t="s">
        <v>14575</v>
      </c>
      <c r="L124" s="20" t="s">
        <v>9319</v>
      </c>
      <c r="M124" s="20">
        <v>20</v>
      </c>
      <c r="N124" s="93">
        <v>70</v>
      </c>
      <c r="O124" s="94" t="s">
        <v>14576</v>
      </c>
      <c r="P124" t="s">
        <v>14565</v>
      </c>
    </row>
    <row r="125" spans="1:16">
      <c r="B125" s="37" t="s">
        <v>3906</v>
      </c>
      <c r="C125" s="39" t="s">
        <v>8929</v>
      </c>
      <c r="D125" s="148" t="str">
        <f t="shared" si="3"/>
        <v>Dezembro</v>
      </c>
      <c r="E125" s="20" t="s">
        <v>2065</v>
      </c>
      <c r="F125" s="96" t="s">
        <v>14577</v>
      </c>
      <c r="G125" s="94">
        <v>32028</v>
      </c>
      <c r="H125" s="20">
        <v>35998039552</v>
      </c>
      <c r="I125" s="20"/>
      <c r="J125" s="20" t="s">
        <v>14578</v>
      </c>
      <c r="K125" s="20" t="s">
        <v>7784</v>
      </c>
      <c r="L125" s="20" t="s">
        <v>9319</v>
      </c>
      <c r="M125" s="20">
        <v>10</v>
      </c>
      <c r="N125" s="93">
        <v>79.900000000000006</v>
      </c>
      <c r="O125" s="94" t="s">
        <v>14579</v>
      </c>
    </row>
    <row r="126" spans="1:16">
      <c r="B126" s="37" t="s">
        <v>3895</v>
      </c>
      <c r="C126" s="39" t="s">
        <v>8929</v>
      </c>
      <c r="D126" s="148" t="str">
        <f t="shared" si="3"/>
        <v>Dezembro</v>
      </c>
      <c r="E126" s="20" t="s">
        <v>1798</v>
      </c>
      <c r="F126" s="96" t="s">
        <v>14580</v>
      </c>
      <c r="G126" s="94">
        <v>34760</v>
      </c>
      <c r="H126" s="20">
        <v>35998032343</v>
      </c>
      <c r="I126" s="20"/>
      <c r="J126" s="20" t="s">
        <v>14581</v>
      </c>
      <c r="K126" s="20" t="s">
        <v>9431</v>
      </c>
      <c r="L126" s="20" t="s">
        <v>9319</v>
      </c>
      <c r="M126" s="20">
        <v>25</v>
      </c>
      <c r="N126" s="93">
        <v>60</v>
      </c>
      <c r="O126" s="20" t="s">
        <v>14582</v>
      </c>
    </row>
    <row r="127" spans="1:16">
      <c r="B127" s="37" t="s">
        <v>3903</v>
      </c>
      <c r="C127" s="39" t="s">
        <v>8929</v>
      </c>
      <c r="D127" s="148" t="str">
        <f t="shared" si="3"/>
        <v>Dezembro</v>
      </c>
      <c r="E127" s="20" t="s">
        <v>686</v>
      </c>
      <c r="F127" s="96">
        <v>19954796</v>
      </c>
      <c r="G127" s="94">
        <v>26493</v>
      </c>
      <c r="H127" s="20">
        <v>35998042006</v>
      </c>
      <c r="I127" s="20"/>
      <c r="J127" s="20" t="s">
        <v>14583</v>
      </c>
      <c r="K127" s="20" t="s">
        <v>14403</v>
      </c>
      <c r="L127" s="20" t="s">
        <v>9319</v>
      </c>
      <c r="M127" s="20">
        <v>10</v>
      </c>
      <c r="N127" s="93">
        <v>70</v>
      </c>
      <c r="O127" s="20" t="s">
        <v>14584</v>
      </c>
    </row>
    <row r="128" spans="1:16">
      <c r="B128" s="37" t="s">
        <v>2917</v>
      </c>
      <c r="C128" s="39" t="s">
        <v>8929</v>
      </c>
      <c r="D128" s="148" t="str">
        <f t="shared" si="3"/>
        <v>Dezembro</v>
      </c>
      <c r="E128" s="20" t="s">
        <v>1556</v>
      </c>
      <c r="F128" s="96" t="s">
        <v>14585</v>
      </c>
      <c r="G128" s="94">
        <v>20388</v>
      </c>
      <c r="H128" s="20" t="s">
        <v>14586</v>
      </c>
      <c r="I128" s="26"/>
      <c r="J128" s="20" t="s">
        <v>14587</v>
      </c>
      <c r="K128" s="20" t="s">
        <v>1347</v>
      </c>
      <c r="L128" s="20" t="s">
        <v>9319</v>
      </c>
      <c r="M128" s="26">
        <v>15</v>
      </c>
      <c r="N128" s="93">
        <v>50</v>
      </c>
      <c r="O128" s="20" t="s">
        <v>14588</v>
      </c>
      <c r="P128" t="s">
        <v>14565</v>
      </c>
    </row>
    <row r="129" spans="1:16">
      <c r="B129" s="37" t="s">
        <v>3900</v>
      </c>
      <c r="C129" s="39" t="s">
        <v>8929</v>
      </c>
      <c r="D129" s="148" t="str">
        <f t="shared" si="3"/>
        <v>Dezembro</v>
      </c>
      <c r="E129" s="20" t="s">
        <v>1945</v>
      </c>
      <c r="F129" s="96">
        <v>11890268</v>
      </c>
      <c r="G129" s="94">
        <v>26826</v>
      </c>
      <c r="H129" s="20" t="s">
        <v>14589</v>
      </c>
      <c r="I129" s="20"/>
      <c r="J129" s="20" t="s">
        <v>14590</v>
      </c>
      <c r="K129" s="20" t="s">
        <v>14403</v>
      </c>
      <c r="L129" s="20" t="s">
        <v>9319</v>
      </c>
      <c r="M129" s="20">
        <v>20</v>
      </c>
      <c r="N129" s="93">
        <v>60</v>
      </c>
      <c r="O129" s="20" t="s">
        <v>14226</v>
      </c>
    </row>
    <row r="130" spans="1:16">
      <c r="B130" s="37" t="s">
        <v>3902</v>
      </c>
      <c r="C130" s="39" t="s">
        <v>8929</v>
      </c>
      <c r="D130" s="148" t="str">
        <f t="shared" si="3"/>
        <v>Dezembro</v>
      </c>
      <c r="E130" s="20" t="s">
        <v>1210</v>
      </c>
      <c r="F130" s="96" t="s">
        <v>14591</v>
      </c>
      <c r="G130" s="94">
        <v>29365</v>
      </c>
      <c r="H130" s="20">
        <v>35998858909</v>
      </c>
      <c r="I130" s="20"/>
      <c r="J130" s="20" t="s">
        <v>14592</v>
      </c>
      <c r="K130" s="20" t="s">
        <v>14593</v>
      </c>
      <c r="L130" s="20" t="s">
        <v>9319</v>
      </c>
      <c r="M130" s="20">
        <v>10</v>
      </c>
      <c r="N130" s="93">
        <v>70</v>
      </c>
      <c r="O130" s="20" t="s">
        <v>14594</v>
      </c>
    </row>
    <row r="131" spans="1:16">
      <c r="B131" s="37" t="s">
        <v>3905</v>
      </c>
      <c r="C131" s="39" t="s">
        <v>8929</v>
      </c>
      <c r="D131" s="148" t="str">
        <f t="shared" si="3"/>
        <v>Dezembro</v>
      </c>
      <c r="E131" s="20" t="s">
        <v>1276</v>
      </c>
      <c r="F131" s="96" t="s">
        <v>14595</v>
      </c>
      <c r="G131" s="94">
        <v>32842</v>
      </c>
      <c r="H131" s="20">
        <v>35999660018</v>
      </c>
      <c r="I131" s="20"/>
      <c r="J131" s="20" t="s">
        <v>14596</v>
      </c>
      <c r="K131" s="20" t="s">
        <v>90</v>
      </c>
      <c r="L131" s="20" t="s">
        <v>9319</v>
      </c>
      <c r="M131" s="20">
        <v>20</v>
      </c>
      <c r="N131" s="93">
        <v>50</v>
      </c>
      <c r="O131" s="20" t="s">
        <v>14597</v>
      </c>
      <c r="P131" t="s">
        <v>14565</v>
      </c>
    </row>
    <row r="132" spans="1:16">
      <c r="B132" s="37" t="s">
        <v>3893</v>
      </c>
      <c r="C132" s="39" t="s">
        <v>8929</v>
      </c>
      <c r="D132" s="148" t="str">
        <f t="shared" si="3"/>
        <v>Dezembro</v>
      </c>
      <c r="E132" s="20" t="s">
        <v>1949</v>
      </c>
      <c r="F132" s="96" t="s">
        <v>14598</v>
      </c>
      <c r="G132" s="94">
        <v>32462</v>
      </c>
      <c r="H132" s="20" t="s">
        <v>14599</v>
      </c>
      <c r="I132" s="20"/>
      <c r="J132" s="20" t="s">
        <v>14600</v>
      </c>
      <c r="K132" s="20" t="s">
        <v>7874</v>
      </c>
      <c r="L132" s="20" t="s">
        <v>8940</v>
      </c>
      <c r="M132" s="101">
        <v>15</v>
      </c>
      <c r="N132" s="93">
        <v>60</v>
      </c>
      <c r="O132" s="20" t="s">
        <v>14269</v>
      </c>
    </row>
    <row r="133" spans="1:16">
      <c r="B133" s="37" t="s">
        <v>3897</v>
      </c>
      <c r="C133" s="39" t="s">
        <v>8929</v>
      </c>
      <c r="D133" s="148" t="str">
        <f t="shared" si="3"/>
        <v>Dezembro</v>
      </c>
      <c r="E133" s="20" t="s">
        <v>348</v>
      </c>
      <c r="F133" s="96" t="s">
        <v>14601</v>
      </c>
      <c r="G133" s="94">
        <v>20762</v>
      </c>
      <c r="H133" s="20" t="s">
        <v>14602</v>
      </c>
      <c r="I133" s="20"/>
      <c r="J133" s="20" t="s">
        <v>14603</v>
      </c>
      <c r="K133" s="20" t="s">
        <v>9510</v>
      </c>
      <c r="L133" s="113" t="s">
        <v>9319</v>
      </c>
      <c r="M133" s="20">
        <v>10</v>
      </c>
      <c r="N133" s="114">
        <v>40</v>
      </c>
      <c r="O133" s="20" t="s">
        <v>14604</v>
      </c>
    </row>
    <row r="134" spans="1:16">
      <c r="B134" s="37" t="s">
        <v>14605</v>
      </c>
      <c r="C134" s="39" t="s">
        <v>8929</v>
      </c>
      <c r="D134" s="148" t="str">
        <f t="shared" si="3"/>
        <v>Dezembro</v>
      </c>
      <c r="E134" s="26" t="s">
        <v>646</v>
      </c>
      <c r="F134" s="96" t="s">
        <v>14606</v>
      </c>
      <c r="G134" s="94">
        <v>34722</v>
      </c>
      <c r="H134" s="20">
        <v>35999033651</v>
      </c>
      <c r="I134" s="20"/>
      <c r="J134" s="20" t="s">
        <v>14607</v>
      </c>
      <c r="K134" s="20" t="s">
        <v>9510</v>
      </c>
      <c r="L134" s="113" t="s">
        <v>9319</v>
      </c>
      <c r="M134" s="20">
        <v>20</v>
      </c>
      <c r="N134" s="114">
        <v>60</v>
      </c>
      <c r="O134" s="20" t="s">
        <v>14226</v>
      </c>
    </row>
    <row r="135" spans="1:16">
      <c r="B135" s="37" t="s">
        <v>4570</v>
      </c>
      <c r="C135" s="39" t="s">
        <v>8929</v>
      </c>
      <c r="D135" s="148" t="str">
        <f t="shared" si="3"/>
        <v>Dezembro</v>
      </c>
      <c r="E135" s="20">
        <v>79960596672</v>
      </c>
      <c r="F135" s="115">
        <v>5799130</v>
      </c>
      <c r="G135" s="94">
        <v>24442</v>
      </c>
      <c r="H135" s="20" t="s">
        <v>14608</v>
      </c>
      <c r="I135" s="20"/>
      <c r="J135" s="20" t="s">
        <v>14609</v>
      </c>
      <c r="K135" s="20" t="s">
        <v>9510</v>
      </c>
      <c r="L135" s="113" t="s">
        <v>9319</v>
      </c>
      <c r="M135" s="20">
        <v>10</v>
      </c>
      <c r="N135" s="114">
        <v>60</v>
      </c>
      <c r="O135" s="20" t="s">
        <v>14331</v>
      </c>
    </row>
    <row r="136" spans="1:16">
      <c r="B136" s="37" t="s">
        <v>14610</v>
      </c>
      <c r="C136" s="39" t="s">
        <v>8929</v>
      </c>
      <c r="D136" s="148" t="str">
        <f t="shared" si="3"/>
        <v>Dezembro</v>
      </c>
      <c r="E136" s="20" t="s">
        <v>1921</v>
      </c>
      <c r="F136" s="115">
        <v>11811311</v>
      </c>
      <c r="G136" s="94">
        <v>26433</v>
      </c>
      <c r="H136" s="20" t="s">
        <v>14611</v>
      </c>
      <c r="I136" s="20"/>
      <c r="J136" s="116" t="s">
        <v>14612</v>
      </c>
      <c r="K136" s="20" t="s">
        <v>1347</v>
      </c>
      <c r="L136" s="113" t="s">
        <v>9319</v>
      </c>
      <c r="M136" s="20">
        <v>10</v>
      </c>
      <c r="N136" s="114">
        <v>60</v>
      </c>
      <c r="O136" s="20" t="s">
        <v>14613</v>
      </c>
      <c r="P136" t="s">
        <v>14614</v>
      </c>
    </row>
    <row r="137" spans="1:16">
      <c r="B137" s="37" t="s">
        <v>14615</v>
      </c>
      <c r="C137" s="39" t="s">
        <v>8929</v>
      </c>
      <c r="D137" s="148" t="str">
        <f t="shared" si="3"/>
        <v>Dezembro</v>
      </c>
      <c r="E137" s="20" t="s">
        <v>1921</v>
      </c>
      <c r="F137" s="115">
        <v>11811311</v>
      </c>
      <c r="G137" s="94">
        <v>26433</v>
      </c>
      <c r="H137" s="20" t="s">
        <v>14611</v>
      </c>
      <c r="I137" s="20"/>
      <c r="J137" s="20" t="s">
        <v>14616</v>
      </c>
      <c r="K137" s="20" t="s">
        <v>14617</v>
      </c>
      <c r="L137" s="113" t="s">
        <v>9319</v>
      </c>
      <c r="M137" s="20">
        <v>10</v>
      </c>
      <c r="N137" s="114">
        <v>40</v>
      </c>
      <c r="O137" s="20" t="s">
        <v>14613</v>
      </c>
    </row>
    <row r="138" spans="1:16">
      <c r="B138" s="37" t="s">
        <v>3899</v>
      </c>
      <c r="C138" s="39" t="s">
        <v>8929</v>
      </c>
      <c r="D138" s="148" t="str">
        <f t="shared" si="3"/>
        <v>Dezembro</v>
      </c>
      <c r="E138" s="20" t="s">
        <v>852</v>
      </c>
      <c r="F138" s="115" t="s">
        <v>14618</v>
      </c>
      <c r="G138" s="94">
        <v>28101</v>
      </c>
      <c r="H138" s="20" t="s">
        <v>14619</v>
      </c>
      <c r="I138" s="20"/>
      <c r="J138" s="20" t="s">
        <v>14620</v>
      </c>
      <c r="K138" s="20" t="s">
        <v>1347</v>
      </c>
      <c r="L138" s="113" t="s">
        <v>9319</v>
      </c>
      <c r="M138" s="20">
        <v>25</v>
      </c>
      <c r="N138" s="114">
        <v>60</v>
      </c>
      <c r="O138" s="20" t="s">
        <v>14432</v>
      </c>
    </row>
    <row r="139" spans="1:16">
      <c r="A139" t="s">
        <v>14264</v>
      </c>
      <c r="B139" s="37" t="s">
        <v>3892</v>
      </c>
      <c r="C139" s="39" t="s">
        <v>8929</v>
      </c>
      <c r="D139" s="148" t="str">
        <f t="shared" si="3"/>
        <v>Dezembro</v>
      </c>
      <c r="E139" s="20" t="s">
        <v>898</v>
      </c>
      <c r="F139" s="115">
        <v>21230352</v>
      </c>
      <c r="G139" s="94">
        <v>24478</v>
      </c>
      <c r="H139" s="20">
        <v>35997539226</v>
      </c>
      <c r="I139" s="20"/>
      <c r="J139" s="20" t="s">
        <v>14621</v>
      </c>
      <c r="K139" s="20" t="s">
        <v>14622</v>
      </c>
      <c r="L139" s="113" t="s">
        <v>9319</v>
      </c>
      <c r="M139" s="20">
        <v>10</v>
      </c>
      <c r="N139" s="114">
        <v>60</v>
      </c>
      <c r="O139" s="20" t="s">
        <v>14331</v>
      </c>
    </row>
    <row r="140" spans="1:16">
      <c r="B140" s="37" t="s">
        <v>3887</v>
      </c>
      <c r="C140" s="39" t="s">
        <v>8929</v>
      </c>
      <c r="D140" s="148" t="str">
        <f t="shared" si="3"/>
        <v>Dezembro</v>
      </c>
      <c r="E140" s="20" t="s">
        <v>1782</v>
      </c>
      <c r="F140" s="115" t="s">
        <v>14623</v>
      </c>
      <c r="G140" s="94">
        <v>32148</v>
      </c>
      <c r="H140" s="20" t="s">
        <v>14624</v>
      </c>
      <c r="I140" s="20"/>
      <c r="J140" s="20" t="s">
        <v>14625</v>
      </c>
      <c r="K140" s="20" t="s">
        <v>19</v>
      </c>
      <c r="L140" s="113" t="s">
        <v>9319</v>
      </c>
      <c r="M140" s="20">
        <v>10</v>
      </c>
      <c r="N140" s="114">
        <v>75.900000000000006</v>
      </c>
      <c r="O140" s="20" t="s">
        <v>14626</v>
      </c>
    </row>
    <row r="141" spans="1:16">
      <c r="B141" s="37" t="s">
        <v>3289</v>
      </c>
      <c r="C141" s="39" t="s">
        <v>8929</v>
      </c>
      <c r="D141" s="148" t="str">
        <f t="shared" si="3"/>
        <v>Dezembro</v>
      </c>
      <c r="E141" s="20" t="s">
        <v>113</v>
      </c>
      <c r="F141" s="115" t="s">
        <v>14627</v>
      </c>
      <c r="G141" s="94">
        <v>19321</v>
      </c>
      <c r="H141" s="20" t="s">
        <v>112</v>
      </c>
      <c r="I141" s="20"/>
      <c r="J141" s="20" t="s">
        <v>14628</v>
      </c>
      <c r="K141" s="20" t="s">
        <v>7750</v>
      </c>
      <c r="L141" s="113" t="s">
        <v>9319</v>
      </c>
      <c r="M141" s="20">
        <v>10</v>
      </c>
      <c r="N141" s="114">
        <v>50</v>
      </c>
      <c r="O141" s="20" t="s">
        <v>14508</v>
      </c>
    </row>
    <row r="142" spans="1:16">
      <c r="B142" s="37" t="s">
        <v>3888</v>
      </c>
      <c r="C142" s="39" t="s">
        <v>8929</v>
      </c>
      <c r="D142" s="148" t="str">
        <f t="shared" si="3"/>
        <v>Dezembro</v>
      </c>
      <c r="E142" s="26" t="s">
        <v>1847</v>
      </c>
      <c r="F142" s="115">
        <v>9029210</v>
      </c>
      <c r="G142" s="94">
        <v>21322</v>
      </c>
      <c r="H142" s="20" t="s">
        <v>14629</v>
      </c>
      <c r="I142" s="20"/>
      <c r="J142" s="20" t="s">
        <v>14630</v>
      </c>
      <c r="K142" s="20" t="s">
        <v>90</v>
      </c>
      <c r="L142" s="113" t="s">
        <v>9319</v>
      </c>
      <c r="M142" s="20">
        <v>10</v>
      </c>
      <c r="N142" s="114">
        <v>40</v>
      </c>
      <c r="O142" s="20" t="s">
        <v>14286</v>
      </c>
      <c r="P142" t="s">
        <v>14565</v>
      </c>
    </row>
    <row r="143" spans="1:16">
      <c r="B143" s="37" t="s">
        <v>3890</v>
      </c>
      <c r="C143" s="39" t="s">
        <v>8929</v>
      </c>
      <c r="D143" s="148" t="str">
        <f t="shared" si="3"/>
        <v>Dezembro</v>
      </c>
      <c r="E143" s="20" t="s">
        <v>2051</v>
      </c>
      <c r="F143" s="115">
        <v>1184582</v>
      </c>
      <c r="G143" s="94">
        <v>21991</v>
      </c>
      <c r="H143" s="20">
        <v>35999014627</v>
      </c>
      <c r="I143" s="20"/>
      <c r="J143" s="20" t="s">
        <v>14631</v>
      </c>
      <c r="K143" s="20" t="s">
        <v>90</v>
      </c>
      <c r="L143" s="113" t="s">
        <v>9319</v>
      </c>
      <c r="M143" s="20">
        <v>30</v>
      </c>
      <c r="N143" s="114">
        <v>70</v>
      </c>
      <c r="O143" s="20" t="s">
        <v>14239</v>
      </c>
    </row>
    <row r="144" spans="1:16">
      <c r="B144" s="37" t="s">
        <v>14632</v>
      </c>
      <c r="C144" s="39" t="s">
        <v>8929</v>
      </c>
      <c r="D144" s="148" t="str">
        <f t="shared" si="3"/>
        <v>Dezembro</v>
      </c>
      <c r="E144" s="20" t="s">
        <v>1525</v>
      </c>
      <c r="F144" s="115" t="s">
        <v>14633</v>
      </c>
      <c r="G144" s="117">
        <v>22871</v>
      </c>
      <c r="H144" s="20" t="s">
        <v>14634</v>
      </c>
      <c r="I144" s="20"/>
      <c r="J144" s="20" t="s">
        <v>14635</v>
      </c>
      <c r="K144" s="20" t="s">
        <v>14636</v>
      </c>
      <c r="L144" s="113" t="s">
        <v>9319</v>
      </c>
      <c r="M144" s="20">
        <v>5</v>
      </c>
      <c r="N144" s="114">
        <v>60</v>
      </c>
      <c r="O144" s="20" t="s">
        <v>14637</v>
      </c>
    </row>
    <row r="145" spans="1:16">
      <c r="B145" s="37" t="s">
        <v>3891</v>
      </c>
      <c r="C145" s="31" t="str">
        <f>C137</f>
        <v>ok</v>
      </c>
      <c r="D145" s="148" t="str">
        <f t="shared" si="3"/>
        <v>Dezembro</v>
      </c>
      <c r="E145" s="20" t="s">
        <v>951</v>
      </c>
      <c r="F145" s="96" t="s">
        <v>14638</v>
      </c>
      <c r="G145" s="94">
        <v>31813</v>
      </c>
      <c r="H145" s="20">
        <v>35999901893</v>
      </c>
      <c r="I145" s="20"/>
      <c r="J145" s="20" t="s">
        <v>14639</v>
      </c>
      <c r="K145" s="20" t="s">
        <v>14593</v>
      </c>
      <c r="L145" s="20" t="s">
        <v>9319</v>
      </c>
      <c r="M145" s="20">
        <v>25</v>
      </c>
      <c r="N145" s="93">
        <v>40</v>
      </c>
      <c r="O145" s="20" t="s">
        <v>14640</v>
      </c>
      <c r="P145" t="s">
        <v>14565</v>
      </c>
    </row>
    <row r="146" spans="1:16">
      <c r="B146" s="37" t="s">
        <v>14641</v>
      </c>
      <c r="C146" s="39" t="str">
        <f>C138</f>
        <v>ok</v>
      </c>
      <c r="D146" s="148" t="str">
        <f t="shared" si="3"/>
        <v>Dezembro</v>
      </c>
      <c r="E146" s="20" t="s">
        <v>1737</v>
      </c>
      <c r="F146" s="96" t="s">
        <v>14642</v>
      </c>
      <c r="G146" s="94">
        <v>35184</v>
      </c>
      <c r="H146" s="20" t="s">
        <v>14643</v>
      </c>
      <c r="I146" s="20"/>
      <c r="J146" s="20" t="s">
        <v>14644</v>
      </c>
      <c r="K146" s="20" t="s">
        <v>1347</v>
      </c>
      <c r="L146" s="20" t="s">
        <v>9319</v>
      </c>
      <c r="M146" s="20">
        <v>20</v>
      </c>
      <c r="N146" s="93">
        <v>60</v>
      </c>
      <c r="O146" s="20" t="s">
        <v>14597</v>
      </c>
      <c r="P146" t="s">
        <v>14565</v>
      </c>
    </row>
    <row r="147" spans="1:16">
      <c r="B147" s="37" t="s">
        <v>3884</v>
      </c>
      <c r="C147" s="39" t="str">
        <f>C139</f>
        <v>ok</v>
      </c>
      <c r="D147" s="148" t="str">
        <f t="shared" si="3"/>
        <v>Dezembro</v>
      </c>
      <c r="E147" s="20" t="s">
        <v>1822</v>
      </c>
      <c r="F147" s="96" t="s">
        <v>14645</v>
      </c>
      <c r="G147" s="94">
        <v>23586</v>
      </c>
      <c r="H147" s="20">
        <v>35998374616</v>
      </c>
      <c r="I147" s="20"/>
      <c r="J147" s="20" t="s">
        <v>14646</v>
      </c>
      <c r="K147" s="20" t="s">
        <v>14543</v>
      </c>
      <c r="L147" s="20" t="s">
        <v>9319</v>
      </c>
      <c r="M147" s="20">
        <v>20</v>
      </c>
      <c r="N147" s="93">
        <v>60</v>
      </c>
      <c r="O147" s="20" t="s">
        <v>14226</v>
      </c>
    </row>
    <row r="148" spans="1:16">
      <c r="B148" s="37" t="s">
        <v>3125</v>
      </c>
      <c r="C148" s="39" t="s">
        <v>8929</v>
      </c>
      <c r="D148" s="148" t="str">
        <f t="shared" si="3"/>
        <v>Dezembro</v>
      </c>
      <c r="E148" s="20" t="s">
        <v>426</v>
      </c>
      <c r="F148" s="96">
        <v>19572533</v>
      </c>
      <c r="G148" s="94">
        <v>21688</v>
      </c>
      <c r="H148" s="20" t="s">
        <v>14647</v>
      </c>
      <c r="I148" s="20"/>
      <c r="J148" s="20" t="s">
        <v>14648</v>
      </c>
      <c r="K148" s="20" t="s">
        <v>9510</v>
      </c>
      <c r="L148" s="20" t="s">
        <v>9803</v>
      </c>
      <c r="M148" s="20">
        <v>10</v>
      </c>
      <c r="N148" s="93">
        <v>75.900000000000006</v>
      </c>
      <c r="O148" s="20" t="s">
        <v>14649</v>
      </c>
    </row>
    <row r="149" spans="1:16">
      <c r="B149" s="37" t="s">
        <v>3882</v>
      </c>
      <c r="C149" s="39" t="s">
        <v>8929</v>
      </c>
      <c r="D149" s="148" t="str">
        <f t="shared" si="3"/>
        <v>Dezembro</v>
      </c>
      <c r="E149" s="20" t="s">
        <v>631</v>
      </c>
      <c r="F149" s="96" t="s">
        <v>14650</v>
      </c>
      <c r="G149" s="94">
        <v>25523</v>
      </c>
      <c r="H149" s="20">
        <v>35999604690</v>
      </c>
      <c r="I149" s="20"/>
      <c r="J149" s="20" t="s">
        <v>14651</v>
      </c>
      <c r="K149" s="20" t="s">
        <v>7750</v>
      </c>
      <c r="L149" s="20" t="s">
        <v>9319</v>
      </c>
      <c r="M149" s="20">
        <v>25</v>
      </c>
      <c r="N149" s="93">
        <v>50</v>
      </c>
      <c r="O149" s="20" t="s">
        <v>14652</v>
      </c>
      <c r="P149" t="s">
        <v>14565</v>
      </c>
    </row>
    <row r="150" spans="1:16">
      <c r="A150" t="s">
        <v>14264</v>
      </c>
      <c r="B150" s="37" t="s">
        <v>14653</v>
      </c>
      <c r="C150" s="39" t="s">
        <v>8929</v>
      </c>
      <c r="D150" s="148" t="str">
        <f t="shared" si="3"/>
        <v>Dezembro</v>
      </c>
      <c r="E150" s="20" t="s">
        <v>1769</v>
      </c>
      <c r="F150" s="96" t="s">
        <v>14654</v>
      </c>
      <c r="G150" s="94">
        <v>30864</v>
      </c>
      <c r="H150" s="20">
        <v>35991925771</v>
      </c>
      <c r="I150" s="20"/>
      <c r="J150" s="20" t="s">
        <v>14655</v>
      </c>
      <c r="K150" s="20" t="s">
        <v>1225</v>
      </c>
      <c r="L150" s="20" t="s">
        <v>9319</v>
      </c>
      <c r="M150" s="20">
        <v>10</v>
      </c>
      <c r="N150" s="93">
        <v>60</v>
      </c>
      <c r="O150" s="20" t="s">
        <v>14286</v>
      </c>
      <c r="P150" t="s">
        <v>14565</v>
      </c>
    </row>
    <row r="151" spans="1:16">
      <c r="B151" s="37" t="s">
        <v>3850</v>
      </c>
      <c r="C151" s="39" t="s">
        <v>8929</v>
      </c>
      <c r="D151" s="148" t="str">
        <f t="shared" si="3"/>
        <v>Dezembro</v>
      </c>
      <c r="E151" s="20" t="s">
        <v>477</v>
      </c>
      <c r="F151" s="96">
        <v>11587620</v>
      </c>
      <c r="G151" s="94">
        <v>30104</v>
      </c>
      <c r="H151" s="20" t="s">
        <v>14656</v>
      </c>
      <c r="I151" s="20"/>
      <c r="J151" s="20" t="s">
        <v>14657</v>
      </c>
      <c r="K151" s="20" t="s">
        <v>7757</v>
      </c>
      <c r="L151" s="20" t="s">
        <v>9319</v>
      </c>
      <c r="M151" s="20">
        <v>10</v>
      </c>
      <c r="N151" s="93">
        <v>70</v>
      </c>
      <c r="O151" s="20" t="s">
        <v>14508</v>
      </c>
    </row>
    <row r="152" spans="1:16">
      <c r="B152" s="37" t="s">
        <v>14658</v>
      </c>
      <c r="C152" s="39" t="s">
        <v>8929</v>
      </c>
      <c r="D152" s="148" t="str">
        <f t="shared" si="3"/>
        <v>Dezembro</v>
      </c>
      <c r="E152" s="20" t="s">
        <v>982</v>
      </c>
      <c r="F152" s="96" t="s">
        <v>14659</v>
      </c>
      <c r="G152" s="94">
        <v>34783</v>
      </c>
      <c r="H152" s="20" t="s">
        <v>14660</v>
      </c>
      <c r="I152" s="20"/>
      <c r="J152" s="20" t="s">
        <v>14661</v>
      </c>
      <c r="K152" s="20" t="s">
        <v>14617</v>
      </c>
      <c r="L152" s="20" t="s">
        <v>9319</v>
      </c>
      <c r="M152" s="20">
        <v>15</v>
      </c>
      <c r="N152" s="93">
        <v>50</v>
      </c>
      <c r="O152" s="20" t="s">
        <v>14269</v>
      </c>
    </row>
    <row r="153" spans="1:16">
      <c r="B153" s="37" t="s">
        <v>14662</v>
      </c>
      <c r="C153" s="39" t="s">
        <v>8929</v>
      </c>
      <c r="D153" s="148" t="str">
        <f t="shared" si="3"/>
        <v>Dezembro</v>
      </c>
      <c r="E153" s="20" t="s">
        <v>421</v>
      </c>
      <c r="F153" s="96" t="s">
        <v>14663</v>
      </c>
      <c r="G153" s="94">
        <v>26593</v>
      </c>
      <c r="H153" s="20" t="s">
        <v>14664</v>
      </c>
      <c r="I153" s="20"/>
      <c r="J153" s="20" t="s">
        <v>14665</v>
      </c>
      <c r="K153" s="20" t="s">
        <v>1225</v>
      </c>
      <c r="L153" s="20" t="s">
        <v>9319</v>
      </c>
      <c r="M153" s="20">
        <v>10</v>
      </c>
      <c r="N153" s="93">
        <v>70</v>
      </c>
      <c r="O153" s="20" t="s">
        <v>14286</v>
      </c>
      <c r="P153">
        <v>79.900000000000006</v>
      </c>
    </row>
    <row r="154" spans="1:16">
      <c r="A154" t="s">
        <v>14264</v>
      </c>
      <c r="B154" s="37" t="s">
        <v>14666</v>
      </c>
      <c r="C154" s="39" t="s">
        <v>8929</v>
      </c>
      <c r="D154" s="148" t="str">
        <f t="shared" si="3"/>
        <v>Dezembro</v>
      </c>
      <c r="E154" s="20" t="s">
        <v>44</v>
      </c>
      <c r="F154" s="96" t="s">
        <v>14667</v>
      </c>
      <c r="G154" s="94">
        <v>19770</v>
      </c>
      <c r="H154" s="20" t="s">
        <v>14668</v>
      </c>
      <c r="I154" s="20"/>
      <c r="J154" s="20" t="s">
        <v>14669</v>
      </c>
      <c r="K154" s="20" t="s">
        <v>9510</v>
      </c>
      <c r="L154" s="20" t="s">
        <v>9319</v>
      </c>
      <c r="M154" s="20">
        <v>10</v>
      </c>
      <c r="N154" s="93">
        <v>70</v>
      </c>
      <c r="O154" s="20" t="s">
        <v>14508</v>
      </c>
    </row>
    <row r="155" spans="1:16" ht="20.25">
      <c r="B155" s="37" t="s">
        <v>14670</v>
      </c>
      <c r="C155" s="39" t="s">
        <v>8929</v>
      </c>
      <c r="D155" s="148" t="str">
        <f t="shared" si="3"/>
        <v>Dezembro</v>
      </c>
      <c r="E155" s="20" t="s">
        <v>700</v>
      </c>
      <c r="F155" s="118">
        <v>16146500097</v>
      </c>
      <c r="G155" s="94"/>
      <c r="H155" s="116" t="s">
        <v>699</v>
      </c>
      <c r="I155" s="20"/>
      <c r="J155" s="20" t="s">
        <v>14671</v>
      </c>
      <c r="K155" s="20" t="s">
        <v>9510</v>
      </c>
      <c r="L155" s="20" t="s">
        <v>14672</v>
      </c>
      <c r="M155" s="20">
        <v>10</v>
      </c>
      <c r="N155" s="93">
        <v>70</v>
      </c>
      <c r="O155" s="20" t="s">
        <v>14286</v>
      </c>
      <c r="P155" s="119" t="s">
        <v>14565</v>
      </c>
    </row>
    <row r="156" spans="1:16">
      <c r="B156" s="37" t="s">
        <v>3839</v>
      </c>
      <c r="C156" s="39" t="s">
        <v>8929</v>
      </c>
      <c r="D156" s="148" t="str">
        <f t="shared" si="3"/>
        <v>Dezembro</v>
      </c>
      <c r="E156" s="59">
        <v>3895651648</v>
      </c>
      <c r="F156" s="96">
        <v>18571253</v>
      </c>
      <c r="G156" s="94">
        <v>27530</v>
      </c>
      <c r="H156" s="20">
        <v>35997488008</v>
      </c>
      <c r="I156" s="20"/>
      <c r="J156" s="20" t="s">
        <v>14673</v>
      </c>
      <c r="K156" s="20" t="s">
        <v>1225</v>
      </c>
      <c r="L156" s="20" t="s">
        <v>9319</v>
      </c>
      <c r="M156" s="20">
        <v>5</v>
      </c>
      <c r="N156" s="93">
        <v>50</v>
      </c>
      <c r="O156" s="20" t="s">
        <v>14674</v>
      </c>
    </row>
    <row r="157" spans="1:16">
      <c r="B157" s="37" t="s">
        <v>14675</v>
      </c>
      <c r="C157" s="39" t="s">
        <v>8929</v>
      </c>
      <c r="D157" s="148" t="str">
        <f t="shared" si="3"/>
        <v>Dezembro</v>
      </c>
      <c r="E157" s="20" t="s">
        <v>665</v>
      </c>
      <c r="F157" s="96">
        <v>19104966</v>
      </c>
      <c r="G157" s="94">
        <v>32790</v>
      </c>
      <c r="H157" s="20" t="s">
        <v>14676</v>
      </c>
      <c r="I157" s="20"/>
      <c r="J157" s="20" t="s">
        <v>14677</v>
      </c>
      <c r="K157" s="20" t="s">
        <v>14678</v>
      </c>
      <c r="L157" s="20" t="s">
        <v>9171</v>
      </c>
      <c r="M157" s="20">
        <v>25</v>
      </c>
      <c r="N157" s="93">
        <v>60</v>
      </c>
      <c r="O157" s="20" t="s">
        <v>14432</v>
      </c>
    </row>
    <row r="158" spans="1:16">
      <c r="B158" s="37" t="s">
        <v>14679</v>
      </c>
      <c r="C158" s="39" t="s">
        <v>8929</v>
      </c>
      <c r="D158" s="148" t="str">
        <f t="shared" si="3"/>
        <v>Dezembro</v>
      </c>
      <c r="E158" s="20" t="s">
        <v>1464</v>
      </c>
      <c r="F158" s="96" t="s">
        <v>14680</v>
      </c>
      <c r="G158" s="94">
        <v>24261</v>
      </c>
      <c r="H158" s="20" t="s">
        <v>14681</v>
      </c>
      <c r="I158" s="20"/>
      <c r="J158" s="20" t="s">
        <v>14682</v>
      </c>
      <c r="K158" s="20" t="s">
        <v>25</v>
      </c>
      <c r="L158" s="20" t="s">
        <v>9271</v>
      </c>
      <c r="M158" s="20">
        <v>20</v>
      </c>
      <c r="N158" s="120">
        <v>50</v>
      </c>
      <c r="O158" s="73" t="s">
        <v>14683</v>
      </c>
    </row>
    <row r="159" spans="1:16">
      <c r="B159" s="37" t="s">
        <v>14684</v>
      </c>
      <c r="C159" s="39" t="s">
        <v>8929</v>
      </c>
      <c r="D159" s="148" t="str">
        <f t="shared" si="3"/>
        <v>Dezembro</v>
      </c>
      <c r="E159" s="101" t="s">
        <v>587</v>
      </c>
      <c r="F159" s="104" t="s">
        <v>14685</v>
      </c>
      <c r="G159" s="102">
        <v>24670</v>
      </c>
      <c r="H159" s="101" t="s">
        <v>14686</v>
      </c>
      <c r="I159" s="101"/>
      <c r="J159" s="101" t="s">
        <v>14687</v>
      </c>
      <c r="K159" s="101" t="s">
        <v>14293</v>
      </c>
      <c r="L159" s="101" t="s">
        <v>9569</v>
      </c>
      <c r="M159" s="101">
        <v>10</v>
      </c>
      <c r="N159" s="121">
        <v>70</v>
      </c>
      <c r="O159" s="101" t="s">
        <v>14286</v>
      </c>
      <c r="P159" s="119" t="s">
        <v>14565</v>
      </c>
    </row>
    <row r="160" spans="1:16">
      <c r="B160" s="37" t="s">
        <v>14688</v>
      </c>
      <c r="C160" s="39" t="s">
        <v>8929</v>
      </c>
      <c r="D160" s="148" t="str">
        <f t="shared" ref="D160:D183" si="4">$B$95</f>
        <v>Dezembro</v>
      </c>
      <c r="E160" s="20" t="s">
        <v>695</v>
      </c>
      <c r="F160" s="20" t="s">
        <v>14689</v>
      </c>
      <c r="G160" s="94">
        <v>29847</v>
      </c>
      <c r="H160" s="20" t="s">
        <v>694</v>
      </c>
      <c r="I160" s="20"/>
      <c r="J160" s="20" t="s">
        <v>14690</v>
      </c>
      <c r="K160" s="20" t="s">
        <v>1347</v>
      </c>
      <c r="L160" s="20" t="s">
        <v>8935</v>
      </c>
      <c r="M160" s="20">
        <v>20</v>
      </c>
      <c r="N160" s="120">
        <v>70</v>
      </c>
      <c r="O160" s="20" t="s">
        <v>14691</v>
      </c>
      <c r="P160">
        <v>79.900000000000006</v>
      </c>
    </row>
    <row r="161" spans="2:16">
      <c r="B161" s="37" t="s">
        <v>14692</v>
      </c>
      <c r="C161" s="39" t="s">
        <v>8929</v>
      </c>
      <c r="D161" s="148" t="str">
        <f t="shared" si="4"/>
        <v>Dezembro</v>
      </c>
      <c r="E161" s="73" t="s">
        <v>386</v>
      </c>
      <c r="F161" s="73" t="s">
        <v>14693</v>
      </c>
      <c r="G161" s="74">
        <v>36616</v>
      </c>
      <c r="H161" s="73" t="s">
        <v>385</v>
      </c>
      <c r="I161" s="73"/>
      <c r="J161" s="73" t="s">
        <v>14694</v>
      </c>
      <c r="K161" s="73" t="s">
        <v>1347</v>
      </c>
      <c r="L161" s="73" t="s">
        <v>9294</v>
      </c>
      <c r="M161" s="73">
        <v>30</v>
      </c>
      <c r="N161" s="122">
        <v>70</v>
      </c>
      <c r="O161" s="73" t="s">
        <v>14695</v>
      </c>
    </row>
    <row r="162" spans="2:16">
      <c r="B162" s="37" t="s">
        <v>14696</v>
      </c>
      <c r="C162" s="39" t="s">
        <v>8929</v>
      </c>
      <c r="D162" s="148" t="str">
        <f t="shared" si="4"/>
        <v>Dezembro</v>
      </c>
      <c r="E162" s="73" t="s">
        <v>149</v>
      </c>
      <c r="F162" s="123">
        <v>15080914</v>
      </c>
      <c r="G162" s="74">
        <v>32315</v>
      </c>
      <c r="H162" s="73" t="s">
        <v>14697</v>
      </c>
      <c r="I162" s="73"/>
      <c r="J162" s="73" t="s">
        <v>14698</v>
      </c>
      <c r="K162" s="73" t="s">
        <v>14699</v>
      </c>
      <c r="L162" s="73" t="s">
        <v>14700</v>
      </c>
      <c r="M162" s="73">
        <v>20</v>
      </c>
      <c r="N162" s="122">
        <v>60</v>
      </c>
      <c r="O162" s="73" t="s">
        <v>14226</v>
      </c>
    </row>
    <row r="163" spans="2:16">
      <c r="B163" s="37" t="s">
        <v>14701</v>
      </c>
      <c r="C163" s="39" t="s">
        <v>8929</v>
      </c>
      <c r="D163" s="148" t="str">
        <f t="shared" si="4"/>
        <v>Dezembro</v>
      </c>
      <c r="E163" s="73" t="s">
        <v>272</v>
      </c>
      <c r="F163" s="73">
        <v>8873701</v>
      </c>
      <c r="G163" s="74">
        <v>22039</v>
      </c>
      <c r="H163" s="73" t="s">
        <v>14702</v>
      </c>
      <c r="I163" s="73"/>
      <c r="J163" s="73" t="s">
        <v>14703</v>
      </c>
      <c r="K163" s="73" t="s">
        <v>7865</v>
      </c>
      <c r="L163" s="73" t="s">
        <v>8935</v>
      </c>
      <c r="M163" s="73">
        <v>20</v>
      </c>
      <c r="N163" s="122">
        <v>50</v>
      </c>
      <c r="O163" s="73" t="s">
        <v>14704</v>
      </c>
    </row>
    <row r="164" spans="2:16">
      <c r="B164" s="37" t="s">
        <v>14705</v>
      </c>
      <c r="C164" s="39" t="s">
        <v>8929</v>
      </c>
      <c r="D164" s="148" t="str">
        <f t="shared" si="4"/>
        <v>Dezembro</v>
      </c>
      <c r="E164" s="73" t="s">
        <v>1116</v>
      </c>
      <c r="F164" s="73" t="s">
        <v>14706</v>
      </c>
      <c r="G164" s="74">
        <v>28071</v>
      </c>
      <c r="H164" s="73" t="s">
        <v>14707</v>
      </c>
      <c r="I164" s="73"/>
      <c r="J164" s="73" t="s">
        <v>14708</v>
      </c>
      <c r="K164" s="73" t="s">
        <v>9510</v>
      </c>
      <c r="L164" s="73" t="s">
        <v>9319</v>
      </c>
      <c r="M164" s="73">
        <v>5</v>
      </c>
      <c r="N164" s="122">
        <v>70</v>
      </c>
      <c r="O164" s="73" t="s">
        <v>14709</v>
      </c>
      <c r="P164">
        <v>79.900000000000006</v>
      </c>
    </row>
    <row r="165" spans="2:16">
      <c r="B165" s="37" t="s">
        <v>9420</v>
      </c>
      <c r="C165" s="39" t="s">
        <v>8929</v>
      </c>
      <c r="D165" s="148" t="str">
        <f t="shared" si="4"/>
        <v>Dezembro</v>
      </c>
      <c r="E165" s="73" t="s">
        <v>2254</v>
      </c>
      <c r="F165" s="73">
        <v>16661021</v>
      </c>
      <c r="G165" s="74">
        <v>32435</v>
      </c>
      <c r="H165" s="73" t="s">
        <v>2253</v>
      </c>
      <c r="I165" s="73"/>
      <c r="J165" s="73" t="s">
        <v>14710</v>
      </c>
      <c r="K165" s="73" t="s">
        <v>9510</v>
      </c>
      <c r="L165" s="73" t="s">
        <v>9319</v>
      </c>
      <c r="M165" s="73">
        <v>15</v>
      </c>
      <c r="N165" s="122">
        <v>50</v>
      </c>
      <c r="O165" s="73" t="s">
        <v>14711</v>
      </c>
      <c r="P165">
        <v>70</v>
      </c>
    </row>
    <row r="166" spans="2:16">
      <c r="B166" s="37" t="s">
        <v>14712</v>
      </c>
      <c r="C166" s="39" t="s">
        <v>8929</v>
      </c>
      <c r="D166" s="148" t="str">
        <f t="shared" si="4"/>
        <v>Dezembro</v>
      </c>
      <c r="E166" s="73" t="s">
        <v>908</v>
      </c>
      <c r="F166" s="73" t="s">
        <v>14713</v>
      </c>
      <c r="G166" s="74">
        <v>32584</v>
      </c>
      <c r="H166" s="73" t="s">
        <v>14714</v>
      </c>
      <c r="I166" s="73"/>
      <c r="J166" s="73" t="s">
        <v>14715</v>
      </c>
      <c r="K166" s="73" t="s">
        <v>9510</v>
      </c>
      <c r="L166" s="73" t="s">
        <v>9319</v>
      </c>
      <c r="M166" s="73">
        <v>15</v>
      </c>
      <c r="N166" s="122">
        <v>70</v>
      </c>
      <c r="O166" s="73"/>
    </row>
    <row r="167" spans="2:16">
      <c r="B167" s="37" t="s">
        <v>14716</v>
      </c>
      <c r="C167" s="39" t="s">
        <v>8929</v>
      </c>
      <c r="D167" s="148" t="str">
        <f t="shared" si="4"/>
        <v>Dezembro</v>
      </c>
      <c r="E167" s="73" t="s">
        <v>1254</v>
      </c>
      <c r="F167" s="73" t="s">
        <v>14717</v>
      </c>
      <c r="G167" s="74">
        <v>31802</v>
      </c>
      <c r="H167" s="73" t="s">
        <v>1253</v>
      </c>
      <c r="I167" s="73"/>
      <c r="J167" s="73" t="s">
        <v>14718</v>
      </c>
      <c r="K167" s="73" t="s">
        <v>19</v>
      </c>
      <c r="L167" s="73" t="s">
        <v>9319</v>
      </c>
      <c r="M167" s="73">
        <v>10</v>
      </c>
      <c r="N167" s="122">
        <v>70</v>
      </c>
      <c r="O167" s="73" t="s">
        <v>14719</v>
      </c>
      <c r="P167">
        <v>79.900000000000006</v>
      </c>
    </row>
    <row r="168" spans="2:16">
      <c r="B168" s="37" t="s">
        <v>14720</v>
      </c>
      <c r="C168" s="39" t="s">
        <v>8929</v>
      </c>
      <c r="D168" s="148" t="str">
        <f t="shared" si="4"/>
        <v>Dezembro</v>
      </c>
      <c r="E168" s="73" t="s">
        <v>363</v>
      </c>
      <c r="F168" s="73" t="s">
        <v>14721</v>
      </c>
      <c r="G168" s="74">
        <v>23605</v>
      </c>
      <c r="H168" s="73" t="s">
        <v>14722</v>
      </c>
      <c r="I168" s="73"/>
      <c r="J168" s="73" t="s">
        <v>14723</v>
      </c>
      <c r="K168" s="73" t="s">
        <v>7865</v>
      </c>
      <c r="L168" s="73" t="s">
        <v>9294</v>
      </c>
      <c r="M168" s="73">
        <v>5</v>
      </c>
      <c r="N168" s="122">
        <v>50</v>
      </c>
      <c r="O168" s="73"/>
    </row>
    <row r="169" spans="2:16">
      <c r="B169" s="37" t="s">
        <v>3855</v>
      </c>
      <c r="C169" s="39" t="s">
        <v>8929</v>
      </c>
      <c r="D169" s="148" t="str">
        <f t="shared" si="4"/>
        <v>Dezembro</v>
      </c>
      <c r="E169" s="73" t="s">
        <v>1192</v>
      </c>
      <c r="F169" s="73" t="s">
        <v>14724</v>
      </c>
      <c r="G169" s="74">
        <v>22360</v>
      </c>
      <c r="H169" s="73">
        <v>999286162</v>
      </c>
      <c r="I169" s="73"/>
      <c r="J169" s="73" t="s">
        <v>14725</v>
      </c>
      <c r="K169" s="73" t="s">
        <v>7869</v>
      </c>
      <c r="L169" s="73" t="s">
        <v>9319</v>
      </c>
      <c r="M169" s="73">
        <v>10</v>
      </c>
      <c r="N169" s="122">
        <v>40</v>
      </c>
      <c r="O169" s="122" t="s">
        <v>14726</v>
      </c>
      <c r="P169">
        <v>79.900000000000006</v>
      </c>
    </row>
    <row r="170" spans="2:16">
      <c r="B170" s="37" t="s">
        <v>14727</v>
      </c>
      <c r="C170" s="39" t="s">
        <v>8929</v>
      </c>
      <c r="D170" s="148" t="str">
        <f t="shared" si="4"/>
        <v>Dezembro</v>
      </c>
      <c r="E170" s="73" t="s">
        <v>1917</v>
      </c>
      <c r="F170" s="73">
        <v>12398696</v>
      </c>
      <c r="G170" s="74">
        <v>28033</v>
      </c>
      <c r="H170" s="73" t="s">
        <v>14728</v>
      </c>
      <c r="I170" s="73"/>
      <c r="J170" s="73" t="s">
        <v>14729</v>
      </c>
      <c r="K170" s="73" t="s">
        <v>7869</v>
      </c>
      <c r="L170" s="73" t="s">
        <v>9319</v>
      </c>
      <c r="M170" s="73">
        <v>20</v>
      </c>
      <c r="N170" s="122">
        <v>60</v>
      </c>
      <c r="O170" s="73" t="s">
        <v>14730</v>
      </c>
      <c r="P170">
        <v>79.900000000000006</v>
      </c>
    </row>
    <row r="171" spans="2:16">
      <c r="B171" s="37" t="s">
        <v>12384</v>
      </c>
      <c r="C171" s="39" t="s">
        <v>8929</v>
      </c>
      <c r="D171" s="148" t="str">
        <f t="shared" si="4"/>
        <v>Dezembro</v>
      </c>
      <c r="E171" s="73" t="s">
        <v>865</v>
      </c>
      <c r="F171" s="73" t="s">
        <v>14731</v>
      </c>
      <c r="G171" s="74">
        <v>26045</v>
      </c>
      <c r="H171" s="73">
        <v>35992131325</v>
      </c>
      <c r="I171" s="73"/>
      <c r="J171" s="73" t="s">
        <v>14732</v>
      </c>
      <c r="K171" s="73" t="s">
        <v>1347</v>
      </c>
      <c r="L171" s="73" t="s">
        <v>9319</v>
      </c>
      <c r="M171" s="73">
        <v>10</v>
      </c>
      <c r="N171" s="122">
        <v>60</v>
      </c>
      <c r="O171" s="73" t="s">
        <v>14733</v>
      </c>
      <c r="P171">
        <v>79.900000000000006</v>
      </c>
    </row>
    <row r="172" spans="2:16">
      <c r="B172" s="37" t="s">
        <v>14734</v>
      </c>
      <c r="C172" s="39" t="s">
        <v>8929</v>
      </c>
      <c r="D172" s="148" t="str">
        <f t="shared" si="4"/>
        <v>Dezembro</v>
      </c>
      <c r="E172" s="73" t="s">
        <v>489</v>
      </c>
      <c r="F172" s="123">
        <v>19646575</v>
      </c>
      <c r="G172" s="74">
        <v>36386</v>
      </c>
      <c r="H172" s="73" t="s">
        <v>488</v>
      </c>
      <c r="I172" s="73"/>
      <c r="J172" s="73" t="s">
        <v>14735</v>
      </c>
      <c r="K172" s="73" t="s">
        <v>7750</v>
      </c>
      <c r="L172" s="73" t="s">
        <v>9319</v>
      </c>
      <c r="M172" s="73">
        <v>10</v>
      </c>
      <c r="N172" s="122">
        <v>60</v>
      </c>
      <c r="O172" s="73" t="s">
        <v>14736</v>
      </c>
      <c r="P172" t="s">
        <v>14737</v>
      </c>
    </row>
    <row r="173" spans="2:16">
      <c r="B173" s="37" t="s">
        <v>14738</v>
      </c>
      <c r="C173" s="39" t="s">
        <v>8929</v>
      </c>
      <c r="D173" s="148" t="str">
        <f t="shared" si="4"/>
        <v>Dezembro</v>
      </c>
      <c r="E173" s="73" t="s">
        <v>1297</v>
      </c>
      <c r="F173" s="73" t="s">
        <v>14739</v>
      </c>
      <c r="G173" s="74">
        <v>30911</v>
      </c>
      <c r="H173" s="73" t="s">
        <v>14740</v>
      </c>
      <c r="I173" s="73"/>
      <c r="J173" s="73" t="s">
        <v>14741</v>
      </c>
      <c r="K173" s="73" t="s">
        <v>9489</v>
      </c>
      <c r="L173" s="73" t="s">
        <v>9319</v>
      </c>
      <c r="M173" s="73">
        <v>10</v>
      </c>
      <c r="N173" s="122">
        <v>50</v>
      </c>
      <c r="O173" s="73" t="s">
        <v>14742</v>
      </c>
      <c r="P173">
        <v>79.900000000000006</v>
      </c>
    </row>
    <row r="174" spans="2:16">
      <c r="B174" s="37" t="s">
        <v>14743</v>
      </c>
      <c r="C174" s="39" t="s">
        <v>8929</v>
      </c>
      <c r="D174" s="148" t="str">
        <f t="shared" si="4"/>
        <v>Dezembro</v>
      </c>
      <c r="E174" s="73" t="s">
        <v>2196</v>
      </c>
      <c r="F174" s="73" t="s">
        <v>14744</v>
      </c>
      <c r="G174" s="74">
        <v>34990</v>
      </c>
      <c r="H174" s="73" t="s">
        <v>2195</v>
      </c>
      <c r="I174" s="73"/>
      <c r="J174" s="73" t="s">
        <v>14745</v>
      </c>
      <c r="K174" s="73" t="s">
        <v>9510</v>
      </c>
      <c r="L174" s="73" t="s">
        <v>9319</v>
      </c>
      <c r="M174" s="73">
        <v>25</v>
      </c>
      <c r="N174" s="122">
        <v>70</v>
      </c>
      <c r="O174" s="74"/>
    </row>
    <row r="175" spans="2:16">
      <c r="B175" s="37" t="s">
        <v>3827</v>
      </c>
      <c r="C175" s="39" t="s">
        <v>8929</v>
      </c>
      <c r="D175" s="148" t="str">
        <f t="shared" si="4"/>
        <v>Dezembro</v>
      </c>
      <c r="E175" s="73">
        <v>9644843665</v>
      </c>
      <c r="F175" s="73" t="s">
        <v>14746</v>
      </c>
      <c r="G175" s="74">
        <v>32893</v>
      </c>
      <c r="H175" s="73" t="s">
        <v>14747</v>
      </c>
      <c r="I175" s="73"/>
      <c r="J175" s="73" t="s">
        <v>14748</v>
      </c>
      <c r="K175" s="73" t="s">
        <v>7865</v>
      </c>
      <c r="L175" s="73" t="s">
        <v>14672</v>
      </c>
      <c r="M175" s="73">
        <v>20</v>
      </c>
      <c r="N175" s="122">
        <v>50</v>
      </c>
      <c r="O175" s="73" t="s">
        <v>14749</v>
      </c>
      <c r="P175">
        <v>79.900000000000006</v>
      </c>
    </row>
    <row r="176" spans="2:16">
      <c r="B176" s="37" t="s">
        <v>14750</v>
      </c>
      <c r="C176" s="39" t="s">
        <v>8929</v>
      </c>
      <c r="D176" s="148" t="str">
        <f t="shared" si="4"/>
        <v>Dezembro</v>
      </c>
      <c r="E176" s="73" t="s">
        <v>967</v>
      </c>
      <c r="F176" s="73">
        <v>5144355</v>
      </c>
      <c r="G176" s="74">
        <v>24805</v>
      </c>
      <c r="H176" s="73" t="s">
        <v>14751</v>
      </c>
      <c r="I176" s="73"/>
      <c r="J176" s="73" t="s">
        <v>14752</v>
      </c>
      <c r="K176" s="73" t="s">
        <v>1347</v>
      </c>
      <c r="L176" s="73" t="s">
        <v>9319</v>
      </c>
      <c r="M176" s="73">
        <v>20</v>
      </c>
      <c r="N176" s="122">
        <v>70</v>
      </c>
      <c r="O176" s="73" t="s">
        <v>14597</v>
      </c>
      <c r="P176">
        <v>79.900000000000006</v>
      </c>
    </row>
    <row r="177" spans="1:16">
      <c r="B177" s="37" t="s">
        <v>4093</v>
      </c>
      <c r="C177" s="39" t="s">
        <v>8929</v>
      </c>
      <c r="D177" s="148" t="str">
        <f t="shared" si="4"/>
        <v>Dezembro</v>
      </c>
      <c r="E177" s="73" t="s">
        <v>2036</v>
      </c>
      <c r="F177" s="123">
        <v>14570240</v>
      </c>
      <c r="G177" s="74">
        <v>22941</v>
      </c>
      <c r="H177" s="73">
        <v>35999907671</v>
      </c>
      <c r="I177" s="73"/>
      <c r="J177" s="73" t="s">
        <v>14753</v>
      </c>
      <c r="K177" s="73" t="s">
        <v>7771</v>
      </c>
      <c r="L177" s="73" t="s">
        <v>9319</v>
      </c>
      <c r="M177" s="73">
        <v>10</v>
      </c>
      <c r="N177" s="122">
        <v>70</v>
      </c>
      <c r="O177" s="73" t="s">
        <v>14286</v>
      </c>
      <c r="P177">
        <v>79.900000000000006</v>
      </c>
    </row>
    <row r="178" spans="1:16">
      <c r="B178" s="37" t="s">
        <v>14754</v>
      </c>
      <c r="C178" s="39" t="s">
        <v>8929</v>
      </c>
      <c r="D178" s="148" t="str">
        <f t="shared" si="4"/>
        <v>Dezembro</v>
      </c>
      <c r="E178" s="73" t="s">
        <v>1237</v>
      </c>
      <c r="F178" s="73"/>
      <c r="G178" s="74"/>
      <c r="H178" s="73">
        <v>35999758453</v>
      </c>
      <c r="I178" s="73"/>
      <c r="J178" s="73" t="s">
        <v>14755</v>
      </c>
      <c r="K178" s="73" t="s">
        <v>1347</v>
      </c>
      <c r="L178" s="73" t="s">
        <v>9319</v>
      </c>
      <c r="M178" s="73">
        <v>20</v>
      </c>
      <c r="N178" s="122">
        <v>50</v>
      </c>
      <c r="O178" s="73" t="s">
        <v>14756</v>
      </c>
      <c r="P178">
        <v>79.900000000000006</v>
      </c>
    </row>
    <row r="179" spans="1:16">
      <c r="B179" s="37" t="s">
        <v>14757</v>
      </c>
      <c r="C179" s="39" t="s">
        <v>8929</v>
      </c>
      <c r="D179" s="148" t="str">
        <f t="shared" si="4"/>
        <v>Dezembro</v>
      </c>
      <c r="E179" s="73" t="s">
        <v>1067</v>
      </c>
      <c r="F179" s="73" t="s">
        <v>14758</v>
      </c>
      <c r="G179" s="74">
        <v>21368</v>
      </c>
      <c r="H179" s="73">
        <v>35991707617</v>
      </c>
      <c r="I179" s="73"/>
      <c r="J179" s="73" t="s">
        <v>14759</v>
      </c>
      <c r="K179" s="73" t="s">
        <v>1168</v>
      </c>
      <c r="L179" s="73" t="s">
        <v>9404</v>
      </c>
      <c r="M179" s="73">
        <v>10</v>
      </c>
      <c r="N179" s="122">
        <v>40</v>
      </c>
      <c r="O179" s="73" t="s">
        <v>14760</v>
      </c>
      <c r="P179">
        <v>79.900000000000006</v>
      </c>
    </row>
    <row r="180" spans="1:16">
      <c r="B180" s="37" t="s">
        <v>14761</v>
      </c>
      <c r="C180" s="39" t="s">
        <v>8929</v>
      </c>
      <c r="D180" s="148" t="str">
        <f t="shared" si="4"/>
        <v>Dezembro</v>
      </c>
      <c r="E180" s="73" t="s">
        <v>1812</v>
      </c>
      <c r="F180" s="73" t="s">
        <v>14762</v>
      </c>
      <c r="G180" s="74">
        <v>33466</v>
      </c>
      <c r="H180" s="73" t="s">
        <v>14763</v>
      </c>
      <c r="I180" s="73"/>
      <c r="J180" s="73" t="s">
        <v>14764</v>
      </c>
      <c r="K180" s="73" t="s">
        <v>14622</v>
      </c>
      <c r="L180" s="73" t="s">
        <v>9319</v>
      </c>
      <c r="M180" s="73">
        <v>20</v>
      </c>
      <c r="N180" s="122">
        <v>70</v>
      </c>
      <c r="O180" s="74" t="s">
        <v>14765</v>
      </c>
      <c r="P180">
        <v>79.900000000000006</v>
      </c>
    </row>
    <row r="181" spans="1:16">
      <c r="B181" s="37" t="s">
        <v>14766</v>
      </c>
      <c r="C181" s="39" t="s">
        <v>8929</v>
      </c>
      <c r="D181" s="148" t="str">
        <f t="shared" si="4"/>
        <v>Dezembro</v>
      </c>
      <c r="E181" s="73" t="s">
        <v>92</v>
      </c>
      <c r="F181" s="73" t="s">
        <v>14767</v>
      </c>
      <c r="G181" s="74">
        <v>35033</v>
      </c>
      <c r="H181" s="73" t="s">
        <v>14768</v>
      </c>
      <c r="I181" s="73"/>
      <c r="J181" s="73" t="s">
        <v>14769</v>
      </c>
      <c r="K181" s="73" t="s">
        <v>7750</v>
      </c>
      <c r="L181" s="73" t="s">
        <v>9319</v>
      </c>
      <c r="M181" s="73">
        <v>20</v>
      </c>
      <c r="N181" s="122">
        <v>60</v>
      </c>
      <c r="O181" s="74" t="s">
        <v>14770</v>
      </c>
      <c r="P181">
        <v>79.900000000000006</v>
      </c>
    </row>
    <row r="182" spans="1:16">
      <c r="B182" s="37" t="s">
        <v>14771</v>
      </c>
      <c r="C182" s="39" t="s">
        <v>8929</v>
      </c>
      <c r="D182" s="148" t="str">
        <f t="shared" si="4"/>
        <v>Dezembro</v>
      </c>
      <c r="E182" s="73" t="s">
        <v>1716</v>
      </c>
      <c r="F182" s="73">
        <v>14925406</v>
      </c>
      <c r="G182" s="74">
        <v>34507</v>
      </c>
      <c r="H182" s="73" t="s">
        <v>14772</v>
      </c>
      <c r="I182" s="73"/>
      <c r="J182" s="73" t="s">
        <v>14773</v>
      </c>
      <c r="K182" s="73" t="s">
        <v>320</v>
      </c>
      <c r="L182" s="73" t="s">
        <v>9319</v>
      </c>
      <c r="M182" s="73">
        <v>10</v>
      </c>
      <c r="N182" s="122">
        <v>60</v>
      </c>
      <c r="O182" s="73" t="s">
        <v>14774</v>
      </c>
      <c r="P182">
        <v>79.900000000000006</v>
      </c>
    </row>
    <row r="183" spans="1:16">
      <c r="B183" s="37" t="s">
        <v>14775</v>
      </c>
      <c r="C183" s="39" t="s">
        <v>8929</v>
      </c>
      <c r="D183" s="148" t="str">
        <f t="shared" si="4"/>
        <v>Dezembro</v>
      </c>
      <c r="E183" s="73" t="s">
        <v>2408</v>
      </c>
      <c r="F183" s="73" t="s">
        <v>14776</v>
      </c>
      <c r="G183" s="74">
        <v>32081</v>
      </c>
      <c r="H183" s="73" t="s">
        <v>4811</v>
      </c>
      <c r="I183" s="73"/>
      <c r="J183" s="73" t="s">
        <v>14777</v>
      </c>
      <c r="K183" s="73" t="s">
        <v>14778</v>
      </c>
      <c r="L183" s="73" t="s">
        <v>9319</v>
      </c>
      <c r="M183" s="73">
        <v>10</v>
      </c>
      <c r="N183" s="122">
        <v>60</v>
      </c>
      <c r="O183" s="73"/>
    </row>
    <row r="184" spans="1:16">
      <c r="B184" s="193" t="s">
        <v>7634</v>
      </c>
      <c r="C184" s="17"/>
      <c r="D184" s="22"/>
      <c r="E184" s="194" t="s">
        <v>494</v>
      </c>
      <c r="F184" s="194" t="s">
        <v>14779</v>
      </c>
      <c r="G184" s="195">
        <v>36618</v>
      </c>
      <c r="H184" s="194"/>
      <c r="I184" s="194"/>
      <c r="J184" s="194"/>
      <c r="K184" s="194"/>
      <c r="L184" s="194"/>
      <c r="M184" s="194"/>
      <c r="N184" s="196"/>
      <c r="O184" s="194"/>
    </row>
    <row r="185" spans="1:16">
      <c r="B185" s="37" t="s">
        <v>14780</v>
      </c>
      <c r="C185" s="39" t="s">
        <v>8929</v>
      </c>
      <c r="D185" s="16" t="str">
        <f>$B$184</f>
        <v>Janeiro</v>
      </c>
      <c r="E185" s="124"/>
      <c r="F185" s="124"/>
      <c r="G185" s="125"/>
      <c r="H185" t="s">
        <v>4812</v>
      </c>
    </row>
    <row r="186" spans="1:16">
      <c r="B186" s="37" t="s">
        <v>14781</v>
      </c>
      <c r="C186" s="39" t="s">
        <v>8929</v>
      </c>
      <c r="D186" s="16" t="str">
        <f t="shared" ref="D186:D249" si="5">$B$184</f>
        <v>Janeiro</v>
      </c>
      <c r="E186" s="73" t="s">
        <v>1018</v>
      </c>
      <c r="F186" s="73" t="s">
        <v>14782</v>
      </c>
      <c r="G186" s="74">
        <v>18371</v>
      </c>
      <c r="H186" s="73" t="s">
        <v>4808</v>
      </c>
      <c r="I186" s="73"/>
      <c r="J186" s="26" t="s">
        <v>14783</v>
      </c>
      <c r="K186" s="73" t="s">
        <v>1225</v>
      </c>
      <c r="L186" s="73" t="s">
        <v>9319</v>
      </c>
      <c r="M186" s="73">
        <v>10</v>
      </c>
      <c r="N186" s="122">
        <v>50</v>
      </c>
      <c r="O186" s="73" t="s">
        <v>14784</v>
      </c>
      <c r="P186">
        <v>79.900000000000006</v>
      </c>
    </row>
    <row r="187" spans="1:16">
      <c r="B187" s="37" t="s">
        <v>14785</v>
      </c>
      <c r="C187" s="39" t="s">
        <v>8929</v>
      </c>
      <c r="D187" s="16" t="str">
        <f t="shared" si="5"/>
        <v>Janeiro</v>
      </c>
      <c r="E187" s="73" t="s">
        <v>879</v>
      </c>
      <c r="F187" s="73">
        <v>532397265</v>
      </c>
      <c r="G187" s="74">
        <v>36578</v>
      </c>
      <c r="H187" s="73" t="s">
        <v>4796</v>
      </c>
      <c r="I187" s="73"/>
      <c r="J187" s="73" t="s">
        <v>14786</v>
      </c>
      <c r="K187" s="73" t="s">
        <v>7853</v>
      </c>
      <c r="L187" s="73" t="s">
        <v>9319</v>
      </c>
      <c r="M187" s="73">
        <v>10</v>
      </c>
      <c r="N187" s="122">
        <v>50</v>
      </c>
      <c r="O187" s="73" t="s">
        <v>14787</v>
      </c>
      <c r="P187">
        <v>79.900000000000006</v>
      </c>
    </row>
    <row r="188" spans="1:16">
      <c r="B188" s="37" t="s">
        <v>14788</v>
      </c>
      <c r="C188" s="39" t="s">
        <v>8929</v>
      </c>
      <c r="D188" s="16" t="str">
        <f t="shared" si="5"/>
        <v>Janeiro</v>
      </c>
      <c r="E188" s="73" t="s">
        <v>1503</v>
      </c>
      <c r="F188" s="73">
        <v>12636414</v>
      </c>
      <c r="G188" s="74">
        <v>29810</v>
      </c>
      <c r="H188" s="73" t="s">
        <v>1502</v>
      </c>
      <c r="I188" s="73"/>
      <c r="J188" s="73" t="s">
        <v>14789</v>
      </c>
      <c r="K188" s="73" t="s">
        <v>7817</v>
      </c>
      <c r="L188" s="73" t="s">
        <v>9319</v>
      </c>
      <c r="M188" s="73">
        <v>20</v>
      </c>
      <c r="N188" s="122">
        <v>60</v>
      </c>
      <c r="O188" s="73" t="s">
        <v>14770</v>
      </c>
      <c r="P188">
        <v>79.900000000000006</v>
      </c>
    </row>
    <row r="189" spans="1:16">
      <c r="B189" s="37" t="s">
        <v>14790</v>
      </c>
      <c r="C189" s="39" t="s">
        <v>8929</v>
      </c>
      <c r="D189" s="16" t="str">
        <f t="shared" si="5"/>
        <v>Janeiro</v>
      </c>
      <c r="E189" s="73" t="s">
        <v>1503</v>
      </c>
      <c r="F189" s="73">
        <v>12636414</v>
      </c>
      <c r="G189" s="74">
        <v>29810</v>
      </c>
      <c r="H189" s="73" t="s">
        <v>2141</v>
      </c>
      <c r="I189" s="73"/>
      <c r="J189" s="73" t="s">
        <v>14791</v>
      </c>
      <c r="K189" s="73" t="s">
        <v>7750</v>
      </c>
      <c r="L189" s="73" t="s">
        <v>9319</v>
      </c>
      <c r="M189" s="73">
        <v>20</v>
      </c>
      <c r="N189" s="122">
        <v>60</v>
      </c>
      <c r="O189" s="73" t="s">
        <v>14792</v>
      </c>
      <c r="P189">
        <v>79.900000000000006</v>
      </c>
    </row>
    <row r="190" spans="1:16">
      <c r="B190" s="37" t="s">
        <v>14793</v>
      </c>
      <c r="C190" s="39" t="s">
        <v>8929</v>
      </c>
      <c r="D190" s="16" t="str">
        <f t="shared" si="5"/>
        <v>Janeiro</v>
      </c>
      <c r="E190" s="73" t="s">
        <v>2142</v>
      </c>
      <c r="F190" s="73" t="s">
        <v>14794</v>
      </c>
      <c r="G190" s="74">
        <v>27359</v>
      </c>
      <c r="H190" t="s">
        <v>14795</v>
      </c>
      <c r="I190" s="73"/>
      <c r="J190" s="73" t="s">
        <v>14796</v>
      </c>
      <c r="K190" s="73" t="s">
        <v>7765</v>
      </c>
      <c r="L190" s="73" t="s">
        <v>14797</v>
      </c>
      <c r="M190" s="73">
        <v>15</v>
      </c>
      <c r="N190" s="122">
        <v>50</v>
      </c>
      <c r="O190" s="73" t="s">
        <v>14798</v>
      </c>
      <c r="P190">
        <v>79.900000000000006</v>
      </c>
    </row>
    <row r="191" spans="1:16">
      <c r="B191" s="37" t="s">
        <v>14799</v>
      </c>
      <c r="C191" s="39" t="s">
        <v>8929</v>
      </c>
      <c r="D191" s="16" t="str">
        <f t="shared" si="5"/>
        <v>Janeiro</v>
      </c>
      <c r="E191" s="73" t="s">
        <v>550</v>
      </c>
      <c r="F191" s="123">
        <v>18724552</v>
      </c>
      <c r="G191" s="74">
        <v>33877</v>
      </c>
      <c r="H191" s="73" t="s">
        <v>14800</v>
      </c>
      <c r="I191" s="73"/>
      <c r="J191" s="73"/>
      <c r="K191" s="73"/>
      <c r="L191" s="73" t="s">
        <v>9419</v>
      </c>
      <c r="M191" s="73">
        <v>10</v>
      </c>
      <c r="N191" s="122">
        <v>60</v>
      </c>
      <c r="O191" s="73" t="s">
        <v>14801</v>
      </c>
      <c r="P191">
        <v>79.900000000000006</v>
      </c>
    </row>
    <row r="192" spans="1:16">
      <c r="A192" t="s">
        <v>14264</v>
      </c>
      <c r="B192" s="37" t="s">
        <v>14802</v>
      </c>
      <c r="C192" s="39" t="s">
        <v>8929</v>
      </c>
      <c r="D192" s="16" t="str">
        <f t="shared" si="5"/>
        <v>Janeiro</v>
      </c>
      <c r="E192" s="73" t="s">
        <v>1723</v>
      </c>
      <c r="F192" s="73"/>
      <c r="G192" s="74"/>
      <c r="H192" s="73" t="s">
        <v>1722</v>
      </c>
      <c r="I192" s="73"/>
      <c r="J192" s="73" t="s">
        <v>14803</v>
      </c>
      <c r="K192" s="73" t="s">
        <v>7869</v>
      </c>
      <c r="L192" s="73" t="s">
        <v>9319</v>
      </c>
      <c r="M192" s="73">
        <v>10</v>
      </c>
      <c r="N192" s="122">
        <v>75</v>
      </c>
      <c r="O192" s="73" t="s">
        <v>14804</v>
      </c>
      <c r="P192">
        <v>79.900000000000006</v>
      </c>
    </row>
    <row r="193" spans="1:16">
      <c r="B193" s="38" t="s">
        <v>14805</v>
      </c>
      <c r="C193" s="39" t="s">
        <v>8929</v>
      </c>
      <c r="D193" s="16" t="str">
        <f t="shared" si="5"/>
        <v>Janeiro</v>
      </c>
      <c r="E193" s="73" t="s">
        <v>96</v>
      </c>
      <c r="F193" s="73"/>
      <c r="G193" s="74"/>
      <c r="H193" s="73" t="s">
        <v>1816</v>
      </c>
      <c r="I193" s="73"/>
      <c r="J193" s="73" t="s">
        <v>14806</v>
      </c>
      <c r="K193" s="73" t="s">
        <v>9510</v>
      </c>
      <c r="L193" s="73" t="s">
        <v>9569</v>
      </c>
      <c r="M193" s="73">
        <v>20</v>
      </c>
      <c r="N193" s="122">
        <v>50</v>
      </c>
      <c r="O193" s="74" t="s">
        <v>14792</v>
      </c>
      <c r="P193">
        <v>79.900000000000006</v>
      </c>
    </row>
    <row r="194" spans="1:16">
      <c r="B194" s="38" t="s">
        <v>14807</v>
      </c>
      <c r="C194" s="39" t="s">
        <v>8929</v>
      </c>
      <c r="D194" s="16" t="str">
        <f t="shared" si="5"/>
        <v>Janeiro</v>
      </c>
      <c r="E194" s="73" t="s">
        <v>1817</v>
      </c>
      <c r="F194" s="73" t="s">
        <v>14808</v>
      </c>
      <c r="G194" s="74">
        <v>30706</v>
      </c>
      <c r="H194" s="73" t="s">
        <v>1816</v>
      </c>
      <c r="I194" s="73"/>
      <c r="J194" t="s">
        <v>14809</v>
      </c>
      <c r="K194" s="73" t="s">
        <v>9489</v>
      </c>
      <c r="L194" s="73" t="s">
        <v>9319</v>
      </c>
      <c r="M194" s="73">
        <v>10</v>
      </c>
      <c r="N194" s="122">
        <v>55</v>
      </c>
      <c r="O194" s="74" t="s">
        <v>14810</v>
      </c>
      <c r="P194">
        <v>79.900000000000006</v>
      </c>
    </row>
    <row r="195" spans="1:16">
      <c r="B195" s="38" t="s">
        <v>14811</v>
      </c>
      <c r="C195" s="39" t="s">
        <v>8929</v>
      </c>
      <c r="D195" s="16" t="str">
        <f t="shared" si="5"/>
        <v>Janeiro</v>
      </c>
      <c r="E195" s="73" t="s">
        <v>527</v>
      </c>
      <c r="F195" s="73" t="s">
        <v>14812</v>
      </c>
      <c r="G195" s="74">
        <v>29515</v>
      </c>
      <c r="H195" s="73" t="s">
        <v>526</v>
      </c>
      <c r="I195" s="73"/>
      <c r="J195" s="73" t="s">
        <v>14813</v>
      </c>
      <c r="K195" s="73" t="s">
        <v>7874</v>
      </c>
      <c r="L195" s="73" t="s">
        <v>14797</v>
      </c>
      <c r="M195" s="73">
        <v>10</v>
      </c>
      <c r="N195" s="122">
        <v>50</v>
      </c>
      <c r="O195" s="74" t="s">
        <v>14814</v>
      </c>
    </row>
    <row r="196" spans="1:16">
      <c r="B196" s="38" t="s">
        <v>14815</v>
      </c>
      <c r="C196" s="39" t="s">
        <v>8929</v>
      </c>
      <c r="D196" s="16" t="str">
        <f t="shared" si="5"/>
        <v>Janeiro</v>
      </c>
      <c r="E196" s="73" t="s">
        <v>1097</v>
      </c>
      <c r="F196" s="73"/>
      <c r="G196" s="74"/>
      <c r="H196" s="73">
        <v>35999362996</v>
      </c>
      <c r="I196" s="73"/>
      <c r="J196" s="73" t="s">
        <v>14816</v>
      </c>
      <c r="K196" s="73" t="s">
        <v>9489</v>
      </c>
      <c r="L196" s="73" t="s">
        <v>9319</v>
      </c>
      <c r="M196" s="73">
        <v>10</v>
      </c>
      <c r="N196" s="122">
        <v>70</v>
      </c>
      <c r="O196" s="73" t="s">
        <v>14817</v>
      </c>
    </row>
    <row r="197" spans="1:16">
      <c r="A197" t="s">
        <v>14264</v>
      </c>
      <c r="B197" s="38" t="s">
        <v>14818</v>
      </c>
      <c r="C197" s="39" t="s">
        <v>8929</v>
      </c>
      <c r="D197" s="16" t="str">
        <f t="shared" si="5"/>
        <v>Janeiro</v>
      </c>
      <c r="E197" s="73" t="s">
        <v>1533</v>
      </c>
      <c r="F197" s="73">
        <v>15126183</v>
      </c>
      <c r="G197" s="74">
        <v>27730</v>
      </c>
      <c r="H197" s="73">
        <v>9994557152</v>
      </c>
      <c r="I197" s="73"/>
      <c r="J197" s="73" t="s">
        <v>14819</v>
      </c>
      <c r="K197" s="73" t="s">
        <v>1347</v>
      </c>
      <c r="L197" s="73" t="s">
        <v>9319</v>
      </c>
      <c r="M197" s="73">
        <v>5</v>
      </c>
      <c r="N197" s="122">
        <v>60</v>
      </c>
      <c r="O197" s="73" t="s">
        <v>14820</v>
      </c>
      <c r="P197">
        <v>79.900000000000006</v>
      </c>
    </row>
    <row r="198" spans="1:16">
      <c r="B198" s="38" t="s">
        <v>14821</v>
      </c>
      <c r="C198" s="39" t="s">
        <v>8929</v>
      </c>
      <c r="D198" s="16" t="str">
        <f t="shared" si="5"/>
        <v>Janeiro</v>
      </c>
      <c r="E198" s="73" t="s">
        <v>504</v>
      </c>
      <c r="F198" s="73" t="s">
        <v>14822</v>
      </c>
      <c r="G198" s="74">
        <v>25547</v>
      </c>
      <c r="H198" s="73">
        <v>35999168821</v>
      </c>
      <c r="I198" s="73"/>
      <c r="J198" s="73" t="s">
        <v>14823</v>
      </c>
      <c r="K198" s="73" t="s">
        <v>7874</v>
      </c>
      <c r="L198" s="73" t="s">
        <v>14672</v>
      </c>
      <c r="M198" s="73">
        <v>20</v>
      </c>
      <c r="N198" s="122">
        <v>50</v>
      </c>
      <c r="O198" s="74" t="s">
        <v>14792</v>
      </c>
    </row>
    <row r="199" spans="1:16">
      <c r="B199" s="38" t="s">
        <v>14824</v>
      </c>
      <c r="C199" s="39" t="s">
        <v>8929</v>
      </c>
      <c r="D199" s="16" t="str">
        <f t="shared" si="5"/>
        <v>Janeiro</v>
      </c>
      <c r="E199" s="73"/>
      <c r="F199" s="73"/>
      <c r="G199" s="74"/>
      <c r="H199" s="73" t="s">
        <v>4814</v>
      </c>
      <c r="I199" s="73"/>
      <c r="J199" s="73"/>
      <c r="K199" s="73"/>
      <c r="L199" s="73"/>
      <c r="M199" s="73"/>
      <c r="N199" s="122">
        <v>50</v>
      </c>
      <c r="O199" s="73" t="s">
        <v>14825</v>
      </c>
    </row>
    <row r="200" spans="1:16">
      <c r="B200" s="38" t="s">
        <v>14826</v>
      </c>
      <c r="C200" s="39" t="s">
        <v>8929</v>
      </c>
      <c r="D200" s="16" t="str">
        <f t="shared" si="5"/>
        <v>Janeiro</v>
      </c>
      <c r="E200" s="73" t="s">
        <v>2422</v>
      </c>
      <c r="F200" s="73" t="s">
        <v>14827</v>
      </c>
      <c r="G200" s="74">
        <v>30260</v>
      </c>
      <c r="H200" s="73" t="s">
        <v>14828</v>
      </c>
      <c r="I200" s="73"/>
      <c r="J200" s="73" t="s">
        <v>14829</v>
      </c>
      <c r="K200" s="73"/>
      <c r="L200" s="73" t="s">
        <v>9765</v>
      </c>
      <c r="M200" s="73">
        <v>10</v>
      </c>
      <c r="N200" s="122">
        <v>60</v>
      </c>
      <c r="O200" s="73"/>
    </row>
    <row r="201" spans="1:16">
      <c r="B201" s="38" t="s">
        <v>3895</v>
      </c>
      <c r="C201" s="39" t="s">
        <v>8929</v>
      </c>
      <c r="D201" s="16" t="str">
        <f t="shared" si="5"/>
        <v>Janeiro</v>
      </c>
      <c r="E201" s="73"/>
      <c r="F201" s="73"/>
      <c r="G201" s="74"/>
      <c r="H201" s="73" t="s">
        <v>14830</v>
      </c>
      <c r="I201" s="73"/>
      <c r="J201" s="73"/>
      <c r="K201" s="73"/>
      <c r="L201" s="73"/>
      <c r="M201" s="73"/>
      <c r="N201" s="122"/>
      <c r="O201" s="73"/>
    </row>
    <row r="202" spans="1:16">
      <c r="B202" s="38" t="s">
        <v>14831</v>
      </c>
      <c r="C202" s="39" t="s">
        <v>9995</v>
      </c>
      <c r="D202" s="16" t="str">
        <f t="shared" si="5"/>
        <v>Janeiro</v>
      </c>
      <c r="E202" s="73"/>
      <c r="F202" s="73"/>
      <c r="G202" s="74"/>
      <c r="H202" s="73" t="s">
        <v>14832</v>
      </c>
      <c r="I202" s="73"/>
      <c r="J202" s="73"/>
      <c r="K202" s="73"/>
      <c r="L202" s="73"/>
      <c r="M202" s="73"/>
      <c r="N202" s="122"/>
      <c r="O202" s="73"/>
    </row>
    <row r="203" spans="1:16">
      <c r="B203" s="38" t="s">
        <v>14833</v>
      </c>
      <c r="C203" s="39" t="s">
        <v>8929</v>
      </c>
      <c r="D203" s="16" t="str">
        <f t="shared" si="5"/>
        <v>Janeiro</v>
      </c>
      <c r="E203" s="73"/>
      <c r="F203" s="73"/>
      <c r="G203" s="74"/>
      <c r="H203" s="73" t="s">
        <v>14834</v>
      </c>
      <c r="I203" s="73"/>
      <c r="J203" s="73"/>
      <c r="K203" s="73"/>
      <c r="L203" s="73"/>
      <c r="M203" s="73"/>
      <c r="N203" s="122"/>
      <c r="O203" s="73"/>
    </row>
    <row r="204" spans="1:16">
      <c r="B204" s="38" t="s">
        <v>14835</v>
      </c>
      <c r="C204" s="39" t="s">
        <v>8929</v>
      </c>
      <c r="D204" s="16" t="str">
        <f t="shared" si="5"/>
        <v>Janeiro</v>
      </c>
      <c r="E204" s="119"/>
      <c r="F204" s="73"/>
      <c r="G204" s="74"/>
      <c r="H204" s="73" t="s">
        <v>14836</v>
      </c>
      <c r="I204" s="73"/>
      <c r="J204" s="73"/>
      <c r="K204" s="73"/>
      <c r="L204" s="73"/>
      <c r="M204" s="73"/>
      <c r="N204" s="122"/>
      <c r="O204" s="73"/>
    </row>
    <row r="205" spans="1:16">
      <c r="B205" s="127" t="s">
        <v>14837</v>
      </c>
      <c r="C205" s="80" t="s">
        <v>8929</v>
      </c>
      <c r="D205" s="16" t="str">
        <f t="shared" si="5"/>
        <v>Janeiro</v>
      </c>
      <c r="E205" s="128"/>
      <c r="F205" s="126"/>
      <c r="G205" s="74"/>
      <c r="H205" s="73" t="s">
        <v>14838</v>
      </c>
      <c r="I205" s="73"/>
      <c r="J205" s="73"/>
      <c r="K205" s="73"/>
      <c r="L205" s="73"/>
      <c r="M205" s="73"/>
      <c r="N205" s="122"/>
      <c r="O205" s="73"/>
      <c r="P205" t="s">
        <v>14839</v>
      </c>
    </row>
    <row r="206" spans="1:16">
      <c r="A206" s="129">
        <v>44209</v>
      </c>
      <c r="B206" s="127" t="s">
        <v>1684</v>
      </c>
      <c r="C206" s="80" t="s">
        <v>8929</v>
      </c>
      <c r="D206" s="16" t="str">
        <f t="shared" si="5"/>
        <v>Janeiro</v>
      </c>
      <c r="E206" s="128"/>
      <c r="F206" s="126"/>
      <c r="G206" s="74"/>
      <c r="H206" s="73" t="s">
        <v>4772</v>
      </c>
      <c r="I206" s="73"/>
      <c r="J206" s="73"/>
      <c r="K206" s="73"/>
      <c r="L206" s="73"/>
      <c r="M206" s="73"/>
      <c r="N206" s="122"/>
      <c r="O206" s="119"/>
    </row>
    <row r="207" spans="1:16">
      <c r="A207" s="129">
        <v>44209</v>
      </c>
      <c r="B207" s="127" t="s">
        <v>1385</v>
      </c>
      <c r="C207" s="80" t="s">
        <v>8929</v>
      </c>
      <c r="D207" s="16" t="str">
        <f t="shared" si="5"/>
        <v>Janeiro</v>
      </c>
      <c r="E207" s="128"/>
      <c r="F207" s="126"/>
      <c r="G207" s="74"/>
      <c r="H207" s="73" t="s">
        <v>14840</v>
      </c>
      <c r="I207" s="73"/>
      <c r="J207" s="73"/>
      <c r="K207" s="73"/>
      <c r="L207" s="73"/>
      <c r="M207" s="73"/>
      <c r="N207" s="141"/>
      <c r="O207" s="128"/>
    </row>
    <row r="208" spans="1:16">
      <c r="A208" s="129">
        <v>44209</v>
      </c>
      <c r="B208" s="127" t="s">
        <v>1239</v>
      </c>
      <c r="C208" s="80" t="s">
        <v>8929</v>
      </c>
      <c r="D208" s="16" t="str">
        <f t="shared" si="5"/>
        <v>Janeiro</v>
      </c>
      <c r="E208" s="128"/>
      <c r="F208" s="126"/>
      <c r="G208" s="74"/>
      <c r="H208" t="s">
        <v>14841</v>
      </c>
      <c r="I208" s="73"/>
      <c r="J208" s="73"/>
      <c r="K208" s="73"/>
      <c r="L208" s="73"/>
      <c r="M208" s="73"/>
      <c r="N208" s="141"/>
      <c r="O208" s="128"/>
    </row>
    <row r="209" spans="1:16">
      <c r="A209" s="129">
        <v>44210</v>
      </c>
      <c r="B209" s="127" t="s">
        <v>984</v>
      </c>
      <c r="C209" s="80" t="s">
        <v>8929</v>
      </c>
      <c r="D209" s="16" t="str">
        <f t="shared" si="5"/>
        <v>Janeiro</v>
      </c>
      <c r="E209" s="128"/>
      <c r="F209" s="126"/>
      <c r="G209" s="74"/>
      <c r="H209" s="73" t="s">
        <v>14842</v>
      </c>
      <c r="I209" s="73"/>
      <c r="J209" s="73"/>
      <c r="K209" s="73"/>
      <c r="L209" s="73"/>
      <c r="M209" s="73"/>
      <c r="N209" s="141"/>
      <c r="O209" s="128"/>
    </row>
    <row r="210" spans="1:16">
      <c r="A210" s="129">
        <v>44211</v>
      </c>
      <c r="B210" s="127" t="s">
        <v>2110</v>
      </c>
      <c r="C210" s="80" t="s">
        <v>8929</v>
      </c>
      <c r="D210" s="16" t="str">
        <f>$B$184</f>
        <v>Janeiro</v>
      </c>
      <c r="E210" s="128" t="s">
        <v>2113</v>
      </c>
      <c r="F210" s="126"/>
      <c r="G210" s="74"/>
      <c r="H210" s="73" t="s">
        <v>14843</v>
      </c>
      <c r="I210" s="73"/>
      <c r="J210" s="73" t="s">
        <v>14844</v>
      </c>
      <c r="K210" s="73" t="s">
        <v>14845</v>
      </c>
      <c r="L210" s="73" t="s">
        <v>8935</v>
      </c>
      <c r="M210" s="73">
        <v>10</v>
      </c>
      <c r="N210" s="141">
        <v>50</v>
      </c>
      <c r="O210" s="128" t="s">
        <v>14846</v>
      </c>
    </row>
    <row r="211" spans="1:16">
      <c r="A211" s="129">
        <v>44211</v>
      </c>
      <c r="B211" s="127" t="s">
        <v>1229</v>
      </c>
      <c r="C211" s="80" t="s">
        <v>8929</v>
      </c>
      <c r="D211" s="16" t="str">
        <f t="shared" si="5"/>
        <v>Janeiro</v>
      </c>
      <c r="E211" s="130" t="s">
        <v>1230</v>
      </c>
      <c r="F211" s="126" t="s">
        <v>14847</v>
      </c>
      <c r="G211" s="74">
        <v>16703</v>
      </c>
      <c r="H211" s="73" t="s">
        <v>14848</v>
      </c>
      <c r="I211" s="73"/>
      <c r="J211" s="132" t="s">
        <v>14849</v>
      </c>
      <c r="K211" s="132" t="s">
        <v>1347</v>
      </c>
      <c r="L211" s="132" t="s">
        <v>8935</v>
      </c>
      <c r="M211" s="119">
        <v>5</v>
      </c>
      <c r="N211" s="141">
        <v>70</v>
      </c>
      <c r="O211" s="130" t="s">
        <v>14850</v>
      </c>
    </row>
    <row r="212" spans="1:16">
      <c r="A212" s="129">
        <v>44211</v>
      </c>
      <c r="B212" s="127" t="s">
        <v>1623</v>
      </c>
      <c r="C212" s="80" t="s">
        <v>8929</v>
      </c>
      <c r="D212" s="16" t="str">
        <f t="shared" si="5"/>
        <v>Janeiro</v>
      </c>
      <c r="E212" s="128" t="s">
        <v>1626</v>
      </c>
      <c r="F212" s="126">
        <v>18768328</v>
      </c>
      <c r="G212" s="74">
        <v>17775</v>
      </c>
      <c r="H212" s="73" t="s">
        <v>14851</v>
      </c>
      <c r="I212" s="131"/>
      <c r="J212" s="31" t="s">
        <v>14852</v>
      </c>
      <c r="K212" s="31" t="s">
        <v>558</v>
      </c>
      <c r="L212" s="31" t="s">
        <v>8935</v>
      </c>
      <c r="M212" s="128">
        <v>10</v>
      </c>
      <c r="N212" s="142">
        <v>70</v>
      </c>
      <c r="O212" s="31" t="s">
        <v>14853</v>
      </c>
    </row>
    <row r="213" spans="1:16">
      <c r="A213" s="129">
        <v>44212</v>
      </c>
      <c r="B213" s="127" t="s">
        <v>1325</v>
      </c>
      <c r="C213" s="80" t="s">
        <v>8929</v>
      </c>
      <c r="D213" s="16" t="str">
        <f t="shared" si="5"/>
        <v>Janeiro</v>
      </c>
      <c r="E213" s="128" t="s">
        <v>1328</v>
      </c>
      <c r="F213" s="126" t="s">
        <v>14854</v>
      </c>
      <c r="G213" s="74">
        <v>22602</v>
      </c>
      <c r="H213" s="73" t="s">
        <v>1327</v>
      </c>
      <c r="I213" s="131"/>
      <c r="J213" s="31" t="s">
        <v>14855</v>
      </c>
      <c r="K213" s="31" t="s">
        <v>558</v>
      </c>
      <c r="L213" s="31" t="s">
        <v>9171</v>
      </c>
      <c r="M213" s="128">
        <v>20</v>
      </c>
      <c r="N213" s="142">
        <v>70</v>
      </c>
      <c r="O213" s="130" t="s">
        <v>14856</v>
      </c>
    </row>
    <row r="214" spans="1:16">
      <c r="A214" s="129">
        <v>44214</v>
      </c>
      <c r="B214" s="127" t="s">
        <v>1983</v>
      </c>
      <c r="C214" s="80" t="s">
        <v>8929</v>
      </c>
      <c r="D214" s="16" t="str">
        <f t="shared" si="5"/>
        <v>Janeiro</v>
      </c>
      <c r="E214" s="128" t="s">
        <v>1986</v>
      </c>
      <c r="F214" s="126">
        <v>15635730</v>
      </c>
      <c r="G214" s="74">
        <v>32475</v>
      </c>
      <c r="H214" s="73" t="s">
        <v>14857</v>
      </c>
      <c r="I214" s="131"/>
      <c r="J214" s="31" t="s">
        <v>14858</v>
      </c>
      <c r="K214" s="31" t="s">
        <v>1225</v>
      </c>
      <c r="L214" s="31" t="s">
        <v>8935</v>
      </c>
      <c r="M214" s="128">
        <v>20</v>
      </c>
      <c r="N214" s="142">
        <v>50</v>
      </c>
      <c r="O214" s="130" t="s">
        <v>14859</v>
      </c>
    </row>
    <row r="215" spans="1:16">
      <c r="A215" s="129">
        <v>44214</v>
      </c>
      <c r="B215" s="127" t="s">
        <v>14860</v>
      </c>
      <c r="C215" s="80" t="s">
        <v>8929</v>
      </c>
      <c r="D215" s="16" t="str">
        <f t="shared" si="5"/>
        <v>Janeiro</v>
      </c>
      <c r="E215" s="128" t="s">
        <v>2145</v>
      </c>
      <c r="F215" s="128">
        <v>34305960044</v>
      </c>
      <c r="G215" s="74"/>
      <c r="H215" s="73" t="s">
        <v>4205</v>
      </c>
      <c r="I215" s="135"/>
      <c r="J215" s="31" t="s">
        <v>2144</v>
      </c>
      <c r="K215" s="31" t="s">
        <v>1225</v>
      </c>
      <c r="L215" s="31" t="s">
        <v>8935</v>
      </c>
      <c r="M215" s="128">
        <v>25</v>
      </c>
      <c r="N215" s="142">
        <v>60</v>
      </c>
      <c r="O215" s="31">
        <v>70</v>
      </c>
      <c r="P215" t="s">
        <v>14839</v>
      </c>
    </row>
    <row r="216" spans="1:16">
      <c r="A216" s="129">
        <v>44214</v>
      </c>
      <c r="B216" s="127" t="s">
        <v>14861</v>
      </c>
      <c r="C216" s="80" t="s">
        <v>8929</v>
      </c>
      <c r="D216" s="16" t="str">
        <f t="shared" si="5"/>
        <v>Janeiro</v>
      </c>
      <c r="E216" s="128" t="s">
        <v>2145</v>
      </c>
      <c r="F216" s="128">
        <v>34305960044</v>
      </c>
      <c r="G216" s="74"/>
      <c r="H216" s="73" t="s">
        <v>4205</v>
      </c>
      <c r="I216" s="131"/>
      <c r="J216" s="31" t="s">
        <v>14862</v>
      </c>
      <c r="K216" s="31" t="s">
        <v>1225</v>
      </c>
      <c r="L216" s="31" t="s">
        <v>9294</v>
      </c>
      <c r="M216" s="128">
        <v>10</v>
      </c>
      <c r="N216" s="142">
        <v>60</v>
      </c>
      <c r="O216" s="31">
        <v>70</v>
      </c>
      <c r="P216" t="s">
        <v>14839</v>
      </c>
    </row>
    <row r="217" spans="1:16">
      <c r="A217" s="129">
        <v>44214</v>
      </c>
      <c r="B217" s="127" t="s">
        <v>1977</v>
      </c>
      <c r="C217" s="80" t="s">
        <v>8929</v>
      </c>
      <c r="D217" s="16" t="str">
        <f t="shared" si="5"/>
        <v>Janeiro</v>
      </c>
      <c r="E217" s="128" t="s">
        <v>1980</v>
      </c>
      <c r="F217" s="126" t="s">
        <v>14863</v>
      </c>
      <c r="G217" s="74">
        <v>33525</v>
      </c>
      <c r="H217" s="73" t="s">
        <v>1979</v>
      </c>
      <c r="I217" s="131"/>
      <c r="J217" s="39" t="s">
        <v>14864</v>
      </c>
      <c r="K217" s="39" t="s">
        <v>7874</v>
      </c>
      <c r="L217" s="39" t="s">
        <v>8940</v>
      </c>
      <c r="M217" s="128">
        <v>10</v>
      </c>
      <c r="N217" s="142">
        <v>50</v>
      </c>
      <c r="O217" s="39" t="s">
        <v>14865</v>
      </c>
    </row>
    <row r="218" spans="1:16">
      <c r="A218" s="129">
        <v>44214</v>
      </c>
      <c r="B218" s="127" t="s">
        <v>2058</v>
      </c>
      <c r="C218" s="80" t="s">
        <v>8929</v>
      </c>
      <c r="D218" s="16" t="str">
        <f t="shared" si="5"/>
        <v>Janeiro</v>
      </c>
      <c r="E218" s="128" t="s">
        <v>2059</v>
      </c>
      <c r="F218" s="126" t="s">
        <v>14866</v>
      </c>
      <c r="G218" s="74">
        <v>26876</v>
      </c>
      <c r="H218" s="73" t="s">
        <v>14867</v>
      </c>
      <c r="I218" s="131"/>
      <c r="J218" s="31" t="s">
        <v>14868</v>
      </c>
      <c r="K218" s="31" t="s">
        <v>1347</v>
      </c>
      <c r="L218" s="31" t="s">
        <v>8935</v>
      </c>
      <c r="M218" s="128">
        <v>15</v>
      </c>
      <c r="N218" s="142">
        <v>75.900000000000006</v>
      </c>
      <c r="O218" s="39" t="s">
        <v>14869</v>
      </c>
    </row>
    <row r="219" spans="1:16">
      <c r="A219" s="129">
        <v>44214</v>
      </c>
      <c r="B219" s="137" t="s">
        <v>14870</v>
      </c>
      <c r="C219" s="80" t="s">
        <v>8929</v>
      </c>
      <c r="D219" s="16" t="str">
        <f t="shared" si="5"/>
        <v>Janeiro</v>
      </c>
      <c r="E219" s="128" t="s">
        <v>1167</v>
      </c>
      <c r="F219" s="136" t="s">
        <v>14871</v>
      </c>
      <c r="G219" s="74">
        <v>18871</v>
      </c>
      <c r="H219" s="73" t="s">
        <v>14872</v>
      </c>
      <c r="I219" s="131" t="s">
        <v>14873</v>
      </c>
      <c r="J219" s="31" t="s">
        <v>14874</v>
      </c>
      <c r="K219" s="39" t="s">
        <v>558</v>
      </c>
      <c r="L219" s="39" t="s">
        <v>9294</v>
      </c>
      <c r="M219" s="128">
        <v>10</v>
      </c>
      <c r="N219" s="142">
        <v>70</v>
      </c>
      <c r="O219" s="31"/>
    </row>
    <row r="220" spans="1:16">
      <c r="A220" s="129">
        <v>44214</v>
      </c>
      <c r="B220" s="137" t="s">
        <v>14875</v>
      </c>
      <c r="C220" s="80" t="s">
        <v>8929</v>
      </c>
      <c r="D220" s="16" t="str">
        <f t="shared" si="5"/>
        <v>Janeiro</v>
      </c>
      <c r="E220" s="128" t="s">
        <v>482</v>
      </c>
      <c r="F220" s="126"/>
      <c r="G220" s="74">
        <v>28343</v>
      </c>
      <c r="H220" s="73">
        <v>999843738</v>
      </c>
      <c r="I220" s="131" t="s">
        <v>14876</v>
      </c>
      <c r="J220" s="39" t="s">
        <v>14877</v>
      </c>
      <c r="K220" s="39" t="s">
        <v>558</v>
      </c>
      <c r="L220" s="39" t="s">
        <v>8935</v>
      </c>
      <c r="M220" s="128">
        <v>20</v>
      </c>
      <c r="N220" s="142">
        <v>60</v>
      </c>
      <c r="O220" s="31"/>
    </row>
    <row r="221" spans="1:16">
      <c r="A221" s="129">
        <v>44214</v>
      </c>
      <c r="B221" s="137" t="s">
        <v>14875</v>
      </c>
      <c r="C221" s="80" t="s">
        <v>8929</v>
      </c>
      <c r="D221" s="16" t="str">
        <f t="shared" si="5"/>
        <v>Janeiro</v>
      </c>
      <c r="E221" s="128" t="s">
        <v>482</v>
      </c>
      <c r="F221" s="126"/>
      <c r="G221" s="74">
        <v>28343</v>
      </c>
      <c r="H221" s="73">
        <v>999843738</v>
      </c>
      <c r="I221" s="131" t="s">
        <v>14876</v>
      </c>
      <c r="J221" s="31" t="s">
        <v>14878</v>
      </c>
      <c r="K221" s="39" t="s">
        <v>1225</v>
      </c>
      <c r="L221" s="39" t="s">
        <v>14797</v>
      </c>
      <c r="M221" s="128">
        <v>20</v>
      </c>
      <c r="N221" s="142">
        <v>60</v>
      </c>
      <c r="O221" s="31"/>
    </row>
    <row r="222" spans="1:16">
      <c r="A222" s="129">
        <v>44215</v>
      </c>
      <c r="B222" s="23" t="s">
        <v>14879</v>
      </c>
      <c r="C222" s="80" t="s">
        <v>8929</v>
      </c>
      <c r="D222" s="16" t="str">
        <f t="shared" si="5"/>
        <v>Janeiro</v>
      </c>
      <c r="E222" t="s">
        <v>2024</v>
      </c>
      <c r="F222" s="126" t="s">
        <v>14880</v>
      </c>
      <c r="G222" s="74">
        <v>27883</v>
      </c>
      <c r="H222" s="73" t="s">
        <v>14881</v>
      </c>
      <c r="I222" s="131"/>
      <c r="J222" s="31" t="s">
        <v>14882</v>
      </c>
      <c r="K222" s="31" t="s">
        <v>1347</v>
      </c>
      <c r="L222" s="31" t="s">
        <v>9171</v>
      </c>
      <c r="M222" s="128">
        <v>10</v>
      </c>
      <c r="N222" s="142">
        <v>70</v>
      </c>
      <c r="O222" s="31" t="s">
        <v>14883</v>
      </c>
      <c r="P222" t="s">
        <v>14839</v>
      </c>
    </row>
    <row r="223" spans="1:16">
      <c r="A223" s="129">
        <v>44215</v>
      </c>
      <c r="B223" s="127" t="s">
        <v>14884</v>
      </c>
      <c r="C223" s="80" t="s">
        <v>8929</v>
      </c>
      <c r="D223" s="16" t="str">
        <f t="shared" si="5"/>
        <v>Janeiro</v>
      </c>
      <c r="E223" s="128" t="s">
        <v>190</v>
      </c>
      <c r="F223" s="126" t="s">
        <v>14885</v>
      </c>
      <c r="G223" s="74">
        <v>22061</v>
      </c>
      <c r="H223" s="73" t="s">
        <v>189</v>
      </c>
      <c r="I223" s="131"/>
      <c r="J223" s="31" t="s">
        <v>14886</v>
      </c>
      <c r="K223" s="31" t="s">
        <v>188</v>
      </c>
      <c r="L223" s="31" t="s">
        <v>9171</v>
      </c>
      <c r="M223" s="128">
        <v>10</v>
      </c>
      <c r="N223" s="142">
        <v>60</v>
      </c>
      <c r="O223" s="31" t="s">
        <v>14887</v>
      </c>
    </row>
    <row r="224" spans="1:16">
      <c r="A224" s="129">
        <v>44215</v>
      </c>
      <c r="B224" s="127" t="s">
        <v>2197</v>
      </c>
      <c r="C224" s="80" t="s">
        <v>8929</v>
      </c>
      <c r="D224" s="16" t="str">
        <f t="shared" si="5"/>
        <v>Janeiro</v>
      </c>
      <c r="E224" s="128" t="s">
        <v>2200</v>
      </c>
      <c r="F224" s="126" t="s">
        <v>14888</v>
      </c>
      <c r="G224" s="74">
        <v>26481</v>
      </c>
      <c r="H224" s="73" t="s">
        <v>2199</v>
      </c>
      <c r="I224" s="131"/>
      <c r="J224" s="31" t="s">
        <v>14889</v>
      </c>
      <c r="K224" s="31" t="s">
        <v>558</v>
      </c>
      <c r="L224" s="31" t="s">
        <v>8935</v>
      </c>
      <c r="M224" s="128">
        <v>10</v>
      </c>
      <c r="N224" s="142">
        <v>70</v>
      </c>
      <c r="O224" s="31" t="s">
        <v>14853</v>
      </c>
    </row>
    <row r="225" spans="1:15">
      <c r="A225" s="129">
        <v>44215</v>
      </c>
      <c r="B225" s="31" t="s">
        <v>98</v>
      </c>
      <c r="C225" s="31" t="s">
        <v>8929</v>
      </c>
      <c r="D225" s="16" t="str">
        <f t="shared" si="5"/>
        <v>Janeiro</v>
      </c>
      <c r="E225" s="31" t="s">
        <v>101</v>
      </c>
      <c r="F225" s="31" t="s">
        <v>14890</v>
      </c>
      <c r="G225" s="82">
        <v>13872</v>
      </c>
      <c r="H225" s="31" t="s">
        <v>14891</v>
      </c>
      <c r="I225" s="31"/>
      <c r="J225" s="31" t="s">
        <v>14892</v>
      </c>
      <c r="K225" s="31" t="s">
        <v>558</v>
      </c>
      <c r="L225" s="31" t="s">
        <v>9271</v>
      </c>
      <c r="M225" s="128">
        <v>10</v>
      </c>
      <c r="N225" s="142">
        <v>70</v>
      </c>
      <c r="O225" s="31"/>
    </row>
    <row r="226" spans="1:15">
      <c r="A226" s="129">
        <v>44215</v>
      </c>
      <c r="B226" s="139" t="s">
        <v>1074</v>
      </c>
      <c r="C226" s="31" t="s">
        <v>8929</v>
      </c>
      <c r="D226" s="16" t="str">
        <f t="shared" si="5"/>
        <v>Janeiro</v>
      </c>
      <c r="E226" s="31" t="s">
        <v>1076</v>
      </c>
      <c r="F226" s="31" t="s">
        <v>14893</v>
      </c>
      <c r="G226" s="82">
        <v>34074</v>
      </c>
      <c r="H226" s="31">
        <v>35999971975</v>
      </c>
      <c r="I226" s="31"/>
      <c r="J226" s="31" t="s">
        <v>14894</v>
      </c>
      <c r="K226" s="31" t="s">
        <v>7757</v>
      </c>
      <c r="L226" s="31" t="s">
        <v>9569</v>
      </c>
      <c r="M226" s="128">
        <v>5</v>
      </c>
      <c r="N226" s="142">
        <v>60</v>
      </c>
      <c r="O226" s="31" t="s">
        <v>14850</v>
      </c>
    </row>
    <row r="227" spans="1:15">
      <c r="A227" s="129">
        <v>44216</v>
      </c>
      <c r="B227" s="139" t="s">
        <v>830</v>
      </c>
      <c r="C227" s="31" t="s">
        <v>8929</v>
      </c>
      <c r="D227" s="16" t="str">
        <f t="shared" si="5"/>
        <v>Janeiro</v>
      </c>
      <c r="E227" s="31" t="s">
        <v>833</v>
      </c>
      <c r="F227" s="31" t="s">
        <v>14895</v>
      </c>
      <c r="G227" s="82">
        <v>29147</v>
      </c>
      <c r="H227" s="31" t="s">
        <v>14896</v>
      </c>
      <c r="I227" s="31"/>
      <c r="J227" s="31" t="s">
        <v>14897</v>
      </c>
      <c r="K227" s="31" t="s">
        <v>558</v>
      </c>
      <c r="L227" s="31" t="s">
        <v>9319</v>
      </c>
      <c r="M227" s="128">
        <v>30</v>
      </c>
      <c r="N227" s="142">
        <v>70</v>
      </c>
      <c r="O227" s="31"/>
    </row>
    <row r="228" spans="1:15">
      <c r="A228" s="129">
        <v>44216</v>
      </c>
      <c r="B228" s="139" t="s">
        <v>2230</v>
      </c>
      <c r="C228" s="31" t="s">
        <v>8929</v>
      </c>
      <c r="D228" s="16" t="str">
        <f t="shared" si="5"/>
        <v>Janeiro</v>
      </c>
      <c r="E228" s="31" t="s">
        <v>2232</v>
      </c>
      <c r="F228" s="31" t="s">
        <v>14898</v>
      </c>
      <c r="G228" s="82">
        <v>26809</v>
      </c>
      <c r="H228" t="s">
        <v>2231</v>
      </c>
      <c r="I228" s="31"/>
      <c r="J228" s="31" t="s">
        <v>14899</v>
      </c>
      <c r="K228" s="31" t="s">
        <v>558</v>
      </c>
      <c r="L228" s="31" t="s">
        <v>8935</v>
      </c>
      <c r="M228" s="128">
        <v>10</v>
      </c>
      <c r="N228" s="142">
        <v>70</v>
      </c>
      <c r="O228" s="31"/>
    </row>
    <row r="229" spans="1:15">
      <c r="A229" s="129">
        <v>44216</v>
      </c>
      <c r="B229" s="139" t="s">
        <v>125</v>
      </c>
      <c r="C229" s="31" t="s">
        <v>8929</v>
      </c>
      <c r="D229" s="16" t="str">
        <f t="shared" si="5"/>
        <v>Janeiro</v>
      </c>
      <c r="E229" s="31" t="s">
        <v>129</v>
      </c>
      <c r="F229" s="31">
        <v>8470024</v>
      </c>
      <c r="G229" s="82">
        <v>28489</v>
      </c>
      <c r="H229" s="31" t="s">
        <v>4725</v>
      </c>
      <c r="I229" s="31"/>
      <c r="J229" s="31" t="s">
        <v>14900</v>
      </c>
      <c r="K229" s="31" t="s">
        <v>1225</v>
      </c>
      <c r="L229" s="31" t="s">
        <v>8935</v>
      </c>
      <c r="M229" s="128">
        <v>15</v>
      </c>
      <c r="N229" s="142">
        <v>50</v>
      </c>
      <c r="O229" s="82">
        <v>44242</v>
      </c>
    </row>
    <row r="230" spans="1:15">
      <c r="A230" s="129">
        <v>44217</v>
      </c>
      <c r="B230" s="139" t="s">
        <v>562</v>
      </c>
      <c r="C230" s="31" t="s">
        <v>8929</v>
      </c>
      <c r="D230" s="16" t="str">
        <f t="shared" si="5"/>
        <v>Janeiro</v>
      </c>
      <c r="E230" s="31" t="s">
        <v>565</v>
      </c>
      <c r="F230" s="31" t="s">
        <v>14901</v>
      </c>
      <c r="G230" s="82">
        <v>19134</v>
      </c>
      <c r="H230" s="31" t="s">
        <v>14902</v>
      </c>
      <c r="I230" s="31"/>
      <c r="J230" s="31" t="s">
        <v>557</v>
      </c>
      <c r="K230" s="31" t="s">
        <v>558</v>
      </c>
      <c r="L230" s="31" t="s">
        <v>9271</v>
      </c>
      <c r="M230" s="128">
        <v>15</v>
      </c>
      <c r="N230" s="142">
        <v>50</v>
      </c>
      <c r="O230" s="82">
        <v>44242</v>
      </c>
    </row>
    <row r="231" spans="1:15">
      <c r="A231" s="129">
        <v>44217</v>
      </c>
      <c r="B231" s="139" t="s">
        <v>14903</v>
      </c>
      <c r="C231" s="31" t="s">
        <v>8929</v>
      </c>
      <c r="D231" s="16" t="str">
        <f t="shared" si="5"/>
        <v>Janeiro</v>
      </c>
      <c r="E231" s="31"/>
      <c r="F231" s="31"/>
      <c r="G231" s="82"/>
      <c r="H231" s="31"/>
      <c r="I231" s="31"/>
      <c r="J231" s="31"/>
      <c r="K231" s="31"/>
      <c r="L231" s="31"/>
      <c r="M231" s="128"/>
      <c r="N231" s="142"/>
      <c r="O231" s="31"/>
    </row>
    <row r="232" spans="1:15">
      <c r="A232" s="129">
        <v>44217</v>
      </c>
      <c r="B232" s="139" t="s">
        <v>739</v>
      </c>
      <c r="C232" s="39" t="s">
        <v>8929</v>
      </c>
      <c r="D232" s="16" t="str">
        <f t="shared" si="5"/>
        <v>Janeiro</v>
      </c>
      <c r="E232" s="31" t="s">
        <v>741</v>
      </c>
      <c r="F232" s="31">
        <v>3947191</v>
      </c>
      <c r="G232" s="82">
        <v>25986</v>
      </c>
      <c r="H232" s="31" t="s">
        <v>14904</v>
      </c>
      <c r="I232" s="31"/>
      <c r="J232" s="31" t="s">
        <v>14905</v>
      </c>
      <c r="K232" s="31" t="s">
        <v>8345</v>
      </c>
      <c r="L232" s="31" t="s">
        <v>8935</v>
      </c>
      <c r="M232" s="128">
        <v>10</v>
      </c>
      <c r="N232" s="142">
        <v>75</v>
      </c>
      <c r="O232" s="31"/>
    </row>
    <row r="233" spans="1:15">
      <c r="A233" s="129">
        <v>44217</v>
      </c>
      <c r="B233" s="139" t="s">
        <v>14906</v>
      </c>
      <c r="C233" s="31" t="s">
        <v>8929</v>
      </c>
      <c r="D233" s="16" t="str">
        <f t="shared" si="5"/>
        <v>Janeiro</v>
      </c>
      <c r="E233" s="31"/>
      <c r="F233" s="31"/>
      <c r="G233" s="82"/>
      <c r="H233" s="31" t="s">
        <v>14907</v>
      </c>
      <c r="I233" s="31"/>
      <c r="J233" s="31"/>
      <c r="K233" s="31"/>
      <c r="L233" s="31" t="s">
        <v>9171</v>
      </c>
      <c r="M233" s="128">
        <v>20</v>
      </c>
      <c r="N233" s="142">
        <v>70</v>
      </c>
      <c r="O233" s="31">
        <v>79.900000000000006</v>
      </c>
    </row>
    <row r="234" spans="1:15">
      <c r="A234" s="129">
        <v>44217</v>
      </c>
      <c r="B234" s="139" t="s">
        <v>3845</v>
      </c>
      <c r="C234" s="31" t="s">
        <v>8929</v>
      </c>
      <c r="D234" s="16" t="str">
        <f>$B$184</f>
        <v>Janeiro</v>
      </c>
      <c r="E234" s="31" t="s">
        <v>184</v>
      </c>
      <c r="F234" s="31" t="s">
        <v>14908</v>
      </c>
      <c r="G234" s="82">
        <v>34562</v>
      </c>
      <c r="H234" s="31" t="s">
        <v>4817</v>
      </c>
      <c r="I234" s="31"/>
      <c r="J234" s="31" t="s">
        <v>14909</v>
      </c>
      <c r="K234" s="31" t="s">
        <v>7874</v>
      </c>
      <c r="L234" s="31" t="s">
        <v>8935</v>
      </c>
      <c r="M234" s="128">
        <v>10</v>
      </c>
      <c r="N234" s="142">
        <v>60</v>
      </c>
      <c r="O234" s="82">
        <v>44237</v>
      </c>
    </row>
    <row r="235" spans="1:15">
      <c r="A235" s="129">
        <v>44217</v>
      </c>
      <c r="B235" s="139" t="s">
        <v>3859</v>
      </c>
      <c r="C235" s="31" t="s">
        <v>8929</v>
      </c>
      <c r="D235" s="16" t="str">
        <f t="shared" si="5"/>
        <v>Janeiro</v>
      </c>
      <c r="E235" s="140" t="s">
        <v>246</v>
      </c>
      <c r="F235" s="140" t="s">
        <v>14910</v>
      </c>
      <c r="G235" s="151">
        <v>29237</v>
      </c>
      <c r="H235" s="140" t="s">
        <v>4699</v>
      </c>
      <c r="I235" s="31"/>
      <c r="J235" s="31" t="s">
        <v>14911</v>
      </c>
      <c r="K235" s="31" t="s">
        <v>7757</v>
      </c>
      <c r="L235" s="31" t="s">
        <v>8935</v>
      </c>
      <c r="M235" s="128">
        <v>20</v>
      </c>
      <c r="N235" s="142">
        <v>75.900000000000006</v>
      </c>
      <c r="O235" s="31"/>
    </row>
    <row r="236" spans="1:15">
      <c r="A236" s="129">
        <v>44218</v>
      </c>
      <c r="B236" s="139" t="s">
        <v>1545</v>
      </c>
      <c r="C236" s="31" t="s">
        <v>8929</v>
      </c>
      <c r="D236" s="16" t="str">
        <f t="shared" si="5"/>
        <v>Janeiro</v>
      </c>
      <c r="E236" s="149" t="s">
        <v>1548</v>
      </c>
      <c r="F236" s="149">
        <v>21240382</v>
      </c>
      <c r="G236" s="150">
        <v>22014</v>
      </c>
      <c r="H236" s="149" t="s">
        <v>14912</v>
      </c>
      <c r="I236" s="143"/>
      <c r="J236" s="31" t="s">
        <v>14913</v>
      </c>
      <c r="K236" s="31" t="s">
        <v>7750</v>
      </c>
      <c r="L236" s="31" t="s">
        <v>9319</v>
      </c>
      <c r="M236" s="128">
        <v>25</v>
      </c>
      <c r="N236" s="142">
        <v>70</v>
      </c>
      <c r="O236" s="31"/>
    </row>
    <row r="237" spans="1:15">
      <c r="A237" s="129">
        <v>44218</v>
      </c>
      <c r="B237" s="139" t="s">
        <v>1087</v>
      </c>
      <c r="C237" s="31" t="s">
        <v>8929</v>
      </c>
      <c r="D237" s="16" t="str">
        <f t="shared" si="5"/>
        <v>Janeiro</v>
      </c>
      <c r="E237" s="149" t="s">
        <v>1090</v>
      </c>
      <c r="F237" s="149" t="s">
        <v>14914</v>
      </c>
      <c r="G237" s="150">
        <v>25603</v>
      </c>
      <c r="H237" s="149" t="s">
        <v>14915</v>
      </c>
      <c r="I237" s="143"/>
      <c r="J237" s="31" t="s">
        <v>14916</v>
      </c>
      <c r="K237" s="31" t="s">
        <v>8578</v>
      </c>
      <c r="L237" s="31" t="s">
        <v>9271</v>
      </c>
      <c r="M237" s="128">
        <v>11</v>
      </c>
      <c r="N237" s="142">
        <v>69.900000000000006</v>
      </c>
      <c r="O237" s="31"/>
    </row>
    <row r="238" spans="1:15">
      <c r="A238" s="129">
        <v>44218</v>
      </c>
      <c r="B238" s="139" t="s">
        <v>1358</v>
      </c>
      <c r="C238" s="140" t="s">
        <v>8929</v>
      </c>
      <c r="D238" s="16" t="str">
        <f t="shared" si="5"/>
        <v>Janeiro</v>
      </c>
      <c r="E238" s="152" t="s">
        <v>1360</v>
      </c>
      <c r="F238" s="152">
        <v>13901937</v>
      </c>
      <c r="G238" s="153">
        <v>29180</v>
      </c>
      <c r="H238" s="152" t="s">
        <v>4848</v>
      </c>
      <c r="I238" s="31"/>
      <c r="J238" s="31" t="s">
        <v>14917</v>
      </c>
      <c r="K238" s="31" t="s">
        <v>14918</v>
      </c>
      <c r="L238" s="31" t="s">
        <v>9419</v>
      </c>
      <c r="M238" s="128">
        <v>15</v>
      </c>
      <c r="N238" s="142">
        <v>60</v>
      </c>
      <c r="O238" s="31"/>
    </row>
    <row r="239" spans="1:15">
      <c r="A239" s="129">
        <v>44218</v>
      </c>
      <c r="B239" s="139" t="s">
        <v>29</v>
      </c>
      <c r="C239" s="31" t="s">
        <v>8929</v>
      </c>
      <c r="D239" s="16" t="str">
        <f t="shared" si="5"/>
        <v>Janeiro</v>
      </c>
      <c r="E239" s="31" t="s">
        <v>34</v>
      </c>
      <c r="F239" s="31">
        <v>4975645</v>
      </c>
      <c r="G239" s="82">
        <v>25438</v>
      </c>
      <c r="H239" s="31" t="s">
        <v>14919</v>
      </c>
      <c r="I239" s="31"/>
      <c r="J239" s="31" t="s">
        <v>14920</v>
      </c>
      <c r="K239" s="31" t="s">
        <v>7757</v>
      </c>
      <c r="L239" s="31" t="s">
        <v>9171</v>
      </c>
      <c r="M239" s="128">
        <v>10</v>
      </c>
      <c r="N239" s="142">
        <v>60</v>
      </c>
      <c r="O239" s="31"/>
    </row>
    <row r="240" spans="1:15">
      <c r="A240" s="129">
        <v>44218</v>
      </c>
      <c r="B240" s="139" t="s">
        <v>14921</v>
      </c>
      <c r="C240" s="140" t="s">
        <v>8929</v>
      </c>
      <c r="D240" s="16" t="str">
        <f t="shared" si="5"/>
        <v>Janeiro</v>
      </c>
      <c r="E240" s="31"/>
      <c r="F240" s="31"/>
      <c r="G240" s="82"/>
      <c r="H240" s="31" t="s">
        <v>14922</v>
      </c>
      <c r="I240" s="31"/>
      <c r="J240" s="31"/>
      <c r="K240" s="31"/>
      <c r="L240" s="31"/>
      <c r="M240" s="128"/>
      <c r="N240" s="142"/>
      <c r="O240" s="31"/>
    </row>
    <row r="241" spans="1:16">
      <c r="A241" s="129">
        <v>44218</v>
      </c>
      <c r="B241" s="139" t="s">
        <v>14923</v>
      </c>
      <c r="C241" s="140" t="s">
        <v>8929</v>
      </c>
      <c r="D241" s="16" t="str">
        <f t="shared" si="5"/>
        <v>Janeiro</v>
      </c>
      <c r="E241" s="31"/>
      <c r="F241" s="31"/>
      <c r="G241" s="82"/>
      <c r="H241" s="31" t="s">
        <v>14924</v>
      </c>
      <c r="I241" s="31"/>
      <c r="J241" s="31"/>
      <c r="K241" s="31"/>
      <c r="L241" s="31" t="s">
        <v>9617</v>
      </c>
      <c r="M241" s="128">
        <v>20</v>
      </c>
      <c r="N241" s="142">
        <v>100</v>
      </c>
      <c r="O241" s="31">
        <v>79.900000000000006</v>
      </c>
    </row>
    <row r="242" spans="1:16">
      <c r="A242" s="129">
        <v>44221</v>
      </c>
      <c r="B242" s="139" t="s">
        <v>702</v>
      </c>
      <c r="C242" s="140" t="s">
        <v>8929</v>
      </c>
      <c r="D242" s="16" t="str">
        <f t="shared" si="5"/>
        <v>Janeiro</v>
      </c>
      <c r="E242" s="31"/>
      <c r="F242" s="31"/>
      <c r="G242" s="82"/>
      <c r="H242" s="31" t="s">
        <v>14925</v>
      </c>
      <c r="I242" s="31"/>
      <c r="J242" s="31"/>
      <c r="K242" s="31"/>
      <c r="L242" s="31" t="s">
        <v>9271</v>
      </c>
      <c r="M242" s="128">
        <v>5</v>
      </c>
      <c r="N242" s="142">
        <v>60</v>
      </c>
      <c r="O242" s="31">
        <v>79.900000000000006</v>
      </c>
    </row>
    <row r="243" spans="1:16">
      <c r="A243" s="129">
        <v>44221</v>
      </c>
      <c r="B243" s="167" t="s">
        <v>1865</v>
      </c>
      <c r="C243" s="140" t="s">
        <v>8929</v>
      </c>
      <c r="D243" s="16" t="str">
        <f t="shared" si="5"/>
        <v>Janeiro</v>
      </c>
      <c r="E243" s="31" t="s">
        <v>1867</v>
      </c>
      <c r="F243" s="31">
        <v>246874934</v>
      </c>
      <c r="G243" s="82">
        <v>27533</v>
      </c>
      <c r="H243" s="31" t="s">
        <v>14926</v>
      </c>
      <c r="I243" s="31"/>
      <c r="J243" s="31" t="s">
        <v>14927</v>
      </c>
      <c r="K243" s="31" t="s">
        <v>558</v>
      </c>
      <c r="L243" s="31" t="s">
        <v>8935</v>
      </c>
      <c r="M243" s="128">
        <v>15</v>
      </c>
      <c r="N243" s="142">
        <v>60</v>
      </c>
      <c r="O243" s="31">
        <v>79.900000000000006</v>
      </c>
    </row>
    <row r="244" spans="1:16">
      <c r="A244" s="129">
        <v>44221</v>
      </c>
      <c r="B244" s="31" t="s">
        <v>1837</v>
      </c>
      <c r="C244" s="140" t="s">
        <v>8929</v>
      </c>
      <c r="D244" s="16" t="str">
        <f t="shared" si="5"/>
        <v>Janeiro</v>
      </c>
      <c r="E244" s="31" t="s">
        <v>1839</v>
      </c>
      <c r="F244" s="31" t="s">
        <v>14928</v>
      </c>
      <c r="G244" s="82">
        <v>30008</v>
      </c>
      <c r="H244" s="31" t="s">
        <v>14929</v>
      </c>
      <c r="I244" s="31"/>
      <c r="J244" s="31" t="s">
        <v>14930</v>
      </c>
      <c r="K244" s="31" t="s">
        <v>1347</v>
      </c>
      <c r="L244" s="31" t="s">
        <v>8935</v>
      </c>
      <c r="M244" s="162">
        <v>5</v>
      </c>
      <c r="N244" s="142">
        <v>0</v>
      </c>
      <c r="O244" s="31"/>
    </row>
    <row r="245" spans="1:16">
      <c r="A245" s="129">
        <v>44222</v>
      </c>
      <c r="B245" s="166" t="s">
        <v>14931</v>
      </c>
      <c r="C245" s="140" t="s">
        <v>8929</v>
      </c>
      <c r="D245" s="16" t="str">
        <f t="shared" si="5"/>
        <v>Janeiro</v>
      </c>
      <c r="E245" s="31"/>
      <c r="F245" s="31"/>
      <c r="G245" s="82"/>
      <c r="H245" s="31" t="s">
        <v>4211</v>
      </c>
      <c r="I245" s="31"/>
      <c r="J245" s="31"/>
      <c r="K245" s="31"/>
      <c r="L245" s="31" t="s">
        <v>9569</v>
      </c>
      <c r="M245" s="162">
        <v>10</v>
      </c>
      <c r="N245" s="142">
        <v>50</v>
      </c>
      <c r="O245" s="31">
        <v>79.900000000000006</v>
      </c>
    </row>
    <row r="246" spans="1:16">
      <c r="A246" s="129">
        <v>44222</v>
      </c>
      <c r="B246" s="167" t="s">
        <v>14932</v>
      </c>
      <c r="C246" s="140" t="s">
        <v>8929</v>
      </c>
      <c r="D246" s="16" t="str">
        <f t="shared" si="5"/>
        <v>Janeiro</v>
      </c>
      <c r="E246" s="31"/>
      <c r="F246" s="31"/>
      <c r="G246" s="82"/>
      <c r="H246" s="31" t="s">
        <v>14933</v>
      </c>
      <c r="I246" s="31"/>
      <c r="J246" s="31"/>
      <c r="K246" s="31"/>
      <c r="L246" s="42" t="s">
        <v>8935</v>
      </c>
      <c r="M246" s="162"/>
      <c r="N246" s="142">
        <v>0</v>
      </c>
      <c r="O246" s="31"/>
    </row>
    <row r="247" spans="1:16">
      <c r="A247" s="129">
        <v>44222</v>
      </c>
      <c r="B247" s="168" t="s">
        <v>14934</v>
      </c>
      <c r="C247" s="140" t="s">
        <v>8929</v>
      </c>
      <c r="D247" s="16" t="str">
        <f t="shared" si="5"/>
        <v>Janeiro</v>
      </c>
      <c r="E247" s="169"/>
      <c r="F247" s="169"/>
      <c r="G247" s="170"/>
      <c r="H247" s="169" t="s">
        <v>4616</v>
      </c>
      <c r="I247" s="169"/>
      <c r="J247" s="169"/>
      <c r="K247" s="169"/>
      <c r="L247" s="172" t="s">
        <v>9569</v>
      </c>
      <c r="M247" s="26"/>
      <c r="N247" s="171">
        <v>0</v>
      </c>
      <c r="O247" s="169"/>
    </row>
    <row r="248" spans="1:16">
      <c r="A248" s="129">
        <v>44223</v>
      </c>
      <c r="B248" s="149" t="s">
        <v>14935</v>
      </c>
      <c r="C248" s="149" t="s">
        <v>8929</v>
      </c>
      <c r="D248" s="149" t="s">
        <v>7634</v>
      </c>
      <c r="E248" s="149"/>
      <c r="F248" s="149"/>
      <c r="G248" s="149"/>
      <c r="H248" s="149" t="s">
        <v>4233</v>
      </c>
      <c r="I248" s="149"/>
      <c r="J248" s="149"/>
      <c r="K248" s="149"/>
      <c r="L248" s="59" t="s">
        <v>9294</v>
      </c>
      <c r="M248" s="20">
        <v>25</v>
      </c>
      <c r="N248" s="120">
        <v>50</v>
      </c>
      <c r="O248" s="149">
        <v>70</v>
      </c>
      <c r="P248" t="s">
        <v>14936</v>
      </c>
    </row>
    <row r="249" spans="1:16">
      <c r="A249" s="129">
        <v>44223</v>
      </c>
      <c r="B249" s="149" t="s">
        <v>854</v>
      </c>
      <c r="C249" s="149" t="s">
        <v>8929</v>
      </c>
      <c r="D249" s="16" t="str">
        <f t="shared" si="5"/>
        <v>Janeiro</v>
      </c>
      <c r="E249" s="149"/>
      <c r="F249" s="149"/>
      <c r="G249" s="149"/>
      <c r="H249" s="149" t="s">
        <v>856</v>
      </c>
      <c r="I249" s="149"/>
      <c r="J249" s="149"/>
      <c r="K249" s="149"/>
      <c r="L249" s="149" t="s">
        <v>8935</v>
      </c>
      <c r="M249" s="20">
        <v>25</v>
      </c>
      <c r="N249" s="120">
        <v>60</v>
      </c>
      <c r="O249" s="149">
        <v>70</v>
      </c>
      <c r="P249" t="s">
        <v>14936</v>
      </c>
    </row>
    <row r="250" spans="1:16">
      <c r="A250" s="129">
        <v>44223</v>
      </c>
      <c r="B250" s="22" t="s">
        <v>840</v>
      </c>
      <c r="C250" s="149" t="s">
        <v>8929</v>
      </c>
      <c r="D250" s="16" t="str">
        <f t="shared" ref="D250:D257" si="6">$B$184</f>
        <v>Janeiro</v>
      </c>
      <c r="E250" s="149"/>
      <c r="F250" s="149"/>
      <c r="G250" s="149"/>
      <c r="H250" s="149" t="s">
        <v>14937</v>
      </c>
      <c r="I250" s="149"/>
      <c r="J250" s="149"/>
      <c r="K250" s="149"/>
      <c r="L250" s="149" t="s">
        <v>9171</v>
      </c>
      <c r="M250" s="20">
        <v>20</v>
      </c>
      <c r="N250" s="120">
        <v>60</v>
      </c>
      <c r="O250" s="149">
        <v>79.900000000000006</v>
      </c>
      <c r="P250" t="s">
        <v>14938</v>
      </c>
    </row>
    <row r="251" spans="1:16">
      <c r="A251" s="129">
        <v>44223</v>
      </c>
      <c r="B251" s="149" t="s">
        <v>1675</v>
      </c>
      <c r="C251" s="149" t="s">
        <v>8929</v>
      </c>
      <c r="D251" s="107" t="str">
        <f t="shared" si="6"/>
        <v>Janeiro</v>
      </c>
      <c r="E251" s="149"/>
      <c r="F251" s="149"/>
      <c r="G251" s="149"/>
      <c r="H251" s="149" t="s">
        <v>14939</v>
      </c>
      <c r="I251" s="149"/>
      <c r="J251" s="149"/>
      <c r="K251" s="149"/>
      <c r="L251" s="59" t="s">
        <v>9171</v>
      </c>
      <c r="M251" s="20">
        <v>20</v>
      </c>
      <c r="N251" s="120">
        <v>60</v>
      </c>
      <c r="O251" s="149">
        <v>79.900000000000006</v>
      </c>
    </row>
    <row r="252" spans="1:16">
      <c r="A252" s="129">
        <v>44224</v>
      </c>
      <c r="B252" s="149" t="s">
        <v>14940</v>
      </c>
      <c r="C252" s="149" t="s">
        <v>8929</v>
      </c>
      <c r="D252" s="107" t="str">
        <f t="shared" si="6"/>
        <v>Janeiro</v>
      </c>
      <c r="E252" s="149"/>
      <c r="F252" s="149"/>
      <c r="G252" s="149"/>
      <c r="H252" s="149" t="s">
        <v>14941</v>
      </c>
      <c r="I252" s="149"/>
      <c r="J252" s="149"/>
      <c r="K252" s="149"/>
      <c r="L252" s="59" t="s">
        <v>9671</v>
      </c>
      <c r="M252" s="20">
        <v>20</v>
      </c>
      <c r="N252" s="120">
        <v>60</v>
      </c>
      <c r="O252" s="149">
        <v>70</v>
      </c>
      <c r="P252" t="s">
        <v>14936</v>
      </c>
    </row>
    <row r="253" spans="1:16">
      <c r="A253" s="129">
        <v>44224</v>
      </c>
      <c r="B253" s="108" t="s">
        <v>14942</v>
      </c>
      <c r="C253" s="149" t="s">
        <v>8929</v>
      </c>
      <c r="D253" s="107" t="str">
        <f t="shared" si="6"/>
        <v>Janeiro</v>
      </c>
      <c r="E253" s="149"/>
      <c r="F253" s="149"/>
      <c r="G253" s="149"/>
      <c r="H253" s="149" t="s">
        <v>4639</v>
      </c>
      <c r="I253" s="149"/>
      <c r="J253" s="149"/>
      <c r="K253" s="149"/>
      <c r="L253" s="59" t="s">
        <v>14797</v>
      </c>
      <c r="M253" s="20">
        <v>20</v>
      </c>
      <c r="N253" s="120">
        <v>70</v>
      </c>
      <c r="O253" s="149">
        <v>79.900000000000006</v>
      </c>
    </row>
    <row r="254" spans="1:16">
      <c r="A254" s="129">
        <v>44224</v>
      </c>
      <c r="B254" s="149" t="s">
        <v>14943</v>
      </c>
      <c r="C254" s="149" t="s">
        <v>8929</v>
      </c>
      <c r="D254" s="107" t="str">
        <f t="shared" si="6"/>
        <v>Janeiro</v>
      </c>
      <c r="E254" s="149"/>
      <c r="F254" s="149"/>
      <c r="G254" s="149"/>
      <c r="H254" s="149" t="s">
        <v>4641</v>
      </c>
      <c r="I254" s="149"/>
      <c r="J254" s="149"/>
      <c r="K254" s="149"/>
      <c r="L254" s="59" t="s">
        <v>9294</v>
      </c>
      <c r="M254" s="20">
        <v>20</v>
      </c>
      <c r="N254" s="120">
        <v>50</v>
      </c>
      <c r="O254" s="149">
        <v>79.900000000000006</v>
      </c>
    </row>
    <row r="255" spans="1:16">
      <c r="A255" s="129">
        <v>44224</v>
      </c>
      <c r="B255" s="149" t="s">
        <v>14944</v>
      </c>
      <c r="C255" s="149" t="s">
        <v>8929</v>
      </c>
      <c r="D255" s="107" t="str">
        <f t="shared" si="6"/>
        <v>Janeiro</v>
      </c>
      <c r="E255" s="149"/>
      <c r="F255" s="149"/>
      <c r="G255" s="149"/>
      <c r="H255" s="149" t="s">
        <v>14941</v>
      </c>
      <c r="I255" s="149"/>
      <c r="J255" s="149"/>
      <c r="K255" s="149"/>
      <c r="L255" s="59" t="s">
        <v>14797</v>
      </c>
      <c r="M255" s="20">
        <v>20</v>
      </c>
      <c r="N255" s="120">
        <v>85</v>
      </c>
      <c r="O255" s="149">
        <v>79.900000000000006</v>
      </c>
    </row>
    <row r="256" spans="1:16">
      <c r="A256" s="129">
        <v>44225</v>
      </c>
      <c r="B256" s="149" t="s">
        <v>14945</v>
      </c>
      <c r="C256" s="107" t="s">
        <v>8929</v>
      </c>
      <c r="D256" s="107" t="str">
        <f t="shared" si="6"/>
        <v>Janeiro</v>
      </c>
      <c r="E256" s="149"/>
      <c r="F256" s="149"/>
      <c r="G256" s="149"/>
      <c r="H256" s="149" t="s">
        <v>14946</v>
      </c>
      <c r="I256" s="149"/>
      <c r="J256" s="149"/>
      <c r="K256" s="149"/>
      <c r="L256" s="175" t="s">
        <v>14797</v>
      </c>
      <c r="M256" s="20">
        <v>25</v>
      </c>
      <c r="N256" s="120">
        <v>50</v>
      </c>
      <c r="O256" s="149"/>
    </row>
    <row r="257" spans="1:15">
      <c r="A257" s="129">
        <v>44225</v>
      </c>
      <c r="B257" s="174" t="s">
        <v>14947</v>
      </c>
      <c r="C257" s="107" t="s">
        <v>8929</v>
      </c>
      <c r="D257" s="107" t="str">
        <f t="shared" si="6"/>
        <v>Janeiro</v>
      </c>
      <c r="E257" s="149"/>
      <c r="F257" s="149"/>
      <c r="G257" s="149"/>
      <c r="H257" s="149" t="s">
        <v>14948</v>
      </c>
      <c r="I257" s="149"/>
      <c r="J257" s="149"/>
      <c r="K257" s="149"/>
      <c r="L257" s="175" t="s">
        <v>9569</v>
      </c>
      <c r="M257" s="20">
        <v>10</v>
      </c>
      <c r="N257" s="120">
        <v>60</v>
      </c>
      <c r="O257" s="149">
        <v>79.900000000000006</v>
      </c>
    </row>
    <row r="258" spans="1:15">
      <c r="A258" s="129">
        <v>44225</v>
      </c>
      <c r="B258" s="107" t="s">
        <v>816</v>
      </c>
      <c r="C258" s="107" t="s">
        <v>8929</v>
      </c>
      <c r="D258" s="16" t="s">
        <v>7634</v>
      </c>
      <c r="E258" s="149"/>
      <c r="F258" s="149"/>
      <c r="G258" s="149"/>
      <c r="H258" s="149">
        <v>11987525761</v>
      </c>
      <c r="I258" s="149"/>
      <c r="J258" s="149"/>
      <c r="K258" s="149"/>
      <c r="L258" s="175" t="s">
        <v>14797</v>
      </c>
      <c r="M258" s="20">
        <v>20</v>
      </c>
      <c r="N258" s="120">
        <v>60</v>
      </c>
      <c r="O258" s="149">
        <v>79.900000000000006</v>
      </c>
    </row>
    <row r="259" spans="1:15">
      <c r="A259" s="129">
        <v>44225</v>
      </c>
      <c r="B259" s="149" t="s">
        <v>1402</v>
      </c>
      <c r="C259" s="149" t="s">
        <v>8929</v>
      </c>
      <c r="D259" s="107" t="s">
        <v>7634</v>
      </c>
      <c r="E259" s="149"/>
      <c r="F259" s="149"/>
      <c r="G259" s="149"/>
      <c r="H259" s="149" t="s">
        <v>14949</v>
      </c>
      <c r="I259" s="149"/>
      <c r="J259" s="149"/>
      <c r="K259" s="149"/>
      <c r="L259" s="59"/>
      <c r="M259" s="20"/>
      <c r="N259" s="120">
        <v>60</v>
      </c>
      <c r="O259" s="149">
        <v>70</v>
      </c>
    </row>
    <row r="260" spans="1:15">
      <c r="A260" s="129">
        <v>44225</v>
      </c>
      <c r="B260" s="149" t="s">
        <v>14950</v>
      </c>
      <c r="C260" s="149" t="s">
        <v>8929</v>
      </c>
      <c r="D260" s="149" t="s">
        <v>7634</v>
      </c>
      <c r="E260" s="149"/>
      <c r="F260" s="149"/>
      <c r="G260" s="149"/>
      <c r="H260" s="149" t="s">
        <v>14951</v>
      </c>
      <c r="I260" s="149"/>
      <c r="J260" s="149"/>
      <c r="K260" s="149"/>
      <c r="L260" s="59"/>
      <c r="M260" s="20"/>
      <c r="N260" s="120">
        <v>40</v>
      </c>
      <c r="O260" s="149">
        <v>55</v>
      </c>
    </row>
    <row r="261" spans="1:15">
      <c r="B261" s="176" t="s">
        <v>7656</v>
      </c>
      <c r="C261" s="17"/>
      <c r="D261" s="17"/>
      <c r="E261" s="22"/>
      <c r="F261" s="22"/>
      <c r="G261" s="22"/>
      <c r="H261" s="22"/>
      <c r="I261" s="22"/>
      <c r="J261" s="22"/>
      <c r="K261" s="22"/>
      <c r="L261" s="22"/>
      <c r="M261" s="22"/>
      <c r="N261" s="120"/>
      <c r="O261" s="149"/>
    </row>
    <row r="262" spans="1:15">
      <c r="A262" s="129">
        <v>44228</v>
      </c>
      <c r="B262" s="149" t="s">
        <v>1703</v>
      </c>
      <c r="C262" s="149" t="s">
        <v>8929</v>
      </c>
      <c r="D262" s="149" t="s">
        <v>7656</v>
      </c>
      <c r="E262" s="149"/>
      <c r="F262" s="149"/>
      <c r="G262" s="149"/>
      <c r="H262" s="149" t="s">
        <v>14952</v>
      </c>
      <c r="I262" s="149"/>
      <c r="J262" s="149"/>
      <c r="K262" s="149"/>
      <c r="L262" s="59" t="s">
        <v>8935</v>
      </c>
      <c r="M262" s="20">
        <v>10</v>
      </c>
      <c r="N262" s="120">
        <v>60</v>
      </c>
      <c r="O262" s="149">
        <v>79.900000000000006</v>
      </c>
    </row>
    <row r="263" spans="1:15">
      <c r="A263" s="129">
        <v>44229</v>
      </c>
      <c r="B263" s="149" t="s">
        <v>529</v>
      </c>
      <c r="C263" s="149" t="s">
        <v>8929</v>
      </c>
      <c r="D263" s="149" t="s">
        <v>7656</v>
      </c>
      <c r="E263" s="149"/>
      <c r="F263" s="149"/>
      <c r="G263" s="149"/>
      <c r="H263" s="149" t="s">
        <v>14953</v>
      </c>
      <c r="I263" s="149"/>
      <c r="J263" s="149"/>
      <c r="K263" s="149"/>
      <c r="L263" s="59" t="s">
        <v>8935</v>
      </c>
      <c r="M263" s="20">
        <v>10</v>
      </c>
      <c r="N263" s="120">
        <v>60</v>
      </c>
      <c r="O263" s="149">
        <v>79.900000000000006</v>
      </c>
    </row>
    <row r="264" spans="1:15">
      <c r="A264" s="129">
        <v>44229</v>
      </c>
      <c r="B264" s="149" t="s">
        <v>2234</v>
      </c>
      <c r="C264" s="149" t="s">
        <v>8929</v>
      </c>
      <c r="D264" s="149" t="s">
        <v>7656</v>
      </c>
      <c r="E264" s="149"/>
      <c r="F264" s="149"/>
      <c r="G264" s="149"/>
      <c r="H264" s="149" t="s">
        <v>4669</v>
      </c>
      <c r="I264" s="149"/>
      <c r="J264" s="149"/>
      <c r="K264" s="149"/>
      <c r="L264" s="59"/>
      <c r="M264" s="20"/>
      <c r="N264" s="120"/>
      <c r="O264" s="149"/>
    </row>
    <row r="265" spans="1:15">
      <c r="A265" s="129">
        <v>44229</v>
      </c>
      <c r="B265" s="186" t="s">
        <v>428</v>
      </c>
      <c r="C265" s="149" t="s">
        <v>8929</v>
      </c>
      <c r="D265" s="149" t="s">
        <v>7656</v>
      </c>
      <c r="E265" s="149"/>
      <c r="F265" s="149"/>
      <c r="G265" s="149"/>
      <c r="H265" s="149" t="s">
        <v>14954</v>
      </c>
      <c r="I265" s="149"/>
      <c r="J265" s="149"/>
      <c r="K265" s="149"/>
      <c r="L265" s="59"/>
      <c r="M265" s="20"/>
      <c r="N265" s="120"/>
      <c r="O265" s="149"/>
    </row>
    <row r="266" spans="1:15">
      <c r="A266" s="129">
        <v>44229</v>
      </c>
      <c r="B266" s="31" t="s">
        <v>437</v>
      </c>
      <c r="C266" s="149" t="s">
        <v>8929</v>
      </c>
      <c r="D266" s="149" t="s">
        <v>7656</v>
      </c>
      <c r="E266" s="149"/>
      <c r="F266" s="149"/>
      <c r="G266" s="149"/>
      <c r="H266" s="149" t="s">
        <v>4751</v>
      </c>
      <c r="I266" s="149"/>
      <c r="J266" s="149"/>
      <c r="K266" s="149"/>
      <c r="L266" s="59"/>
      <c r="M266" s="20"/>
      <c r="N266" s="120"/>
      <c r="O266" s="149"/>
    </row>
    <row r="267" spans="1:15">
      <c r="A267" s="129">
        <v>44229</v>
      </c>
      <c r="B267" s="17" t="s">
        <v>1232</v>
      </c>
      <c r="C267" s="237" t="s">
        <v>8929</v>
      </c>
      <c r="D267" s="149" t="s">
        <v>7656</v>
      </c>
      <c r="E267" s="149"/>
      <c r="F267" s="149"/>
      <c r="G267" s="149"/>
      <c r="H267" s="149"/>
      <c r="I267" s="149"/>
      <c r="J267" s="149"/>
      <c r="K267" s="149"/>
      <c r="L267" s="59"/>
      <c r="M267" s="20"/>
      <c r="N267" s="120"/>
      <c r="O267" s="149"/>
    </row>
    <row r="268" spans="1:15">
      <c r="A268" s="129">
        <v>44229</v>
      </c>
      <c r="B268" s="187" t="s">
        <v>14955</v>
      </c>
      <c r="C268" s="149" t="s">
        <v>8929</v>
      </c>
      <c r="D268" s="149" t="s">
        <v>7656</v>
      </c>
      <c r="E268" s="149"/>
      <c r="F268" s="149"/>
      <c r="G268" s="149"/>
      <c r="H268" s="149" t="s">
        <v>14956</v>
      </c>
      <c r="I268" s="149"/>
      <c r="J268" s="149"/>
      <c r="K268" s="149"/>
      <c r="L268" s="59"/>
      <c r="M268" s="20"/>
      <c r="N268" s="120"/>
      <c r="O268" s="149"/>
    </row>
    <row r="269" spans="1:15">
      <c r="A269" s="129">
        <v>44230</v>
      </c>
      <c r="B269" s="186" t="s">
        <v>1194</v>
      </c>
      <c r="C269" s="149" t="s">
        <v>8929</v>
      </c>
      <c r="D269" s="149" t="s">
        <v>7656</v>
      </c>
      <c r="E269" s="149"/>
      <c r="F269" s="149"/>
      <c r="G269" s="149"/>
      <c r="H269" s="149" t="s">
        <v>14957</v>
      </c>
      <c r="I269" s="149"/>
      <c r="J269" s="149"/>
      <c r="K269" s="149"/>
      <c r="L269" s="59"/>
      <c r="M269" s="20"/>
      <c r="N269" s="120"/>
      <c r="O269" s="149"/>
    </row>
    <row r="270" spans="1:15">
      <c r="A270" s="129">
        <v>44231</v>
      </c>
      <c r="B270" s="31" t="s">
        <v>1805</v>
      </c>
      <c r="C270" s="185" t="s">
        <v>8929</v>
      </c>
      <c r="D270" s="149" t="s">
        <v>7656</v>
      </c>
      <c r="E270" s="149"/>
      <c r="F270" s="149"/>
      <c r="G270" s="149"/>
      <c r="H270" s="149" t="s">
        <v>4666</v>
      </c>
      <c r="I270" s="149"/>
      <c r="J270" s="149"/>
      <c r="K270" s="149"/>
      <c r="L270" s="59" t="s">
        <v>8935</v>
      </c>
      <c r="M270" s="20">
        <v>10</v>
      </c>
      <c r="N270" s="120">
        <v>85</v>
      </c>
      <c r="O270" s="149">
        <v>79.900000000000006</v>
      </c>
    </row>
    <row r="271" spans="1:15">
      <c r="A271" s="129">
        <v>44231</v>
      </c>
      <c r="B271" s="17" t="s">
        <v>1013</v>
      </c>
      <c r="C271" s="185" t="s">
        <v>8929</v>
      </c>
      <c r="D271" s="149" t="s">
        <v>7656</v>
      </c>
      <c r="E271" s="149"/>
      <c r="F271" s="149"/>
      <c r="G271" s="149"/>
      <c r="H271" s="149" t="s">
        <v>14958</v>
      </c>
      <c r="I271" s="149"/>
      <c r="J271" s="149"/>
      <c r="K271" s="149"/>
      <c r="L271" s="59"/>
      <c r="M271" s="20"/>
      <c r="N271" s="120"/>
      <c r="O271" s="149"/>
    </row>
    <row r="272" spans="1:15">
      <c r="A272" s="129">
        <v>44231</v>
      </c>
      <c r="B272" s="188" t="s">
        <v>355</v>
      </c>
      <c r="C272" s="149" t="s">
        <v>8929</v>
      </c>
      <c r="D272" s="149" t="s">
        <v>7656</v>
      </c>
      <c r="E272" s="149"/>
      <c r="F272" s="149"/>
      <c r="G272" s="149"/>
      <c r="H272" s="149" t="s">
        <v>14959</v>
      </c>
      <c r="I272" s="149"/>
      <c r="J272" s="149"/>
      <c r="K272" s="149"/>
      <c r="L272" s="59"/>
      <c r="M272" s="20"/>
      <c r="N272" s="120"/>
      <c r="O272" s="149"/>
    </row>
    <row r="273" spans="1:15">
      <c r="A273" s="129">
        <v>44231</v>
      </c>
      <c r="B273" s="189" t="s">
        <v>2008</v>
      </c>
      <c r="C273" s="185" t="s">
        <v>8929</v>
      </c>
      <c r="D273" s="149" t="s">
        <v>7656</v>
      </c>
      <c r="E273" s="149"/>
      <c r="F273" s="149"/>
      <c r="G273" s="149"/>
      <c r="H273" s="149" t="s">
        <v>4734</v>
      </c>
      <c r="I273" s="149"/>
      <c r="J273" s="149"/>
      <c r="K273" s="149"/>
      <c r="L273" s="59"/>
      <c r="M273" s="20"/>
      <c r="N273" s="120"/>
      <c r="O273" s="149"/>
    </row>
    <row r="274" spans="1:15">
      <c r="A274" s="129">
        <v>44231</v>
      </c>
      <c r="B274" s="187" t="s">
        <v>1862</v>
      </c>
      <c r="C274" s="149" t="s">
        <v>8929</v>
      </c>
      <c r="D274" s="149" t="s">
        <v>7656</v>
      </c>
      <c r="E274" s="149"/>
      <c r="F274" s="149"/>
      <c r="G274" s="149"/>
      <c r="H274" s="149" t="s">
        <v>14960</v>
      </c>
      <c r="I274" s="149"/>
      <c r="J274" s="149"/>
      <c r="K274" s="149"/>
      <c r="L274" s="59"/>
      <c r="M274" s="20"/>
      <c r="N274" s="120"/>
      <c r="O274" s="149"/>
    </row>
    <row r="275" spans="1:15">
      <c r="A275" s="129">
        <v>44231</v>
      </c>
      <c r="B275" s="186" t="s">
        <v>2212</v>
      </c>
      <c r="C275" s="149" t="s">
        <v>8929</v>
      </c>
      <c r="D275" s="149" t="s">
        <v>7656</v>
      </c>
      <c r="E275" s="149"/>
      <c r="F275" s="149"/>
      <c r="G275" s="149"/>
      <c r="H275" s="149" t="s">
        <v>14961</v>
      </c>
      <c r="I275" s="149"/>
      <c r="J275" s="149"/>
      <c r="K275" s="149"/>
      <c r="L275" s="59"/>
      <c r="M275" s="20"/>
      <c r="N275" s="120"/>
      <c r="O275" s="149"/>
    </row>
    <row r="276" spans="1:15">
      <c r="A276" s="129">
        <v>44232</v>
      </c>
      <c r="B276" s="31" t="s">
        <v>1377</v>
      </c>
      <c r="C276" s="185" t="s">
        <v>8929</v>
      </c>
      <c r="D276" s="149" t="s">
        <v>7656</v>
      </c>
      <c r="E276" s="149"/>
      <c r="F276" s="149"/>
      <c r="G276" s="149"/>
      <c r="H276" s="149" t="s">
        <v>14962</v>
      </c>
      <c r="I276" s="149"/>
      <c r="J276" s="149"/>
      <c r="K276" s="149"/>
      <c r="L276" s="59"/>
      <c r="M276" s="20"/>
      <c r="N276" s="120"/>
      <c r="O276" s="149"/>
    </row>
    <row r="277" spans="1:15">
      <c r="A277" s="129">
        <v>44232</v>
      </c>
      <c r="B277" s="17" t="s">
        <v>580</v>
      </c>
      <c r="C277" s="185" t="s">
        <v>8929</v>
      </c>
      <c r="D277" s="149" t="s">
        <v>7656</v>
      </c>
      <c r="E277" s="149"/>
      <c r="F277" s="149"/>
      <c r="G277" s="149"/>
      <c r="H277" s="149" t="s">
        <v>14963</v>
      </c>
      <c r="I277" s="149"/>
      <c r="J277" s="149"/>
      <c r="K277" s="149"/>
      <c r="L277" s="59"/>
      <c r="M277" s="20"/>
      <c r="N277" s="120"/>
      <c r="O277" s="149"/>
    </row>
    <row r="278" spans="1:15">
      <c r="A278" s="129">
        <v>44232</v>
      </c>
      <c r="B278" s="31" t="s">
        <v>648</v>
      </c>
      <c r="C278" s="185" t="s">
        <v>8929</v>
      </c>
      <c r="D278" s="149" t="s">
        <v>7656</v>
      </c>
      <c r="E278" s="149"/>
      <c r="F278" s="149"/>
      <c r="G278" s="149"/>
      <c r="H278" s="149" t="s">
        <v>4840</v>
      </c>
      <c r="I278" s="149"/>
      <c r="J278" s="149"/>
      <c r="K278" s="149"/>
      <c r="L278" s="59"/>
      <c r="M278" s="20"/>
      <c r="N278" s="120"/>
      <c r="O278" s="149"/>
    </row>
    <row r="279" spans="1:15">
      <c r="A279" s="129">
        <v>44232</v>
      </c>
      <c r="B279" s="187" t="s">
        <v>1550</v>
      </c>
      <c r="C279" s="149" t="s">
        <v>8929</v>
      </c>
      <c r="D279" s="149" t="s">
        <v>7656</v>
      </c>
      <c r="E279" s="149"/>
      <c r="F279" s="149"/>
      <c r="G279" s="149"/>
      <c r="H279" s="149" t="s">
        <v>14964</v>
      </c>
      <c r="I279" s="149"/>
      <c r="J279" s="149"/>
      <c r="K279" s="149"/>
      <c r="L279" s="59"/>
      <c r="M279" s="20"/>
      <c r="N279" s="120"/>
      <c r="O279" s="149"/>
    </row>
    <row r="280" spans="1:15">
      <c r="A280" s="129">
        <v>44235</v>
      </c>
      <c r="B280" s="149" t="s">
        <v>14965</v>
      </c>
      <c r="C280" s="149" t="s">
        <v>8929</v>
      </c>
      <c r="D280" s="149" t="s">
        <v>7656</v>
      </c>
      <c r="E280" s="149"/>
      <c r="F280" s="149"/>
      <c r="G280" s="149"/>
      <c r="H280" s="149" t="s">
        <v>4717</v>
      </c>
      <c r="I280" s="149"/>
      <c r="J280" s="149"/>
      <c r="K280" s="149"/>
      <c r="L280" s="59"/>
      <c r="M280" s="20"/>
      <c r="N280" s="120"/>
      <c r="O280" s="149"/>
    </row>
    <row r="281" spans="1:15">
      <c r="A281" s="129">
        <v>44235</v>
      </c>
      <c r="B281" s="197" t="s">
        <v>14966</v>
      </c>
      <c r="C281" s="149" t="s">
        <v>8929</v>
      </c>
      <c r="D281" s="149" t="s">
        <v>7656</v>
      </c>
      <c r="E281" s="149"/>
      <c r="F281" s="149"/>
      <c r="G281" s="149"/>
      <c r="H281" s="149" t="s">
        <v>14967</v>
      </c>
      <c r="I281" s="149"/>
      <c r="J281" s="149"/>
      <c r="K281" s="149"/>
      <c r="L281" s="59"/>
      <c r="M281" s="20"/>
      <c r="N281" s="120"/>
      <c r="O281" s="149"/>
    </row>
    <row r="282" spans="1:15">
      <c r="A282" s="129">
        <v>44235</v>
      </c>
      <c r="B282" s="31" t="s">
        <v>14968</v>
      </c>
      <c r="C282" s="185" t="s">
        <v>8929</v>
      </c>
      <c r="D282" s="149" t="s">
        <v>7656</v>
      </c>
      <c r="E282" s="149"/>
      <c r="F282" s="149"/>
      <c r="G282" s="149"/>
      <c r="H282" s="149" t="s">
        <v>14969</v>
      </c>
      <c r="I282" s="149"/>
      <c r="J282" s="149"/>
      <c r="K282" s="149"/>
      <c r="L282" s="59"/>
      <c r="M282" s="20"/>
      <c r="N282" s="120"/>
      <c r="O282" s="149"/>
    </row>
    <row r="283" spans="1:15">
      <c r="A283" s="129">
        <v>44235</v>
      </c>
      <c r="B283" s="31" t="s">
        <v>887</v>
      </c>
      <c r="C283" s="199" t="s">
        <v>8929</v>
      </c>
      <c r="D283" s="149" t="s">
        <v>7656</v>
      </c>
      <c r="E283" s="149"/>
      <c r="F283" s="149"/>
      <c r="G283" s="149"/>
      <c r="H283" s="149" t="s">
        <v>14970</v>
      </c>
      <c r="I283" s="149"/>
      <c r="J283" s="149"/>
      <c r="K283" s="149"/>
      <c r="L283" s="59"/>
      <c r="M283" s="20"/>
      <c r="N283" s="120"/>
      <c r="O283" s="149"/>
    </row>
    <row r="284" spans="1:15">
      <c r="A284" s="129">
        <v>44236</v>
      </c>
      <c r="B284" s="17" t="s">
        <v>1849</v>
      </c>
      <c r="C284" s="39" t="s">
        <v>8929</v>
      </c>
      <c r="D284" s="149" t="s">
        <v>7656</v>
      </c>
      <c r="E284" s="187"/>
      <c r="F284" s="187"/>
      <c r="G284" s="187"/>
      <c r="H284" s="188" t="s">
        <v>14971</v>
      </c>
      <c r="I284" s="187"/>
      <c r="J284" s="187"/>
      <c r="K284" s="187"/>
      <c r="L284" s="173"/>
      <c r="M284" s="73"/>
      <c r="N284" s="120"/>
      <c r="O284" s="187"/>
    </row>
    <row r="285" spans="1:15">
      <c r="A285" s="129">
        <v>44237</v>
      </c>
      <c r="B285" s="17" t="s">
        <v>2115</v>
      </c>
      <c r="C285" s="31" t="s">
        <v>8929</v>
      </c>
      <c r="D285" s="149" t="s">
        <v>7656</v>
      </c>
      <c r="E285" s="187"/>
      <c r="F285" s="187"/>
      <c r="G285" s="204"/>
      <c r="H285" s="31" t="s">
        <v>14972</v>
      </c>
      <c r="I285" s="205"/>
      <c r="J285" s="187"/>
      <c r="K285" s="187"/>
      <c r="L285" s="173"/>
      <c r="M285" s="73"/>
      <c r="N285" s="120"/>
      <c r="O285" s="187"/>
    </row>
    <row r="286" spans="1:15">
      <c r="A286" s="129">
        <v>44238</v>
      </c>
      <c r="B286" s="17" t="s">
        <v>1583</v>
      </c>
      <c r="C286" s="31" t="s">
        <v>8929</v>
      </c>
      <c r="D286" s="149" t="s">
        <v>7656</v>
      </c>
      <c r="E286" s="187"/>
      <c r="F286" s="187"/>
      <c r="G286" s="204"/>
      <c r="H286" s="31" t="s">
        <v>14973</v>
      </c>
      <c r="I286" s="205"/>
      <c r="J286" s="187"/>
      <c r="K286" s="187"/>
      <c r="L286" s="173"/>
      <c r="M286" s="73"/>
      <c r="N286" s="120"/>
      <c r="O286" s="187"/>
    </row>
    <row r="287" spans="1:15">
      <c r="A287" s="129">
        <v>44238</v>
      </c>
      <c r="B287" s="17" t="s">
        <v>14974</v>
      </c>
      <c r="C287" s="31" t="s">
        <v>8929</v>
      </c>
      <c r="D287" s="149" t="s">
        <v>7656</v>
      </c>
      <c r="E287" s="187"/>
      <c r="F287" s="187"/>
      <c r="G287" s="204"/>
      <c r="H287" s="17" t="s">
        <v>826</v>
      </c>
      <c r="I287" s="205"/>
      <c r="J287" s="187"/>
      <c r="K287" s="187"/>
      <c r="L287" s="173"/>
      <c r="M287" s="73"/>
      <c r="N287" s="120"/>
      <c r="O287" s="187"/>
    </row>
    <row r="288" spans="1:15">
      <c r="A288" s="129">
        <v>44238</v>
      </c>
      <c r="B288" s="17" t="s">
        <v>14975</v>
      </c>
      <c r="C288" s="31" t="s">
        <v>8929</v>
      </c>
      <c r="D288" s="149" t="s">
        <v>7656</v>
      </c>
      <c r="E288" s="187"/>
      <c r="F288" s="187"/>
      <c r="G288" s="204"/>
      <c r="H288" s="17" t="s">
        <v>826</v>
      </c>
      <c r="I288" s="205"/>
      <c r="J288" s="187"/>
      <c r="K288" s="187"/>
      <c r="L288" s="173"/>
      <c r="M288" s="73"/>
      <c r="N288" s="120"/>
      <c r="O288" s="187"/>
    </row>
    <row r="289" spans="1:15">
      <c r="A289" s="129">
        <v>44207</v>
      </c>
      <c r="B289" s="17" t="s">
        <v>1321</v>
      </c>
      <c r="C289" s="31" t="s">
        <v>8929</v>
      </c>
      <c r="D289" s="149" t="s">
        <v>7656</v>
      </c>
      <c r="E289" s="187"/>
      <c r="F289" s="187"/>
      <c r="G289" s="187"/>
      <c r="H289" s="187" t="s">
        <v>14976</v>
      </c>
      <c r="I289" s="187"/>
      <c r="J289" s="187"/>
      <c r="K289" s="187"/>
      <c r="L289" s="173"/>
      <c r="M289" s="73"/>
      <c r="N289" s="120"/>
      <c r="O289" s="187"/>
    </row>
    <row r="290" spans="1:15">
      <c r="A290" s="129">
        <v>44239</v>
      </c>
      <c r="B290" s="206" t="s">
        <v>679</v>
      </c>
      <c r="C290" s="31" t="s">
        <v>8929</v>
      </c>
      <c r="D290" s="149" t="s">
        <v>7656</v>
      </c>
      <c r="E290" s="187"/>
      <c r="F290" s="187"/>
      <c r="G290" s="187"/>
      <c r="H290" s="187" t="s">
        <v>14977</v>
      </c>
      <c r="I290" s="187"/>
      <c r="J290" s="187"/>
      <c r="K290" s="187"/>
      <c r="L290" s="173"/>
      <c r="M290" s="73"/>
      <c r="N290" s="120"/>
      <c r="O290" s="187"/>
    </row>
    <row r="291" spans="1:15">
      <c r="A291" s="129">
        <v>44239</v>
      </c>
      <c r="B291" s="17" t="s">
        <v>674</v>
      </c>
      <c r="C291" s="31" t="s">
        <v>8929</v>
      </c>
      <c r="D291" s="149" t="s">
        <v>7656</v>
      </c>
      <c r="E291" s="187"/>
      <c r="F291" s="187"/>
      <c r="G291" s="187"/>
      <c r="H291" s="187" t="s">
        <v>14978</v>
      </c>
      <c r="I291" s="187"/>
      <c r="J291" s="187"/>
      <c r="K291" s="187"/>
      <c r="L291" s="173"/>
      <c r="M291" s="73"/>
      <c r="N291" s="120"/>
      <c r="O291" s="187"/>
    </row>
    <row r="292" spans="1:15">
      <c r="A292" s="129">
        <v>44239</v>
      </c>
      <c r="B292" s="17" t="s">
        <v>761</v>
      </c>
      <c r="C292" s="31" t="s">
        <v>8929</v>
      </c>
      <c r="D292" s="149" t="s">
        <v>7656</v>
      </c>
      <c r="E292" s="187"/>
      <c r="F292" s="187"/>
      <c r="G292" s="187"/>
      <c r="H292" s="187" t="s">
        <v>14979</v>
      </c>
      <c r="I292" s="187"/>
      <c r="J292" s="187"/>
      <c r="K292" s="187"/>
      <c r="L292" s="173"/>
      <c r="M292" s="73"/>
      <c r="N292" s="120"/>
      <c r="O292" s="187"/>
    </row>
    <row r="293" spans="1:15">
      <c r="A293" s="129">
        <v>44239</v>
      </c>
      <c r="B293" s="17" t="s">
        <v>761</v>
      </c>
      <c r="C293" s="31" t="s">
        <v>8929</v>
      </c>
      <c r="D293" s="149" t="s">
        <v>7656</v>
      </c>
      <c r="E293" s="187"/>
      <c r="F293" s="187"/>
      <c r="G293" s="187"/>
      <c r="H293" s="187" t="s">
        <v>14979</v>
      </c>
      <c r="I293" s="187"/>
      <c r="J293" s="187"/>
      <c r="K293" s="187"/>
      <c r="L293" s="173"/>
      <c r="M293" s="73"/>
      <c r="N293" s="120"/>
      <c r="O293" s="187"/>
    </row>
    <row r="294" spans="1:15">
      <c r="A294" s="129">
        <v>44239</v>
      </c>
      <c r="B294" s="17" t="s">
        <v>14980</v>
      </c>
      <c r="C294" s="31" t="s">
        <v>8929</v>
      </c>
      <c r="D294" s="149" t="s">
        <v>7656</v>
      </c>
      <c r="E294" s="187"/>
      <c r="F294" s="187"/>
      <c r="G294" s="187"/>
      <c r="H294" s="187"/>
      <c r="I294" s="187"/>
      <c r="J294" s="187"/>
      <c r="K294" s="187"/>
      <c r="L294" s="173"/>
      <c r="M294" s="73"/>
      <c r="N294" s="120"/>
      <c r="O294" s="187"/>
    </row>
    <row r="295" spans="1:15">
      <c r="A295" s="129">
        <v>44242</v>
      </c>
      <c r="B295" s="17" t="s">
        <v>3347</v>
      </c>
      <c r="C295" s="31" t="s">
        <v>8929</v>
      </c>
      <c r="D295" s="149" t="s">
        <v>7656</v>
      </c>
      <c r="E295" s="187"/>
      <c r="F295" s="187"/>
      <c r="G295" s="187"/>
      <c r="H295" s="187"/>
      <c r="I295" s="187"/>
      <c r="J295" s="187"/>
      <c r="K295" s="187"/>
      <c r="L295" s="173"/>
      <c r="M295" s="73"/>
      <c r="N295" s="120"/>
      <c r="O295" s="187"/>
    </row>
    <row r="296" spans="1:15">
      <c r="A296" s="129">
        <v>44242</v>
      </c>
      <c r="B296" s="17" t="s">
        <v>14981</v>
      </c>
      <c r="C296" s="31" t="s">
        <v>8929</v>
      </c>
      <c r="D296" s="149" t="s">
        <v>7656</v>
      </c>
      <c r="E296" s="187"/>
      <c r="F296" s="187"/>
      <c r="G296" s="187"/>
      <c r="H296" s="187" t="s">
        <v>14982</v>
      </c>
      <c r="I296" s="187"/>
      <c r="J296" s="187"/>
      <c r="K296" s="187"/>
      <c r="L296" s="173"/>
      <c r="M296" s="73"/>
      <c r="N296" s="120"/>
      <c r="O296" s="187"/>
    </row>
    <row r="297" spans="1:15">
      <c r="A297" s="129">
        <v>44242</v>
      </c>
      <c r="B297" s="17" t="s">
        <v>14983</v>
      </c>
      <c r="C297" s="31" t="s">
        <v>8929</v>
      </c>
      <c r="D297" s="149" t="s">
        <v>7656</v>
      </c>
      <c r="E297" s="187"/>
      <c r="F297" s="187"/>
      <c r="G297" s="187"/>
      <c r="H297" s="187" t="s">
        <v>14982</v>
      </c>
      <c r="I297" s="187"/>
      <c r="J297" s="187"/>
      <c r="K297" s="187"/>
      <c r="L297" s="173"/>
      <c r="M297" s="73"/>
      <c r="N297" s="120"/>
      <c r="O297" s="187"/>
    </row>
    <row r="298" spans="1:15">
      <c r="A298" s="129">
        <v>44242</v>
      </c>
      <c r="B298" s="17" t="s">
        <v>593</v>
      </c>
      <c r="C298" s="31" t="s">
        <v>8929</v>
      </c>
      <c r="D298" s="149" t="s">
        <v>7656</v>
      </c>
      <c r="E298" s="187"/>
      <c r="F298" s="187"/>
      <c r="G298" s="187"/>
      <c r="H298" s="187" t="s">
        <v>14984</v>
      </c>
      <c r="I298" s="187"/>
      <c r="J298" s="187"/>
      <c r="K298" s="187"/>
      <c r="L298" s="173"/>
      <c r="M298" s="73"/>
      <c r="N298" s="120"/>
      <c r="O298" s="187"/>
    </row>
    <row r="299" spans="1:15">
      <c r="A299" s="129">
        <v>44242</v>
      </c>
      <c r="B299" s="17" t="s">
        <v>14985</v>
      </c>
      <c r="C299" s="31" t="s">
        <v>8929</v>
      </c>
      <c r="D299" s="149" t="s">
        <v>7656</v>
      </c>
      <c r="E299" s="187"/>
      <c r="F299" s="187"/>
      <c r="G299" s="187"/>
      <c r="H299" s="187" t="s">
        <v>1279</v>
      </c>
      <c r="I299" s="187"/>
      <c r="J299" s="187"/>
      <c r="K299" s="187"/>
      <c r="L299" s="173"/>
      <c r="M299" s="73"/>
      <c r="N299" s="120"/>
      <c r="O299" s="187"/>
    </row>
    <row r="300" spans="1:15">
      <c r="A300" s="129">
        <v>44242</v>
      </c>
      <c r="B300" s="17" t="s">
        <v>805</v>
      </c>
      <c r="C300" s="31" t="s">
        <v>8929</v>
      </c>
      <c r="D300" s="149" t="s">
        <v>7656</v>
      </c>
      <c r="E300" s="187"/>
      <c r="F300" s="187"/>
      <c r="G300" s="187"/>
      <c r="H300" s="187" t="s">
        <v>14986</v>
      </c>
      <c r="I300" s="187"/>
      <c r="J300" s="187"/>
      <c r="K300" s="187"/>
      <c r="L300" s="173"/>
      <c r="M300" s="73"/>
      <c r="N300" s="120"/>
      <c r="O300" s="187"/>
    </row>
    <row r="301" spans="1:15">
      <c r="A301" s="129">
        <v>44243</v>
      </c>
      <c r="B301" s="17" t="s">
        <v>1879</v>
      </c>
      <c r="C301" s="31" t="s">
        <v>8929</v>
      </c>
      <c r="D301" s="149" t="s">
        <v>7656</v>
      </c>
      <c r="E301" s="187"/>
      <c r="F301" s="187"/>
      <c r="G301" s="187"/>
      <c r="H301" s="187" t="s">
        <v>14987</v>
      </c>
      <c r="I301" s="187"/>
      <c r="J301" s="187"/>
      <c r="K301" s="187"/>
      <c r="L301" s="173"/>
      <c r="M301" s="73"/>
      <c r="N301" s="120"/>
      <c r="O301" s="187"/>
    </row>
    <row r="302" spans="1:15">
      <c r="A302" s="129">
        <v>44243</v>
      </c>
      <c r="B302" t="s">
        <v>2096</v>
      </c>
      <c r="C302" s="31" t="s">
        <v>8929</v>
      </c>
      <c r="D302" s="149" t="s">
        <v>7656</v>
      </c>
      <c r="E302" s="187"/>
      <c r="F302" s="187"/>
      <c r="G302" s="187"/>
      <c r="H302" s="187" t="s">
        <v>14988</v>
      </c>
      <c r="I302" s="187"/>
      <c r="J302" s="187"/>
      <c r="K302" s="187"/>
      <c r="L302" s="173"/>
      <c r="M302" s="73"/>
      <c r="N302" s="120"/>
      <c r="O302" s="187"/>
    </row>
    <row r="303" spans="1:15">
      <c r="A303" s="129">
        <v>44243</v>
      </c>
      <c r="B303" s="17" t="s">
        <v>14989</v>
      </c>
      <c r="C303" s="31" t="s">
        <v>8929</v>
      </c>
      <c r="D303" s="149" t="s">
        <v>7656</v>
      </c>
      <c r="E303" s="187"/>
      <c r="F303" s="187"/>
      <c r="G303" s="187"/>
      <c r="H303" s="187" t="s">
        <v>4633</v>
      </c>
      <c r="I303" s="187"/>
      <c r="J303" s="187"/>
      <c r="K303" s="187"/>
      <c r="L303" s="173"/>
      <c r="M303" s="73"/>
      <c r="N303" s="120"/>
      <c r="O303" s="187"/>
    </row>
    <row r="304" spans="1:15">
      <c r="A304" s="129">
        <v>44244</v>
      </c>
      <c r="B304" s="17" t="s">
        <v>1596</v>
      </c>
      <c r="C304" s="31" t="s">
        <v>8929</v>
      </c>
      <c r="D304" s="149" t="s">
        <v>7656</v>
      </c>
      <c r="E304" s="187"/>
      <c r="F304" s="187"/>
      <c r="G304" s="187"/>
      <c r="H304" s="187" t="s">
        <v>4613</v>
      </c>
      <c r="I304" s="187"/>
      <c r="J304" s="187"/>
      <c r="K304" s="187"/>
      <c r="L304" s="173" t="s">
        <v>14990</v>
      </c>
      <c r="M304" s="73"/>
      <c r="N304" s="120"/>
      <c r="O304" s="187"/>
    </row>
    <row r="305" spans="1:15">
      <c r="A305" s="129">
        <v>44244</v>
      </c>
      <c r="B305" s="84" t="s">
        <v>396</v>
      </c>
      <c r="C305" s="31" t="s">
        <v>8929</v>
      </c>
      <c r="D305" s="149" t="s">
        <v>7656</v>
      </c>
      <c r="E305" s="187"/>
      <c r="F305" s="187"/>
      <c r="G305" s="187"/>
      <c r="H305" s="187" t="s">
        <v>14991</v>
      </c>
      <c r="I305" s="187"/>
      <c r="J305" s="187"/>
      <c r="K305" s="187"/>
      <c r="L305" s="173"/>
      <c r="M305" s="73"/>
      <c r="N305" s="120"/>
      <c r="O305" s="187"/>
    </row>
    <row r="306" spans="1:15">
      <c r="A306" s="129">
        <v>44244</v>
      </c>
      <c r="B306" s="17" t="s">
        <v>14992</v>
      </c>
      <c r="C306" s="31" t="s">
        <v>8929</v>
      </c>
      <c r="D306" s="149" t="s">
        <v>9781</v>
      </c>
      <c r="E306" s="187"/>
      <c r="F306" s="187"/>
      <c r="G306" s="187"/>
      <c r="H306" s="187" t="s">
        <v>4162</v>
      </c>
      <c r="I306" s="187"/>
      <c r="J306" s="187"/>
      <c r="K306" s="187"/>
      <c r="L306" s="173"/>
      <c r="M306" s="73"/>
      <c r="N306" s="120"/>
      <c r="O306" s="187"/>
    </row>
    <row r="307" spans="1:15">
      <c r="A307" s="129">
        <v>44245</v>
      </c>
      <c r="B307" s="17" t="s">
        <v>14993</v>
      </c>
      <c r="C307" s="31" t="s">
        <v>8929</v>
      </c>
      <c r="D307" s="149" t="s">
        <v>9781</v>
      </c>
      <c r="E307" s="187"/>
      <c r="F307" s="187"/>
      <c r="G307" s="187"/>
      <c r="H307" s="187" t="s">
        <v>14994</v>
      </c>
      <c r="I307" s="187"/>
      <c r="J307" s="187"/>
      <c r="K307" s="187"/>
      <c r="L307" s="173"/>
      <c r="M307" s="73"/>
      <c r="N307" s="120"/>
      <c r="O307" s="187"/>
    </row>
    <row r="308" spans="1:15">
      <c r="A308" s="129">
        <v>44245</v>
      </c>
      <c r="B308" s="17" t="s">
        <v>14995</v>
      </c>
      <c r="C308" s="31" t="s">
        <v>8929</v>
      </c>
      <c r="D308" s="149" t="s">
        <v>7656</v>
      </c>
      <c r="E308" s="187"/>
      <c r="F308" s="187"/>
      <c r="G308" s="187"/>
      <c r="H308" s="187" t="s">
        <v>4596</v>
      </c>
      <c r="I308" s="187"/>
      <c r="J308" s="187"/>
      <c r="K308" s="187"/>
      <c r="L308" s="173"/>
      <c r="M308" s="73"/>
      <c r="N308" s="120"/>
      <c r="O308" s="187"/>
    </row>
    <row r="309" spans="1:15">
      <c r="A309" s="129">
        <v>44246</v>
      </c>
      <c r="B309" s="17" t="s">
        <v>538</v>
      </c>
      <c r="C309" s="31" t="s">
        <v>8929</v>
      </c>
      <c r="D309" s="149" t="s">
        <v>9781</v>
      </c>
      <c r="E309" s="187"/>
      <c r="F309" s="187"/>
      <c r="G309" s="187"/>
      <c r="H309" s="187" t="s">
        <v>14996</v>
      </c>
      <c r="I309" s="187"/>
      <c r="J309" s="187"/>
      <c r="K309" s="187"/>
      <c r="L309" s="173"/>
      <c r="M309" s="73"/>
      <c r="N309" s="120"/>
      <c r="O309" s="187"/>
    </row>
    <row r="310" spans="1:15">
      <c r="A310" s="129">
        <v>44246</v>
      </c>
      <c r="B310" s="17" t="s">
        <v>14997</v>
      </c>
      <c r="C310" s="31" t="s">
        <v>8929</v>
      </c>
      <c r="D310" s="149" t="s">
        <v>9781</v>
      </c>
      <c r="E310" s="187"/>
      <c r="F310" s="187"/>
      <c r="G310" s="187"/>
      <c r="H310" s="187" t="s">
        <v>14998</v>
      </c>
      <c r="I310" s="187"/>
      <c r="J310" s="187"/>
      <c r="K310" s="187"/>
      <c r="L310" s="173"/>
      <c r="M310" s="73"/>
      <c r="N310" s="120"/>
      <c r="O310" s="187"/>
    </row>
    <row r="311" spans="1:15">
      <c r="A311" s="129">
        <v>44246</v>
      </c>
      <c r="B311" s="17" t="s">
        <v>14999</v>
      </c>
      <c r="C311" s="31" t="s">
        <v>8929</v>
      </c>
      <c r="D311" s="149" t="s">
        <v>7656</v>
      </c>
      <c r="E311" s="187"/>
      <c r="F311" s="187"/>
      <c r="G311" s="187"/>
      <c r="H311" s="187" t="s">
        <v>4790</v>
      </c>
      <c r="I311" s="187"/>
      <c r="J311" s="187"/>
      <c r="K311" s="187"/>
      <c r="L311" s="173"/>
      <c r="M311" s="73"/>
      <c r="N311" s="120"/>
      <c r="O311" s="187"/>
    </row>
    <row r="312" spans="1:15">
      <c r="A312" s="129">
        <v>44249</v>
      </c>
      <c r="B312" s="17" t="s">
        <v>534</v>
      </c>
      <c r="C312" s="31" t="s">
        <v>8929</v>
      </c>
      <c r="D312" s="149" t="s">
        <v>9781</v>
      </c>
      <c r="E312" s="187"/>
      <c r="F312" s="187"/>
      <c r="G312" s="187"/>
      <c r="H312" s="187" t="s">
        <v>15000</v>
      </c>
      <c r="I312" s="187"/>
      <c r="J312" s="187"/>
      <c r="K312" s="187"/>
      <c r="L312" s="173"/>
      <c r="M312" s="73"/>
      <c r="N312" s="120"/>
      <c r="O312" s="187"/>
    </row>
    <row r="313" spans="1:15">
      <c r="A313" s="129">
        <v>44249</v>
      </c>
      <c r="B313" s="17" t="s">
        <v>1854</v>
      </c>
      <c r="C313" s="31" t="s">
        <v>8929</v>
      </c>
      <c r="D313" s="149" t="s">
        <v>7656</v>
      </c>
      <c r="E313" s="187"/>
      <c r="F313" s="187"/>
      <c r="G313" s="187"/>
      <c r="H313" s="187" t="s">
        <v>15001</v>
      </c>
      <c r="I313" s="187"/>
      <c r="J313" s="187"/>
      <c r="K313" s="187"/>
      <c r="L313" s="173"/>
      <c r="M313" s="73"/>
      <c r="N313" s="120"/>
      <c r="O313" s="187"/>
    </row>
    <row r="314" spans="1:15">
      <c r="A314" s="129">
        <v>44250</v>
      </c>
      <c r="B314" s="17" t="s">
        <v>859</v>
      </c>
      <c r="C314" s="31" t="s">
        <v>8929</v>
      </c>
      <c r="D314" s="149" t="s">
        <v>7656</v>
      </c>
      <c r="E314" s="187"/>
      <c r="F314" s="187"/>
      <c r="G314" s="187"/>
      <c r="H314" s="187" t="s">
        <v>4746</v>
      </c>
      <c r="I314" s="187"/>
      <c r="J314" s="187"/>
      <c r="K314" s="187"/>
      <c r="L314" s="173"/>
      <c r="M314" s="73"/>
      <c r="N314" s="120"/>
      <c r="O314" s="187"/>
    </row>
    <row r="315" spans="1:15">
      <c r="A315" s="129">
        <v>44250</v>
      </c>
      <c r="B315" s="17" t="s">
        <v>2018</v>
      </c>
      <c r="C315" s="31" t="s">
        <v>8929</v>
      </c>
      <c r="D315" s="149" t="s">
        <v>7656</v>
      </c>
      <c r="E315" s="187"/>
      <c r="F315" s="187"/>
      <c r="G315" s="187"/>
      <c r="H315" s="187" t="s">
        <v>4642</v>
      </c>
      <c r="I315" s="187"/>
      <c r="J315" s="187"/>
      <c r="K315" s="187"/>
      <c r="L315" s="173"/>
      <c r="M315" s="73"/>
      <c r="N315" s="120"/>
      <c r="O315" s="187"/>
    </row>
    <row r="316" spans="1:15">
      <c r="A316" s="129">
        <v>44251</v>
      </c>
      <c r="B316" s="17" t="s">
        <v>1104</v>
      </c>
      <c r="C316" s="31" t="s">
        <v>8929</v>
      </c>
      <c r="D316" s="149" t="s">
        <v>7656</v>
      </c>
      <c r="E316" s="187"/>
      <c r="F316" s="187"/>
      <c r="G316" s="187"/>
      <c r="H316" s="187" t="s">
        <v>15002</v>
      </c>
      <c r="I316" s="187"/>
      <c r="J316" s="187"/>
      <c r="K316" s="187"/>
      <c r="L316" s="173"/>
      <c r="M316" s="73"/>
      <c r="N316" s="120"/>
      <c r="O316" s="187"/>
    </row>
    <row r="317" spans="1:15">
      <c r="A317" s="129">
        <v>44251</v>
      </c>
      <c r="B317" s="17" t="s">
        <v>192</v>
      </c>
      <c r="C317" s="31" t="s">
        <v>8929</v>
      </c>
      <c r="D317" s="149" t="s">
        <v>7656</v>
      </c>
      <c r="E317" s="187"/>
      <c r="F317" s="187"/>
      <c r="G317" s="187"/>
      <c r="H317" s="187" t="s">
        <v>4748</v>
      </c>
      <c r="I317" s="187"/>
      <c r="J317" s="187"/>
      <c r="K317" s="187"/>
      <c r="L317" s="173"/>
      <c r="M317" s="73"/>
      <c r="N317" s="120"/>
      <c r="O317" s="187"/>
    </row>
    <row r="318" spans="1:15">
      <c r="A318" s="129">
        <v>44251</v>
      </c>
      <c r="B318" s="17" t="s">
        <v>15003</v>
      </c>
      <c r="C318" s="31" t="s">
        <v>8929</v>
      </c>
      <c r="D318" s="149" t="s">
        <v>7656</v>
      </c>
      <c r="E318" s="187"/>
      <c r="F318" s="187"/>
      <c r="G318" s="187"/>
      <c r="H318" s="187" t="s">
        <v>15004</v>
      </c>
      <c r="I318" s="187"/>
      <c r="J318" s="187"/>
      <c r="K318" s="187"/>
      <c r="L318" s="173"/>
      <c r="M318" s="73"/>
      <c r="N318" s="120"/>
      <c r="O318" s="187"/>
    </row>
    <row r="319" spans="1:15">
      <c r="A319" s="129">
        <v>44251</v>
      </c>
      <c r="B319" s="17" t="s">
        <v>15005</v>
      </c>
      <c r="C319" s="31" t="s">
        <v>8929</v>
      </c>
      <c r="D319" s="149" t="s">
        <v>7656</v>
      </c>
      <c r="E319" s="187"/>
      <c r="F319" s="187"/>
      <c r="G319" s="187"/>
      <c r="H319" s="187" t="s">
        <v>15006</v>
      </c>
      <c r="I319" s="187"/>
      <c r="J319" s="187"/>
      <c r="K319" s="187"/>
      <c r="L319" s="173"/>
      <c r="M319" s="73"/>
      <c r="N319" s="120"/>
      <c r="O319" s="187"/>
    </row>
    <row r="320" spans="1:15">
      <c r="A320" s="129">
        <v>44251</v>
      </c>
      <c r="B320" s="17" t="s">
        <v>15007</v>
      </c>
      <c r="C320" s="31" t="s">
        <v>8929</v>
      </c>
      <c r="D320" s="149" t="s">
        <v>7656</v>
      </c>
      <c r="E320" s="187"/>
      <c r="F320" s="187"/>
      <c r="G320" s="187"/>
      <c r="H320" s="187" t="s">
        <v>4805</v>
      </c>
      <c r="I320" s="187"/>
      <c r="J320" s="187"/>
      <c r="K320" s="187"/>
      <c r="L320" s="173"/>
      <c r="M320" s="73"/>
      <c r="N320" s="120"/>
      <c r="O320" s="187"/>
    </row>
    <row r="321" spans="1:15">
      <c r="A321" s="129">
        <v>44251</v>
      </c>
      <c r="B321" s="17" t="s">
        <v>15008</v>
      </c>
      <c r="C321" s="31" t="s">
        <v>8929</v>
      </c>
      <c r="D321" s="149" t="s">
        <v>7656</v>
      </c>
      <c r="E321" s="187"/>
      <c r="F321" s="187"/>
      <c r="G321" s="187"/>
      <c r="H321" s="187" t="s">
        <v>4805</v>
      </c>
      <c r="I321" s="187"/>
      <c r="J321" s="187"/>
      <c r="K321" s="187"/>
      <c r="L321" s="173"/>
      <c r="M321" s="73"/>
      <c r="N321" s="120"/>
      <c r="O321" s="187"/>
    </row>
    <row r="322" spans="1:15">
      <c r="A322" s="129">
        <v>44251</v>
      </c>
      <c r="B322" s="17" t="s">
        <v>1869</v>
      </c>
      <c r="C322" s="31" t="s">
        <v>8929</v>
      </c>
      <c r="D322" s="149" t="s">
        <v>7656</v>
      </c>
      <c r="E322" s="187"/>
      <c r="F322" s="187"/>
      <c r="G322" s="187"/>
      <c r="H322" s="187" t="s">
        <v>4643</v>
      </c>
      <c r="I322" s="187"/>
      <c r="J322" s="187"/>
      <c r="K322" s="187"/>
      <c r="L322" s="173"/>
      <c r="M322" s="73"/>
      <c r="N322" s="120"/>
      <c r="O322" s="187"/>
    </row>
    <row r="323" spans="1:15">
      <c r="A323" s="129">
        <v>44251</v>
      </c>
      <c r="B323" s="17" t="s">
        <v>2149</v>
      </c>
      <c r="C323" s="31" t="s">
        <v>8929</v>
      </c>
      <c r="D323" s="149" t="s">
        <v>7656</v>
      </c>
      <c r="E323" s="187"/>
      <c r="F323" s="187"/>
      <c r="G323" s="187"/>
      <c r="H323" s="187" t="s">
        <v>4737</v>
      </c>
      <c r="I323" s="187"/>
      <c r="J323" s="187"/>
      <c r="K323" s="187"/>
      <c r="L323" s="173"/>
      <c r="M323" s="73"/>
      <c r="N323" s="120"/>
      <c r="O323" s="187"/>
    </row>
    <row r="324" spans="1:15">
      <c r="A324" s="129">
        <v>44251</v>
      </c>
      <c r="B324" s="17" t="s">
        <v>233</v>
      </c>
      <c r="C324" s="31" t="s">
        <v>8929</v>
      </c>
      <c r="D324" s="149" t="s">
        <v>7656</v>
      </c>
      <c r="E324" s="187"/>
      <c r="F324" s="187"/>
      <c r="G324" s="187"/>
      <c r="H324" s="187" t="s">
        <v>4686</v>
      </c>
      <c r="I324" s="187"/>
      <c r="J324" s="187"/>
      <c r="K324" s="187"/>
      <c r="L324" s="173"/>
      <c r="M324" s="73"/>
      <c r="N324" s="120"/>
      <c r="O324" s="187"/>
    </row>
    <row r="325" spans="1:15">
      <c r="A325" s="129">
        <v>44251</v>
      </c>
      <c r="B325" s="17" t="s">
        <v>15009</v>
      </c>
      <c r="C325" s="31" t="s">
        <v>8929</v>
      </c>
      <c r="D325" s="149" t="s">
        <v>7656</v>
      </c>
      <c r="E325" s="187"/>
      <c r="F325" s="187"/>
      <c r="G325" s="187"/>
      <c r="H325" s="187" t="s">
        <v>4632</v>
      </c>
      <c r="I325" s="187"/>
      <c r="J325" s="187"/>
      <c r="K325" s="187"/>
      <c r="L325" s="173"/>
      <c r="M325" s="73"/>
      <c r="N325" s="120"/>
      <c r="O325" s="187"/>
    </row>
    <row r="326" spans="1:15">
      <c r="A326" s="129">
        <v>44251</v>
      </c>
      <c r="B326" s="17" t="s">
        <v>1800</v>
      </c>
      <c r="C326" s="31" t="s">
        <v>8929</v>
      </c>
      <c r="D326" s="149" t="s">
        <v>7656</v>
      </c>
      <c r="E326" s="187"/>
      <c r="F326" s="187"/>
      <c r="G326" s="187"/>
      <c r="H326" s="187" t="s">
        <v>4670</v>
      </c>
      <c r="I326" s="187"/>
      <c r="J326" s="187"/>
      <c r="K326" s="187"/>
      <c r="L326" s="173"/>
      <c r="M326" s="73"/>
      <c r="N326" s="120"/>
      <c r="O326" s="187"/>
    </row>
    <row r="327" spans="1:15">
      <c r="A327" s="129">
        <v>44252</v>
      </c>
      <c r="B327" s="17" t="s">
        <v>1730</v>
      </c>
      <c r="C327" s="31" t="s">
        <v>8929</v>
      </c>
      <c r="D327" s="149" t="s">
        <v>7656</v>
      </c>
      <c r="E327" s="187"/>
      <c r="F327" s="187"/>
      <c r="G327" s="187"/>
      <c r="H327" s="187" t="s">
        <v>4767</v>
      </c>
      <c r="I327" s="187"/>
      <c r="J327" s="187"/>
      <c r="K327" s="187"/>
      <c r="L327" s="173"/>
      <c r="M327" s="73"/>
      <c r="N327" s="120"/>
      <c r="O327" s="187"/>
    </row>
    <row r="328" spans="1:15">
      <c r="A328" s="129">
        <v>44252</v>
      </c>
      <c r="B328" s="217" t="s">
        <v>15010</v>
      </c>
      <c r="C328" s="31" t="s">
        <v>8929</v>
      </c>
      <c r="D328" s="149" t="s">
        <v>9781</v>
      </c>
      <c r="E328" s="187"/>
      <c r="F328" s="187"/>
      <c r="G328" s="187"/>
      <c r="H328" s="187"/>
      <c r="I328" s="187"/>
      <c r="J328" s="187"/>
      <c r="K328" s="187"/>
      <c r="L328" s="173"/>
      <c r="M328" s="73"/>
      <c r="N328" s="120"/>
      <c r="O328" s="187"/>
    </row>
    <row r="329" spans="1:15">
      <c r="A329" s="129">
        <v>44253</v>
      </c>
      <c r="B329" s="220" t="s">
        <v>1667</v>
      </c>
      <c r="C329" s="221" t="s">
        <v>8929</v>
      </c>
      <c r="D329" s="186" t="s">
        <v>9781</v>
      </c>
      <c r="E329" s="188"/>
      <c r="F329" s="188"/>
      <c r="G329" s="188"/>
      <c r="H329" s="188" t="s">
        <v>4606</v>
      </c>
      <c r="I329" s="188"/>
      <c r="J329" s="188"/>
      <c r="K329" s="188"/>
      <c r="L329" s="222"/>
      <c r="M329" s="119"/>
      <c r="N329" s="121"/>
      <c r="O329" s="188"/>
    </row>
    <row r="330" spans="1:15">
      <c r="A330" s="216"/>
      <c r="B330" s="219" t="s">
        <v>7672</v>
      </c>
      <c r="C330" s="192"/>
      <c r="D330" s="192"/>
      <c r="E330" s="192"/>
      <c r="F330" s="192"/>
      <c r="G330" s="192"/>
      <c r="H330" s="192"/>
      <c r="I330" s="192"/>
      <c r="J330" s="192"/>
      <c r="K330" s="192"/>
      <c r="L330" s="192"/>
      <c r="M330" s="192"/>
      <c r="N330" s="120"/>
      <c r="O330" s="149"/>
    </row>
    <row r="331" spans="1:15">
      <c r="A331" s="129">
        <v>44256</v>
      </c>
      <c r="B331" s="192" t="s">
        <v>1312</v>
      </c>
      <c r="C331" s="149" t="s">
        <v>8929</v>
      </c>
      <c r="D331" s="149" t="s">
        <v>9854</v>
      </c>
      <c r="E331" s="149"/>
      <c r="F331" s="149"/>
      <c r="G331" s="149"/>
      <c r="H331" s="149"/>
      <c r="I331" s="149"/>
      <c r="J331" s="149"/>
      <c r="K331" s="149"/>
      <c r="L331" s="59"/>
      <c r="M331" s="20"/>
      <c r="N331" s="120"/>
      <c r="O331" s="149"/>
    </row>
    <row r="332" spans="1:15">
      <c r="A332" s="129">
        <v>44256</v>
      </c>
      <c r="B332" s="218" t="s">
        <v>15011</v>
      </c>
      <c r="C332" s="152" t="s">
        <v>8929</v>
      </c>
      <c r="D332" s="187" t="s">
        <v>9854</v>
      </c>
      <c r="E332" s="187"/>
      <c r="F332" s="187"/>
      <c r="G332" s="187"/>
      <c r="H332" s="187" t="s">
        <v>4818</v>
      </c>
      <c r="I332" s="187"/>
      <c r="J332" s="187"/>
      <c r="K332" s="187"/>
      <c r="L332" s="173"/>
      <c r="M332" s="73"/>
      <c r="N332" s="122"/>
      <c r="O332" s="187"/>
    </row>
    <row r="333" spans="1:15">
      <c r="A333" s="129">
        <v>44256</v>
      </c>
      <c r="B333" s="223" t="s">
        <v>1179</v>
      </c>
      <c r="C333" s="31" t="s">
        <v>8929</v>
      </c>
      <c r="D333" s="149" t="s">
        <v>9854</v>
      </c>
      <c r="E333" s="187"/>
      <c r="F333" s="187"/>
      <c r="G333" s="187"/>
      <c r="H333" s="187" t="s">
        <v>4674</v>
      </c>
      <c r="I333" s="187"/>
      <c r="J333" s="187"/>
      <c r="K333" s="187"/>
      <c r="L333" s="173"/>
      <c r="M333" s="73"/>
      <c r="N333" s="120"/>
      <c r="O333" s="187"/>
    </row>
    <row r="334" spans="1:15">
      <c r="A334" s="129">
        <v>44256</v>
      </c>
      <c r="B334" s="223" t="s">
        <v>15012</v>
      </c>
      <c r="C334" s="31" t="s">
        <v>8929</v>
      </c>
      <c r="D334" s="149" t="s">
        <v>9854</v>
      </c>
      <c r="E334" s="187"/>
      <c r="F334" s="187"/>
      <c r="G334" s="187"/>
      <c r="H334" s="187" t="s">
        <v>15013</v>
      </c>
      <c r="I334" s="187"/>
      <c r="J334" s="187"/>
      <c r="K334" s="187"/>
      <c r="L334" s="173"/>
      <c r="M334" s="73"/>
      <c r="N334" s="120"/>
      <c r="O334" s="187"/>
    </row>
    <row r="335" spans="1:15">
      <c r="A335" s="129">
        <v>44256</v>
      </c>
      <c r="B335" s="218" t="s">
        <v>2167</v>
      </c>
      <c r="C335" s="31" t="s">
        <v>8929</v>
      </c>
      <c r="D335" s="149" t="s">
        <v>9854</v>
      </c>
      <c r="E335" s="187"/>
      <c r="F335" s="187"/>
      <c r="G335" s="187"/>
      <c r="H335" s="187" t="s">
        <v>4690</v>
      </c>
      <c r="I335" s="187"/>
      <c r="J335" s="187"/>
      <c r="K335" s="187"/>
      <c r="L335" s="173"/>
      <c r="M335" s="73"/>
      <c r="N335" s="120"/>
      <c r="O335" s="187"/>
    </row>
    <row r="336" spans="1:15">
      <c r="A336" s="129">
        <v>44257</v>
      </c>
      <c r="B336" s="218" t="s">
        <v>15014</v>
      </c>
      <c r="C336" s="31" t="s">
        <v>8929</v>
      </c>
      <c r="D336" s="149" t="s">
        <v>9854</v>
      </c>
      <c r="E336" s="187"/>
      <c r="F336" s="187"/>
      <c r="G336" s="187"/>
      <c r="H336" s="187"/>
      <c r="I336" s="187"/>
      <c r="J336" s="187"/>
      <c r="K336" s="187"/>
      <c r="L336" s="173"/>
      <c r="M336" s="73"/>
      <c r="N336" s="120"/>
      <c r="O336" s="187"/>
    </row>
    <row r="337" spans="1:15">
      <c r="A337" s="129">
        <v>44257</v>
      </c>
      <c r="B337" s="218" t="s">
        <v>15015</v>
      </c>
      <c r="C337" s="31" t="s">
        <v>8929</v>
      </c>
      <c r="D337" s="149" t="s">
        <v>9854</v>
      </c>
      <c r="E337" s="187"/>
      <c r="F337" s="187"/>
      <c r="G337" s="187"/>
      <c r="H337" s="187" t="s">
        <v>4820</v>
      </c>
      <c r="I337" s="187"/>
      <c r="J337" s="187"/>
      <c r="K337" s="187"/>
      <c r="L337" s="173"/>
      <c r="M337" s="73"/>
      <c r="N337" s="120"/>
      <c r="O337" s="187"/>
    </row>
    <row r="338" spans="1:15">
      <c r="A338" s="129">
        <v>44257</v>
      </c>
      <c r="B338" s="223" t="s">
        <v>15016</v>
      </c>
      <c r="C338" s="31" t="s">
        <v>8929</v>
      </c>
      <c r="D338" s="149" t="s">
        <v>9854</v>
      </c>
      <c r="E338" s="187"/>
      <c r="F338" s="187"/>
      <c r="G338" s="187"/>
      <c r="H338" s="187" t="s">
        <v>15017</v>
      </c>
      <c r="I338" s="187"/>
      <c r="J338" s="187"/>
      <c r="K338" s="187"/>
      <c r="L338" s="173"/>
      <c r="M338" s="73"/>
      <c r="N338" s="120"/>
      <c r="O338" s="187"/>
    </row>
    <row r="339" spans="1:15">
      <c r="A339" s="129">
        <v>44258</v>
      </c>
      <c r="B339" s="218" t="s">
        <v>202</v>
      </c>
      <c r="C339" s="31" t="s">
        <v>8929</v>
      </c>
      <c r="D339" s="149" t="s">
        <v>9854</v>
      </c>
      <c r="E339" s="187"/>
      <c r="F339" s="187"/>
      <c r="G339" s="187"/>
      <c r="H339" s="187" t="s">
        <v>4776</v>
      </c>
      <c r="I339" s="187"/>
      <c r="J339" s="187"/>
      <c r="K339" s="187"/>
      <c r="L339" s="173"/>
      <c r="M339" s="73"/>
      <c r="N339" s="120"/>
      <c r="O339" s="187"/>
    </row>
    <row r="340" spans="1:15">
      <c r="A340" s="129">
        <v>44258</v>
      </c>
      <c r="B340" s="218" t="s">
        <v>1612</v>
      </c>
      <c r="C340" s="31" t="s">
        <v>8929</v>
      </c>
      <c r="D340" s="149" t="s">
        <v>9854</v>
      </c>
      <c r="E340" s="187"/>
      <c r="F340" s="187"/>
      <c r="G340" s="187"/>
      <c r="H340" s="187" t="s">
        <v>15018</v>
      </c>
      <c r="I340" s="187"/>
      <c r="J340" s="187"/>
      <c r="K340" s="187"/>
      <c r="L340" s="173"/>
      <c r="M340" s="73"/>
      <c r="N340" s="120"/>
      <c r="O340" s="187"/>
    </row>
    <row r="341" spans="1:15">
      <c r="A341" s="129">
        <v>44258</v>
      </c>
      <c r="B341" s="218" t="s">
        <v>2052</v>
      </c>
      <c r="C341" s="31" t="s">
        <v>8929</v>
      </c>
      <c r="D341" s="149" t="s">
        <v>9854</v>
      </c>
      <c r="E341" s="187"/>
      <c r="F341" s="187"/>
      <c r="G341" s="187"/>
      <c r="H341" s="187" t="s">
        <v>15019</v>
      </c>
      <c r="I341" s="187"/>
      <c r="J341" s="187"/>
      <c r="K341" s="187"/>
      <c r="L341" s="173"/>
      <c r="M341" s="73"/>
      <c r="N341" s="120"/>
      <c r="O341" s="187"/>
    </row>
    <row r="342" spans="1:15">
      <c r="A342" s="129">
        <v>44258</v>
      </c>
      <c r="B342" s="218" t="s">
        <v>15020</v>
      </c>
      <c r="C342" s="31" t="s">
        <v>8929</v>
      </c>
      <c r="D342" s="149" t="s">
        <v>9854</v>
      </c>
      <c r="E342" s="187"/>
      <c r="F342" s="187"/>
      <c r="G342" s="187"/>
      <c r="H342" s="187" t="s">
        <v>4781</v>
      </c>
      <c r="I342" s="187"/>
      <c r="J342" s="187"/>
      <c r="K342" s="187"/>
      <c r="L342" s="173"/>
      <c r="M342" s="73"/>
      <c r="N342" s="120"/>
      <c r="O342" s="187"/>
    </row>
    <row r="343" spans="1:15">
      <c r="A343" s="129">
        <v>44259</v>
      </c>
      <c r="B343" s="218" t="s">
        <v>1644</v>
      </c>
      <c r="C343" s="31" t="s">
        <v>8929</v>
      </c>
      <c r="D343" s="149" t="s">
        <v>9854</v>
      </c>
      <c r="E343" s="187"/>
      <c r="F343" s="187"/>
      <c r="G343" s="187"/>
      <c r="H343" s="187" t="s">
        <v>15021</v>
      </c>
      <c r="I343" s="187"/>
      <c r="J343" s="187"/>
      <c r="K343" s="187"/>
      <c r="L343" s="173"/>
      <c r="M343" s="73"/>
      <c r="N343" s="120"/>
      <c r="O343" s="187"/>
    </row>
    <row r="344" spans="1:15">
      <c r="A344" s="129">
        <v>44260</v>
      </c>
      <c r="B344" s="218" t="s">
        <v>15022</v>
      </c>
      <c r="C344" s="31" t="s">
        <v>8929</v>
      </c>
      <c r="D344" s="149" t="s">
        <v>9854</v>
      </c>
      <c r="E344" s="187"/>
      <c r="F344" s="187"/>
      <c r="G344" s="187"/>
      <c r="H344" s="187" t="s">
        <v>15023</v>
      </c>
      <c r="I344" s="187"/>
      <c r="J344" s="187"/>
      <c r="K344" s="187"/>
      <c r="L344" s="173"/>
      <c r="M344" s="73"/>
      <c r="N344" s="120"/>
      <c r="O344" s="187"/>
    </row>
    <row r="345" spans="1:15">
      <c r="A345" s="129">
        <v>44260</v>
      </c>
      <c r="B345" s="218" t="s">
        <v>1223</v>
      </c>
      <c r="C345" s="31" t="s">
        <v>8929</v>
      </c>
      <c r="D345" s="149" t="s">
        <v>9854</v>
      </c>
      <c r="E345" s="187"/>
      <c r="F345" s="187"/>
      <c r="G345" s="187"/>
      <c r="H345" s="187" t="s">
        <v>1226</v>
      </c>
      <c r="I345" s="187"/>
      <c r="J345" s="187"/>
      <c r="K345" s="187"/>
      <c r="L345" s="173"/>
      <c r="M345" s="73"/>
      <c r="N345" s="120"/>
      <c r="O345" s="187"/>
    </row>
    <row r="346" spans="1:15">
      <c r="A346" s="129">
        <v>44261</v>
      </c>
      <c r="B346" s="218" t="s">
        <v>15024</v>
      </c>
      <c r="C346" s="31" t="s">
        <v>8929</v>
      </c>
      <c r="D346" s="149" t="s">
        <v>9854</v>
      </c>
      <c r="E346" s="187"/>
      <c r="F346" s="187"/>
      <c r="G346" s="187"/>
      <c r="H346" s="187" t="s">
        <v>15025</v>
      </c>
      <c r="I346" s="187"/>
      <c r="J346" s="187"/>
      <c r="K346" s="187"/>
      <c r="L346" s="173"/>
      <c r="M346" s="73"/>
      <c r="N346" s="120"/>
      <c r="O346" s="187"/>
    </row>
    <row r="347" spans="1:15">
      <c r="A347" s="226">
        <v>44263</v>
      </c>
      <c r="B347" s="218" t="s">
        <v>166</v>
      </c>
      <c r="C347" s="31" t="s">
        <v>8929</v>
      </c>
      <c r="D347" s="149" t="s">
        <v>9854</v>
      </c>
      <c r="E347" s="187"/>
      <c r="F347" s="187"/>
      <c r="G347" s="187"/>
      <c r="H347" s="187" t="s">
        <v>15026</v>
      </c>
      <c r="I347" s="187"/>
      <c r="J347" s="187"/>
      <c r="K347" s="187"/>
      <c r="L347" s="173"/>
      <c r="M347" s="73"/>
      <c r="N347" s="120"/>
      <c r="O347" s="187"/>
    </row>
    <row r="348" spans="1:15">
      <c r="A348" s="129">
        <v>44263</v>
      </c>
      <c r="B348" s="218" t="s">
        <v>3081</v>
      </c>
      <c r="C348" s="31" t="s">
        <v>8929</v>
      </c>
      <c r="D348" s="149" t="s">
        <v>9854</v>
      </c>
      <c r="E348" s="187"/>
      <c r="F348" s="187"/>
      <c r="G348" s="187"/>
      <c r="H348" s="187" t="s">
        <v>15027</v>
      </c>
      <c r="I348" s="187"/>
      <c r="J348" s="187"/>
      <c r="K348" s="187"/>
      <c r="L348" s="173"/>
      <c r="M348" s="73"/>
      <c r="N348" s="120"/>
      <c r="O348" s="187"/>
    </row>
    <row r="349" spans="1:15">
      <c r="A349" s="129">
        <v>44264</v>
      </c>
      <c r="B349" s="223" t="s">
        <v>393</v>
      </c>
      <c r="C349" s="31" t="s">
        <v>8929</v>
      </c>
      <c r="D349" s="149" t="s">
        <v>9854</v>
      </c>
      <c r="E349" s="187"/>
      <c r="F349" s="187"/>
      <c r="G349" s="187"/>
      <c r="H349" s="187"/>
      <c r="I349" s="187"/>
      <c r="J349" s="187"/>
      <c r="K349" s="187"/>
      <c r="L349" s="173"/>
      <c r="M349" s="73"/>
      <c r="N349" s="120"/>
      <c r="O349" s="187"/>
    </row>
    <row r="350" spans="1:15">
      <c r="A350" s="129">
        <v>44264</v>
      </c>
      <c r="B350" s="218" t="s">
        <v>15028</v>
      </c>
      <c r="C350" s="39" t="s">
        <v>8929</v>
      </c>
      <c r="D350" s="149" t="s">
        <v>9854</v>
      </c>
      <c r="E350" s="187"/>
      <c r="F350" s="187"/>
      <c r="G350" s="187"/>
      <c r="H350" s="231" t="s">
        <v>15029</v>
      </c>
      <c r="I350" s="187"/>
      <c r="J350" s="187"/>
      <c r="K350" s="187"/>
      <c r="L350" s="173"/>
      <c r="M350" s="73"/>
      <c r="N350" s="120"/>
      <c r="O350" s="187"/>
    </row>
    <row r="351" spans="1:15">
      <c r="A351" s="129">
        <v>44265</v>
      </c>
      <c r="B351" s="17" t="s">
        <v>15030</v>
      </c>
      <c r="C351" s="31" t="s">
        <v>8929</v>
      </c>
      <c r="D351" s="149" t="s">
        <v>9854</v>
      </c>
      <c r="E351" s="187"/>
      <c r="F351" s="187"/>
      <c r="G351" s="187"/>
      <c r="H351" s="231" t="s">
        <v>4680</v>
      </c>
      <c r="I351" s="187"/>
      <c r="J351" s="187"/>
      <c r="K351" s="187"/>
      <c r="L351" s="173"/>
      <c r="M351" s="73"/>
      <c r="N351" s="120"/>
      <c r="O351" s="187"/>
    </row>
    <row r="352" spans="1:15">
      <c r="A352" s="129">
        <v>44265</v>
      </c>
      <c r="B352" s="31" t="s">
        <v>440</v>
      </c>
      <c r="C352" s="31" t="s">
        <v>8929</v>
      </c>
      <c r="D352" s="149" t="s">
        <v>9854</v>
      </c>
      <c r="E352" s="187"/>
      <c r="F352" s="187"/>
      <c r="G352" s="187"/>
      <c r="H352" s="187"/>
      <c r="I352" s="187"/>
      <c r="J352" s="187"/>
      <c r="K352" s="187"/>
      <c r="L352" s="173"/>
      <c r="M352" s="73"/>
      <c r="N352" s="120"/>
      <c r="O352" s="187"/>
    </row>
    <row r="353" spans="1:15">
      <c r="A353" s="129">
        <v>44265</v>
      </c>
      <c r="B353" s="31" t="s">
        <v>440</v>
      </c>
      <c r="C353" s="31" t="s">
        <v>8929</v>
      </c>
      <c r="D353" s="149" t="s">
        <v>9854</v>
      </c>
      <c r="E353" s="187"/>
      <c r="F353" s="187"/>
      <c r="G353" s="187"/>
      <c r="H353" s="187"/>
      <c r="I353" s="187"/>
      <c r="J353" s="187"/>
      <c r="K353" s="187"/>
      <c r="L353" s="173"/>
      <c r="M353" s="73"/>
      <c r="N353" s="120"/>
      <c r="O353" s="187"/>
    </row>
    <row r="354" spans="1:15">
      <c r="A354" s="129">
        <v>44266</v>
      </c>
      <c r="B354" s="17" t="s">
        <v>15031</v>
      </c>
      <c r="C354" s="31" t="s">
        <v>8929</v>
      </c>
      <c r="D354" s="149" t="s">
        <v>9854</v>
      </c>
      <c r="E354" s="187"/>
      <c r="F354" s="187"/>
      <c r="G354" s="187"/>
      <c r="H354" s="187" t="s">
        <v>4710</v>
      </c>
      <c r="I354" s="187"/>
      <c r="J354" s="187"/>
      <c r="K354" s="187"/>
      <c r="L354" s="173"/>
      <c r="M354" s="73"/>
      <c r="N354" s="120"/>
      <c r="O354" s="187"/>
    </row>
    <row r="355" spans="1:15">
      <c r="A355" s="129">
        <v>44266</v>
      </c>
      <c r="B355" s="17" t="s">
        <v>15032</v>
      </c>
      <c r="C355" s="31" t="s">
        <v>8929</v>
      </c>
      <c r="D355" s="149" t="s">
        <v>9854</v>
      </c>
      <c r="E355" s="187"/>
      <c r="F355" s="187"/>
      <c r="G355" s="187"/>
      <c r="H355" s="187"/>
      <c r="I355" s="187"/>
      <c r="J355" s="187"/>
      <c r="K355" s="187"/>
      <c r="L355" s="173"/>
      <c r="M355" s="73"/>
      <c r="N355" s="120"/>
      <c r="O355" s="187"/>
    </row>
    <row r="356" spans="1:15">
      <c r="A356" s="129">
        <v>44267</v>
      </c>
      <c r="B356" s="218" t="s">
        <v>15033</v>
      </c>
      <c r="C356" s="31" t="s">
        <v>8929</v>
      </c>
      <c r="D356" s="149" t="s">
        <v>9854</v>
      </c>
      <c r="E356" s="187"/>
      <c r="F356" s="187"/>
      <c r="G356" s="187"/>
      <c r="H356" s="238" t="s">
        <v>15034</v>
      </c>
      <c r="I356" s="187"/>
      <c r="J356" s="187"/>
      <c r="K356" s="187"/>
      <c r="L356" s="173"/>
      <c r="M356" s="73"/>
      <c r="N356" s="120"/>
      <c r="O356" s="187"/>
    </row>
    <row r="357" spans="1:15">
      <c r="A357" s="129">
        <v>44270</v>
      </c>
      <c r="B357" s="218" t="s">
        <v>1491</v>
      </c>
      <c r="C357" s="39" t="s">
        <v>8929</v>
      </c>
      <c r="D357" s="149" t="s">
        <v>9854</v>
      </c>
      <c r="E357" s="187"/>
      <c r="F357" s="187"/>
      <c r="G357" s="187"/>
      <c r="H357" s="231" t="s">
        <v>4645</v>
      </c>
      <c r="I357" s="187"/>
      <c r="J357" s="187"/>
      <c r="K357" s="187"/>
      <c r="L357" s="173"/>
      <c r="M357" s="73"/>
      <c r="N357" s="120"/>
      <c r="O357" s="187"/>
    </row>
    <row r="358" spans="1:15">
      <c r="A358" s="129">
        <v>44270</v>
      </c>
      <c r="B358" s="218" t="s">
        <v>576</v>
      </c>
      <c r="C358" s="39" t="s">
        <v>8929</v>
      </c>
      <c r="D358" s="149" t="s">
        <v>9854</v>
      </c>
      <c r="E358" s="187"/>
      <c r="F358" s="187"/>
      <c r="G358" s="187"/>
      <c r="H358" s="231" t="s">
        <v>15035</v>
      </c>
      <c r="I358" s="187"/>
      <c r="J358" s="187"/>
      <c r="K358" s="187"/>
      <c r="L358" s="173"/>
      <c r="M358" s="73"/>
      <c r="N358" s="120"/>
      <c r="O358" s="187"/>
    </row>
    <row r="359" spans="1:15">
      <c r="A359" s="129">
        <v>44270</v>
      </c>
      <c r="B359" s="218" t="s">
        <v>78</v>
      </c>
      <c r="C359" s="39" t="s">
        <v>8929</v>
      </c>
      <c r="D359" s="149" t="s">
        <v>9854</v>
      </c>
      <c r="E359" s="187"/>
      <c r="F359" s="187"/>
      <c r="G359" s="187"/>
      <c r="H359" s="230" t="s">
        <v>15036</v>
      </c>
      <c r="I359" s="187"/>
      <c r="J359" s="187"/>
      <c r="K359" s="187"/>
      <c r="L359" s="173"/>
      <c r="M359" s="73"/>
      <c r="N359" s="120"/>
      <c r="O359" s="187"/>
    </row>
    <row r="360" spans="1:15">
      <c r="A360" s="129">
        <v>44270</v>
      </c>
      <c r="B360" s="218" t="s">
        <v>2120</v>
      </c>
      <c r="C360" s="39" t="s">
        <v>8929</v>
      </c>
      <c r="D360" s="149" t="s">
        <v>9854</v>
      </c>
      <c r="E360" s="187"/>
      <c r="F360" s="187"/>
      <c r="G360" s="187"/>
      <c r="H360" s="231" t="s">
        <v>4760</v>
      </c>
      <c r="I360" s="187"/>
      <c r="J360" s="187"/>
      <c r="K360" s="187"/>
      <c r="L360" s="173"/>
      <c r="M360" s="73"/>
      <c r="N360" s="120"/>
      <c r="O360" s="187"/>
    </row>
    <row r="361" spans="1:15">
      <c r="A361" s="129">
        <v>44270</v>
      </c>
      <c r="B361" s="218" t="s">
        <v>2158</v>
      </c>
      <c r="C361" s="39" t="s">
        <v>8929</v>
      </c>
      <c r="D361" s="149" t="s">
        <v>9854</v>
      </c>
      <c r="E361" s="187"/>
      <c r="F361" s="187"/>
      <c r="G361" s="187"/>
      <c r="H361" s="231" t="s">
        <v>15037</v>
      </c>
      <c r="I361" s="187"/>
      <c r="J361" s="187"/>
      <c r="K361" s="187"/>
      <c r="L361" s="173"/>
      <c r="M361" s="73"/>
      <c r="N361" s="120"/>
      <c r="O361" s="187"/>
    </row>
    <row r="362" spans="1:15">
      <c r="A362" s="129">
        <v>44270</v>
      </c>
      <c r="B362" s="218" t="s">
        <v>15038</v>
      </c>
      <c r="C362" s="39" t="s">
        <v>8929</v>
      </c>
      <c r="D362" s="149" t="s">
        <v>9854</v>
      </c>
      <c r="E362" s="187"/>
      <c r="F362" s="187"/>
      <c r="G362" s="187"/>
      <c r="H362" s="230" t="s">
        <v>15039</v>
      </c>
      <c r="I362" s="187"/>
      <c r="J362" s="187"/>
      <c r="K362" s="187"/>
      <c r="L362" s="173"/>
      <c r="M362" s="73"/>
      <c r="N362" s="120"/>
      <c r="O362" s="187"/>
    </row>
    <row r="363" spans="1:15">
      <c r="A363" s="129">
        <v>44270</v>
      </c>
      <c r="B363" s="239" t="s">
        <v>15040</v>
      </c>
      <c r="C363" s="31" t="s">
        <v>8929</v>
      </c>
      <c r="D363" s="149" t="s">
        <v>9854</v>
      </c>
      <c r="E363" s="187"/>
      <c r="F363" s="187"/>
      <c r="G363" s="187"/>
      <c r="H363" s="231" t="s">
        <v>15041</v>
      </c>
      <c r="I363" s="187"/>
      <c r="J363" s="187"/>
      <c r="K363" s="187"/>
      <c r="L363" s="173"/>
      <c r="M363" s="73"/>
      <c r="N363" s="120"/>
      <c r="O363" s="187"/>
    </row>
    <row r="364" spans="1:15">
      <c r="A364" s="129">
        <v>44270</v>
      </c>
      <c r="B364" s="236" t="s">
        <v>15042</v>
      </c>
      <c r="C364" s="39" t="s">
        <v>8929</v>
      </c>
      <c r="D364" s="149" t="s">
        <v>9854</v>
      </c>
      <c r="E364" s="187"/>
      <c r="F364" s="187"/>
      <c r="G364" s="187"/>
      <c r="H364" s="231" t="s">
        <v>4693</v>
      </c>
      <c r="I364" s="187"/>
      <c r="J364" s="187"/>
      <c r="K364" s="187"/>
      <c r="L364" s="173"/>
      <c r="M364" s="73"/>
      <c r="N364" s="120"/>
      <c r="O364" s="187"/>
    </row>
    <row r="365" spans="1:15">
      <c r="A365" s="129">
        <v>44270</v>
      </c>
      <c r="B365" s="218" t="s">
        <v>15043</v>
      </c>
      <c r="C365" s="31" t="s">
        <v>8929</v>
      </c>
      <c r="D365" s="149" t="s">
        <v>9854</v>
      </c>
      <c r="E365" s="187"/>
      <c r="F365" s="187"/>
      <c r="G365" s="187"/>
      <c r="H365" s="230" t="s">
        <v>15044</v>
      </c>
      <c r="I365" s="187"/>
      <c r="J365" s="187"/>
      <c r="K365" s="187"/>
      <c r="L365" s="173"/>
      <c r="M365" s="73"/>
      <c r="N365" s="120"/>
      <c r="O365" s="187"/>
    </row>
    <row r="366" spans="1:15">
      <c r="A366" s="129">
        <v>44270</v>
      </c>
      <c r="B366" s="218" t="s">
        <v>1354</v>
      </c>
      <c r="C366" s="31" t="s">
        <v>8929</v>
      </c>
      <c r="D366" s="149" t="s">
        <v>9854</v>
      </c>
      <c r="E366" s="187"/>
      <c r="F366" s="187"/>
      <c r="G366" s="187"/>
      <c r="H366" s="230" t="s">
        <v>15045</v>
      </c>
      <c r="I366" s="187"/>
      <c r="J366" s="187"/>
      <c r="K366" s="187"/>
      <c r="L366" s="173"/>
      <c r="M366" s="73"/>
      <c r="N366" s="120"/>
      <c r="O366" s="187"/>
    </row>
    <row r="367" spans="1:15">
      <c r="A367" s="257">
        <v>44270</v>
      </c>
      <c r="B367" s="31" t="s">
        <v>15046</v>
      </c>
      <c r="C367" s="31" t="s">
        <v>8929</v>
      </c>
      <c r="D367" s="149" t="s">
        <v>9854</v>
      </c>
      <c r="E367" s="187"/>
      <c r="F367" s="187"/>
      <c r="G367" s="187"/>
      <c r="H367" s="231" t="s">
        <v>15047</v>
      </c>
      <c r="I367" s="187"/>
      <c r="J367" s="187"/>
      <c r="K367" s="187"/>
      <c r="L367" s="173"/>
      <c r="M367" s="73"/>
      <c r="N367" s="120"/>
      <c r="O367" s="187"/>
    </row>
    <row r="368" spans="1:15">
      <c r="A368" s="129">
        <v>44271</v>
      </c>
      <c r="B368" s="218" t="s">
        <v>15048</v>
      </c>
      <c r="C368" s="31" t="s">
        <v>8929</v>
      </c>
      <c r="D368" s="149" t="s">
        <v>9854</v>
      </c>
      <c r="E368" s="187"/>
      <c r="F368" s="187"/>
      <c r="G368" s="187"/>
      <c r="H368" s="187" t="s">
        <v>15049</v>
      </c>
      <c r="I368" s="187"/>
      <c r="J368" s="187"/>
      <c r="K368" s="187"/>
      <c r="L368" s="173"/>
      <c r="M368" s="73"/>
      <c r="N368" s="120"/>
      <c r="O368" s="187"/>
    </row>
    <row r="369" spans="1:15">
      <c r="A369" s="129">
        <v>44271</v>
      </c>
      <c r="B369" s="236" t="s">
        <v>3026</v>
      </c>
      <c r="C369" s="31" t="s">
        <v>8929</v>
      </c>
      <c r="D369" s="149" t="s">
        <v>9854</v>
      </c>
      <c r="E369" s="187"/>
      <c r="F369" s="187"/>
      <c r="G369" s="187"/>
      <c r="H369" s="231" t="s">
        <v>15050</v>
      </c>
      <c r="I369" s="187"/>
      <c r="J369" s="187"/>
      <c r="K369" s="187"/>
      <c r="L369" s="173"/>
      <c r="M369" s="73"/>
      <c r="N369" s="120"/>
      <c r="O369" s="187"/>
    </row>
    <row r="370" spans="1:15">
      <c r="A370" s="129">
        <v>44271</v>
      </c>
      <c r="B370" s="218" t="s">
        <v>15051</v>
      </c>
      <c r="C370" s="31" t="s">
        <v>8929</v>
      </c>
      <c r="D370" s="149" t="s">
        <v>9854</v>
      </c>
      <c r="E370" s="187"/>
      <c r="F370" s="187"/>
      <c r="G370" s="187"/>
      <c r="H370" s="231" t="s">
        <v>4638</v>
      </c>
      <c r="I370" s="187"/>
      <c r="J370" s="187"/>
      <c r="K370" s="187"/>
      <c r="L370" s="173"/>
      <c r="M370" s="73"/>
      <c r="N370" s="120"/>
      <c r="O370" s="187"/>
    </row>
    <row r="371" spans="1:15">
      <c r="A371" s="129">
        <v>44273</v>
      </c>
      <c r="B371" s="236" t="s">
        <v>15052</v>
      </c>
      <c r="C371" s="39" t="s">
        <v>8929</v>
      </c>
      <c r="D371" s="237" t="s">
        <v>9854</v>
      </c>
      <c r="E371" s="187"/>
      <c r="F371" s="187"/>
      <c r="G371" s="187"/>
      <c r="H371" s="230" t="s">
        <v>15053</v>
      </c>
      <c r="I371" s="187"/>
      <c r="J371" s="187"/>
      <c r="K371" s="187"/>
      <c r="L371" s="173"/>
      <c r="M371" s="73"/>
      <c r="N371" s="120"/>
      <c r="O371" s="187"/>
    </row>
    <row r="372" spans="1:15">
      <c r="A372" s="129">
        <v>44273</v>
      </c>
      <c r="B372" s="218" t="s">
        <v>506</v>
      </c>
      <c r="C372" s="39" t="s">
        <v>8929</v>
      </c>
      <c r="D372" s="237" t="s">
        <v>9854</v>
      </c>
      <c r="E372" s="187"/>
      <c r="F372" s="187"/>
      <c r="G372" s="187"/>
      <c r="H372" s="231" t="s">
        <v>15054</v>
      </c>
      <c r="I372" s="187"/>
      <c r="J372" s="187"/>
      <c r="K372" s="187"/>
      <c r="L372" s="173"/>
      <c r="M372" s="73"/>
      <c r="N372" s="120"/>
      <c r="O372" s="187"/>
    </row>
    <row r="373" spans="1:15">
      <c r="A373" s="129">
        <v>44274</v>
      </c>
      <c r="B373" s="218" t="s">
        <v>1587</v>
      </c>
      <c r="C373" s="39" t="s">
        <v>8929</v>
      </c>
      <c r="D373" s="237" t="s">
        <v>9854</v>
      </c>
      <c r="E373" s="187"/>
      <c r="F373" s="187"/>
      <c r="G373" s="187"/>
      <c r="H373" s="246" t="s">
        <v>4743</v>
      </c>
      <c r="I373" s="187"/>
      <c r="J373" s="187"/>
      <c r="K373" s="187"/>
      <c r="L373" s="173"/>
      <c r="M373" s="73"/>
      <c r="N373" s="120"/>
      <c r="O373" s="187"/>
    </row>
    <row r="374" spans="1:15">
      <c r="A374" s="248">
        <v>44274</v>
      </c>
      <c r="B374" s="236" t="s">
        <v>1939</v>
      </c>
      <c r="C374" s="39" t="s">
        <v>8929</v>
      </c>
      <c r="D374" s="237" t="s">
        <v>9854</v>
      </c>
      <c r="E374" s="187"/>
      <c r="F374" s="187"/>
      <c r="G374" s="187"/>
      <c r="H374" s="247" t="s">
        <v>15055</v>
      </c>
      <c r="I374" s="187"/>
      <c r="J374" s="187"/>
      <c r="K374" s="187"/>
      <c r="L374" s="173"/>
      <c r="M374" s="73"/>
      <c r="N374" s="120"/>
      <c r="O374" s="187"/>
    </row>
    <row r="375" spans="1:15">
      <c r="A375" s="129">
        <v>44277</v>
      </c>
      <c r="B375" s="218" t="s">
        <v>1998</v>
      </c>
      <c r="C375" s="31" t="s">
        <v>8929</v>
      </c>
      <c r="D375" s="185" t="s">
        <v>9854</v>
      </c>
      <c r="E375" s="187"/>
      <c r="F375" s="187"/>
      <c r="G375" s="187"/>
      <c r="H375" s="246" t="s">
        <v>15056</v>
      </c>
      <c r="I375" s="187"/>
      <c r="J375" s="187"/>
      <c r="K375" s="187"/>
      <c r="L375" s="173"/>
      <c r="M375" s="73"/>
      <c r="N375" s="120"/>
      <c r="O375" s="187"/>
    </row>
    <row r="376" spans="1:15">
      <c r="A376" s="129">
        <v>44277</v>
      </c>
      <c r="B376" s="218" t="s">
        <v>15057</v>
      </c>
      <c r="C376" s="31" t="s">
        <v>8929</v>
      </c>
      <c r="D376" s="185" t="s">
        <v>9854</v>
      </c>
      <c r="E376" s="187"/>
      <c r="F376" s="187"/>
      <c r="G376" s="187"/>
      <c r="H376" s="247" t="s">
        <v>15058</v>
      </c>
      <c r="I376" s="187"/>
      <c r="J376" s="187"/>
      <c r="K376" s="187"/>
      <c r="L376" s="173"/>
      <c r="M376" s="73"/>
      <c r="N376" s="120"/>
      <c r="O376" s="187"/>
    </row>
    <row r="377" spans="1:15">
      <c r="A377" s="129">
        <v>44277</v>
      </c>
      <c r="B377" s="218" t="s">
        <v>15059</v>
      </c>
      <c r="C377" s="31" t="s">
        <v>8929</v>
      </c>
      <c r="D377" s="185" t="s">
        <v>9854</v>
      </c>
      <c r="E377" s="187"/>
      <c r="F377" s="187"/>
      <c r="G377" s="187"/>
      <c r="H377" s="246" t="s">
        <v>4845</v>
      </c>
      <c r="I377" s="187"/>
      <c r="J377" s="187"/>
      <c r="K377" s="187"/>
      <c r="L377" s="173"/>
      <c r="M377" s="73"/>
      <c r="N377" s="120"/>
      <c r="O377" s="187"/>
    </row>
    <row r="378" spans="1:15">
      <c r="A378" s="129">
        <v>44279</v>
      </c>
      <c r="B378" s="218" t="s">
        <v>294</v>
      </c>
      <c r="C378" s="31" t="s">
        <v>8929</v>
      </c>
      <c r="D378" s="185" t="s">
        <v>9854</v>
      </c>
      <c r="E378" s="187"/>
      <c r="F378" s="187"/>
      <c r="G378" s="187"/>
      <c r="H378" s="246" t="s">
        <v>15060</v>
      </c>
      <c r="I378" s="187"/>
      <c r="J378" s="187"/>
      <c r="K378" s="187"/>
      <c r="L378" s="173"/>
      <c r="M378" s="73"/>
      <c r="N378" s="120"/>
      <c r="O378" s="187"/>
    </row>
    <row r="379" spans="1:15">
      <c r="A379" s="129">
        <v>44280</v>
      </c>
      <c r="B379" s="218" t="s">
        <v>15061</v>
      </c>
      <c r="C379" s="39" t="s">
        <v>8929</v>
      </c>
      <c r="D379" s="185" t="s">
        <v>9854</v>
      </c>
      <c r="E379" s="187"/>
      <c r="F379" s="187"/>
      <c r="G379" s="187"/>
      <c r="H379" s="247" t="s">
        <v>15062</v>
      </c>
      <c r="I379" s="187"/>
      <c r="J379" s="187"/>
      <c r="K379" s="187"/>
      <c r="L379" s="173"/>
      <c r="M379" s="73"/>
      <c r="N379" s="120"/>
      <c r="O379" s="187"/>
    </row>
    <row r="380" spans="1:15">
      <c r="A380" s="129">
        <v>44285</v>
      </c>
      <c r="B380" s="218" t="s">
        <v>1126</v>
      </c>
      <c r="C380" s="31" t="s">
        <v>8929</v>
      </c>
      <c r="D380" s="185" t="s">
        <v>9854</v>
      </c>
      <c r="E380" s="187"/>
      <c r="F380" s="187"/>
      <c r="G380" s="187"/>
      <c r="H380" s="246" t="s">
        <v>15063</v>
      </c>
      <c r="I380" s="187"/>
      <c r="J380" s="187"/>
      <c r="K380" s="187"/>
      <c r="L380" s="173"/>
      <c r="M380" s="73"/>
      <c r="N380" s="120"/>
      <c r="O380" s="187"/>
    </row>
    <row r="381" spans="1:15">
      <c r="A381" s="129"/>
      <c r="B381" s="245" t="s">
        <v>7684</v>
      </c>
      <c r="C381" s="140"/>
      <c r="D381" s="199"/>
      <c r="E381" s="188"/>
      <c r="F381" s="187"/>
      <c r="G381" s="187"/>
      <c r="H381" s="187"/>
      <c r="I381" s="187"/>
      <c r="J381" s="187"/>
      <c r="K381" s="187"/>
      <c r="L381" s="173"/>
      <c r="M381" s="73"/>
      <c r="N381" s="120"/>
      <c r="O381" s="187"/>
    </row>
    <row r="382" spans="1:15">
      <c r="A382" s="129">
        <v>44287</v>
      </c>
      <c r="B382" s="149" t="s">
        <v>15064</v>
      </c>
      <c r="C382" s="149" t="s">
        <v>8929</v>
      </c>
      <c r="D382" s="149" t="s">
        <v>9933</v>
      </c>
      <c r="E382" s="149"/>
      <c r="F382" s="205"/>
      <c r="G382" s="187"/>
      <c r="H382" s="246" t="s">
        <v>4720</v>
      </c>
      <c r="I382" s="187"/>
      <c r="J382" s="187"/>
      <c r="K382" s="187"/>
      <c r="L382" s="173"/>
      <c r="M382" s="73"/>
      <c r="N382" s="120"/>
      <c r="O382" s="187"/>
    </row>
    <row r="383" spans="1:15">
      <c r="A383" s="129">
        <v>44287</v>
      </c>
      <c r="B383" s="149" t="s">
        <v>228</v>
      </c>
      <c r="C383" s="149" t="s">
        <v>8929</v>
      </c>
      <c r="D383" s="149" t="s">
        <v>9933</v>
      </c>
      <c r="E383" s="149"/>
      <c r="F383" s="205"/>
      <c r="G383" s="187"/>
      <c r="H383" s="246"/>
      <c r="I383" s="187"/>
      <c r="J383" s="187"/>
      <c r="K383" s="187"/>
      <c r="L383" s="173"/>
      <c r="M383" s="73"/>
      <c r="N383" s="120"/>
      <c r="O383" s="187"/>
    </row>
    <row r="384" spans="1:15">
      <c r="A384" s="129">
        <v>44291</v>
      </c>
      <c r="B384" s="192" t="s">
        <v>1792</v>
      </c>
      <c r="C384" s="149" t="s">
        <v>8929</v>
      </c>
      <c r="D384" s="149" t="s">
        <v>9933</v>
      </c>
      <c r="E384" s="149"/>
      <c r="F384" s="205"/>
      <c r="G384" s="187"/>
      <c r="H384" s="246" t="s">
        <v>4603</v>
      </c>
      <c r="I384" s="187"/>
      <c r="J384" s="187"/>
      <c r="K384" s="187"/>
      <c r="L384" s="173"/>
      <c r="M384" s="73"/>
      <c r="N384" s="120"/>
      <c r="O384" s="187"/>
    </row>
    <row r="385" spans="1:15">
      <c r="A385" s="129">
        <v>44291</v>
      </c>
      <c r="B385" s="192" t="s">
        <v>1343</v>
      </c>
      <c r="C385" s="149" t="s">
        <v>8929</v>
      </c>
      <c r="D385" s="149" t="s">
        <v>9933</v>
      </c>
      <c r="E385" s="149"/>
      <c r="F385" s="205"/>
      <c r="G385" s="187"/>
      <c r="H385" s="187"/>
      <c r="I385" s="187"/>
      <c r="J385" s="187"/>
      <c r="K385" s="187"/>
      <c r="L385" s="173"/>
      <c r="M385" s="73"/>
      <c r="N385" s="120"/>
      <c r="O385" s="187"/>
    </row>
    <row r="386" spans="1:15">
      <c r="A386" s="129">
        <v>44292</v>
      </c>
      <c r="B386" s="218" t="s">
        <v>11572</v>
      </c>
      <c r="C386" s="152" t="s">
        <v>8929</v>
      </c>
      <c r="D386" s="205" t="s">
        <v>9933</v>
      </c>
      <c r="E386" s="187"/>
      <c r="F386" s="187"/>
      <c r="G386" s="187"/>
      <c r="H386" s="246" t="s">
        <v>15065</v>
      </c>
      <c r="I386" s="187"/>
      <c r="J386" s="187"/>
      <c r="K386" s="187"/>
      <c r="L386" s="173"/>
      <c r="M386" s="73"/>
      <c r="N386" s="120"/>
      <c r="O386" s="187"/>
    </row>
    <row r="387" spans="1:15">
      <c r="A387" s="129">
        <v>44292</v>
      </c>
      <c r="B387" s="218" t="s">
        <v>2260</v>
      </c>
      <c r="C387" s="39" t="s">
        <v>8929</v>
      </c>
      <c r="D387" s="237" t="s">
        <v>9933</v>
      </c>
      <c r="E387" s="187"/>
      <c r="F387" s="187"/>
      <c r="G387" s="187"/>
      <c r="H387" s="246" t="s">
        <v>15066</v>
      </c>
      <c r="I387" s="187"/>
      <c r="J387" s="187"/>
      <c r="K387" s="187"/>
      <c r="L387" s="173"/>
      <c r="M387" s="73"/>
      <c r="N387" s="120"/>
      <c r="O387" s="187"/>
    </row>
    <row r="388" spans="1:15">
      <c r="A388" s="129">
        <v>44292</v>
      </c>
      <c r="B388" s="218" t="s">
        <v>2610</v>
      </c>
      <c r="C388" s="39" t="s">
        <v>8929</v>
      </c>
      <c r="D388" s="237" t="s">
        <v>9933</v>
      </c>
      <c r="E388" s="187"/>
      <c r="F388" s="187"/>
      <c r="G388" s="187"/>
      <c r="H388" s="247" t="s">
        <v>15067</v>
      </c>
      <c r="I388" s="187"/>
      <c r="J388" s="187"/>
      <c r="K388" s="187"/>
      <c r="L388" s="173"/>
      <c r="M388" s="73"/>
      <c r="N388" s="120"/>
      <c r="O388" s="187"/>
    </row>
    <row r="389" spans="1:15">
      <c r="A389" s="129">
        <v>44292</v>
      </c>
      <c r="B389" s="218" t="s">
        <v>1299</v>
      </c>
      <c r="C389" s="31" t="s">
        <v>8929</v>
      </c>
      <c r="D389" s="185" t="s">
        <v>9933</v>
      </c>
      <c r="E389" s="187"/>
      <c r="F389" s="187"/>
      <c r="G389" s="187"/>
      <c r="H389" s="247" t="s">
        <v>15068</v>
      </c>
      <c r="I389" s="187"/>
      <c r="J389" s="187"/>
      <c r="K389" s="187"/>
      <c r="L389" s="173"/>
      <c r="M389" s="73"/>
      <c r="N389" s="120"/>
      <c r="O389" s="187"/>
    </row>
    <row r="390" spans="1:15">
      <c r="A390" s="129">
        <v>44294</v>
      </c>
      <c r="B390" s="218" t="s">
        <v>1169</v>
      </c>
      <c r="C390" s="31" t="s">
        <v>8929</v>
      </c>
      <c r="D390" s="185" t="s">
        <v>9933</v>
      </c>
      <c r="E390" s="187"/>
      <c r="F390" s="187"/>
      <c r="G390" s="187"/>
      <c r="H390" s="246" t="s">
        <v>15069</v>
      </c>
      <c r="I390" s="187"/>
      <c r="J390" s="187"/>
      <c r="K390" s="187"/>
      <c r="L390" s="173"/>
      <c r="M390" s="73"/>
      <c r="N390" s="120"/>
      <c r="O390" s="187"/>
    </row>
    <row r="391" spans="1:15">
      <c r="A391" s="129">
        <v>44294</v>
      </c>
      <c r="B391" s="218" t="s">
        <v>15070</v>
      </c>
      <c r="C391" s="31" t="s">
        <v>8929</v>
      </c>
      <c r="D391" s="185" t="s">
        <v>9933</v>
      </c>
      <c r="E391" s="187"/>
      <c r="F391" s="187"/>
      <c r="G391" s="187"/>
      <c r="H391" s="246" t="s">
        <v>4204</v>
      </c>
      <c r="I391" s="187"/>
      <c r="J391" s="187"/>
      <c r="K391" s="187"/>
      <c r="L391" s="173"/>
      <c r="M391" s="73"/>
      <c r="N391" s="120"/>
      <c r="O391" s="187"/>
    </row>
    <row r="392" spans="1:15">
      <c r="A392" s="129">
        <v>44294</v>
      </c>
      <c r="B392" s="218" t="s">
        <v>1592</v>
      </c>
      <c r="C392" s="31" t="s">
        <v>8929</v>
      </c>
      <c r="D392" s="185" t="s">
        <v>9933</v>
      </c>
      <c r="E392" s="187"/>
      <c r="F392" s="187"/>
      <c r="G392" s="187"/>
      <c r="H392" s="247" t="s">
        <v>15071</v>
      </c>
      <c r="I392" s="187"/>
      <c r="J392" s="187"/>
      <c r="K392" s="187"/>
      <c r="L392" s="173"/>
      <c r="M392" s="73"/>
      <c r="N392" s="120"/>
      <c r="O392" s="187"/>
    </row>
    <row r="393" spans="1:15">
      <c r="A393" s="129">
        <v>44294</v>
      </c>
      <c r="B393" s="218" t="s">
        <v>618</v>
      </c>
      <c r="C393" s="31" t="s">
        <v>8929</v>
      </c>
      <c r="D393" s="185" t="s">
        <v>9933</v>
      </c>
      <c r="E393" s="187"/>
      <c r="F393" s="187"/>
      <c r="G393" s="187"/>
      <c r="H393" s="246" t="s">
        <v>15072</v>
      </c>
      <c r="I393" s="187"/>
      <c r="J393" s="187"/>
      <c r="K393" s="187"/>
      <c r="L393" s="173"/>
      <c r="M393" s="73"/>
      <c r="N393" s="120"/>
      <c r="O393" s="187"/>
    </row>
    <row r="394" spans="1:15">
      <c r="A394" s="129">
        <v>44298</v>
      </c>
      <c r="B394" s="218" t="s">
        <v>15073</v>
      </c>
      <c r="C394" s="31" t="s">
        <v>8929</v>
      </c>
      <c r="D394" s="185" t="s">
        <v>9933</v>
      </c>
      <c r="E394" s="187"/>
      <c r="F394" s="187"/>
      <c r="G394" s="187"/>
      <c r="H394" s="246" t="s">
        <v>4807</v>
      </c>
      <c r="I394" s="187"/>
      <c r="J394" s="187"/>
      <c r="K394" s="187"/>
      <c r="L394" s="173"/>
      <c r="M394" s="73"/>
      <c r="N394" s="120"/>
      <c r="O394" s="187"/>
    </row>
    <row r="395" spans="1:15">
      <c r="A395" s="129">
        <v>44298</v>
      </c>
      <c r="B395" s="218" t="s">
        <v>1512</v>
      </c>
      <c r="C395" s="31" t="s">
        <v>8929</v>
      </c>
      <c r="D395" s="185" t="s">
        <v>9933</v>
      </c>
      <c r="E395" s="187"/>
      <c r="F395" s="187"/>
      <c r="G395" s="187"/>
      <c r="H395" s="247" t="s">
        <v>15074</v>
      </c>
      <c r="I395" s="187"/>
      <c r="J395" s="187"/>
      <c r="K395" s="187"/>
      <c r="L395" s="173"/>
      <c r="M395" s="73"/>
      <c r="N395" s="120"/>
      <c r="O395" s="187"/>
    </row>
    <row r="396" spans="1:15">
      <c r="A396" s="129">
        <v>44300</v>
      </c>
      <c r="B396" s="218" t="s">
        <v>15075</v>
      </c>
      <c r="C396" s="31" t="s">
        <v>8929</v>
      </c>
      <c r="D396" s="185" t="s">
        <v>9933</v>
      </c>
      <c r="E396" s="187"/>
      <c r="F396" s="187"/>
      <c r="G396" s="187"/>
      <c r="H396" s="247" t="s">
        <v>15076</v>
      </c>
      <c r="I396" s="187"/>
      <c r="J396" s="187"/>
      <c r="K396" s="187"/>
      <c r="L396" s="173"/>
      <c r="M396" s="73"/>
      <c r="N396" s="120"/>
      <c r="O396" s="187"/>
    </row>
    <row r="397" spans="1:15">
      <c r="A397" s="129">
        <v>44301</v>
      </c>
      <c r="B397" s="17" t="s">
        <v>175</v>
      </c>
      <c r="C397" s="31" t="s">
        <v>8929</v>
      </c>
      <c r="D397" s="185" t="s">
        <v>9933</v>
      </c>
      <c r="E397" s="187"/>
      <c r="F397" s="187"/>
      <c r="G397" s="187"/>
      <c r="H397" s="231" t="s">
        <v>4595</v>
      </c>
      <c r="I397" s="187"/>
      <c r="J397" s="187"/>
      <c r="K397" s="187"/>
      <c r="L397" s="173"/>
      <c r="M397" s="73"/>
      <c r="N397" s="120"/>
      <c r="O397" s="187"/>
    </row>
    <row r="398" spans="1:15">
      <c r="A398" s="129">
        <v>44302</v>
      </c>
      <c r="B398" s="17" t="s">
        <v>375</v>
      </c>
      <c r="C398" s="39" t="s">
        <v>8929</v>
      </c>
      <c r="D398" s="237" t="s">
        <v>9933</v>
      </c>
      <c r="E398" s="187"/>
      <c r="F398" s="187"/>
      <c r="G398" s="187"/>
      <c r="H398" s="231" t="s">
        <v>15077</v>
      </c>
      <c r="I398" s="187"/>
      <c r="J398" s="187"/>
      <c r="K398" s="187"/>
      <c r="L398" s="173"/>
      <c r="M398" s="73"/>
      <c r="N398" s="120"/>
      <c r="O398" s="187"/>
    </row>
    <row r="399" spans="1:15">
      <c r="A399" s="129">
        <v>44302</v>
      </c>
      <c r="B399" s="84" t="s">
        <v>3852</v>
      </c>
      <c r="C399" s="39" t="s">
        <v>8929</v>
      </c>
      <c r="D399" s="237" t="s">
        <v>9933</v>
      </c>
      <c r="E399" s="187"/>
      <c r="F399" s="187"/>
      <c r="G399" s="187"/>
      <c r="H399" s="231" t="s">
        <v>4744</v>
      </c>
      <c r="I399" s="187"/>
      <c r="J399" s="187"/>
      <c r="K399" s="187"/>
      <c r="L399" s="173"/>
      <c r="M399" s="73"/>
      <c r="N399" s="120"/>
      <c r="O399" s="187"/>
    </row>
    <row r="400" spans="1:15">
      <c r="A400" s="129">
        <v>44305</v>
      </c>
      <c r="B400" s="218" t="s">
        <v>407</v>
      </c>
      <c r="C400" s="31" t="s">
        <v>8929</v>
      </c>
      <c r="D400" s="185" t="s">
        <v>9933</v>
      </c>
      <c r="E400" s="187"/>
      <c r="F400" s="187"/>
      <c r="G400" s="187"/>
      <c r="H400" s="230" t="s">
        <v>15078</v>
      </c>
      <c r="I400" s="187"/>
      <c r="J400" s="187"/>
      <c r="K400" s="187"/>
      <c r="L400" s="173"/>
      <c r="M400" s="73"/>
      <c r="N400" s="120"/>
      <c r="O400" s="187"/>
    </row>
    <row r="401" spans="1:15">
      <c r="A401" s="129">
        <v>44305</v>
      </c>
      <c r="B401" s="218" t="s">
        <v>15079</v>
      </c>
      <c r="C401" s="31" t="s">
        <v>8929</v>
      </c>
      <c r="D401" s="185" t="s">
        <v>9933</v>
      </c>
      <c r="E401" s="187"/>
      <c r="F401" s="187"/>
      <c r="G401" s="187"/>
      <c r="H401" s="231" t="s">
        <v>15080</v>
      </c>
      <c r="I401" s="187"/>
      <c r="J401" s="187"/>
      <c r="K401" s="187"/>
      <c r="L401" s="173"/>
      <c r="M401" s="73"/>
      <c r="N401" s="120"/>
      <c r="O401" s="187"/>
    </row>
    <row r="402" spans="1:15">
      <c r="A402" s="129">
        <v>44305</v>
      </c>
      <c r="B402" s="84" t="s">
        <v>62</v>
      </c>
      <c r="C402" s="31" t="s">
        <v>8929</v>
      </c>
      <c r="D402" s="185" t="s">
        <v>9933</v>
      </c>
      <c r="E402" s="187"/>
      <c r="F402" s="187"/>
      <c r="G402" s="187"/>
      <c r="H402" s="231" t="s">
        <v>15081</v>
      </c>
      <c r="I402" s="187"/>
      <c r="J402" s="187"/>
      <c r="K402" s="187"/>
      <c r="L402" s="173"/>
      <c r="M402" s="73"/>
      <c r="N402" s="120"/>
      <c r="O402" s="187"/>
    </row>
    <row r="403" spans="1:15">
      <c r="A403" s="129">
        <v>44305</v>
      </c>
      <c r="B403" s="84" t="s">
        <v>62</v>
      </c>
      <c r="C403" s="31" t="s">
        <v>8929</v>
      </c>
      <c r="D403" s="185" t="s">
        <v>9933</v>
      </c>
      <c r="E403" s="187"/>
      <c r="F403" s="187"/>
      <c r="G403" s="187"/>
      <c r="H403" s="187"/>
      <c r="I403" s="187"/>
      <c r="J403" s="187"/>
      <c r="K403" s="187"/>
      <c r="L403" s="173"/>
      <c r="M403" s="73"/>
      <c r="N403" s="120"/>
      <c r="O403" s="187"/>
    </row>
    <row r="404" spans="1:15">
      <c r="A404" s="129">
        <v>44306</v>
      </c>
      <c r="B404" s="17" t="s">
        <v>1444</v>
      </c>
      <c r="C404" s="31" t="s">
        <v>8929</v>
      </c>
      <c r="D404" s="185" t="s">
        <v>9933</v>
      </c>
      <c r="E404" s="187"/>
      <c r="F404" s="187"/>
      <c r="G404" s="187"/>
      <c r="H404" s="231" t="s">
        <v>15082</v>
      </c>
      <c r="I404" s="187"/>
      <c r="J404" s="187"/>
      <c r="K404" s="187"/>
      <c r="L404" s="173"/>
      <c r="M404" s="73"/>
      <c r="N404" s="120"/>
      <c r="O404" s="187"/>
    </row>
    <row r="405" spans="1:15">
      <c r="A405" s="129">
        <v>44306</v>
      </c>
      <c r="B405" s="218" t="s">
        <v>10986</v>
      </c>
      <c r="C405" s="31" t="s">
        <v>8929</v>
      </c>
      <c r="D405" s="185" t="s">
        <v>9933</v>
      </c>
      <c r="E405" s="187"/>
      <c r="F405" s="187"/>
      <c r="G405" s="187"/>
      <c r="H405" s="231" t="s">
        <v>15083</v>
      </c>
      <c r="I405" s="187"/>
      <c r="J405" s="187"/>
      <c r="K405" s="187"/>
      <c r="L405" s="173"/>
      <c r="M405" s="73"/>
      <c r="N405" s="120"/>
      <c r="O405" s="187"/>
    </row>
    <row r="406" spans="1:15">
      <c r="A406" s="129">
        <v>44309</v>
      </c>
      <c r="B406" s="218" t="s">
        <v>900</v>
      </c>
      <c r="C406" s="31" t="s">
        <v>8929</v>
      </c>
      <c r="D406" s="185" t="s">
        <v>9933</v>
      </c>
      <c r="E406" s="187"/>
      <c r="F406" s="187"/>
      <c r="G406" s="187"/>
      <c r="H406" s="231" t="s">
        <v>15084</v>
      </c>
      <c r="I406" s="187"/>
      <c r="J406" s="187"/>
      <c r="K406" s="187"/>
      <c r="L406" s="173"/>
      <c r="M406" s="73"/>
      <c r="N406" s="120"/>
      <c r="O406" s="187"/>
    </row>
    <row r="407" spans="1:15">
      <c r="A407" s="129">
        <v>44312</v>
      </c>
      <c r="B407" s="218" t="s">
        <v>470</v>
      </c>
      <c r="C407" s="31" t="s">
        <v>8929</v>
      </c>
      <c r="D407" s="185" t="s">
        <v>9933</v>
      </c>
      <c r="E407" s="187"/>
      <c r="F407" s="187"/>
      <c r="G407" s="187"/>
      <c r="H407" s="230" t="s">
        <v>15085</v>
      </c>
      <c r="I407" s="187"/>
      <c r="J407" s="187"/>
      <c r="K407" s="187"/>
      <c r="L407" s="173"/>
      <c r="M407" s="73"/>
      <c r="N407" s="120"/>
      <c r="O407" s="187"/>
    </row>
    <row r="408" spans="1:15">
      <c r="A408" s="129">
        <v>44312</v>
      </c>
      <c r="B408" s="17" t="s">
        <v>773</v>
      </c>
      <c r="C408" s="31" t="s">
        <v>8929</v>
      </c>
      <c r="D408" s="185" t="s">
        <v>9933</v>
      </c>
      <c r="E408" s="187"/>
      <c r="F408" s="187"/>
      <c r="G408" s="187"/>
      <c r="H408" s="230" t="s">
        <v>15086</v>
      </c>
      <c r="I408" s="187"/>
      <c r="J408" s="187"/>
      <c r="K408" s="187"/>
      <c r="L408" s="173"/>
      <c r="M408" s="73"/>
      <c r="N408" s="120"/>
      <c r="O408" s="187"/>
    </row>
    <row r="409" spans="1:15">
      <c r="A409" s="129">
        <v>44313</v>
      </c>
      <c r="B409" s="218" t="s">
        <v>768</v>
      </c>
      <c r="C409" s="31" t="s">
        <v>8929</v>
      </c>
      <c r="D409" s="185" t="s">
        <v>9933</v>
      </c>
      <c r="E409" s="187"/>
      <c r="F409" s="187"/>
      <c r="G409" s="187"/>
      <c r="H409" s="231" t="s">
        <v>15087</v>
      </c>
      <c r="I409" s="187"/>
      <c r="J409" s="187"/>
      <c r="K409" s="187"/>
      <c r="L409" s="173"/>
      <c r="M409" s="73"/>
      <c r="N409" s="120"/>
      <c r="O409" s="187"/>
    </row>
    <row r="410" spans="1:15">
      <c r="A410" s="129">
        <v>44313</v>
      </c>
      <c r="B410" s="218" t="s">
        <v>2955</v>
      </c>
      <c r="C410" s="31" t="s">
        <v>8929</v>
      </c>
      <c r="D410" s="185" t="s">
        <v>9933</v>
      </c>
      <c r="E410" s="187"/>
      <c r="F410" s="187"/>
      <c r="G410" s="187"/>
      <c r="H410" s="231" t="s">
        <v>15088</v>
      </c>
      <c r="I410" s="187"/>
      <c r="J410" s="187"/>
      <c r="K410" s="187"/>
      <c r="L410" s="173"/>
      <c r="M410" s="73"/>
      <c r="N410" s="120"/>
      <c r="O410" s="187"/>
    </row>
    <row r="411" spans="1:15">
      <c r="A411" s="129">
        <v>44313</v>
      </c>
      <c r="B411" s="218" t="s">
        <v>15089</v>
      </c>
      <c r="C411" s="31" t="s">
        <v>8929</v>
      </c>
      <c r="D411" s="185" t="s">
        <v>9933</v>
      </c>
      <c r="E411" s="187"/>
      <c r="F411" s="187"/>
      <c r="G411" s="187"/>
      <c r="H411" s="231" t="s">
        <v>4722</v>
      </c>
      <c r="I411" s="187"/>
      <c r="J411" s="187"/>
      <c r="K411" s="187"/>
      <c r="L411" s="173"/>
      <c r="M411" s="73"/>
      <c r="N411" s="120"/>
      <c r="O411" s="187"/>
    </row>
    <row r="412" spans="1:15">
      <c r="A412" s="129">
        <v>44314</v>
      </c>
      <c r="B412" s="218" t="s">
        <v>1412</v>
      </c>
      <c r="C412" s="39" t="s">
        <v>8929</v>
      </c>
      <c r="D412" s="185" t="s">
        <v>9933</v>
      </c>
      <c r="E412" s="187"/>
      <c r="F412" s="187"/>
      <c r="G412" s="187"/>
      <c r="H412" s="231" t="s">
        <v>15090</v>
      </c>
      <c r="I412" s="187"/>
      <c r="J412" s="187"/>
      <c r="K412" s="187"/>
      <c r="L412" s="173"/>
      <c r="M412" s="73"/>
      <c r="N412" s="120"/>
      <c r="O412" s="187"/>
    </row>
    <row r="413" spans="1:15">
      <c r="A413" s="129">
        <v>44315</v>
      </c>
      <c r="B413" s="256" t="s">
        <v>1078</v>
      </c>
      <c r="C413" s="31" t="s">
        <v>8929</v>
      </c>
      <c r="D413" s="185" t="s">
        <v>9933</v>
      </c>
      <c r="E413" s="187"/>
      <c r="F413" s="187"/>
      <c r="G413" s="187"/>
      <c r="H413" s="230" t="s">
        <v>15091</v>
      </c>
      <c r="I413" s="187"/>
      <c r="J413" s="187"/>
      <c r="K413" s="187"/>
      <c r="L413" s="173"/>
      <c r="M413" s="73"/>
      <c r="N413" s="120"/>
      <c r="O413" s="187"/>
    </row>
    <row r="414" spans="1:15">
      <c r="A414" s="129">
        <v>44315</v>
      </c>
      <c r="B414" s="255" t="s">
        <v>715</v>
      </c>
      <c r="C414" s="31" t="s">
        <v>8929</v>
      </c>
      <c r="D414" s="185" t="s">
        <v>9933</v>
      </c>
      <c r="E414" s="187"/>
      <c r="F414" s="187"/>
      <c r="G414" s="187"/>
      <c r="H414" s="187" t="s">
        <v>15092</v>
      </c>
      <c r="I414" s="187"/>
      <c r="J414" s="187"/>
      <c r="K414" s="187"/>
      <c r="L414" s="173"/>
      <c r="M414" s="73"/>
      <c r="N414" s="120"/>
      <c r="O414" s="187"/>
    </row>
    <row r="415" spans="1:15">
      <c r="A415" s="129">
        <v>44315</v>
      </c>
      <c r="B415" s="256" t="s">
        <v>1911</v>
      </c>
      <c r="C415" s="31" t="s">
        <v>8929</v>
      </c>
      <c r="D415" s="185" t="s">
        <v>9933</v>
      </c>
      <c r="E415" s="187"/>
      <c r="F415" s="187"/>
      <c r="G415" s="187"/>
      <c r="H415" s="231" t="s">
        <v>15093</v>
      </c>
      <c r="I415" s="187"/>
      <c r="J415" s="187"/>
      <c r="K415" s="187"/>
      <c r="L415" s="173"/>
      <c r="M415" s="73"/>
      <c r="N415" s="120"/>
      <c r="O415" s="187"/>
    </row>
    <row r="416" spans="1:15">
      <c r="A416" s="129">
        <v>44315</v>
      </c>
      <c r="B416" s="17" t="s">
        <v>103</v>
      </c>
      <c r="C416" s="31" t="s">
        <v>8929</v>
      </c>
      <c r="D416" s="185" t="s">
        <v>9933</v>
      </c>
      <c r="E416" s="187"/>
      <c r="F416" s="187"/>
      <c r="G416" s="187"/>
      <c r="H416" s="187"/>
      <c r="I416" s="187"/>
      <c r="J416" s="187"/>
      <c r="K416" s="187"/>
      <c r="L416" s="173"/>
      <c r="M416" s="73"/>
      <c r="N416" s="120"/>
      <c r="O416" s="187"/>
    </row>
    <row r="417" spans="1:15">
      <c r="A417" s="129">
        <v>44316</v>
      </c>
      <c r="B417" s="84" t="s">
        <v>3238</v>
      </c>
      <c r="C417" s="31" t="s">
        <v>8929</v>
      </c>
      <c r="D417" s="185" t="s">
        <v>9933</v>
      </c>
      <c r="E417" s="187"/>
      <c r="F417" s="187"/>
      <c r="G417" s="187"/>
      <c r="H417" s="187"/>
      <c r="I417" s="187"/>
      <c r="J417" s="187"/>
      <c r="K417" s="187"/>
      <c r="L417" s="173"/>
      <c r="M417" s="73"/>
      <c r="N417" s="120"/>
      <c r="O417" s="187"/>
    </row>
    <row r="418" spans="1:15">
      <c r="A418" s="129"/>
      <c r="B418" s="245" t="s">
        <v>2715</v>
      </c>
      <c r="C418" s="31"/>
      <c r="D418" s="185"/>
      <c r="E418" s="187"/>
      <c r="F418" s="187"/>
      <c r="G418" s="187"/>
      <c r="H418" s="187"/>
      <c r="I418" s="187"/>
      <c r="J418" s="187"/>
      <c r="K418" s="187"/>
      <c r="L418" s="173"/>
      <c r="M418" s="73"/>
      <c r="N418" s="120"/>
      <c r="O418" s="187"/>
    </row>
    <row r="419" spans="1:15">
      <c r="A419" s="129">
        <v>44319</v>
      </c>
      <c r="B419" s="255" t="s">
        <v>15094</v>
      </c>
      <c r="C419" s="31" t="s">
        <v>8929</v>
      </c>
      <c r="D419" s="185" t="s">
        <v>9986</v>
      </c>
      <c r="E419" s="187"/>
      <c r="F419" s="187"/>
      <c r="G419" s="187"/>
      <c r="H419" s="187"/>
      <c r="I419" s="187"/>
      <c r="J419" s="187"/>
      <c r="K419" s="187"/>
      <c r="L419" s="173"/>
      <c r="M419" s="73"/>
      <c r="N419" s="120"/>
      <c r="O419" s="187"/>
    </row>
    <row r="420" spans="1:15">
      <c r="A420" s="129">
        <v>44319</v>
      </c>
      <c r="B420" s="255" t="s">
        <v>15095</v>
      </c>
      <c r="C420" s="31" t="s">
        <v>8929</v>
      </c>
      <c r="D420" s="185" t="s">
        <v>9986</v>
      </c>
      <c r="E420" s="187"/>
      <c r="F420" s="187"/>
      <c r="G420" s="187"/>
      <c r="H420" s="187"/>
      <c r="I420" s="187"/>
      <c r="J420" s="187"/>
      <c r="K420" s="187"/>
      <c r="L420" s="173"/>
      <c r="M420" s="73"/>
      <c r="N420" s="120"/>
      <c r="O420" s="187"/>
    </row>
    <row r="421" spans="1:15">
      <c r="A421" s="129">
        <v>44323</v>
      </c>
      <c r="B421" s="17" t="s">
        <v>1824</v>
      </c>
      <c r="C421" s="31" t="s">
        <v>8929</v>
      </c>
      <c r="D421" s="185" t="s">
        <v>9986</v>
      </c>
      <c r="E421" s="187"/>
      <c r="F421" s="187"/>
      <c r="G421" s="187"/>
      <c r="H421" s="187"/>
      <c r="I421" s="187"/>
      <c r="J421" s="187"/>
      <c r="K421" s="187"/>
      <c r="L421" s="173"/>
      <c r="M421" s="73"/>
      <c r="N421" s="120"/>
      <c r="O421" s="187"/>
    </row>
    <row r="422" spans="1:15">
      <c r="A422" s="129">
        <v>44327</v>
      </c>
      <c r="B422" s="17" t="s">
        <v>1608</v>
      </c>
      <c r="C422" s="31" t="s">
        <v>8929</v>
      </c>
      <c r="D422" s="185" t="s">
        <v>9986</v>
      </c>
      <c r="E422" s="187"/>
      <c r="F422" s="187"/>
      <c r="G422" s="187"/>
      <c r="H422" s="187"/>
      <c r="I422" s="187"/>
      <c r="J422" s="187"/>
      <c r="K422" s="187"/>
      <c r="L422" s="173"/>
      <c r="M422" s="73"/>
      <c r="N422" s="120"/>
      <c r="O422" s="187"/>
    </row>
    <row r="423" spans="1:15">
      <c r="A423" s="129">
        <v>44327</v>
      </c>
      <c r="B423" s="17" t="s">
        <v>1929</v>
      </c>
      <c r="C423" s="31" t="s">
        <v>8929</v>
      </c>
      <c r="D423" s="185" t="s">
        <v>9986</v>
      </c>
      <c r="E423" s="187"/>
      <c r="F423" s="187"/>
      <c r="G423" s="187"/>
      <c r="H423" s="187"/>
      <c r="I423" s="187"/>
      <c r="J423" s="187"/>
      <c r="K423" s="187"/>
      <c r="L423" s="173"/>
      <c r="M423" s="73"/>
      <c r="N423" s="120"/>
      <c r="O423" s="187"/>
    </row>
    <row r="424" spans="1:15">
      <c r="A424" s="129">
        <v>44328</v>
      </c>
      <c r="B424" s="17" t="s">
        <v>15096</v>
      </c>
      <c r="C424" s="31" t="s">
        <v>8929</v>
      </c>
      <c r="D424" s="185" t="s">
        <v>9986</v>
      </c>
      <c r="E424" s="187"/>
      <c r="F424" s="187"/>
      <c r="G424" s="187"/>
      <c r="H424" s="187"/>
      <c r="I424" s="187"/>
      <c r="J424" s="187"/>
      <c r="K424" s="187"/>
      <c r="L424" s="173"/>
      <c r="M424" s="73"/>
      <c r="N424" s="120"/>
      <c r="O424" s="187"/>
    </row>
    <row r="425" spans="1:15">
      <c r="A425" s="129">
        <v>44329</v>
      </c>
      <c r="B425" s="17" t="s">
        <v>14802</v>
      </c>
      <c r="C425" t="s">
        <v>8929</v>
      </c>
      <c r="D425" s="185" t="s">
        <v>9986</v>
      </c>
      <c r="E425" s="187"/>
      <c r="F425" s="187"/>
      <c r="G425" s="187"/>
      <c r="H425" s="187"/>
      <c r="I425" s="187"/>
      <c r="J425" s="187"/>
      <c r="K425" s="187"/>
      <c r="L425" s="173"/>
      <c r="M425" s="73"/>
      <c r="N425" s="120"/>
      <c r="O425" s="187"/>
    </row>
    <row r="426" spans="1:15">
      <c r="A426" s="129">
        <v>44333</v>
      </c>
      <c r="B426" s="17" t="s">
        <v>1029</v>
      </c>
      <c r="C426" s="31" t="s">
        <v>8929</v>
      </c>
      <c r="D426" s="185" t="s">
        <v>9986</v>
      </c>
      <c r="E426" s="187"/>
      <c r="F426" s="187"/>
      <c r="G426" s="187"/>
      <c r="H426" s="187"/>
      <c r="I426" s="187"/>
      <c r="J426" s="187"/>
      <c r="K426" s="187"/>
      <c r="L426" s="173"/>
      <c r="M426" s="73"/>
      <c r="N426" s="120"/>
      <c r="O426" s="187"/>
    </row>
    <row r="427" spans="1:15">
      <c r="A427" s="129">
        <v>44333</v>
      </c>
      <c r="B427" s="17" t="s">
        <v>15097</v>
      </c>
      <c r="C427" s="31" t="s">
        <v>8929</v>
      </c>
      <c r="D427" s="185" t="s">
        <v>9986</v>
      </c>
      <c r="E427" s="187"/>
      <c r="F427" s="187"/>
      <c r="G427" s="187"/>
      <c r="H427" s="187"/>
      <c r="I427" s="187"/>
      <c r="J427" s="187"/>
      <c r="K427" s="187"/>
      <c r="L427" s="173"/>
      <c r="M427" s="73"/>
      <c r="N427" s="120"/>
      <c r="O427" s="187"/>
    </row>
    <row r="428" spans="1:15">
      <c r="A428" s="129">
        <v>44333</v>
      </c>
      <c r="B428" s="17" t="s">
        <v>613</v>
      </c>
      <c r="C428" s="31" t="s">
        <v>8929</v>
      </c>
      <c r="D428" s="185" t="s">
        <v>9986</v>
      </c>
      <c r="E428" s="187"/>
      <c r="F428" s="187"/>
      <c r="G428" s="187"/>
      <c r="H428" s="187"/>
      <c r="I428" s="187"/>
      <c r="J428" s="187"/>
      <c r="K428" s="187"/>
      <c r="L428" s="173"/>
      <c r="M428" s="73"/>
      <c r="N428" s="120"/>
      <c r="O428" s="187"/>
    </row>
    <row r="429" spans="1:15">
      <c r="A429" s="129">
        <v>44333</v>
      </c>
      <c r="B429" s="17" t="s">
        <v>613</v>
      </c>
      <c r="C429" s="31" t="s">
        <v>8929</v>
      </c>
      <c r="D429" s="185" t="s">
        <v>9986</v>
      </c>
      <c r="E429" s="187"/>
      <c r="F429" s="187"/>
      <c r="G429" s="187"/>
      <c r="H429" s="187"/>
      <c r="I429" s="187"/>
      <c r="J429" s="187"/>
      <c r="K429" s="187"/>
      <c r="L429" s="173"/>
      <c r="M429" s="73"/>
      <c r="N429" s="120"/>
      <c r="O429" s="187"/>
    </row>
    <row r="430" spans="1:15">
      <c r="A430" s="129">
        <v>44333</v>
      </c>
      <c r="B430" s="17" t="s">
        <v>567</v>
      </c>
      <c r="C430" s="31" t="s">
        <v>8929</v>
      </c>
      <c r="D430" s="185" t="s">
        <v>9986</v>
      </c>
      <c r="E430" s="187"/>
      <c r="F430" s="187"/>
      <c r="G430" s="187"/>
      <c r="H430" s="187"/>
      <c r="I430" s="187"/>
      <c r="J430" s="187"/>
      <c r="K430" s="187"/>
      <c r="L430" s="173"/>
      <c r="M430" s="73"/>
      <c r="N430" s="120"/>
      <c r="O430" s="187"/>
    </row>
    <row r="431" spans="1:15">
      <c r="A431" s="129">
        <v>44333</v>
      </c>
      <c r="B431" s="17" t="s">
        <v>1285</v>
      </c>
      <c r="C431" s="31" t="s">
        <v>8929</v>
      </c>
      <c r="D431" s="185" t="s">
        <v>9986</v>
      </c>
      <c r="E431" s="187"/>
      <c r="F431" s="187"/>
      <c r="G431" s="187"/>
      <c r="H431" s="187"/>
      <c r="I431" s="187"/>
      <c r="J431" s="187"/>
      <c r="K431" s="187"/>
      <c r="L431" s="173"/>
      <c r="M431" s="73"/>
      <c r="N431" s="120"/>
      <c r="O431" s="187"/>
    </row>
    <row r="432" spans="1:15">
      <c r="A432" s="129">
        <v>44334</v>
      </c>
      <c r="B432" s="17" t="s">
        <v>280</v>
      </c>
      <c r="C432" s="31" t="s">
        <v>8929</v>
      </c>
      <c r="D432" s="185" t="s">
        <v>9986</v>
      </c>
      <c r="E432" s="187"/>
      <c r="F432" s="187"/>
      <c r="G432" s="187"/>
      <c r="H432" s="187"/>
      <c r="I432" s="187"/>
      <c r="J432" s="187"/>
      <c r="K432" s="187"/>
      <c r="L432" s="173"/>
      <c r="M432" s="73"/>
      <c r="N432" s="120"/>
      <c r="O432" s="187"/>
    </row>
    <row r="433" spans="1:15">
      <c r="A433" s="129">
        <v>44335</v>
      </c>
      <c r="B433" s="17" t="s">
        <v>1019</v>
      </c>
      <c r="C433" s="31" t="s">
        <v>8929</v>
      </c>
      <c r="D433" s="185" t="s">
        <v>9986</v>
      </c>
      <c r="E433" s="187"/>
      <c r="F433" s="187"/>
      <c r="G433" s="187"/>
      <c r="H433" s="187"/>
      <c r="I433" s="187"/>
      <c r="J433" s="187"/>
      <c r="K433" s="187"/>
      <c r="L433" s="173"/>
      <c r="M433" s="73"/>
      <c r="N433" s="120"/>
      <c r="O433" s="187"/>
    </row>
    <row r="434" spans="1:15">
      <c r="A434" s="129">
        <v>44335</v>
      </c>
      <c r="B434" s="84" t="s">
        <v>2735</v>
      </c>
      <c r="C434" s="31" t="s">
        <v>8929</v>
      </c>
      <c r="D434" s="185" t="s">
        <v>9986</v>
      </c>
      <c r="E434" s="187"/>
      <c r="F434" s="187"/>
      <c r="G434" s="187"/>
      <c r="H434" s="187"/>
      <c r="I434" s="187"/>
      <c r="J434" s="187"/>
      <c r="K434" s="187"/>
      <c r="L434" s="173"/>
      <c r="M434" s="73"/>
      <c r="N434" s="120"/>
      <c r="O434" s="187"/>
    </row>
    <row r="435" spans="1:15">
      <c r="A435" s="129">
        <v>44336</v>
      </c>
      <c r="B435" s="17" t="s">
        <v>140</v>
      </c>
      <c r="C435" s="31" t="s">
        <v>8929</v>
      </c>
      <c r="D435" s="185" t="s">
        <v>9986</v>
      </c>
      <c r="E435" s="187" t="s">
        <v>9998</v>
      </c>
      <c r="F435" s="187"/>
      <c r="G435" s="187"/>
      <c r="H435" s="187"/>
      <c r="I435" s="187"/>
      <c r="J435" s="187"/>
      <c r="K435" s="187"/>
      <c r="L435" s="173"/>
      <c r="M435" s="73"/>
      <c r="N435" s="120"/>
      <c r="O435" s="187"/>
    </row>
    <row r="436" spans="1:15">
      <c r="A436" s="129">
        <v>44336</v>
      </c>
      <c r="B436" s="17" t="s">
        <v>1002</v>
      </c>
      <c r="C436" s="31" t="s">
        <v>8929</v>
      </c>
      <c r="D436" s="185" t="s">
        <v>9986</v>
      </c>
      <c r="E436" s="187" t="s">
        <v>10004</v>
      </c>
      <c r="F436" s="187"/>
      <c r="G436" s="187"/>
      <c r="H436" s="187"/>
      <c r="I436" s="187"/>
      <c r="J436" s="187"/>
      <c r="K436" s="187"/>
      <c r="L436" s="173"/>
      <c r="M436" s="73"/>
      <c r="N436" s="120"/>
      <c r="O436" s="187"/>
    </row>
    <row r="437" spans="1:15">
      <c r="A437" s="129">
        <v>44336</v>
      </c>
      <c r="B437" s="17" t="s">
        <v>15098</v>
      </c>
      <c r="C437" s="31" t="s">
        <v>8929</v>
      </c>
      <c r="D437" s="185" t="s">
        <v>9986</v>
      </c>
      <c r="E437" s="187" t="s">
        <v>10209</v>
      </c>
      <c r="F437" s="187"/>
      <c r="G437" s="187"/>
      <c r="H437" s="187"/>
      <c r="I437" s="187"/>
      <c r="J437" s="187"/>
      <c r="K437" s="187"/>
      <c r="L437" s="173"/>
      <c r="M437" s="73"/>
      <c r="N437" s="120"/>
      <c r="O437" s="187"/>
    </row>
    <row r="438" spans="1:15">
      <c r="A438" s="129">
        <v>44336</v>
      </c>
      <c r="B438" s="17" t="s">
        <v>15099</v>
      </c>
      <c r="C438" s="31" t="s">
        <v>8929</v>
      </c>
      <c r="D438" s="185" t="s">
        <v>9986</v>
      </c>
      <c r="E438" s="187" t="s">
        <v>10026</v>
      </c>
      <c r="F438" s="187"/>
      <c r="G438" s="187"/>
      <c r="H438" s="187"/>
      <c r="I438" s="187"/>
      <c r="J438" s="187"/>
      <c r="K438" s="187"/>
      <c r="L438" s="173"/>
      <c r="M438" s="73"/>
      <c r="N438" s="120"/>
      <c r="O438" s="187"/>
    </row>
    <row r="439" spans="1:15">
      <c r="A439" s="129">
        <v>44336</v>
      </c>
      <c r="B439" s="17" t="s">
        <v>1605</v>
      </c>
      <c r="C439" s="31" t="s">
        <v>8929</v>
      </c>
      <c r="D439" s="185" t="s">
        <v>9986</v>
      </c>
      <c r="E439" s="187" t="s">
        <v>10004</v>
      </c>
      <c r="F439" s="187"/>
      <c r="G439" s="187"/>
      <c r="H439" s="187"/>
      <c r="I439" s="187"/>
      <c r="J439" s="187"/>
      <c r="K439" s="187"/>
      <c r="L439" s="173"/>
      <c r="M439" s="73"/>
      <c r="N439" s="120"/>
      <c r="O439" s="187"/>
    </row>
    <row r="440" spans="1:15">
      <c r="A440" s="129">
        <v>44336</v>
      </c>
      <c r="B440" s="17" t="s">
        <v>465</v>
      </c>
      <c r="C440" s="31" t="s">
        <v>8929</v>
      </c>
      <c r="D440" s="185" t="s">
        <v>9986</v>
      </c>
      <c r="E440" s="187" t="s">
        <v>10026</v>
      </c>
      <c r="F440" s="187"/>
      <c r="G440" s="187"/>
      <c r="H440" s="187"/>
      <c r="I440" s="187"/>
      <c r="J440" s="187"/>
      <c r="K440" s="187"/>
      <c r="L440" s="173"/>
      <c r="M440" s="73"/>
      <c r="N440" s="120"/>
      <c r="O440" s="187"/>
    </row>
    <row r="441" spans="1:15">
      <c r="A441" s="129">
        <v>44336</v>
      </c>
      <c r="B441" s="17" t="s">
        <v>2737</v>
      </c>
      <c r="C441" s="31" t="s">
        <v>8929</v>
      </c>
      <c r="D441" s="185" t="s">
        <v>9986</v>
      </c>
      <c r="E441" s="187"/>
      <c r="F441" s="187"/>
      <c r="G441" s="187"/>
      <c r="H441" s="187"/>
      <c r="I441" s="187"/>
      <c r="J441" s="187"/>
      <c r="K441" s="187"/>
      <c r="L441" s="173"/>
      <c r="M441" s="73"/>
      <c r="N441" s="120"/>
      <c r="O441" s="187"/>
    </row>
    <row r="442" spans="1:15">
      <c r="A442" s="129">
        <v>44337</v>
      </c>
      <c r="B442" s="17" t="s">
        <v>1663</v>
      </c>
      <c r="C442" s="31" t="s">
        <v>8929</v>
      </c>
      <c r="D442" s="185" t="s">
        <v>9986</v>
      </c>
      <c r="E442" s="187"/>
      <c r="F442" s="187"/>
      <c r="G442" s="187"/>
      <c r="H442" s="187"/>
      <c r="I442" s="187"/>
      <c r="J442" s="187"/>
      <c r="K442" s="187"/>
      <c r="L442" s="173"/>
      <c r="M442" s="73"/>
      <c r="N442" s="120"/>
      <c r="O442" s="187"/>
    </row>
    <row r="443" spans="1:15">
      <c r="A443" s="129">
        <v>44337</v>
      </c>
      <c r="B443" s="17" t="s">
        <v>1738</v>
      </c>
      <c r="C443" s="31" t="s">
        <v>8929</v>
      </c>
      <c r="D443" s="185" t="s">
        <v>9986</v>
      </c>
      <c r="E443" s="187" t="s">
        <v>15100</v>
      </c>
      <c r="F443" s="187"/>
      <c r="G443" s="187"/>
      <c r="H443" s="187"/>
      <c r="I443" s="187"/>
      <c r="J443" s="187"/>
      <c r="K443" s="187"/>
      <c r="L443" s="173"/>
      <c r="M443" s="73"/>
      <c r="N443" s="120"/>
      <c r="O443" s="187"/>
    </row>
    <row r="444" spans="1:15">
      <c r="A444" s="129">
        <v>44340</v>
      </c>
      <c r="B444" s="17" t="s">
        <v>1630</v>
      </c>
      <c r="C444" s="31" t="s">
        <v>8929</v>
      </c>
      <c r="D444" s="185" t="s">
        <v>9986</v>
      </c>
      <c r="E444" s="187" t="s">
        <v>10004</v>
      </c>
      <c r="F444" s="187"/>
      <c r="G444" s="187"/>
      <c r="H444" s="187"/>
      <c r="I444" s="187"/>
      <c r="J444" s="187"/>
      <c r="K444" s="187"/>
      <c r="L444" s="173"/>
      <c r="M444" s="73"/>
      <c r="N444" s="120"/>
      <c r="O444" s="187"/>
    </row>
    <row r="445" spans="1:15">
      <c r="A445" s="129">
        <v>44340</v>
      </c>
      <c r="B445" s="17" t="s">
        <v>960</v>
      </c>
      <c r="C445" s="31" t="s">
        <v>8929</v>
      </c>
      <c r="D445" s="185" t="s">
        <v>9986</v>
      </c>
      <c r="E445" s="187" t="s">
        <v>10007</v>
      </c>
      <c r="F445" s="187"/>
      <c r="G445" s="187"/>
      <c r="H445" s="187"/>
      <c r="I445" s="187"/>
      <c r="J445" s="187"/>
      <c r="K445" s="187"/>
      <c r="L445" s="173"/>
      <c r="M445" s="73"/>
      <c r="N445" s="120"/>
      <c r="O445" s="187"/>
    </row>
    <row r="446" spans="1:15">
      <c r="A446" s="129">
        <v>44341</v>
      </c>
      <c r="B446" s="202" t="s">
        <v>307</v>
      </c>
      <c r="C446" s="31" t="s">
        <v>8929</v>
      </c>
      <c r="D446" s="185" t="s">
        <v>9986</v>
      </c>
      <c r="E446" s="187" t="s">
        <v>10007</v>
      </c>
      <c r="F446" s="187"/>
      <c r="G446" s="187"/>
      <c r="H446" s="187"/>
      <c r="I446" s="187"/>
      <c r="J446" s="187"/>
      <c r="K446" s="187"/>
      <c r="L446" s="173"/>
      <c r="M446" s="73"/>
      <c r="N446" s="120"/>
      <c r="O446" s="187"/>
    </row>
    <row r="447" spans="1:15">
      <c r="A447" s="129">
        <v>44341</v>
      </c>
      <c r="B447" s="17" t="s">
        <v>2055</v>
      </c>
      <c r="C447" s="149" t="s">
        <v>8929</v>
      </c>
      <c r="D447" s="149" t="s">
        <v>9986</v>
      </c>
      <c r="E447" s="149" t="s">
        <v>10007</v>
      </c>
      <c r="F447" s="187"/>
      <c r="G447" s="187"/>
      <c r="H447" s="187"/>
      <c r="I447" s="187"/>
      <c r="J447" s="187"/>
      <c r="K447" s="187"/>
      <c r="L447" s="173"/>
      <c r="M447" s="73"/>
      <c r="N447" s="120"/>
      <c r="O447" s="187"/>
    </row>
    <row r="448" spans="1:15">
      <c r="A448" s="248">
        <v>44341</v>
      </c>
      <c r="B448" s="17" t="s">
        <v>370</v>
      </c>
      <c r="C448" s="149" t="s">
        <v>8929</v>
      </c>
      <c r="D448" s="149" t="s">
        <v>9986</v>
      </c>
      <c r="E448" s="149" t="s">
        <v>10004</v>
      </c>
      <c r="F448" s="187"/>
      <c r="G448" s="187"/>
      <c r="H448" s="187"/>
      <c r="I448" s="187"/>
      <c r="J448" s="187"/>
      <c r="K448" s="187"/>
      <c r="L448" s="173"/>
      <c r="M448" s="73"/>
      <c r="N448" s="120"/>
      <c r="O448" s="187"/>
    </row>
    <row r="449" spans="1:15">
      <c r="A449" s="129">
        <v>44341</v>
      </c>
      <c r="B449" s="17" t="s">
        <v>1146</v>
      </c>
      <c r="C449" s="149" t="s">
        <v>8929</v>
      </c>
      <c r="D449" s="149" t="s">
        <v>9986</v>
      </c>
      <c r="E449" s="149"/>
      <c r="F449" s="187"/>
      <c r="G449" s="187"/>
      <c r="H449" s="187"/>
      <c r="I449" s="187"/>
      <c r="J449" s="187"/>
      <c r="K449" s="187"/>
      <c r="L449" s="173"/>
      <c r="M449" s="73"/>
      <c r="N449" s="120"/>
      <c r="O449" s="187"/>
    </row>
    <row r="450" spans="1:15">
      <c r="A450" s="129">
        <v>44342</v>
      </c>
      <c r="B450" s="192" t="s">
        <v>15101</v>
      </c>
      <c r="C450" s="149" t="s">
        <v>8929</v>
      </c>
      <c r="D450" s="149" t="s">
        <v>9986</v>
      </c>
      <c r="E450" s="149"/>
      <c r="F450" s="187"/>
      <c r="G450" s="187"/>
      <c r="H450" s="187"/>
      <c r="I450" s="187"/>
      <c r="J450" s="187"/>
      <c r="K450" s="187"/>
      <c r="L450" s="173"/>
      <c r="M450" s="73"/>
      <c r="N450" s="120"/>
      <c r="O450" s="187"/>
    </row>
    <row r="451" spans="1:15">
      <c r="A451" s="129">
        <v>44344</v>
      </c>
      <c r="B451" s="263" t="s">
        <v>2736</v>
      </c>
      <c r="C451" s="149" t="s">
        <v>8929</v>
      </c>
      <c r="D451" s="149" t="s">
        <v>9986</v>
      </c>
      <c r="E451" s="149"/>
      <c r="F451" s="187"/>
      <c r="G451" s="187"/>
      <c r="H451" s="187"/>
      <c r="I451" s="187"/>
      <c r="J451" s="187"/>
      <c r="K451" s="187"/>
      <c r="L451" s="173"/>
      <c r="M451" s="73"/>
      <c r="N451" s="120"/>
      <c r="O451" s="187"/>
    </row>
    <row r="452" spans="1:15">
      <c r="A452" s="129">
        <v>44344</v>
      </c>
      <c r="B452" s="149" t="s">
        <v>15102</v>
      </c>
      <c r="C452" s="149" t="s">
        <v>8929</v>
      </c>
      <c r="D452" s="149" t="s">
        <v>9986</v>
      </c>
      <c r="E452" s="149"/>
      <c r="F452" s="187"/>
      <c r="G452" s="187"/>
      <c r="H452" s="187"/>
      <c r="I452" s="187"/>
      <c r="J452" s="187"/>
      <c r="K452" s="187"/>
      <c r="L452" s="173"/>
      <c r="M452" s="73"/>
      <c r="N452" s="120"/>
      <c r="O452" s="187"/>
    </row>
    <row r="453" spans="1:15">
      <c r="A453" s="129">
        <v>44344</v>
      </c>
      <c r="B453" s="17" t="s">
        <v>1202</v>
      </c>
      <c r="C453" s="149" t="s">
        <v>8929</v>
      </c>
      <c r="D453" s="149" t="s">
        <v>9986</v>
      </c>
      <c r="E453" s="149" t="s">
        <v>10209</v>
      </c>
      <c r="F453" s="187"/>
      <c r="G453" s="187"/>
      <c r="H453" s="187"/>
      <c r="I453" s="187"/>
      <c r="J453" s="187"/>
      <c r="K453" s="187"/>
      <c r="L453" s="173"/>
      <c r="M453" s="73"/>
      <c r="N453" s="120"/>
      <c r="O453" s="187"/>
    </row>
    <row r="454" spans="1:15">
      <c r="A454" s="129">
        <v>44347</v>
      </c>
      <c r="B454" s="17" t="s">
        <v>2186</v>
      </c>
      <c r="C454" s="149" t="s">
        <v>8929</v>
      </c>
      <c r="D454" s="149" t="s">
        <v>9986</v>
      </c>
      <c r="E454" s="149" t="s">
        <v>10004</v>
      </c>
      <c r="F454" s="187"/>
      <c r="G454" s="187"/>
      <c r="H454" s="187"/>
      <c r="I454" s="187"/>
      <c r="J454" s="187"/>
      <c r="K454" s="187"/>
      <c r="L454" s="173"/>
      <c r="M454" s="73"/>
      <c r="N454" s="120"/>
      <c r="O454" s="187"/>
    </row>
    <row r="455" spans="1:15">
      <c r="A455" s="129">
        <v>44347</v>
      </c>
      <c r="B455" s="202" t="s">
        <v>1571</v>
      </c>
      <c r="C455" s="149" t="s">
        <v>8929</v>
      </c>
      <c r="D455" s="149" t="s">
        <v>9986</v>
      </c>
      <c r="E455" s="149" t="s">
        <v>10004</v>
      </c>
      <c r="F455" s="187"/>
      <c r="G455" s="187"/>
      <c r="H455" s="187"/>
      <c r="I455" s="187"/>
      <c r="J455" s="187"/>
      <c r="K455" s="187"/>
      <c r="L455" s="173"/>
      <c r="M455" s="73"/>
      <c r="N455" s="120"/>
      <c r="O455" s="187"/>
    </row>
    <row r="456" spans="1:15">
      <c r="A456" s="129">
        <v>44347</v>
      </c>
      <c r="B456" s="192" t="s">
        <v>1580</v>
      </c>
      <c r="C456" s="149" t="s">
        <v>8929</v>
      </c>
      <c r="D456" s="149" t="s">
        <v>9986</v>
      </c>
      <c r="E456" s="149" t="s">
        <v>9999</v>
      </c>
      <c r="F456" s="187"/>
      <c r="G456" s="187"/>
      <c r="H456" s="187"/>
      <c r="I456" s="187"/>
      <c r="J456" s="187"/>
      <c r="K456" s="187"/>
      <c r="L456" s="173"/>
      <c r="M456" s="73"/>
      <c r="N456" s="120"/>
      <c r="O456" s="187"/>
    </row>
    <row r="457" spans="1:15">
      <c r="A457" s="129">
        <v>44347</v>
      </c>
      <c r="B457" s="266" t="s">
        <v>1635</v>
      </c>
      <c r="C457" s="149" t="s">
        <v>8929</v>
      </c>
      <c r="D457" s="149" t="s">
        <v>9986</v>
      </c>
      <c r="E457" s="149" t="s">
        <v>9999</v>
      </c>
      <c r="F457" s="187"/>
      <c r="G457" s="187"/>
      <c r="H457" s="187"/>
      <c r="I457" s="187"/>
      <c r="J457" s="187"/>
      <c r="K457" s="187"/>
      <c r="L457" s="173"/>
      <c r="M457" s="73"/>
      <c r="N457" s="120"/>
      <c r="O457" s="187"/>
    </row>
    <row r="458" spans="1:15">
      <c r="A458" s="129">
        <v>44347</v>
      </c>
      <c r="B458" s="192" t="s">
        <v>2280</v>
      </c>
      <c r="C458" s="31" t="s">
        <v>8929</v>
      </c>
      <c r="D458" s="185" t="s">
        <v>9986</v>
      </c>
      <c r="E458" s="187" t="s">
        <v>9999</v>
      </c>
      <c r="F458" s="187"/>
      <c r="G458" s="187"/>
      <c r="H458" s="187"/>
      <c r="I458" s="187"/>
      <c r="J458" s="187"/>
      <c r="K458" s="187"/>
      <c r="L458" s="173"/>
      <c r="M458" s="73"/>
      <c r="N458" s="120"/>
      <c r="O458" s="187"/>
    </row>
    <row r="459" spans="1:15">
      <c r="A459" s="129"/>
      <c r="B459" s="219" t="s">
        <v>2738</v>
      </c>
      <c r="C459" s="31"/>
      <c r="D459" s="185"/>
      <c r="E459" s="187"/>
      <c r="F459" s="187"/>
      <c r="G459" s="187"/>
      <c r="H459" s="187"/>
      <c r="I459" s="187"/>
      <c r="J459" s="187"/>
      <c r="K459" s="187"/>
      <c r="L459" s="173"/>
      <c r="M459" s="73"/>
      <c r="N459" s="120"/>
      <c r="O459" s="187"/>
    </row>
    <row r="460" spans="1:15">
      <c r="A460" s="129">
        <v>44348</v>
      </c>
      <c r="B460" s="266" t="s">
        <v>2275</v>
      </c>
      <c r="C460" s="31" t="s">
        <v>8929</v>
      </c>
      <c r="D460" s="185" t="s">
        <v>2738</v>
      </c>
      <c r="E460" s="187" t="s">
        <v>10209</v>
      </c>
      <c r="F460" s="187"/>
      <c r="G460" s="187"/>
      <c r="H460" s="187"/>
      <c r="I460" s="187"/>
      <c r="J460" s="187"/>
      <c r="K460" s="187"/>
      <c r="L460" s="173"/>
      <c r="M460" s="73"/>
      <c r="N460" s="120"/>
      <c r="O460" s="187"/>
    </row>
    <row r="461" spans="1:15">
      <c r="A461" s="129">
        <v>44349</v>
      </c>
      <c r="B461" s="266" t="s">
        <v>2269</v>
      </c>
      <c r="C461" s="31" t="s">
        <v>8929</v>
      </c>
      <c r="D461" s="185" t="s">
        <v>10003</v>
      </c>
      <c r="E461" s="187" t="s">
        <v>10026</v>
      </c>
      <c r="F461" s="187"/>
      <c r="G461" s="187"/>
      <c r="H461" s="187"/>
      <c r="I461" s="187"/>
      <c r="J461" s="187"/>
      <c r="K461" s="187"/>
      <c r="L461" s="173"/>
      <c r="M461" s="73"/>
      <c r="N461" s="120"/>
      <c r="O461" s="187"/>
    </row>
    <row r="462" spans="1:15">
      <c r="A462" s="129">
        <v>44349</v>
      </c>
      <c r="B462" s="266" t="s">
        <v>2284</v>
      </c>
      <c r="C462" s="39" t="s">
        <v>8929</v>
      </c>
      <c r="D462" s="185" t="s">
        <v>10003</v>
      </c>
      <c r="E462" s="268" t="s">
        <v>9999</v>
      </c>
      <c r="F462" s="187"/>
      <c r="G462" s="187"/>
      <c r="H462" s="187"/>
      <c r="I462" s="187"/>
      <c r="J462" s="187"/>
      <c r="K462" s="187"/>
      <c r="L462" s="173"/>
      <c r="M462" s="73"/>
      <c r="N462" s="120"/>
      <c r="O462" s="187"/>
    </row>
    <row r="463" spans="1:15">
      <c r="A463" s="129">
        <v>44351</v>
      </c>
      <c r="B463" s="192" t="s">
        <v>15103</v>
      </c>
      <c r="C463" s="31" t="s">
        <v>8929</v>
      </c>
      <c r="D463" s="185" t="s">
        <v>10003</v>
      </c>
      <c r="E463" s="187" t="s">
        <v>9999</v>
      </c>
      <c r="F463" s="187"/>
      <c r="G463" s="187"/>
      <c r="H463" s="187"/>
      <c r="I463" s="187"/>
      <c r="J463" s="187"/>
      <c r="K463" s="187"/>
      <c r="L463" s="173"/>
      <c r="M463" s="73"/>
      <c r="N463" s="120"/>
      <c r="O463" s="187"/>
    </row>
    <row r="464" spans="1:15">
      <c r="A464" s="129">
        <v>44351</v>
      </c>
      <c r="B464" s="269" t="s">
        <v>1155</v>
      </c>
      <c r="C464" s="39" t="s">
        <v>8929</v>
      </c>
      <c r="D464" s="185" t="s">
        <v>10003</v>
      </c>
      <c r="E464" s="187" t="s">
        <v>10026</v>
      </c>
      <c r="F464" s="187"/>
      <c r="G464" s="187"/>
      <c r="H464" s="187"/>
      <c r="I464" s="187"/>
      <c r="J464" s="187"/>
      <c r="K464" s="187"/>
      <c r="L464" s="173"/>
      <c r="M464" s="73"/>
      <c r="N464" s="120"/>
      <c r="O464" s="187"/>
    </row>
    <row r="465" spans="1:15">
      <c r="A465" s="129">
        <v>44351</v>
      </c>
      <c r="B465" s="192" t="s">
        <v>15104</v>
      </c>
      <c r="C465" s="143" t="s">
        <v>8929</v>
      </c>
      <c r="D465" s="185" t="s">
        <v>10003</v>
      </c>
      <c r="E465" s="187" t="s">
        <v>9996</v>
      </c>
      <c r="F465" s="187"/>
      <c r="G465" s="187"/>
      <c r="H465" s="187"/>
      <c r="I465" s="187"/>
      <c r="J465" s="187"/>
      <c r="K465" s="187"/>
      <c r="L465" s="173"/>
      <c r="M465" s="73"/>
      <c r="N465" s="120"/>
      <c r="O465" s="187"/>
    </row>
    <row r="466" spans="1:15">
      <c r="A466" s="129">
        <v>44351</v>
      </c>
      <c r="B466" s="192" t="s">
        <v>15105</v>
      </c>
      <c r="C466" s="143" t="s">
        <v>8929</v>
      </c>
      <c r="D466" s="185" t="s">
        <v>10003</v>
      </c>
      <c r="E466" s="187" t="s">
        <v>9996</v>
      </c>
      <c r="F466" s="187"/>
      <c r="G466" s="187"/>
      <c r="H466" s="187"/>
      <c r="I466" s="187"/>
      <c r="J466" s="187"/>
      <c r="K466" s="187"/>
      <c r="L466" s="173"/>
      <c r="M466" s="73"/>
      <c r="N466" s="120"/>
      <c r="O466" s="187"/>
    </row>
    <row r="467" spans="1:15">
      <c r="A467" s="129">
        <v>44351</v>
      </c>
      <c r="B467" s="266" t="s">
        <v>1517</v>
      </c>
      <c r="C467" s="143" t="s">
        <v>8929</v>
      </c>
      <c r="D467" s="185" t="s">
        <v>10003</v>
      </c>
      <c r="E467" s="187" t="s">
        <v>9996</v>
      </c>
      <c r="F467" s="187"/>
      <c r="G467" s="187"/>
      <c r="H467" s="187"/>
      <c r="I467" s="187"/>
      <c r="J467" s="187"/>
      <c r="K467" s="187"/>
      <c r="L467" s="173"/>
      <c r="M467" s="73"/>
      <c r="N467" s="120"/>
      <c r="O467" s="187"/>
    </row>
    <row r="468" spans="1:15">
      <c r="A468" s="129">
        <v>44352</v>
      </c>
      <c r="B468" s="240" t="s">
        <v>340</v>
      </c>
      <c r="C468" s="39" t="s">
        <v>8929</v>
      </c>
      <c r="D468" s="185" t="s">
        <v>10003</v>
      </c>
      <c r="E468" s="187" t="s">
        <v>10026</v>
      </c>
      <c r="F468" s="187"/>
      <c r="G468" s="187"/>
      <c r="H468" s="187"/>
      <c r="I468" s="187"/>
      <c r="J468" s="187"/>
      <c r="K468" s="187"/>
      <c r="L468" s="173"/>
      <c r="M468" s="73"/>
      <c r="N468" s="120"/>
      <c r="O468" s="187"/>
    </row>
    <row r="469" spans="1:15">
      <c r="A469" s="129">
        <v>44352</v>
      </c>
      <c r="B469" s="17" t="s">
        <v>302</v>
      </c>
      <c r="C469" s="31" t="s">
        <v>8929</v>
      </c>
      <c r="D469" s="185" t="s">
        <v>2738</v>
      </c>
      <c r="E469" s="187" t="s">
        <v>10026</v>
      </c>
      <c r="F469" s="187"/>
      <c r="G469" s="187"/>
      <c r="H469" s="187"/>
      <c r="I469" s="187"/>
      <c r="J469" s="187"/>
      <c r="K469" s="187"/>
      <c r="L469" s="173"/>
      <c r="M469" s="73"/>
      <c r="N469" s="120"/>
      <c r="O469" s="187"/>
    </row>
    <row r="470" spans="1:15">
      <c r="A470" s="129">
        <v>44352</v>
      </c>
      <c r="B470" s="17" t="s">
        <v>2978</v>
      </c>
      <c r="C470" s="31" t="s">
        <v>8929</v>
      </c>
      <c r="D470" s="185" t="s">
        <v>2738</v>
      </c>
      <c r="E470" s="187" t="s">
        <v>9996</v>
      </c>
      <c r="F470" s="187"/>
      <c r="G470" s="187"/>
      <c r="H470" s="187"/>
      <c r="I470" s="187"/>
      <c r="J470" s="187"/>
      <c r="K470" s="187"/>
      <c r="L470" s="173"/>
      <c r="M470" s="73"/>
      <c r="N470" s="120"/>
      <c r="O470" s="187"/>
    </row>
    <row r="471" spans="1:15">
      <c r="A471" s="129">
        <v>44352</v>
      </c>
      <c r="B471" s="17" t="s">
        <v>15106</v>
      </c>
      <c r="C471" s="31" t="s">
        <v>8929</v>
      </c>
      <c r="D471" s="185" t="s">
        <v>2738</v>
      </c>
      <c r="E471" s="187" t="s">
        <v>9996</v>
      </c>
      <c r="F471" s="187"/>
      <c r="G471" s="187"/>
      <c r="H471" s="187"/>
      <c r="I471" s="187"/>
      <c r="J471" s="187"/>
      <c r="K471" s="187"/>
      <c r="L471" s="173"/>
      <c r="M471" s="73"/>
      <c r="N471" s="120"/>
      <c r="O471" s="187"/>
    </row>
    <row r="472" spans="1:15">
      <c r="A472" s="129">
        <v>44352</v>
      </c>
      <c r="B472" s="17" t="s">
        <v>15107</v>
      </c>
      <c r="C472" s="31" t="s">
        <v>8929</v>
      </c>
      <c r="D472" s="185" t="s">
        <v>10003</v>
      </c>
      <c r="E472" s="187" t="s">
        <v>15108</v>
      </c>
      <c r="F472" s="187"/>
      <c r="G472" s="187"/>
      <c r="H472" s="187"/>
      <c r="I472" s="187"/>
      <c r="J472" s="187"/>
      <c r="K472" s="187"/>
      <c r="L472" s="173"/>
      <c r="M472" s="73"/>
      <c r="N472" s="120"/>
      <c r="O472" s="187"/>
    </row>
    <row r="473" spans="1:15">
      <c r="A473" s="129">
        <v>44352</v>
      </c>
      <c r="B473" s="17" t="s">
        <v>1007</v>
      </c>
      <c r="C473" s="39" t="s">
        <v>8929</v>
      </c>
      <c r="D473" s="185" t="s">
        <v>10003</v>
      </c>
      <c r="E473" s="187" t="s">
        <v>10002</v>
      </c>
      <c r="F473" s="187"/>
      <c r="G473" s="187"/>
      <c r="H473" s="187"/>
      <c r="I473" s="187"/>
      <c r="J473" s="187"/>
      <c r="K473" s="187"/>
      <c r="L473" s="173"/>
      <c r="M473" s="73"/>
      <c r="N473" s="120"/>
      <c r="O473" s="187"/>
    </row>
    <row r="474" spans="1:15">
      <c r="A474" s="129">
        <v>44352</v>
      </c>
      <c r="B474" s="17" t="s">
        <v>1308</v>
      </c>
      <c r="C474" s="31" t="s">
        <v>8929</v>
      </c>
      <c r="D474" s="185" t="s">
        <v>10003</v>
      </c>
      <c r="E474" s="187" t="s">
        <v>10004</v>
      </c>
      <c r="F474" s="187"/>
      <c r="G474" s="187"/>
      <c r="H474" s="187"/>
      <c r="I474" s="187"/>
      <c r="J474" s="187"/>
      <c r="K474" s="187"/>
      <c r="L474" s="173"/>
      <c r="M474" s="73"/>
      <c r="N474" s="120"/>
      <c r="O474" s="187"/>
    </row>
    <row r="475" spans="1:15">
      <c r="A475" s="129">
        <v>44354</v>
      </c>
      <c r="B475" s="17" t="s">
        <v>15109</v>
      </c>
      <c r="C475" s="31" t="s">
        <v>8929</v>
      </c>
      <c r="D475" s="185" t="s">
        <v>10003</v>
      </c>
      <c r="E475" s="187" t="s">
        <v>9998</v>
      </c>
      <c r="F475" s="187"/>
      <c r="G475" s="187"/>
      <c r="H475" s="187"/>
      <c r="I475" s="187"/>
      <c r="J475" s="187"/>
      <c r="K475" s="187"/>
      <c r="L475" s="173"/>
      <c r="M475" s="73"/>
      <c r="N475" s="120"/>
      <c r="O475" s="187"/>
    </row>
    <row r="476" spans="1:15">
      <c r="A476" s="129">
        <v>44354</v>
      </c>
      <c r="B476" s="17" t="s">
        <v>15110</v>
      </c>
      <c r="C476" s="31" t="s">
        <v>8929</v>
      </c>
      <c r="D476" s="185"/>
      <c r="E476" s="187"/>
      <c r="F476" s="187"/>
      <c r="G476" s="187"/>
      <c r="H476" s="187"/>
      <c r="I476" s="187"/>
      <c r="J476" s="187"/>
      <c r="K476" s="187"/>
      <c r="L476" s="173"/>
      <c r="M476" s="73"/>
      <c r="N476" s="120"/>
      <c r="O476" s="187"/>
    </row>
    <row r="477" spans="1:15">
      <c r="A477" s="129">
        <v>44355</v>
      </c>
      <c r="B477" s="17" t="s">
        <v>1689</v>
      </c>
      <c r="C477" s="31" t="s">
        <v>8929</v>
      </c>
      <c r="D477" s="185" t="s">
        <v>10003</v>
      </c>
      <c r="E477" s="187" t="s">
        <v>9998</v>
      </c>
      <c r="F477" s="187"/>
      <c r="G477" s="187"/>
      <c r="H477" s="187"/>
      <c r="I477" s="187"/>
      <c r="J477" s="187"/>
      <c r="K477" s="187"/>
      <c r="L477" s="173"/>
      <c r="M477" s="73"/>
      <c r="N477" s="120"/>
      <c r="O477" s="187"/>
    </row>
    <row r="478" spans="1:15">
      <c r="A478" s="248">
        <v>44355</v>
      </c>
      <c r="B478" s="17" t="s">
        <v>2181</v>
      </c>
      <c r="C478" s="39" t="s">
        <v>8929</v>
      </c>
      <c r="D478" s="237" t="s">
        <v>2738</v>
      </c>
      <c r="E478" s="187" t="s">
        <v>9999</v>
      </c>
      <c r="F478" s="187"/>
      <c r="G478" s="187"/>
      <c r="H478" s="187"/>
      <c r="I478" s="187"/>
      <c r="J478" s="187"/>
      <c r="K478" s="187"/>
      <c r="L478" s="173"/>
      <c r="M478" s="73"/>
      <c r="N478" s="120"/>
      <c r="O478" s="187"/>
    </row>
    <row r="479" spans="1:15">
      <c r="A479" s="129">
        <v>44355</v>
      </c>
      <c r="B479" s="17" t="s">
        <v>1047</v>
      </c>
      <c r="C479" s="31" t="s">
        <v>8929</v>
      </c>
      <c r="D479" s="185" t="s">
        <v>2738</v>
      </c>
      <c r="E479" s="187" t="s">
        <v>10007</v>
      </c>
      <c r="F479" s="187"/>
      <c r="G479" s="187"/>
      <c r="H479" s="187"/>
      <c r="I479" s="187"/>
      <c r="J479" s="187"/>
      <c r="K479" s="187"/>
      <c r="L479" s="173"/>
      <c r="M479" s="73"/>
      <c r="N479" s="120"/>
      <c r="O479" s="187"/>
    </row>
    <row r="480" spans="1:15">
      <c r="A480" s="129">
        <v>44356</v>
      </c>
      <c r="B480" s="17" t="s">
        <v>1304</v>
      </c>
      <c r="C480" s="31" t="s">
        <v>8929</v>
      </c>
      <c r="D480" s="185" t="s">
        <v>10003</v>
      </c>
      <c r="E480" s="187" t="s">
        <v>9998</v>
      </c>
      <c r="F480" s="187"/>
      <c r="G480" s="187"/>
      <c r="H480" s="187"/>
      <c r="I480" s="187"/>
      <c r="J480" s="187"/>
      <c r="K480" s="187"/>
      <c r="L480" s="173"/>
      <c r="M480" s="73"/>
      <c r="N480" s="120"/>
      <c r="O480" s="187"/>
    </row>
    <row r="481" spans="1:15">
      <c r="A481" s="129">
        <v>44357</v>
      </c>
      <c r="B481" s="17" t="s">
        <v>882</v>
      </c>
      <c r="C481" s="39" t="s">
        <v>8929</v>
      </c>
      <c r="D481" s="185" t="s">
        <v>10003</v>
      </c>
      <c r="E481" s="187" t="s">
        <v>10004</v>
      </c>
      <c r="F481" s="187"/>
      <c r="G481" s="187"/>
      <c r="H481" s="187"/>
      <c r="I481" s="187"/>
      <c r="J481" s="187"/>
      <c r="K481" s="187"/>
      <c r="L481" s="173"/>
      <c r="M481" s="73"/>
      <c r="N481" s="120"/>
      <c r="O481" s="187"/>
    </row>
    <row r="482" spans="1:15">
      <c r="A482" s="129">
        <v>44357</v>
      </c>
      <c r="B482" s="217" t="s">
        <v>1390</v>
      </c>
      <c r="C482" s="31" t="s">
        <v>8929</v>
      </c>
      <c r="D482" s="185" t="s">
        <v>2738</v>
      </c>
      <c r="E482" s="187" t="s">
        <v>10004</v>
      </c>
      <c r="F482" s="187"/>
      <c r="G482" s="187"/>
      <c r="H482" s="187"/>
      <c r="I482" s="187"/>
      <c r="J482" s="187"/>
      <c r="K482" s="187"/>
      <c r="L482" s="173"/>
      <c r="M482" s="73"/>
      <c r="N482" s="120"/>
      <c r="O482" s="187"/>
    </row>
    <row r="483" spans="1:15">
      <c r="A483" s="129">
        <v>44358</v>
      </c>
      <c r="B483" s="108" t="s">
        <v>2751</v>
      </c>
      <c r="C483" s="143" t="s">
        <v>8929</v>
      </c>
      <c r="D483" s="185" t="s">
        <v>10003</v>
      </c>
      <c r="E483" s="187" t="s">
        <v>10004</v>
      </c>
      <c r="F483" s="187"/>
      <c r="G483" s="187"/>
      <c r="H483" s="187"/>
      <c r="I483" s="187"/>
      <c r="J483" s="187"/>
      <c r="K483" s="187"/>
      <c r="L483" s="173"/>
      <c r="M483" s="73"/>
      <c r="N483" s="120"/>
      <c r="O483" s="187"/>
    </row>
    <row r="484" spans="1:15">
      <c r="A484" s="129">
        <v>44358</v>
      </c>
      <c r="B484" s="108" t="s">
        <v>2752</v>
      </c>
      <c r="C484" s="143" t="s">
        <v>8929</v>
      </c>
      <c r="D484" s="185" t="s">
        <v>10003</v>
      </c>
      <c r="E484" s="187" t="s">
        <v>10004</v>
      </c>
      <c r="F484" s="187"/>
      <c r="G484" s="187"/>
      <c r="H484" s="187"/>
      <c r="I484" s="187"/>
      <c r="J484" s="187"/>
      <c r="K484" s="187"/>
      <c r="L484" s="173"/>
      <c r="M484" s="73"/>
      <c r="N484" s="120"/>
      <c r="O484" s="187"/>
    </row>
    <row r="485" spans="1:15">
      <c r="A485" s="129">
        <v>44358</v>
      </c>
      <c r="B485" s="192" t="s">
        <v>15111</v>
      </c>
      <c r="C485" s="143" t="s">
        <v>8929</v>
      </c>
      <c r="D485" s="185" t="s">
        <v>10003</v>
      </c>
      <c r="E485" s="187"/>
      <c r="F485" s="187"/>
      <c r="G485" s="187"/>
      <c r="H485" s="187"/>
      <c r="I485" s="187"/>
      <c r="J485" s="187"/>
      <c r="K485" s="187"/>
      <c r="L485" s="173"/>
      <c r="M485" s="73"/>
      <c r="N485" s="120"/>
      <c r="O485" s="187"/>
    </row>
    <row r="486" spans="1:15">
      <c r="A486" s="129">
        <v>44358</v>
      </c>
      <c r="B486" s="149" t="s">
        <v>15112</v>
      </c>
      <c r="C486" s="143" t="s">
        <v>8929</v>
      </c>
      <c r="D486" s="185" t="s">
        <v>10003</v>
      </c>
      <c r="E486" s="187"/>
      <c r="F486" s="187"/>
      <c r="G486" s="187"/>
      <c r="H486" s="187"/>
      <c r="I486" s="187"/>
      <c r="J486" s="187"/>
      <c r="K486" s="187"/>
      <c r="L486" s="173"/>
      <c r="M486" s="73"/>
      <c r="N486" s="120"/>
      <c r="O486" s="187"/>
    </row>
    <row r="487" spans="1:15">
      <c r="A487" s="348">
        <v>44362</v>
      </c>
      <c r="B487" s="192" t="s">
        <v>15113</v>
      </c>
      <c r="C487" s="272" t="s">
        <v>8929</v>
      </c>
      <c r="D487" s="185" t="s">
        <v>10003</v>
      </c>
      <c r="E487" s="187" t="s">
        <v>10011</v>
      </c>
      <c r="F487" s="187"/>
      <c r="G487" s="187"/>
      <c r="H487" s="187"/>
      <c r="I487" s="187"/>
      <c r="J487" s="187"/>
      <c r="K487" s="187"/>
      <c r="L487" s="173"/>
      <c r="M487" s="73"/>
      <c r="N487" s="120"/>
      <c r="O487" s="187"/>
    </row>
    <row r="488" spans="1:15">
      <c r="A488" s="129">
        <v>44369</v>
      </c>
      <c r="B488" s="218" t="s">
        <v>1447</v>
      </c>
      <c r="C488" s="31" t="s">
        <v>8929</v>
      </c>
      <c r="D488" s="185" t="s">
        <v>10003</v>
      </c>
      <c r="E488" s="187" t="s">
        <v>9998</v>
      </c>
      <c r="F488" s="187"/>
      <c r="G488" s="187"/>
      <c r="H488" s="187"/>
      <c r="I488" s="187"/>
      <c r="J488" s="187"/>
      <c r="K488" s="187"/>
      <c r="L488" s="173"/>
      <c r="M488" s="73"/>
      <c r="N488" s="120"/>
      <c r="O488" s="187"/>
    </row>
    <row r="489" spans="1:15">
      <c r="A489" s="129">
        <v>44369</v>
      </c>
      <c r="B489" s="17" t="s">
        <v>2029</v>
      </c>
      <c r="C489" s="31" t="s">
        <v>9777</v>
      </c>
      <c r="D489" s="185" t="s">
        <v>2738</v>
      </c>
      <c r="E489" s="187"/>
      <c r="F489" s="187"/>
      <c r="G489" s="187"/>
      <c r="H489" s="187"/>
      <c r="I489" s="187"/>
      <c r="J489" s="187"/>
      <c r="K489" s="187"/>
      <c r="L489" s="173"/>
      <c r="M489" s="73"/>
      <c r="N489" s="120"/>
      <c r="O489" s="187"/>
    </row>
    <row r="490" spans="1:15">
      <c r="A490" s="129">
        <v>44370</v>
      </c>
      <c r="B490" s="84" t="s">
        <v>2753</v>
      </c>
      <c r="C490" s="31" t="s">
        <v>8929</v>
      </c>
      <c r="D490" s="185" t="s">
        <v>2738</v>
      </c>
      <c r="E490" s="187" t="s">
        <v>9998</v>
      </c>
      <c r="F490" s="187"/>
      <c r="G490" s="187"/>
      <c r="H490" s="187"/>
      <c r="I490" s="187"/>
      <c r="J490" s="187"/>
      <c r="K490" s="187"/>
      <c r="L490" s="173"/>
      <c r="M490" s="73"/>
      <c r="N490" s="120"/>
      <c r="O490" s="187"/>
    </row>
    <row r="491" spans="1:15">
      <c r="A491" s="129">
        <v>44370</v>
      </c>
      <c r="B491" s="17" t="s">
        <v>258</v>
      </c>
      <c r="C491" s="31" t="s">
        <v>8929</v>
      </c>
      <c r="D491" s="185" t="s">
        <v>2738</v>
      </c>
      <c r="E491" s="187" t="s">
        <v>9998</v>
      </c>
      <c r="F491" s="187"/>
      <c r="G491" s="187"/>
      <c r="H491" s="187"/>
      <c r="I491" s="187"/>
      <c r="J491" s="187"/>
      <c r="K491" s="187"/>
      <c r="L491" s="173"/>
      <c r="M491" s="73"/>
      <c r="N491" s="120"/>
      <c r="O491" s="187"/>
    </row>
    <row r="492" spans="1:15">
      <c r="A492" s="129">
        <v>44371</v>
      </c>
      <c r="B492" s="17" t="s">
        <v>15114</v>
      </c>
      <c r="C492" s="31" t="s">
        <v>8929</v>
      </c>
      <c r="D492" s="185" t="s">
        <v>2738</v>
      </c>
      <c r="E492" s="187" t="s">
        <v>10026</v>
      </c>
      <c r="F492" s="187"/>
      <c r="G492" s="187"/>
      <c r="H492" s="187"/>
      <c r="I492" s="187"/>
      <c r="J492" s="187"/>
      <c r="K492" s="187"/>
      <c r="L492" s="173"/>
      <c r="M492" s="73"/>
      <c r="N492" s="120"/>
      <c r="O492" s="187"/>
    </row>
    <row r="493" spans="1:15">
      <c r="A493" s="129">
        <v>44371</v>
      </c>
      <c r="B493" s="17" t="s">
        <v>1698</v>
      </c>
      <c r="C493" s="31" t="s">
        <v>8929</v>
      </c>
      <c r="D493" s="185" t="s">
        <v>2738</v>
      </c>
      <c r="E493" s="187"/>
      <c r="F493" s="187"/>
      <c r="G493" s="187"/>
      <c r="H493" s="187"/>
      <c r="I493" s="187"/>
      <c r="J493" s="187"/>
      <c r="K493" s="187"/>
      <c r="L493" s="173"/>
      <c r="M493" s="73"/>
      <c r="N493" s="120"/>
      <c r="O493" s="187"/>
    </row>
    <row r="494" spans="1:15">
      <c r="A494" s="129">
        <v>44372</v>
      </c>
      <c r="B494" s="17" t="s">
        <v>1671</v>
      </c>
      <c r="C494" s="31" t="s">
        <v>8929</v>
      </c>
      <c r="D494" s="185" t="s">
        <v>10003</v>
      </c>
      <c r="E494" s="187" t="s">
        <v>9998</v>
      </c>
      <c r="F494" s="187"/>
      <c r="G494" s="187"/>
      <c r="H494" s="187"/>
      <c r="I494" s="187"/>
      <c r="J494" s="187"/>
      <c r="K494" s="187"/>
      <c r="L494" s="173"/>
      <c r="M494" s="73"/>
      <c r="N494" s="120"/>
      <c r="O494" s="187"/>
    </row>
    <row r="495" spans="1:15">
      <c r="A495" s="129">
        <v>44372</v>
      </c>
      <c r="B495" s="17" t="s">
        <v>1052</v>
      </c>
      <c r="C495" s="31" t="s">
        <v>8929</v>
      </c>
      <c r="D495" s="185" t="s">
        <v>2738</v>
      </c>
      <c r="E495" s="187"/>
      <c r="F495" s="187"/>
      <c r="G495" s="187"/>
      <c r="H495" s="187"/>
      <c r="I495" s="187"/>
      <c r="J495" s="187"/>
      <c r="K495" s="187"/>
      <c r="L495" s="173"/>
      <c r="M495" s="73"/>
      <c r="N495" s="120"/>
      <c r="O495" s="187"/>
    </row>
    <row r="496" spans="1:15">
      <c r="A496" s="129">
        <v>44372</v>
      </c>
      <c r="B496" s="17" t="s">
        <v>1214</v>
      </c>
      <c r="C496" s="31" t="s">
        <v>8929</v>
      </c>
      <c r="D496" s="185" t="s">
        <v>2738</v>
      </c>
      <c r="E496" s="187"/>
      <c r="F496" s="187"/>
      <c r="G496" s="187"/>
      <c r="H496" s="187"/>
      <c r="I496" s="187"/>
      <c r="J496" s="187"/>
      <c r="K496" s="187"/>
      <c r="L496" s="173"/>
      <c r="M496" s="73"/>
      <c r="N496" s="120"/>
      <c r="O496" s="187"/>
    </row>
    <row r="497" spans="1:15">
      <c r="A497" s="129">
        <v>44377</v>
      </c>
      <c r="B497" s="17" t="s">
        <v>1983</v>
      </c>
      <c r="C497" s="31" t="s">
        <v>8929</v>
      </c>
      <c r="D497" s="185" t="s">
        <v>10003</v>
      </c>
      <c r="E497" s="187" t="s">
        <v>10007</v>
      </c>
      <c r="F497" s="187"/>
      <c r="G497" s="187"/>
      <c r="H497" s="187"/>
      <c r="I497" s="187"/>
      <c r="J497" s="187"/>
      <c r="K497" s="187"/>
      <c r="L497" s="173"/>
      <c r="M497" s="73"/>
      <c r="N497" s="120"/>
      <c r="O497" s="187"/>
    </row>
    <row r="498" spans="1:15">
      <c r="A498" s="129">
        <v>44377</v>
      </c>
      <c r="B498" s="17" t="s">
        <v>1317</v>
      </c>
      <c r="C498" s="31" t="s">
        <v>8929</v>
      </c>
      <c r="D498" s="185" t="s">
        <v>10003</v>
      </c>
      <c r="E498" s="187" t="s">
        <v>10007</v>
      </c>
      <c r="F498" s="187"/>
      <c r="G498" s="187"/>
      <c r="H498" s="187"/>
      <c r="I498" s="187"/>
      <c r="J498" s="187"/>
      <c r="K498" s="187"/>
      <c r="L498" s="173"/>
      <c r="M498" s="73"/>
      <c r="N498" s="120"/>
      <c r="O498" s="187"/>
    </row>
    <row r="499" spans="1:15">
      <c r="A499" s="129"/>
      <c r="B499" s="245" t="s">
        <v>2755</v>
      </c>
      <c r="C499" s="31"/>
      <c r="D499" s="185"/>
      <c r="E499" s="187"/>
      <c r="F499" s="187"/>
      <c r="G499" s="187"/>
      <c r="H499" s="187"/>
      <c r="I499" s="187"/>
      <c r="J499" s="187"/>
      <c r="K499" s="187"/>
      <c r="L499" s="173"/>
      <c r="M499" s="73"/>
      <c r="N499" s="120"/>
      <c r="O499" s="187"/>
    </row>
    <row r="500" spans="1:15">
      <c r="A500" s="129">
        <v>44382</v>
      </c>
      <c r="B500" s="192" t="s">
        <v>15115</v>
      </c>
      <c r="C500" s="149" t="s">
        <v>8929</v>
      </c>
      <c r="D500" s="149" t="s">
        <v>2755</v>
      </c>
      <c r="E500" s="149" t="s">
        <v>10209</v>
      </c>
      <c r="F500" s="149"/>
      <c r="G500" s="187"/>
      <c r="H500" s="187"/>
      <c r="I500" s="187"/>
      <c r="J500" s="187"/>
      <c r="K500" s="187"/>
      <c r="L500" s="173"/>
      <c r="M500" s="73"/>
      <c r="N500" s="120"/>
      <c r="O500" s="187"/>
    </row>
    <row r="501" spans="1:15">
      <c r="A501" s="129">
        <v>44383</v>
      </c>
      <c r="B501" s="286" t="s">
        <v>1160</v>
      </c>
      <c r="C501" s="149" t="s">
        <v>8929</v>
      </c>
      <c r="D501" s="149" t="s">
        <v>2755</v>
      </c>
      <c r="E501" s="149" t="s">
        <v>10026</v>
      </c>
      <c r="F501" s="149"/>
      <c r="G501" s="187"/>
      <c r="H501" s="187"/>
      <c r="I501" s="187"/>
      <c r="J501" s="187"/>
      <c r="K501" s="187"/>
      <c r="L501" s="173"/>
      <c r="M501" s="73"/>
      <c r="N501" s="120"/>
      <c r="O501" s="187"/>
    </row>
    <row r="502" spans="1:15">
      <c r="A502" s="129">
        <v>44383</v>
      </c>
      <c r="B502" s="286" t="s">
        <v>1925</v>
      </c>
      <c r="C502" s="149" t="s">
        <v>8929</v>
      </c>
      <c r="D502" s="149" t="s">
        <v>2755</v>
      </c>
      <c r="E502" s="149" t="s">
        <v>10026</v>
      </c>
      <c r="F502" s="149"/>
      <c r="G502" s="187"/>
      <c r="H502" s="187"/>
      <c r="I502" s="187"/>
      <c r="J502" s="187"/>
      <c r="K502" s="187"/>
      <c r="L502" s="173"/>
      <c r="M502" s="73"/>
      <c r="N502" s="120"/>
      <c r="O502" s="187"/>
    </row>
    <row r="503" spans="1:15">
      <c r="A503" s="129">
        <v>44384</v>
      </c>
      <c r="B503" s="192" t="s">
        <v>15116</v>
      </c>
      <c r="C503" s="149" t="s">
        <v>8929</v>
      </c>
      <c r="D503" s="149" t="s">
        <v>2755</v>
      </c>
      <c r="E503" s="149" t="s">
        <v>9999</v>
      </c>
      <c r="F503" s="149"/>
      <c r="G503" s="187"/>
      <c r="H503" s="187"/>
      <c r="I503" s="187"/>
      <c r="J503" s="187"/>
      <c r="K503" s="187"/>
      <c r="L503" s="173"/>
      <c r="M503" s="73"/>
      <c r="N503" s="120"/>
      <c r="O503" s="187"/>
    </row>
    <row r="504" spans="1:15">
      <c r="A504" s="129">
        <v>44384</v>
      </c>
      <c r="B504" s="192" t="s">
        <v>1989</v>
      </c>
      <c r="C504" s="149" t="s">
        <v>8929</v>
      </c>
      <c r="D504" s="149" t="s">
        <v>10019</v>
      </c>
      <c r="E504" s="149"/>
      <c r="F504" s="149"/>
      <c r="G504" s="187"/>
      <c r="H504" s="187"/>
      <c r="I504" s="187"/>
      <c r="J504" s="187"/>
      <c r="K504" s="187"/>
      <c r="L504" s="173"/>
      <c r="M504" s="73"/>
      <c r="N504" s="120"/>
      <c r="O504" s="187"/>
    </row>
    <row r="505" spans="1:15">
      <c r="A505" s="129">
        <v>44384</v>
      </c>
      <c r="B505" s="192" t="s">
        <v>2176</v>
      </c>
      <c r="C505" s="149" t="s">
        <v>8929</v>
      </c>
      <c r="D505" s="149" t="s">
        <v>2755</v>
      </c>
      <c r="E505" s="149" t="s">
        <v>10026</v>
      </c>
      <c r="F505" s="149"/>
      <c r="G505" s="187"/>
      <c r="H505" s="187"/>
      <c r="I505" s="187"/>
      <c r="J505" s="187"/>
      <c r="K505" s="187"/>
      <c r="L505" s="173"/>
      <c r="M505" s="73"/>
      <c r="N505" s="120"/>
      <c r="O505" s="187"/>
    </row>
    <row r="506" spans="1:15">
      <c r="A506" s="129">
        <v>44384</v>
      </c>
      <c r="B506" s="192" t="s">
        <v>2153</v>
      </c>
      <c r="C506" s="149" t="s">
        <v>8929</v>
      </c>
      <c r="D506" s="149" t="s">
        <v>2755</v>
      </c>
      <c r="E506" s="149" t="s">
        <v>9996</v>
      </c>
      <c r="F506" s="149"/>
      <c r="G506" s="187"/>
      <c r="H506" s="187"/>
      <c r="I506" s="187"/>
      <c r="J506" s="187"/>
      <c r="K506" s="187"/>
      <c r="L506" s="173"/>
      <c r="M506" s="73"/>
      <c r="N506" s="120"/>
      <c r="O506" s="187"/>
    </row>
    <row r="507" spans="1:15">
      <c r="A507" s="226">
        <v>44386</v>
      </c>
      <c r="B507" s="192" t="s">
        <v>156</v>
      </c>
      <c r="C507" s="149" t="s">
        <v>8929</v>
      </c>
      <c r="D507" s="149" t="s">
        <v>2755</v>
      </c>
      <c r="E507" s="149" t="s">
        <v>10026</v>
      </c>
      <c r="F507" s="149"/>
      <c r="G507" s="187"/>
      <c r="H507" s="187"/>
      <c r="I507" s="187"/>
      <c r="J507" s="187"/>
      <c r="K507" s="187"/>
      <c r="L507" s="173"/>
      <c r="M507" s="73"/>
      <c r="N507" s="120"/>
      <c r="O507" s="187"/>
    </row>
    <row r="508" spans="1:15">
      <c r="A508" s="129">
        <v>44391</v>
      </c>
      <c r="B508" s="192" t="s">
        <v>2491</v>
      </c>
      <c r="C508" s="149" t="s">
        <v>8929</v>
      </c>
      <c r="D508" t="s">
        <v>10019</v>
      </c>
      <c r="E508" s="149" t="s">
        <v>9998</v>
      </c>
      <c r="F508" s="149"/>
      <c r="G508" s="187"/>
      <c r="H508" s="187"/>
      <c r="I508" s="187"/>
      <c r="J508" s="187"/>
      <c r="K508" s="187"/>
      <c r="L508" s="173"/>
      <c r="M508" s="73"/>
      <c r="N508" s="120"/>
      <c r="O508" s="187"/>
    </row>
    <row r="509" spans="1:15">
      <c r="A509" s="129">
        <v>44396</v>
      </c>
      <c r="B509" s="269" t="s">
        <v>2527</v>
      </c>
      <c r="C509" s="149" t="s">
        <v>8929</v>
      </c>
      <c r="D509" s="149" t="s">
        <v>10019</v>
      </c>
      <c r="E509" s="149" t="s">
        <v>9998</v>
      </c>
      <c r="F509" s="149"/>
      <c r="G509" s="187"/>
      <c r="H509" s="187"/>
      <c r="I509" s="187"/>
      <c r="J509" s="187"/>
      <c r="K509" s="187"/>
      <c r="L509" s="173"/>
      <c r="M509" s="73"/>
      <c r="N509" s="120"/>
      <c r="O509" s="187"/>
    </row>
    <row r="510" spans="1:15">
      <c r="A510" s="129">
        <v>44397</v>
      </c>
      <c r="B510" s="262" t="s">
        <v>2302</v>
      </c>
      <c r="C510" s="185" t="s">
        <v>8929</v>
      </c>
      <c r="D510" s="149" t="s">
        <v>10019</v>
      </c>
      <c r="E510" s="149"/>
      <c r="F510" s="149"/>
      <c r="G510" s="187"/>
      <c r="H510" s="187"/>
      <c r="I510" s="187"/>
      <c r="J510" s="187"/>
      <c r="K510" s="187"/>
      <c r="L510" s="173"/>
      <c r="M510" s="73"/>
      <c r="N510" s="120"/>
      <c r="O510" s="187"/>
    </row>
    <row r="511" spans="1:15">
      <c r="A511" s="129"/>
      <c r="B511" s="219" t="s">
        <v>7720</v>
      </c>
      <c r="C511" s="31"/>
      <c r="D511" s="185"/>
      <c r="E511" s="187"/>
      <c r="F511" s="187"/>
      <c r="G511" s="187"/>
      <c r="H511" s="187"/>
      <c r="I511" s="187"/>
      <c r="J511" s="187"/>
      <c r="K511" s="187"/>
      <c r="L511" s="173"/>
      <c r="M511" s="73"/>
      <c r="N511" s="120"/>
      <c r="O511" s="187"/>
    </row>
    <row r="512" spans="1:15">
      <c r="A512" s="129">
        <v>44410</v>
      </c>
      <c r="B512" s="223" t="s">
        <v>15117</v>
      </c>
      <c r="C512" s="31" t="s">
        <v>8929</v>
      </c>
      <c r="D512" s="185" t="s">
        <v>10812</v>
      </c>
      <c r="E512" s="187"/>
      <c r="F512" s="187"/>
      <c r="G512" s="187"/>
      <c r="H512" s="187"/>
      <c r="I512" s="187"/>
      <c r="J512" s="187"/>
      <c r="K512" s="187"/>
      <c r="L512" s="173"/>
      <c r="M512" s="73"/>
      <c r="N512" s="120"/>
      <c r="O512" s="187"/>
    </row>
    <row r="513" spans="1:15">
      <c r="A513" s="129">
        <v>44410</v>
      </c>
      <c r="B513" s="84" t="s">
        <v>15117</v>
      </c>
      <c r="C513" s="31" t="s">
        <v>8929</v>
      </c>
      <c r="D513" s="185" t="s">
        <v>10812</v>
      </c>
      <c r="E513" s="187"/>
      <c r="F513" s="187"/>
      <c r="G513" s="187"/>
      <c r="H513" s="187"/>
      <c r="I513" s="187"/>
      <c r="J513" s="187"/>
      <c r="K513" s="187"/>
      <c r="L513" s="173"/>
      <c r="M513" s="73"/>
      <c r="N513" s="120"/>
      <c r="O513" s="187"/>
    </row>
    <row r="514" spans="1:15">
      <c r="A514" s="129"/>
      <c r="B514" s="219" t="s">
        <v>7543</v>
      </c>
      <c r="C514" s="31"/>
      <c r="D514" s="185"/>
      <c r="E514" s="187"/>
      <c r="F514" s="187"/>
      <c r="G514" s="187"/>
      <c r="H514" s="187"/>
      <c r="I514" s="187"/>
      <c r="J514" s="187"/>
      <c r="K514" s="187"/>
      <c r="L514" s="173"/>
      <c r="M514" s="73"/>
      <c r="N514" s="120"/>
      <c r="O514" s="187"/>
    </row>
    <row r="515" spans="1:15">
      <c r="A515" s="129">
        <v>44464</v>
      </c>
      <c r="B515" s="17" t="s">
        <v>2498</v>
      </c>
      <c r="C515" s="31" t="s">
        <v>8929</v>
      </c>
      <c r="D515" s="185" t="s">
        <v>10064</v>
      </c>
      <c r="E515" s="187"/>
      <c r="F515" s="187"/>
      <c r="G515" s="187"/>
      <c r="H515" s="187"/>
      <c r="I515" s="187"/>
      <c r="J515" s="187"/>
      <c r="K515" s="187"/>
      <c r="L515" s="173"/>
      <c r="M515" s="73"/>
      <c r="N515" s="120"/>
      <c r="O515" s="187"/>
    </row>
    <row r="516" spans="1:15">
      <c r="A516" s="129"/>
      <c r="B516" s="17"/>
      <c r="C516" s="31"/>
      <c r="D516" s="185"/>
      <c r="E516" s="187"/>
      <c r="F516" s="187"/>
      <c r="G516" s="187"/>
      <c r="H516" s="187"/>
      <c r="I516" s="187"/>
      <c r="J516" s="187"/>
      <c r="K516" s="187"/>
      <c r="L516" s="173"/>
      <c r="M516" s="73"/>
      <c r="N516" s="120"/>
      <c r="O516" s="187"/>
    </row>
    <row r="517" spans="1:15">
      <c r="A517" s="129"/>
      <c r="B517" s="17"/>
      <c r="C517" s="31"/>
      <c r="D517" s="185"/>
      <c r="E517" s="187"/>
      <c r="F517" s="187"/>
      <c r="G517" s="187"/>
      <c r="H517" s="187"/>
      <c r="I517" s="187"/>
      <c r="J517" s="187"/>
      <c r="K517" s="187"/>
      <c r="L517" s="173"/>
      <c r="M517" s="73"/>
      <c r="N517" s="120"/>
      <c r="O517" s="187"/>
    </row>
    <row r="518" spans="1:15">
      <c r="A518" s="129"/>
      <c r="B518" s="17"/>
      <c r="C518" s="31"/>
      <c r="D518" s="185"/>
      <c r="E518" s="187"/>
      <c r="F518" s="187"/>
      <c r="G518" s="187"/>
      <c r="H518" s="187"/>
      <c r="I518" s="187"/>
      <c r="J518" s="187"/>
      <c r="K518" s="187"/>
      <c r="L518" s="173"/>
      <c r="M518" s="73"/>
      <c r="N518" s="120"/>
      <c r="O518" s="187"/>
    </row>
    <row r="519" spans="1:15">
      <c r="A519" s="129"/>
      <c r="B519" s="17"/>
      <c r="C519" s="31"/>
      <c r="D519" s="185"/>
      <c r="E519" s="187"/>
      <c r="F519" s="187"/>
      <c r="G519" s="187"/>
      <c r="H519" s="187"/>
      <c r="I519" s="187"/>
      <c r="J519" s="187"/>
      <c r="K519" s="187"/>
      <c r="L519" s="173"/>
      <c r="M519" s="73"/>
      <c r="N519" s="120"/>
      <c r="O519" s="187"/>
    </row>
    <row r="520" spans="1:15">
      <c r="A520" s="129"/>
      <c r="B520" s="17"/>
      <c r="C520" s="31"/>
      <c r="D520" s="185"/>
      <c r="E520" s="187"/>
      <c r="F520" s="187"/>
      <c r="G520" s="187"/>
      <c r="H520" s="187"/>
      <c r="I520" s="187"/>
      <c r="J520" s="187"/>
      <c r="K520" s="187"/>
      <c r="L520" s="173"/>
      <c r="M520" s="73"/>
      <c r="N520" s="120"/>
      <c r="O520" s="187"/>
    </row>
    <row r="521" spans="1:15">
      <c r="A521" s="129"/>
      <c r="B521" s="17"/>
      <c r="C521" s="31"/>
      <c r="D521" s="185"/>
      <c r="E521" s="187"/>
      <c r="F521" s="187"/>
      <c r="G521" s="187"/>
      <c r="H521" s="187"/>
      <c r="I521" s="187"/>
      <c r="J521" s="187"/>
      <c r="K521" s="187"/>
      <c r="L521" s="173"/>
      <c r="M521" s="73"/>
      <c r="N521" s="120"/>
      <c r="O521" s="187"/>
    </row>
    <row r="522" spans="1:15">
      <c r="A522" s="129"/>
      <c r="B522" s="17"/>
      <c r="C522" s="31"/>
      <c r="D522" s="185"/>
      <c r="E522" s="187"/>
      <c r="F522" s="187"/>
      <c r="G522" s="187"/>
      <c r="H522" s="187"/>
      <c r="I522" s="187"/>
      <c r="J522" s="187"/>
      <c r="K522" s="187"/>
      <c r="L522" s="173"/>
      <c r="M522" s="73"/>
      <c r="N522" s="120"/>
      <c r="O522" s="187"/>
    </row>
    <row r="523" spans="1:15">
      <c r="A523" s="129"/>
      <c r="B523" s="17"/>
      <c r="C523" s="31"/>
      <c r="D523" s="185"/>
      <c r="E523" s="187"/>
      <c r="F523" s="187"/>
      <c r="G523" s="187"/>
      <c r="H523" s="187"/>
      <c r="I523" s="187"/>
      <c r="J523" s="187"/>
      <c r="K523" s="187"/>
      <c r="L523" s="173"/>
      <c r="M523" s="73"/>
      <c r="N523" s="120"/>
      <c r="O523" s="187"/>
    </row>
    <row r="524" spans="1:15">
      <c r="A524" s="129"/>
      <c r="B524" s="17"/>
      <c r="C524" s="31"/>
      <c r="D524" s="185"/>
      <c r="E524" s="187"/>
      <c r="F524" s="187"/>
      <c r="G524" s="187"/>
      <c r="H524" s="187"/>
      <c r="I524" s="187"/>
      <c r="J524" s="187"/>
      <c r="K524" s="187"/>
      <c r="L524" s="173"/>
      <c r="M524" s="73"/>
      <c r="N524" s="120"/>
      <c r="O524" s="187"/>
    </row>
    <row r="525" spans="1:15">
      <c r="A525" s="129"/>
      <c r="B525" s="17"/>
      <c r="C525" s="31"/>
      <c r="D525" s="185"/>
      <c r="E525" s="187"/>
      <c r="F525" s="187"/>
      <c r="G525" s="187"/>
      <c r="H525" s="187"/>
      <c r="I525" s="187"/>
      <c r="J525" s="187"/>
      <c r="K525" s="187"/>
      <c r="L525" s="173"/>
      <c r="M525" s="73"/>
      <c r="N525" s="120"/>
      <c r="O525" s="187"/>
    </row>
    <row r="526" spans="1:15">
      <c r="A526" s="129"/>
      <c r="B526" s="17"/>
      <c r="C526" s="31"/>
      <c r="D526" s="185"/>
      <c r="E526" s="187"/>
      <c r="F526" s="187"/>
      <c r="G526" s="187"/>
      <c r="H526" s="187"/>
      <c r="I526" s="187"/>
      <c r="J526" s="187"/>
      <c r="K526" s="187"/>
      <c r="L526" s="173"/>
      <c r="M526" s="73"/>
      <c r="N526" s="120"/>
      <c r="O526" s="187"/>
    </row>
    <row r="527" spans="1:15">
      <c r="A527" s="129"/>
      <c r="B527" s="17"/>
      <c r="C527" s="31"/>
      <c r="D527" s="185"/>
      <c r="E527" s="187"/>
      <c r="F527" s="187"/>
      <c r="G527" s="187"/>
      <c r="H527" s="187"/>
      <c r="I527" s="187"/>
      <c r="J527" s="187"/>
      <c r="K527" s="187"/>
      <c r="L527" s="173"/>
      <c r="M527" s="73"/>
      <c r="N527" s="120"/>
      <c r="O527" s="187"/>
    </row>
    <row r="528" spans="1:15">
      <c r="A528" s="129"/>
      <c r="B528" s="17"/>
      <c r="C528" s="31"/>
      <c r="D528" s="185"/>
      <c r="E528" s="187"/>
      <c r="F528" s="187"/>
      <c r="G528" s="187"/>
      <c r="H528" s="187"/>
      <c r="I528" s="187"/>
      <c r="J528" s="187"/>
      <c r="K528" s="187"/>
      <c r="L528" s="173"/>
      <c r="M528" s="73"/>
      <c r="N528" s="120"/>
      <c r="O528" s="187"/>
    </row>
    <row r="529" spans="1:15">
      <c r="A529" s="129"/>
      <c r="B529" s="17"/>
      <c r="C529" s="31"/>
      <c r="D529" s="185"/>
      <c r="E529" s="187"/>
      <c r="F529" s="187"/>
      <c r="G529" s="187"/>
      <c r="H529" s="187"/>
      <c r="I529" s="187"/>
      <c r="J529" s="187"/>
      <c r="K529" s="187"/>
      <c r="L529" s="173"/>
      <c r="M529" s="73"/>
      <c r="N529" s="120"/>
      <c r="O529" s="187"/>
    </row>
    <row r="530" spans="1:15">
      <c r="A530" s="129"/>
      <c r="B530" s="17"/>
      <c r="C530" s="31"/>
      <c r="D530" s="185"/>
      <c r="E530" s="187"/>
      <c r="F530" s="187"/>
      <c r="G530" s="187"/>
      <c r="H530" s="187"/>
      <c r="I530" s="187"/>
      <c r="J530" s="187"/>
      <c r="K530" s="187"/>
      <c r="L530" s="173"/>
      <c r="M530" s="73"/>
      <c r="N530" s="120"/>
      <c r="O530" s="187"/>
    </row>
    <row r="531" spans="1:15">
      <c r="A531" s="129"/>
      <c r="B531" s="17"/>
      <c r="C531" s="31"/>
      <c r="D531" s="185"/>
      <c r="E531" s="187"/>
      <c r="F531" s="187"/>
      <c r="G531" s="187"/>
      <c r="H531" s="187"/>
      <c r="I531" s="187"/>
      <c r="J531" s="187"/>
      <c r="K531" s="187"/>
      <c r="L531" s="173"/>
      <c r="M531" s="73"/>
      <c r="N531" s="120"/>
      <c r="O531" s="187"/>
    </row>
    <row r="532" spans="1:15">
      <c r="A532" s="129"/>
      <c r="B532" s="17"/>
      <c r="C532" s="31"/>
      <c r="D532" s="185"/>
      <c r="E532" s="187"/>
      <c r="F532" s="187"/>
      <c r="G532" s="187"/>
      <c r="H532" s="187"/>
      <c r="I532" s="187"/>
      <c r="J532" s="187"/>
      <c r="K532" s="187"/>
      <c r="L532" s="173"/>
      <c r="M532" s="73"/>
      <c r="N532" s="120"/>
      <c r="O532" s="187"/>
    </row>
    <row r="533" spans="1:15">
      <c r="A533" s="129"/>
      <c r="B533" s="17"/>
      <c r="C533" s="31"/>
      <c r="D533" s="185"/>
      <c r="E533" s="187"/>
      <c r="F533" s="187"/>
      <c r="G533" s="187"/>
      <c r="H533" s="187"/>
      <c r="I533" s="187"/>
      <c r="J533" s="187"/>
      <c r="K533" s="187"/>
      <c r="L533" s="173"/>
      <c r="M533" s="73"/>
      <c r="N533" s="120"/>
      <c r="O533" s="187"/>
    </row>
    <row r="534" spans="1:15">
      <c r="A534" s="129"/>
      <c r="B534" s="17"/>
      <c r="C534" s="31"/>
      <c r="D534" s="185"/>
      <c r="E534" s="187"/>
      <c r="F534" s="187"/>
      <c r="G534" s="187"/>
      <c r="H534" s="187"/>
      <c r="I534" s="187"/>
      <c r="J534" s="187"/>
      <c r="K534" s="187"/>
      <c r="L534" s="173"/>
      <c r="M534" s="73"/>
      <c r="N534" s="120"/>
      <c r="O534" s="187"/>
    </row>
    <row r="535" spans="1:15">
      <c r="A535" s="129"/>
      <c r="B535" s="17"/>
      <c r="C535" s="31"/>
      <c r="D535" s="185"/>
      <c r="E535" s="187"/>
      <c r="F535" s="187"/>
      <c r="G535" s="187"/>
      <c r="H535" s="187"/>
      <c r="I535" s="187"/>
      <c r="J535" s="187"/>
      <c r="K535" s="187"/>
      <c r="L535" s="173"/>
      <c r="M535" s="73"/>
      <c r="N535" s="120"/>
      <c r="O535" s="187"/>
    </row>
    <row r="536" spans="1:15">
      <c r="A536" s="129"/>
      <c r="B536" s="218"/>
      <c r="C536" s="31"/>
      <c r="D536" s="185"/>
      <c r="E536" s="187"/>
      <c r="F536" s="187"/>
      <c r="G536" s="187"/>
      <c r="H536" s="187"/>
      <c r="I536" s="187"/>
      <c r="J536" s="187"/>
      <c r="K536" s="187"/>
      <c r="L536" s="173"/>
      <c r="M536" s="73"/>
      <c r="N536" s="120"/>
      <c r="O536" s="187"/>
    </row>
    <row r="537" spans="1:15">
      <c r="A537" s="129"/>
      <c r="B537" s="218"/>
      <c r="C537" s="31"/>
      <c r="D537" s="185"/>
      <c r="E537" s="187"/>
      <c r="F537" s="187"/>
      <c r="G537" s="187"/>
      <c r="H537" s="187"/>
      <c r="I537" s="187"/>
      <c r="J537" s="187"/>
      <c r="K537" s="187"/>
      <c r="L537" s="173"/>
      <c r="M537" s="73"/>
      <c r="N537" s="120"/>
      <c r="O537" s="187"/>
    </row>
    <row r="538" spans="1:15">
      <c r="A538" s="129"/>
      <c r="B538" s="218"/>
      <c r="C538" s="31"/>
      <c r="D538" s="185"/>
      <c r="E538" s="187"/>
      <c r="F538" s="187"/>
      <c r="G538" s="187"/>
      <c r="H538" s="187"/>
      <c r="I538" s="187"/>
      <c r="J538" s="187"/>
      <c r="K538" s="187"/>
      <c r="L538" s="173"/>
      <c r="M538" s="73"/>
      <c r="N538" s="120"/>
      <c r="O538" s="187"/>
    </row>
    <row r="539" spans="1:15">
      <c r="B539" s="198"/>
      <c r="C539" s="31"/>
      <c r="D539" s="185"/>
      <c r="E539" s="187"/>
      <c r="F539" s="73"/>
      <c r="G539" s="74"/>
      <c r="H539" s="73"/>
      <c r="I539" s="73"/>
      <c r="J539" s="73"/>
      <c r="K539" s="73"/>
      <c r="L539" s="173"/>
      <c r="M539" s="73"/>
      <c r="N539" s="120"/>
      <c r="O539" s="73"/>
    </row>
    <row r="540" spans="1:15">
      <c r="L540" s="24"/>
    </row>
  </sheetData>
  <autoFilter ref="B1:B539" xr:uid="{AD19D0C6-AC4B-446A-BFF7-DCE654D18929}"/>
  <hyperlinks>
    <hyperlink ref="I5" r:id="rId1" display="mailto:medicortopedia.mg@gmail.com" xr:uid="{60FB5C60-03F7-4EB9-ACA4-B140FCE90B3D}"/>
    <hyperlink ref="I6" r:id="rId2" display="mailto:medicortopedia.mg@gmail.com" xr:uid="{86436515-3B6C-4546-B1CE-7DAE0B1ADA94}"/>
    <hyperlink ref="I4" r:id="rId3" display="mailto:jackygomes26@hotmail.com" xr:uid="{40552DC7-CCEC-4DEE-802F-898BAA15168C}"/>
    <hyperlink ref="I8" r:id="rId4" display="mailto:digital_camisetas@hotmail.com" xr:uid="{333C9264-817B-4A25-99CE-3F3A5BEC52E0}"/>
    <hyperlink ref="I9" r:id="rId5" display="mailto:cidasilva180@hotmail.com" xr:uid="{A279360C-9F5B-4B8C-962D-8201FFD7DA91}"/>
    <hyperlink ref="I10" r:id="rId6" display="mailto:nohfernanda@gmail.com" xr:uid="{529B5025-D3FC-4785-88E0-774910C755F8}"/>
    <hyperlink ref="I22" r:id="rId7" display="mailto:nivaldosil.78@gmail.com" xr:uid="{B5C6235A-4ED9-439A-A3E0-D6E30693ED08}"/>
    <hyperlink ref="I28" r:id="rId8" display="mailto:funerariabrandinos@gmail.com" xr:uid="{5742091D-D776-4C83-98EF-8EB16641E376}"/>
    <hyperlink ref="I105" r:id="rId9" display="mailto:thiago.juidori@hotmail.com" xr:uid="{2D54D46F-5F5A-4F45-94B3-EEF3C4A2484B}"/>
  </hyperlinks>
  <pageMargins left="0.511811024" right="0.511811024" top="0.78740157499999996" bottom="0.78740157499999996" header="0.31496062000000002" footer="0.31496062000000002"/>
  <pageSetup paperSize="9" orientation="portrait" r:id="rId1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2559B-42CC-44E5-9DF4-38F149CF3E49}">
  <dimension ref="A1:C67"/>
  <sheetViews>
    <sheetView topLeftCell="A42" workbookViewId="0">
      <selection activeCell="A76" sqref="A76"/>
    </sheetView>
  </sheetViews>
  <sheetFormatPr defaultRowHeight="15"/>
  <cols>
    <col min="1" max="1" width="44.85546875" bestFit="1" customWidth="1"/>
    <col min="2" max="2" width="55" customWidth="1"/>
    <col min="3" max="3" width="34.5703125" bestFit="1" customWidth="1"/>
  </cols>
  <sheetData>
    <row r="1" spans="1:3">
      <c r="A1" t="s">
        <v>15118</v>
      </c>
    </row>
    <row r="2" spans="1:3">
      <c r="A2" s="349" t="s">
        <v>7402</v>
      </c>
      <c r="B2" s="349" t="s">
        <v>7339</v>
      </c>
      <c r="C2" s="349" t="s">
        <v>15119</v>
      </c>
    </row>
    <row r="3" spans="1:3">
      <c r="A3" s="149" t="s">
        <v>5218</v>
      </c>
      <c r="B3" s="149" t="s">
        <v>15120</v>
      </c>
      <c r="C3" s="20" t="s">
        <v>15121</v>
      </c>
    </row>
    <row r="4" spans="1:3">
      <c r="A4" s="149" t="s">
        <v>15122</v>
      </c>
      <c r="B4" s="149" t="s">
        <v>15120</v>
      </c>
      <c r="C4" s="20" t="s">
        <v>15123</v>
      </c>
    </row>
    <row r="5" spans="1:3">
      <c r="A5" s="149" t="s">
        <v>15124</v>
      </c>
      <c r="B5" s="149" t="s">
        <v>15125</v>
      </c>
      <c r="C5" s="20" t="s">
        <v>15126</v>
      </c>
    </row>
    <row r="6" spans="1:3">
      <c r="A6" s="149" t="s">
        <v>15127</v>
      </c>
      <c r="B6" s="149" t="s">
        <v>15128</v>
      </c>
      <c r="C6" s="20" t="s">
        <v>15129</v>
      </c>
    </row>
    <row r="7" spans="1:3">
      <c r="A7" s="149" t="s">
        <v>15130</v>
      </c>
      <c r="B7" s="149" t="s">
        <v>15131</v>
      </c>
      <c r="C7" s="20" t="s">
        <v>15132</v>
      </c>
    </row>
    <row r="8" spans="1:3">
      <c r="A8" s="149" t="s">
        <v>15133</v>
      </c>
      <c r="B8" s="149" t="s">
        <v>15125</v>
      </c>
      <c r="C8" s="20" t="s">
        <v>15134</v>
      </c>
    </row>
    <row r="11" spans="1:3">
      <c r="B11" t="s">
        <v>15135</v>
      </c>
    </row>
    <row r="12" spans="1:3">
      <c r="A12" s="240" t="s">
        <v>5218</v>
      </c>
    </row>
    <row r="13" spans="1:3">
      <c r="A13" s="240" t="s">
        <v>10063</v>
      </c>
    </row>
    <row r="14" spans="1:3">
      <c r="A14" s="240" t="s">
        <v>10065</v>
      </c>
    </row>
    <row r="15" spans="1:3">
      <c r="A15" s="240" t="s">
        <v>5224</v>
      </c>
    </row>
    <row r="16" spans="1:3">
      <c r="A16" s="240" t="s">
        <v>10067</v>
      </c>
    </row>
    <row r="17" spans="1:1">
      <c r="A17" t="s">
        <v>10068</v>
      </c>
    </row>
    <row r="18" spans="1:1">
      <c r="A18" s="240" t="s">
        <v>10070</v>
      </c>
    </row>
    <row r="19" spans="1:1">
      <c r="A19" s="240" t="s">
        <v>10071</v>
      </c>
    </row>
    <row r="20" spans="1:1">
      <c r="A20" s="240" t="s">
        <v>10073</v>
      </c>
    </row>
    <row r="21" spans="1:1">
      <c r="A21" s="240" t="s">
        <v>4290</v>
      </c>
    </row>
    <row r="22" spans="1:1">
      <c r="A22" s="240" t="s">
        <v>10074</v>
      </c>
    </row>
    <row r="23" spans="1:1">
      <c r="A23" s="240" t="s">
        <v>3315</v>
      </c>
    </row>
    <row r="24" spans="1:1">
      <c r="A24" s="240" t="s">
        <v>10079</v>
      </c>
    </row>
    <row r="25" spans="1:1">
      <c r="A25" s="240" t="s">
        <v>2883</v>
      </c>
    </row>
    <row r="26" spans="1:1">
      <c r="A26" s="240" t="s">
        <v>2938</v>
      </c>
    </row>
    <row r="27" spans="1:1">
      <c r="A27" s="240" t="s">
        <v>5256</v>
      </c>
    </row>
    <row r="28" spans="1:1">
      <c r="A28" s="240" t="s">
        <v>5254</v>
      </c>
    </row>
    <row r="29" spans="1:1">
      <c r="A29" s="240" t="s">
        <v>10084</v>
      </c>
    </row>
    <row r="30" spans="1:1">
      <c r="A30" s="240" t="s">
        <v>5264</v>
      </c>
    </row>
    <row r="31" spans="1:1">
      <c r="A31" s="240" t="s">
        <v>3761</v>
      </c>
    </row>
    <row r="32" spans="1:1">
      <c r="A32" s="240" t="s">
        <v>10092</v>
      </c>
    </row>
    <row r="33" spans="1:1">
      <c r="A33" s="240" t="s">
        <v>2899</v>
      </c>
    </row>
    <row r="34" spans="1:1">
      <c r="A34" s="240" t="s">
        <v>10097</v>
      </c>
    </row>
    <row r="35" spans="1:1">
      <c r="A35" t="s">
        <v>10102</v>
      </c>
    </row>
    <row r="36" spans="1:1">
      <c r="A36" s="240" t="s">
        <v>5281</v>
      </c>
    </row>
    <row r="37" spans="1:1">
      <c r="A37" s="240" t="s">
        <v>2909</v>
      </c>
    </row>
    <row r="38" spans="1:1">
      <c r="A38" s="240" t="s">
        <v>10103</v>
      </c>
    </row>
    <row r="39" spans="1:1">
      <c r="A39" s="240" t="s">
        <v>10104</v>
      </c>
    </row>
    <row r="40" spans="1:1">
      <c r="A40" s="240" t="s">
        <v>10106</v>
      </c>
    </row>
    <row r="41" spans="1:1">
      <c r="A41" s="240" t="s">
        <v>10107</v>
      </c>
    </row>
    <row r="42" spans="1:1">
      <c r="A42" s="240" t="s">
        <v>10108</v>
      </c>
    </row>
    <row r="43" spans="1:1">
      <c r="A43" s="240" t="s">
        <v>5289</v>
      </c>
    </row>
    <row r="44" spans="1:1">
      <c r="A44" s="240" t="s">
        <v>10110</v>
      </c>
    </row>
    <row r="47" spans="1:1">
      <c r="A47" s="240" t="s">
        <v>4957</v>
      </c>
    </row>
    <row r="48" spans="1:1">
      <c r="A48" s="240" t="s">
        <v>5299</v>
      </c>
    </row>
    <row r="49" spans="1:1">
      <c r="A49" s="240" t="s">
        <v>5307</v>
      </c>
    </row>
    <row r="50" spans="1:1">
      <c r="A50" s="240" t="s">
        <v>10113</v>
      </c>
    </row>
    <row r="51" spans="1:1">
      <c r="A51" s="240" t="s">
        <v>10115</v>
      </c>
    </row>
    <row r="52" spans="1:1">
      <c r="A52" s="240" t="s">
        <v>3928</v>
      </c>
    </row>
    <row r="53" spans="1:1">
      <c r="A53" s="240" t="s">
        <v>5311</v>
      </c>
    </row>
    <row r="54" spans="1:1">
      <c r="A54" s="240" t="s">
        <v>5323</v>
      </c>
    </row>
    <row r="55" spans="1:1">
      <c r="A55" s="240" t="s">
        <v>3251</v>
      </c>
    </row>
    <row r="56" spans="1:1">
      <c r="A56" s="240" t="s">
        <v>5329</v>
      </c>
    </row>
    <row r="57" spans="1:1">
      <c r="A57" t="s">
        <v>3574</v>
      </c>
    </row>
    <row r="58" spans="1:1">
      <c r="A58" s="240" t="s">
        <v>10121</v>
      </c>
    </row>
    <row r="59" spans="1:1">
      <c r="A59" s="240" t="s">
        <v>4961</v>
      </c>
    </row>
    <row r="60" spans="1:1">
      <c r="A60" s="240" t="s">
        <v>5343</v>
      </c>
    </row>
    <row r="61" spans="1:1">
      <c r="A61" s="240" t="s">
        <v>5347</v>
      </c>
    </row>
    <row r="62" spans="1:1">
      <c r="A62" s="240" t="s">
        <v>3027</v>
      </c>
    </row>
    <row r="63" spans="1:1">
      <c r="A63" s="240" t="s">
        <v>4662</v>
      </c>
    </row>
    <row r="64" spans="1:1">
      <c r="A64" s="240" t="s">
        <v>10129</v>
      </c>
    </row>
    <row r="65" spans="1:1">
      <c r="A65" s="240" t="s">
        <v>2906</v>
      </c>
    </row>
    <row r="66" spans="1:1">
      <c r="A66" s="240" t="s">
        <v>5359</v>
      </c>
    </row>
    <row r="67" spans="1:1">
      <c r="A67" s="240" t="s">
        <v>5366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1092A-B5DC-4EEA-94A8-D5525A223AB0}">
  <dimension ref="A1:B19"/>
  <sheetViews>
    <sheetView topLeftCell="A3" workbookViewId="0">
      <selection activeCell="G22" sqref="G22"/>
    </sheetView>
  </sheetViews>
  <sheetFormatPr defaultRowHeight="15"/>
  <cols>
    <col min="1" max="1" width="54.7109375" bestFit="1" customWidth="1"/>
    <col min="2" max="2" width="22.140625" bestFit="1" customWidth="1"/>
  </cols>
  <sheetData>
    <row r="1" spans="1:2" ht="23.25">
      <c r="A1" s="298" t="s">
        <v>15136</v>
      </c>
    </row>
    <row r="2" spans="1:2">
      <c r="A2" t="s">
        <v>3860</v>
      </c>
      <c r="B2" t="s">
        <v>15137</v>
      </c>
    </row>
    <row r="3" spans="1:2">
      <c r="A3" t="s">
        <v>9741</v>
      </c>
      <c r="B3" t="s">
        <v>15137</v>
      </c>
    </row>
    <row r="4" spans="1:2">
      <c r="A4" t="s">
        <v>5140</v>
      </c>
      <c r="B4" t="s">
        <v>15138</v>
      </c>
    </row>
    <row r="5" spans="1:2">
      <c r="A5" t="s">
        <v>3679</v>
      </c>
      <c r="B5" t="s">
        <v>15139</v>
      </c>
    </row>
    <row r="6" spans="1:2">
      <c r="A6" t="s">
        <v>15140</v>
      </c>
      <c r="B6" t="s">
        <v>15141</v>
      </c>
    </row>
    <row r="7" spans="1:2">
      <c r="A7" t="s">
        <v>3816</v>
      </c>
      <c r="B7" t="s">
        <v>15142</v>
      </c>
    </row>
    <row r="8" spans="1:2">
      <c r="A8" t="s">
        <v>15143</v>
      </c>
      <c r="B8" t="s">
        <v>15141</v>
      </c>
    </row>
    <row r="9" spans="1:2">
      <c r="A9" t="s">
        <v>15144</v>
      </c>
      <c r="B9" t="s">
        <v>15141</v>
      </c>
    </row>
    <row r="10" spans="1:2">
      <c r="A10" t="s">
        <v>15145</v>
      </c>
      <c r="B10" t="s">
        <v>15142</v>
      </c>
    </row>
    <row r="11" spans="1:2">
      <c r="A11" t="s">
        <v>15146</v>
      </c>
      <c r="B11" t="s">
        <v>15142</v>
      </c>
    </row>
    <row r="12" spans="1:2">
      <c r="A12" t="s">
        <v>2958</v>
      </c>
      <c r="B12" t="s">
        <v>15147</v>
      </c>
    </row>
    <row r="15" spans="1:2" ht="23.25">
      <c r="A15" s="298" t="s">
        <v>15148</v>
      </c>
    </row>
    <row r="16" spans="1:2">
      <c r="A16" t="s">
        <v>4072</v>
      </c>
    </row>
    <row r="17" spans="1:1">
      <c r="A17" t="s">
        <v>3945</v>
      </c>
    </row>
    <row r="18" spans="1:1">
      <c r="A18" t="s">
        <v>3818</v>
      </c>
    </row>
    <row r="19" spans="1:1">
      <c r="A19" t="s">
        <v>3717</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9A60B-5640-483C-979A-37BC7F75953C}">
  <dimension ref="A1:D72"/>
  <sheetViews>
    <sheetView topLeftCell="C16" workbookViewId="0">
      <selection activeCell="D43" sqref="D43"/>
    </sheetView>
  </sheetViews>
  <sheetFormatPr defaultRowHeight="15"/>
  <cols>
    <col min="1" max="1" width="9.140625" style="312"/>
    <col min="2" max="2" width="20.5703125" style="312" customWidth="1"/>
    <col min="3" max="3" width="71.85546875" style="319" customWidth="1"/>
    <col min="4" max="4" width="86.42578125" customWidth="1"/>
  </cols>
  <sheetData>
    <row r="1" spans="1:4">
      <c r="A1" s="310" t="s">
        <v>11157</v>
      </c>
      <c r="B1" s="310" t="s">
        <v>15149</v>
      </c>
      <c r="C1" s="316" t="s">
        <v>15150</v>
      </c>
      <c r="D1" s="149" t="s">
        <v>15151</v>
      </c>
    </row>
    <row r="2" spans="1:4" ht="180">
      <c r="A2" s="313">
        <v>44532</v>
      </c>
      <c r="B2" s="310"/>
      <c r="C2" s="316" t="s">
        <v>15152</v>
      </c>
      <c r="D2" s="307" t="s">
        <v>15153</v>
      </c>
    </row>
    <row r="3" spans="1:4" ht="195">
      <c r="A3" s="313">
        <v>44536</v>
      </c>
      <c r="B3" s="310"/>
      <c r="C3" s="316" t="s">
        <v>15154</v>
      </c>
      <c r="D3" s="307" t="s">
        <v>15155</v>
      </c>
    </row>
    <row r="4" spans="1:4" ht="240">
      <c r="A4" s="313">
        <v>44538</v>
      </c>
      <c r="B4" s="310" t="s">
        <v>10236</v>
      </c>
      <c r="C4" s="352" t="s">
        <v>15156</v>
      </c>
      <c r="D4" s="266" t="s">
        <v>15157</v>
      </c>
    </row>
    <row r="5" spans="1:4" ht="210">
      <c r="A5" s="313">
        <v>44540</v>
      </c>
      <c r="B5" s="310" t="s">
        <v>10233</v>
      </c>
      <c r="C5" s="316" t="s">
        <v>15158</v>
      </c>
      <c r="D5" s="307" t="s">
        <v>15159</v>
      </c>
    </row>
    <row r="6" spans="1:4" ht="195">
      <c r="A6" s="313">
        <v>44541</v>
      </c>
      <c r="B6" s="310" t="s">
        <v>11049</v>
      </c>
      <c r="C6" s="317" t="s">
        <v>15160</v>
      </c>
      <c r="D6" s="308" t="s">
        <v>15161</v>
      </c>
    </row>
    <row r="7" spans="1:4" ht="246.75" customHeight="1">
      <c r="A7" s="313">
        <v>44543</v>
      </c>
      <c r="B7" s="321" t="s">
        <v>10244</v>
      </c>
      <c r="C7" s="317" t="s">
        <v>15162</v>
      </c>
      <c r="D7" s="308" t="s">
        <v>15163</v>
      </c>
    </row>
    <row r="8" spans="1:4" ht="246.75" customHeight="1">
      <c r="A8" s="313"/>
      <c r="B8" s="326">
        <v>44544</v>
      </c>
      <c r="C8" s="317" t="s">
        <v>2757</v>
      </c>
      <c r="D8" s="308" t="s">
        <v>15164</v>
      </c>
    </row>
    <row r="9" spans="1:4" ht="210">
      <c r="A9" s="314">
        <v>44545</v>
      </c>
      <c r="B9" s="320" t="s">
        <v>10899</v>
      </c>
      <c r="C9" s="316" t="s">
        <v>15165</v>
      </c>
      <c r="D9" s="307" t="s">
        <v>15166</v>
      </c>
    </row>
    <row r="10" spans="1:4" ht="240">
      <c r="A10" s="327">
        <v>44547</v>
      </c>
      <c r="B10" s="310" t="s">
        <v>10233</v>
      </c>
      <c r="C10" s="316" t="s">
        <v>15167</v>
      </c>
      <c r="D10" s="266" t="s">
        <v>15168</v>
      </c>
    </row>
    <row r="11" spans="1:4" ht="345">
      <c r="A11" s="328">
        <v>44550</v>
      </c>
      <c r="B11" s="322" t="s">
        <v>10244</v>
      </c>
      <c r="C11" s="318" t="s">
        <v>15169</v>
      </c>
      <c r="D11" s="309" t="s">
        <v>15170</v>
      </c>
    </row>
    <row r="12" spans="1:4" ht="180">
      <c r="A12" s="328">
        <v>44552</v>
      </c>
      <c r="B12" s="310" t="s">
        <v>10236</v>
      </c>
      <c r="C12" s="352" t="s">
        <v>15171</v>
      </c>
      <c r="D12" s="316" t="s">
        <v>15172</v>
      </c>
    </row>
    <row r="13" spans="1:4" ht="255">
      <c r="A13" s="328">
        <v>44554</v>
      </c>
      <c r="B13" s="310" t="s">
        <v>10233</v>
      </c>
      <c r="C13" s="316" t="s">
        <v>15173</v>
      </c>
      <c r="D13" s="307" t="s">
        <v>15174</v>
      </c>
    </row>
    <row r="14" spans="1:4" ht="210">
      <c r="A14" s="328">
        <v>44557</v>
      </c>
      <c r="B14" s="310" t="s">
        <v>10244</v>
      </c>
      <c r="C14" s="316" t="s">
        <v>15175</v>
      </c>
      <c r="D14" s="308" t="s">
        <v>15176</v>
      </c>
    </row>
    <row r="15" spans="1:4" ht="195" customHeight="1">
      <c r="A15" s="314">
        <v>44559</v>
      </c>
      <c r="B15" s="310" t="s">
        <v>10236</v>
      </c>
      <c r="C15" s="332" t="s">
        <v>15177</v>
      </c>
      <c r="D15" s="307" t="s">
        <v>15178</v>
      </c>
    </row>
    <row r="16" spans="1:4" ht="225">
      <c r="A16" s="315">
        <v>44561</v>
      </c>
      <c r="B16" s="311"/>
      <c r="C16" s="317" t="s">
        <v>15179</v>
      </c>
      <c r="D16" s="333" t="s">
        <v>15180</v>
      </c>
    </row>
    <row r="17" spans="1:4">
      <c r="A17" s="851">
        <v>44562</v>
      </c>
      <c r="B17" s="819"/>
      <c r="C17" s="819"/>
      <c r="D17" s="819"/>
    </row>
    <row r="18" spans="1:4" ht="180" customHeight="1">
      <c r="A18" s="313">
        <v>44199</v>
      </c>
      <c r="B18" s="310" t="s">
        <v>10244</v>
      </c>
      <c r="C18" s="316" t="s">
        <v>15181</v>
      </c>
      <c r="D18" s="307" t="s">
        <v>15182</v>
      </c>
    </row>
    <row r="19" spans="1:4" ht="240">
      <c r="A19" s="313">
        <v>44201</v>
      </c>
      <c r="B19" s="310" t="s">
        <v>10899</v>
      </c>
      <c r="C19" s="307" t="s">
        <v>15183</v>
      </c>
      <c r="D19" s="266" t="s">
        <v>15184</v>
      </c>
    </row>
    <row r="20" spans="1:4" ht="285">
      <c r="A20" s="325">
        <v>44203</v>
      </c>
      <c r="B20" s="311" t="s">
        <v>10233</v>
      </c>
      <c r="C20" s="317" t="s">
        <v>15185</v>
      </c>
      <c r="D20" s="324" t="s">
        <v>15186</v>
      </c>
    </row>
    <row r="21" spans="1:4" s="22" customFormat="1" ht="315">
      <c r="A21" s="313">
        <v>44204</v>
      </c>
      <c r="B21" s="329" t="s">
        <v>10098</v>
      </c>
      <c r="C21" s="330" t="s">
        <v>15187</v>
      </c>
      <c r="D21" s="331" t="s">
        <v>15188</v>
      </c>
    </row>
    <row r="22" spans="1:4" ht="270">
      <c r="A22" s="323">
        <v>44206</v>
      </c>
      <c r="B22" s="322" t="s">
        <v>10244</v>
      </c>
      <c r="C22" s="318" t="s">
        <v>15189</v>
      </c>
      <c r="D22" s="309" t="s">
        <v>15190</v>
      </c>
    </row>
    <row r="23" spans="1:4" ht="240">
      <c r="A23" s="313">
        <v>44208</v>
      </c>
      <c r="B23" s="310" t="s">
        <v>10899</v>
      </c>
      <c r="C23" s="316" t="s">
        <v>15191</v>
      </c>
      <c r="D23" s="307" t="s">
        <v>15192</v>
      </c>
    </row>
    <row r="24" spans="1:4" ht="295.5" customHeight="1">
      <c r="A24" s="313">
        <v>44210</v>
      </c>
      <c r="B24" s="310" t="s">
        <v>10233</v>
      </c>
      <c r="C24" s="316" t="s">
        <v>15193</v>
      </c>
      <c r="D24" s="316" t="s">
        <v>15194</v>
      </c>
    </row>
    <row r="25" spans="1:4" ht="165">
      <c r="A25" s="313">
        <v>44213</v>
      </c>
      <c r="B25" s="310" t="s">
        <v>10244</v>
      </c>
      <c r="C25" s="316" t="s">
        <v>15195</v>
      </c>
      <c r="D25" s="308" t="s">
        <v>15196</v>
      </c>
    </row>
    <row r="26" spans="1:4" ht="405">
      <c r="A26" s="313">
        <v>44215</v>
      </c>
      <c r="B26" s="320" t="s">
        <v>10899</v>
      </c>
      <c r="C26" s="316" t="s">
        <v>15197</v>
      </c>
      <c r="D26" s="307" t="s">
        <v>15198</v>
      </c>
    </row>
    <row r="27" spans="1:4" ht="195">
      <c r="A27" s="313">
        <v>44217</v>
      </c>
      <c r="B27" s="310" t="s">
        <v>10233</v>
      </c>
      <c r="C27" s="318" t="s">
        <v>15199</v>
      </c>
      <c r="D27" s="307" t="s">
        <v>15200</v>
      </c>
    </row>
    <row r="28" spans="1:4" ht="240">
      <c r="A28" s="313">
        <v>44220</v>
      </c>
      <c r="B28" s="310" t="s">
        <v>10244</v>
      </c>
      <c r="C28" s="316" t="s">
        <v>15201</v>
      </c>
      <c r="D28" s="307" t="s">
        <v>15202</v>
      </c>
    </row>
    <row r="29" spans="1:4" ht="240">
      <c r="A29" s="313">
        <v>44222</v>
      </c>
      <c r="B29" s="310" t="s">
        <v>10899</v>
      </c>
      <c r="C29" s="316" t="s">
        <v>15203</v>
      </c>
      <c r="D29" s="307" t="s">
        <v>15204</v>
      </c>
    </row>
    <row r="30" spans="1:4" ht="240">
      <c r="A30" s="313">
        <v>44224</v>
      </c>
      <c r="B30" s="310" t="s">
        <v>10233</v>
      </c>
      <c r="C30" s="316" t="s">
        <v>15205</v>
      </c>
      <c r="D30" s="307" t="s">
        <v>15206</v>
      </c>
    </row>
    <row r="31" spans="1:4" ht="240">
      <c r="A31" s="313">
        <v>44227</v>
      </c>
      <c r="B31" s="310" t="s">
        <v>10244</v>
      </c>
      <c r="C31" s="316" t="s">
        <v>15207</v>
      </c>
      <c r="D31" s="307" t="s">
        <v>15202</v>
      </c>
    </row>
    <row r="32" spans="1:4" ht="285">
      <c r="A32" s="313">
        <v>44594</v>
      </c>
      <c r="B32" s="310" t="s">
        <v>10899</v>
      </c>
      <c r="C32" s="316" t="s">
        <v>15208</v>
      </c>
      <c r="D32" s="307" t="s">
        <v>15209</v>
      </c>
    </row>
    <row r="33" spans="1:4" ht="240">
      <c r="A33" s="313">
        <v>44596</v>
      </c>
      <c r="B33" s="310" t="s">
        <v>10233</v>
      </c>
      <c r="C33" s="316" t="s">
        <v>15210</v>
      </c>
      <c r="D33" s="307" t="s">
        <v>15211</v>
      </c>
    </row>
    <row r="34" spans="1:4" ht="195">
      <c r="A34" s="313">
        <v>44599</v>
      </c>
      <c r="B34" s="310" t="s">
        <v>10244</v>
      </c>
      <c r="C34" s="319" t="s">
        <v>15212</v>
      </c>
      <c r="D34" s="316" t="s">
        <v>15213</v>
      </c>
    </row>
    <row r="35" spans="1:4" ht="255">
      <c r="A35" s="313">
        <v>44601</v>
      </c>
      <c r="B35" s="310" t="s">
        <v>10899</v>
      </c>
      <c r="C35" s="316" t="s">
        <v>15214</v>
      </c>
      <c r="D35" s="307" t="s">
        <v>15215</v>
      </c>
    </row>
    <row r="36" spans="1:4" ht="285">
      <c r="A36" s="313">
        <v>44603</v>
      </c>
      <c r="B36" s="310" t="s">
        <v>10233</v>
      </c>
      <c r="C36" s="316" t="s">
        <v>15216</v>
      </c>
      <c r="D36" s="307" t="s">
        <v>15217</v>
      </c>
    </row>
    <row r="37" spans="1:4" ht="240">
      <c r="A37" s="313">
        <v>44606</v>
      </c>
      <c r="B37" s="310" t="s">
        <v>10244</v>
      </c>
      <c r="C37" s="316" t="s">
        <v>15207</v>
      </c>
      <c r="D37" s="307" t="s">
        <v>15202</v>
      </c>
    </row>
    <row r="38" spans="1:4" ht="240">
      <c r="A38" s="354">
        <v>44608</v>
      </c>
      <c r="B38" s="310" t="s">
        <v>10011</v>
      </c>
      <c r="C38" s="316" t="s">
        <v>15218</v>
      </c>
      <c r="D38" s="307" t="s">
        <v>15219</v>
      </c>
    </row>
    <row r="39" spans="1:4" ht="270">
      <c r="A39" s="354">
        <v>44610</v>
      </c>
      <c r="B39" s="310" t="s">
        <v>10233</v>
      </c>
      <c r="C39" s="316" t="s">
        <v>15220</v>
      </c>
      <c r="D39" s="307" t="s">
        <v>15221</v>
      </c>
    </row>
    <row r="40" spans="1:4" ht="240">
      <c r="A40" s="354">
        <v>44613</v>
      </c>
      <c r="B40" s="310" t="s">
        <v>10244</v>
      </c>
      <c r="C40" s="316" t="s">
        <v>15222</v>
      </c>
      <c r="D40" s="307" t="s">
        <v>15223</v>
      </c>
    </row>
    <row r="41" spans="1:4" ht="225">
      <c r="A41" s="354">
        <v>44615</v>
      </c>
      <c r="B41" s="310" t="s">
        <v>10899</v>
      </c>
      <c r="C41" s="316" t="s">
        <v>15224</v>
      </c>
      <c r="D41" s="307" t="s">
        <v>15225</v>
      </c>
    </row>
    <row r="42" spans="1:4" ht="270">
      <c r="A42" s="354">
        <v>44617</v>
      </c>
      <c r="B42" s="310" t="s">
        <v>10233</v>
      </c>
      <c r="C42" s="316" t="s">
        <v>15226</v>
      </c>
      <c r="D42" s="307" t="s">
        <v>15227</v>
      </c>
    </row>
    <row r="43" spans="1:4" ht="210">
      <c r="A43" s="355">
        <v>44620</v>
      </c>
      <c r="B43" s="311" t="s">
        <v>10244</v>
      </c>
      <c r="C43" s="317" t="s">
        <v>15228</v>
      </c>
      <c r="D43" s="308" t="s">
        <v>15229</v>
      </c>
    </row>
    <row r="44" spans="1:4" ht="300">
      <c r="A44" s="354">
        <v>44628</v>
      </c>
      <c r="B44" s="310" t="s">
        <v>10899</v>
      </c>
      <c r="C44" s="316" t="s">
        <v>15230</v>
      </c>
      <c r="D44" s="307" t="s">
        <v>15231</v>
      </c>
    </row>
    <row r="45" spans="1:4">
      <c r="A45" s="356"/>
      <c r="B45" s="310"/>
      <c r="C45" s="316"/>
      <c r="D45" s="149"/>
    </row>
    <row r="46" spans="1:4">
      <c r="A46" s="356"/>
      <c r="B46" s="310"/>
      <c r="C46" s="316"/>
      <c r="D46" s="149"/>
    </row>
    <row r="47" spans="1:4">
      <c r="A47" s="357"/>
    </row>
    <row r="48" spans="1:4">
      <c r="A48" s="357"/>
    </row>
    <row r="49" spans="1:1">
      <c r="A49" s="357"/>
    </row>
    <row r="50" spans="1:1">
      <c r="A50" s="357"/>
    </row>
    <row r="51" spans="1:1">
      <c r="A51" s="357"/>
    </row>
    <row r="52" spans="1:1">
      <c r="A52" s="357"/>
    </row>
    <row r="53" spans="1:1">
      <c r="A53" s="357"/>
    </row>
    <row r="54" spans="1:1">
      <c r="A54" s="357"/>
    </row>
    <row r="55" spans="1:1">
      <c r="A55" s="357"/>
    </row>
    <row r="56" spans="1:1">
      <c r="A56" s="357"/>
    </row>
    <row r="57" spans="1:1">
      <c r="A57" s="357"/>
    </row>
    <row r="58" spans="1:1">
      <c r="A58" s="357"/>
    </row>
    <row r="59" spans="1:1">
      <c r="A59" s="357"/>
    </row>
    <row r="60" spans="1:1">
      <c r="A60" s="357"/>
    </row>
    <row r="61" spans="1:1">
      <c r="A61" s="357"/>
    </row>
    <row r="62" spans="1:1">
      <c r="A62" s="357"/>
    </row>
    <row r="63" spans="1:1">
      <c r="A63" s="357"/>
    </row>
    <row r="64" spans="1:1">
      <c r="A64" s="357"/>
    </row>
    <row r="65" spans="1:1">
      <c r="A65" s="357"/>
    </row>
    <row r="66" spans="1:1">
      <c r="A66" s="357"/>
    </row>
    <row r="67" spans="1:1">
      <c r="A67" s="357"/>
    </row>
    <row r="68" spans="1:1">
      <c r="A68" s="357"/>
    </row>
    <row r="69" spans="1:1">
      <c r="A69" s="357"/>
    </row>
    <row r="70" spans="1:1">
      <c r="A70" s="357"/>
    </row>
    <row r="71" spans="1:1">
      <c r="A71" s="357"/>
    </row>
    <row r="72" spans="1:1">
      <c r="A72" s="357"/>
    </row>
  </sheetData>
  <mergeCells count="1">
    <mergeCell ref="A17:D17"/>
  </mergeCells>
  <pageMargins left="0.511811024" right="0.511811024" top="0.78740157499999996" bottom="0.78740157499999996" header="0.31496062000000002" footer="0.31496062000000002"/>
  <colBreaks count="1" manualBreakCount="1">
    <brk id="3" max="1048575" man="1"/>
  </colBreak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93E-1A47-4CEE-8F31-1957E6D15CCF}">
  <dimension ref="A1:B17"/>
  <sheetViews>
    <sheetView workbookViewId="0">
      <selection activeCell="N19" sqref="N19"/>
    </sheetView>
  </sheetViews>
  <sheetFormatPr defaultRowHeight="15"/>
  <cols>
    <col min="1" max="1" width="38" customWidth="1"/>
    <col min="2" max="2" width="38.42578125" customWidth="1"/>
  </cols>
  <sheetData>
    <row r="1" spans="1:2">
      <c r="A1" t="s">
        <v>15232</v>
      </c>
    </row>
    <row r="2" spans="1:2">
      <c r="A2" s="149"/>
      <c r="B2" s="149"/>
    </row>
    <row r="3" spans="1:2">
      <c r="A3" s="149" t="s">
        <v>15233</v>
      </c>
      <c r="B3" s="149" t="s">
        <v>3548</v>
      </c>
    </row>
    <row r="4" spans="1:2">
      <c r="A4" s="340" t="s">
        <v>15234</v>
      </c>
      <c r="B4" s="149" t="s">
        <v>5490</v>
      </c>
    </row>
    <row r="5" spans="1:2">
      <c r="A5" s="149"/>
      <c r="B5" s="149"/>
    </row>
    <row r="6" spans="1:2">
      <c r="A6" s="149"/>
      <c r="B6" s="149"/>
    </row>
    <row r="7" spans="1:2">
      <c r="A7" s="149"/>
      <c r="B7" s="149"/>
    </row>
    <row r="8" spans="1:2">
      <c r="A8" s="149"/>
      <c r="B8" s="149"/>
    </row>
    <row r="9" spans="1:2">
      <c r="A9" s="149"/>
      <c r="B9" s="149"/>
    </row>
    <row r="10" spans="1:2">
      <c r="A10" s="149"/>
      <c r="B10" s="149"/>
    </row>
    <row r="11" spans="1:2">
      <c r="A11" s="149"/>
      <c r="B11" s="149"/>
    </row>
    <row r="12" spans="1:2">
      <c r="A12" s="149"/>
      <c r="B12" s="149"/>
    </row>
    <row r="13" spans="1:2">
      <c r="A13" s="149"/>
      <c r="B13" s="149"/>
    </row>
    <row r="14" spans="1:2">
      <c r="A14" s="149"/>
      <c r="B14" s="149"/>
    </row>
    <row r="15" spans="1:2">
      <c r="A15" s="149"/>
      <c r="B15" s="149"/>
    </row>
    <row r="16" spans="1:2">
      <c r="A16" s="149"/>
      <c r="B16" s="149"/>
    </row>
    <row r="17" spans="1:2">
      <c r="A17" s="149"/>
      <c r="B17" s="149"/>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550AC-86C1-4655-90B5-669D1C5BFDE1}">
  <dimension ref="A1:A8"/>
  <sheetViews>
    <sheetView workbookViewId="0">
      <selection activeCell="C14" sqref="C14"/>
    </sheetView>
  </sheetViews>
  <sheetFormatPr defaultRowHeight="15"/>
  <cols>
    <col min="1" max="1" width="29.7109375" customWidth="1"/>
  </cols>
  <sheetData>
    <row r="1" spans="1:1">
      <c r="A1" t="s">
        <v>15235</v>
      </c>
    </row>
    <row r="3" spans="1:1">
      <c r="A3" t="s">
        <v>15236</v>
      </c>
    </row>
    <row r="4" spans="1:1">
      <c r="A4" t="s">
        <v>15237</v>
      </c>
    </row>
    <row r="5" spans="1:1">
      <c r="A5" t="s">
        <v>15238</v>
      </c>
    </row>
    <row r="6" spans="1:1">
      <c r="A6" t="s">
        <v>15239</v>
      </c>
    </row>
    <row r="7" spans="1:1">
      <c r="A7" t="s">
        <v>15240</v>
      </c>
    </row>
    <row r="8" spans="1:1">
      <c r="A8" t="s">
        <v>15241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AD27-E5FE-4C43-859E-57B7ABC73E90}">
  <dimension ref="A1:H43"/>
  <sheetViews>
    <sheetView topLeftCell="F24" workbookViewId="0">
      <selection activeCell="F24" sqref="F24"/>
    </sheetView>
  </sheetViews>
  <sheetFormatPr defaultRowHeight="15"/>
  <cols>
    <col min="1" max="1" width="9.140625" style="24"/>
    <col min="2" max="2" width="10.42578125" style="24" bestFit="1" customWidth="1"/>
    <col min="3" max="3" width="40.85546875" style="24" bestFit="1" customWidth="1"/>
    <col min="4" max="4" width="14.28515625" style="24" bestFit="1" customWidth="1"/>
    <col min="5" max="5" width="15.140625" style="24" bestFit="1" customWidth="1"/>
    <col min="6" max="6" width="21.85546875" style="24" bestFit="1" customWidth="1"/>
    <col min="7" max="7" width="9.140625" style="24"/>
  </cols>
  <sheetData>
    <row r="1" spans="1:8">
      <c r="A1" s="852" t="s">
        <v>15242</v>
      </c>
      <c r="B1" s="852"/>
      <c r="C1" s="852"/>
      <c r="D1" s="852"/>
      <c r="E1" s="852"/>
      <c r="F1" s="852"/>
      <c r="G1" s="852"/>
    </row>
    <row r="2" spans="1:8">
      <c r="A2" s="412" t="s">
        <v>4346</v>
      </c>
      <c r="B2" s="412" t="s">
        <v>15243</v>
      </c>
      <c r="C2" s="412" t="s">
        <v>7338</v>
      </c>
      <c r="D2" s="412" t="s">
        <v>15244</v>
      </c>
      <c r="E2" s="412" t="s">
        <v>15245</v>
      </c>
      <c r="F2" s="412" t="s">
        <v>15246</v>
      </c>
      <c r="G2" s="412" t="s">
        <v>15247</v>
      </c>
    </row>
    <row r="3" spans="1:8">
      <c r="A3" s="358">
        <v>44608</v>
      </c>
      <c r="B3" s="359" t="s">
        <v>15248</v>
      </c>
      <c r="C3" s="359" t="s">
        <v>15249</v>
      </c>
      <c r="D3" s="360">
        <v>79.900000000000006</v>
      </c>
      <c r="E3" s="360">
        <v>79.900000000000006</v>
      </c>
      <c r="F3" s="360">
        <v>100</v>
      </c>
      <c r="G3" s="360">
        <f>SUM(F3-E3)</f>
        <v>20.099999999999994</v>
      </c>
    </row>
    <row r="4" spans="1:8">
      <c r="A4" s="358">
        <v>44608</v>
      </c>
      <c r="B4" s="359" t="s">
        <v>15248</v>
      </c>
      <c r="C4" s="359" t="s">
        <v>15249</v>
      </c>
      <c r="D4" s="360">
        <v>79.900000000000006</v>
      </c>
      <c r="E4" s="360">
        <v>79.900000000000006</v>
      </c>
      <c r="F4" s="360">
        <v>100</v>
      </c>
      <c r="G4" s="360">
        <f t="shared" ref="G4:G38" si="0">SUM(F4-E4)</f>
        <v>20.099999999999994</v>
      </c>
    </row>
    <row r="5" spans="1:8">
      <c r="A5" s="358">
        <v>44608</v>
      </c>
      <c r="B5" s="359" t="s">
        <v>10896</v>
      </c>
      <c r="C5" s="359" t="s">
        <v>2809</v>
      </c>
      <c r="D5" s="360">
        <v>193.14</v>
      </c>
      <c r="E5" s="360">
        <v>199.54</v>
      </c>
      <c r="F5" s="360">
        <v>200</v>
      </c>
      <c r="G5" s="360">
        <f t="shared" si="0"/>
        <v>0.46000000000000796</v>
      </c>
    </row>
    <row r="6" spans="1:8">
      <c r="A6" s="364">
        <v>44609</v>
      </c>
      <c r="B6" s="59" t="s">
        <v>10896</v>
      </c>
      <c r="C6" s="59" t="s">
        <v>228</v>
      </c>
      <c r="D6" s="361">
        <v>159.80000000000001</v>
      </c>
      <c r="E6" s="361">
        <v>166.84</v>
      </c>
      <c r="F6" s="361">
        <v>200</v>
      </c>
      <c r="G6" s="361">
        <f t="shared" si="0"/>
        <v>33.159999999999997</v>
      </c>
    </row>
    <row r="7" spans="1:8">
      <c r="A7" s="364">
        <v>44610</v>
      </c>
      <c r="B7" s="59" t="s">
        <v>10896</v>
      </c>
      <c r="C7" s="59" t="s">
        <v>5211</v>
      </c>
      <c r="D7" s="361">
        <v>79.900000000000006</v>
      </c>
      <c r="E7" s="361">
        <v>79.900000000000006</v>
      </c>
      <c r="F7" s="361">
        <v>80</v>
      </c>
      <c r="G7" s="361">
        <f t="shared" si="0"/>
        <v>9.9999999999994316E-2</v>
      </c>
    </row>
    <row r="8" spans="1:8">
      <c r="A8" s="364">
        <v>44610</v>
      </c>
      <c r="B8" s="59" t="s">
        <v>15248</v>
      </c>
      <c r="C8" s="59" t="s">
        <v>1512</v>
      </c>
      <c r="D8" s="361">
        <v>164.45</v>
      </c>
      <c r="E8" s="361">
        <v>164.45</v>
      </c>
      <c r="F8" s="361">
        <v>200</v>
      </c>
      <c r="G8" s="361">
        <f t="shared" si="0"/>
        <v>35.550000000000011</v>
      </c>
      <c r="H8">
        <v>0.2</v>
      </c>
    </row>
    <row r="9" spans="1:8">
      <c r="A9" s="364">
        <v>44610</v>
      </c>
      <c r="B9" s="59" t="s">
        <v>15250</v>
      </c>
      <c r="C9" s="59" t="s">
        <v>2302</v>
      </c>
      <c r="D9" s="361">
        <v>183.93</v>
      </c>
      <c r="E9" s="361">
        <v>183.93</v>
      </c>
      <c r="F9" s="361">
        <v>200</v>
      </c>
      <c r="G9" s="361">
        <f t="shared" si="0"/>
        <v>16.069999999999993</v>
      </c>
    </row>
    <row r="10" spans="1:8">
      <c r="A10" s="364">
        <v>44610</v>
      </c>
      <c r="B10" s="59" t="s">
        <v>15250</v>
      </c>
      <c r="C10" s="59" t="s">
        <v>3856</v>
      </c>
      <c r="D10" s="361">
        <v>71.47</v>
      </c>
      <c r="E10" s="361">
        <v>71.47</v>
      </c>
      <c r="F10" s="361">
        <v>72</v>
      </c>
      <c r="G10" s="361">
        <f t="shared" si="0"/>
        <v>0.53000000000000114</v>
      </c>
    </row>
    <row r="11" spans="1:8">
      <c r="A11" s="364">
        <v>44611</v>
      </c>
      <c r="B11" s="59" t="s">
        <v>15250</v>
      </c>
      <c r="C11" s="59" t="s">
        <v>15251</v>
      </c>
      <c r="D11" s="361">
        <v>70</v>
      </c>
      <c r="E11" s="361">
        <v>70</v>
      </c>
      <c r="F11" s="361">
        <v>70</v>
      </c>
      <c r="G11" s="361">
        <f t="shared" si="0"/>
        <v>0</v>
      </c>
    </row>
    <row r="12" spans="1:8">
      <c r="A12" s="364">
        <v>44613</v>
      </c>
      <c r="B12" s="59" t="s">
        <v>10896</v>
      </c>
      <c r="C12" s="59" t="s">
        <v>3719</v>
      </c>
      <c r="D12" s="361">
        <v>124.9</v>
      </c>
      <c r="E12" s="361">
        <v>124.9</v>
      </c>
      <c r="F12" s="361">
        <v>125</v>
      </c>
      <c r="G12" s="361">
        <f t="shared" si="0"/>
        <v>9.9999999999994316E-2</v>
      </c>
    </row>
    <row r="13" spans="1:8">
      <c r="A13" s="364">
        <v>44614</v>
      </c>
      <c r="B13" s="59" t="s">
        <v>10896</v>
      </c>
      <c r="C13" t="s">
        <v>4062</v>
      </c>
      <c r="D13" s="361">
        <v>99.9</v>
      </c>
      <c r="E13" s="361">
        <v>102.39</v>
      </c>
      <c r="F13" s="361">
        <v>120</v>
      </c>
      <c r="G13" s="361">
        <f t="shared" si="0"/>
        <v>17.61</v>
      </c>
    </row>
    <row r="14" spans="1:8">
      <c r="A14" s="367">
        <v>44615</v>
      </c>
      <c r="B14" s="173" t="s">
        <v>10896</v>
      </c>
      <c r="C14" s="173" t="s">
        <v>824</v>
      </c>
      <c r="D14" s="363">
        <v>79.900000000000006</v>
      </c>
      <c r="E14" s="363">
        <v>81.55</v>
      </c>
      <c r="F14" s="363">
        <v>82</v>
      </c>
      <c r="G14" s="363">
        <f t="shared" si="0"/>
        <v>0.45000000000000284</v>
      </c>
    </row>
    <row r="15" spans="1:8">
      <c r="A15" s="364">
        <v>44615</v>
      </c>
      <c r="B15" s="59" t="s">
        <v>10896</v>
      </c>
      <c r="C15" s="59" t="s">
        <v>3769</v>
      </c>
      <c r="D15" s="361">
        <v>79.900000000000006</v>
      </c>
      <c r="E15" s="361">
        <v>79.900000000000006</v>
      </c>
      <c r="F15" s="361">
        <v>100</v>
      </c>
      <c r="G15" s="361">
        <f t="shared" si="0"/>
        <v>20.099999999999994</v>
      </c>
    </row>
    <row r="16" spans="1:8">
      <c r="A16" s="364">
        <v>44615</v>
      </c>
      <c r="B16" s="59" t="s">
        <v>14194</v>
      </c>
      <c r="C16" s="59" t="s">
        <v>2761</v>
      </c>
      <c r="D16" s="361">
        <v>79.900000000000006</v>
      </c>
      <c r="E16" s="361">
        <v>83.74</v>
      </c>
      <c r="F16" s="361">
        <v>100</v>
      </c>
      <c r="G16" s="361">
        <f t="shared" si="0"/>
        <v>16.260000000000005</v>
      </c>
    </row>
    <row r="17" spans="1:7">
      <c r="A17" s="364">
        <v>44615</v>
      </c>
      <c r="B17" s="59" t="s">
        <v>10896</v>
      </c>
      <c r="C17" s="59" t="s">
        <v>10201</v>
      </c>
      <c r="D17" s="361">
        <f>50 + 79.9</f>
        <v>129.9</v>
      </c>
      <c r="E17" s="361">
        <f>51.05 + 81.55</f>
        <v>132.6</v>
      </c>
      <c r="F17" s="361">
        <v>150</v>
      </c>
      <c r="G17" s="361">
        <f t="shared" si="0"/>
        <v>17.400000000000006</v>
      </c>
    </row>
    <row r="18" spans="1:7">
      <c r="A18" s="364">
        <v>44615</v>
      </c>
      <c r="B18" s="59" t="s">
        <v>10896</v>
      </c>
      <c r="C18" t="s">
        <v>491</v>
      </c>
      <c r="D18" s="361">
        <v>58.01</v>
      </c>
      <c r="E18" s="361">
        <v>59.48</v>
      </c>
      <c r="F18" s="361">
        <v>60</v>
      </c>
      <c r="G18" s="361">
        <f t="shared" si="0"/>
        <v>0.52000000000000313</v>
      </c>
    </row>
    <row r="19" spans="1:7">
      <c r="A19" s="364">
        <v>44616</v>
      </c>
      <c r="B19" s="59" t="s">
        <v>10896</v>
      </c>
      <c r="C19" t="s">
        <v>1998</v>
      </c>
      <c r="D19" s="361">
        <v>53.25</v>
      </c>
      <c r="E19" s="361">
        <v>53.25</v>
      </c>
      <c r="F19" s="361">
        <v>70</v>
      </c>
      <c r="G19" s="361">
        <f t="shared" si="0"/>
        <v>16.75</v>
      </c>
    </row>
    <row r="20" spans="1:7">
      <c r="A20" s="364">
        <v>44616</v>
      </c>
      <c r="B20" s="59" t="s">
        <v>14209</v>
      </c>
      <c r="C20" s="59" t="s">
        <v>882</v>
      </c>
      <c r="D20" s="361">
        <v>60</v>
      </c>
      <c r="E20" s="361">
        <v>61.79</v>
      </c>
      <c r="F20" s="361">
        <v>70</v>
      </c>
      <c r="G20" s="361">
        <f t="shared" si="0"/>
        <v>8.2100000000000009</v>
      </c>
    </row>
    <row r="21" spans="1:7">
      <c r="A21" s="364">
        <v>44622</v>
      </c>
      <c r="B21" s="59" t="s">
        <v>10896</v>
      </c>
      <c r="C21" t="s">
        <v>2722</v>
      </c>
      <c r="D21" s="361">
        <v>79.900000000000006</v>
      </c>
      <c r="E21" s="361">
        <v>82.03</v>
      </c>
      <c r="F21" s="361">
        <v>100</v>
      </c>
      <c r="G21" s="361">
        <f t="shared" si="0"/>
        <v>17.97</v>
      </c>
    </row>
    <row r="22" spans="1:7">
      <c r="A22" s="364">
        <v>44624</v>
      </c>
      <c r="B22" s="59" t="s">
        <v>10896</v>
      </c>
      <c r="C22" s="59" t="s">
        <v>3569</v>
      </c>
      <c r="D22" s="361">
        <v>79.900000000000006</v>
      </c>
      <c r="E22" s="361">
        <v>82.08</v>
      </c>
      <c r="F22" s="361">
        <v>90</v>
      </c>
      <c r="G22" s="361">
        <f t="shared" si="0"/>
        <v>7.9200000000000017</v>
      </c>
    </row>
    <row r="23" spans="1:7">
      <c r="A23" s="364">
        <v>44624</v>
      </c>
      <c r="B23" s="59" t="s">
        <v>10896</v>
      </c>
      <c r="C23" s="59" t="s">
        <v>1013</v>
      </c>
      <c r="D23" s="361">
        <v>79.900000000000006</v>
      </c>
      <c r="E23" s="361">
        <v>82.16</v>
      </c>
      <c r="F23" s="361">
        <v>100</v>
      </c>
      <c r="G23" s="361">
        <f t="shared" si="0"/>
        <v>17.840000000000003</v>
      </c>
    </row>
    <row r="24" spans="1:7">
      <c r="A24" s="59"/>
      <c r="B24" s="59"/>
      <c r="C24" s="59"/>
      <c r="D24" s="361"/>
      <c r="E24" s="361"/>
      <c r="F24" s="361"/>
      <c r="G24" s="361">
        <f t="shared" si="0"/>
        <v>0</v>
      </c>
    </row>
    <row r="25" spans="1:7">
      <c r="A25" s="59"/>
      <c r="B25" s="59"/>
      <c r="C25" s="59"/>
      <c r="D25" s="361"/>
      <c r="E25" s="361"/>
      <c r="F25" s="361"/>
      <c r="G25" s="361">
        <f t="shared" si="0"/>
        <v>0</v>
      </c>
    </row>
    <row r="26" spans="1:7">
      <c r="A26" s="59"/>
      <c r="B26" s="59"/>
      <c r="C26" s="59"/>
      <c r="D26" s="361"/>
      <c r="E26" s="361"/>
      <c r="F26" s="361"/>
      <c r="G26" s="361">
        <f t="shared" si="0"/>
        <v>0</v>
      </c>
    </row>
    <row r="27" spans="1:7">
      <c r="A27" s="59"/>
      <c r="B27" s="59"/>
      <c r="C27" s="59"/>
      <c r="D27" s="361"/>
      <c r="E27" s="361"/>
      <c r="F27" s="361"/>
      <c r="G27" s="361">
        <f t="shared" si="0"/>
        <v>0</v>
      </c>
    </row>
    <row r="28" spans="1:7">
      <c r="A28" s="59"/>
      <c r="B28" s="59"/>
      <c r="C28" s="59"/>
      <c r="D28" s="361"/>
      <c r="E28" s="361"/>
      <c r="F28" s="361"/>
      <c r="G28" s="361">
        <f t="shared" si="0"/>
        <v>0</v>
      </c>
    </row>
    <row r="29" spans="1:7">
      <c r="A29" s="59"/>
      <c r="B29" s="59"/>
      <c r="C29" s="59"/>
      <c r="D29" s="361"/>
      <c r="E29" s="361"/>
      <c r="F29" s="361"/>
      <c r="G29" s="361">
        <f t="shared" si="0"/>
        <v>0</v>
      </c>
    </row>
    <row r="30" spans="1:7">
      <c r="A30" s="59"/>
      <c r="B30" s="59"/>
      <c r="C30" s="59"/>
      <c r="D30" s="361"/>
      <c r="E30" s="361"/>
      <c r="F30" s="361"/>
      <c r="G30" s="361">
        <f t="shared" si="0"/>
        <v>0</v>
      </c>
    </row>
    <row r="31" spans="1:7">
      <c r="A31" s="59"/>
      <c r="B31" s="59"/>
      <c r="C31" s="59"/>
      <c r="D31" s="361"/>
      <c r="E31" s="361"/>
      <c r="F31" s="361"/>
      <c r="G31" s="361">
        <f t="shared" si="0"/>
        <v>0</v>
      </c>
    </row>
    <row r="32" spans="1:7">
      <c r="A32" s="59"/>
      <c r="B32" s="59"/>
      <c r="C32" s="59"/>
      <c r="D32" s="361"/>
      <c r="E32" s="361"/>
      <c r="F32" s="361"/>
      <c r="G32" s="361">
        <f t="shared" si="0"/>
        <v>0</v>
      </c>
    </row>
    <row r="33" spans="1:7">
      <c r="A33" s="59"/>
      <c r="B33" s="59"/>
      <c r="C33" s="59"/>
      <c r="D33" s="361"/>
      <c r="E33" s="361"/>
      <c r="F33" s="361"/>
      <c r="G33" s="361">
        <f t="shared" si="0"/>
        <v>0</v>
      </c>
    </row>
    <row r="34" spans="1:7">
      <c r="A34" s="59"/>
      <c r="B34" s="59"/>
      <c r="C34" s="59"/>
      <c r="D34" s="361"/>
      <c r="E34" s="361"/>
      <c r="F34" s="361"/>
      <c r="G34" s="361">
        <f t="shared" si="0"/>
        <v>0</v>
      </c>
    </row>
    <row r="35" spans="1:7">
      <c r="A35" s="59"/>
      <c r="B35" s="59"/>
      <c r="C35" s="59"/>
      <c r="D35" s="361"/>
      <c r="E35" s="361"/>
      <c r="F35" s="361"/>
      <c r="G35" s="361">
        <f t="shared" si="0"/>
        <v>0</v>
      </c>
    </row>
    <row r="36" spans="1:7">
      <c r="A36" s="59"/>
      <c r="B36" s="59"/>
      <c r="C36" s="59"/>
      <c r="D36" s="361"/>
      <c r="E36" s="361"/>
      <c r="F36" s="361"/>
      <c r="G36" s="361">
        <f t="shared" si="0"/>
        <v>0</v>
      </c>
    </row>
    <row r="37" spans="1:7">
      <c r="A37" s="59"/>
      <c r="B37" s="59"/>
      <c r="C37" s="59"/>
      <c r="D37" s="361"/>
      <c r="E37" s="361"/>
      <c r="F37" s="361"/>
      <c r="G37" s="361">
        <f t="shared" si="0"/>
        <v>0</v>
      </c>
    </row>
    <row r="38" spans="1:7">
      <c r="A38" s="59"/>
      <c r="B38" s="59"/>
      <c r="C38" s="59"/>
      <c r="D38" s="361"/>
      <c r="E38" s="361"/>
      <c r="F38" s="361"/>
      <c r="G38" s="361">
        <f t="shared" si="0"/>
        <v>0</v>
      </c>
    </row>
    <row r="39" spans="1:7">
      <c r="D39" s="362"/>
      <c r="E39" s="362"/>
      <c r="F39" s="362"/>
      <c r="G39" s="362"/>
    </row>
    <row r="40" spans="1:7">
      <c r="D40" s="362"/>
      <c r="E40" s="362"/>
      <c r="F40" s="362"/>
      <c r="G40" s="362"/>
    </row>
    <row r="41" spans="1:7">
      <c r="D41" s="362"/>
      <c r="E41" s="362"/>
      <c r="F41" s="362"/>
      <c r="G41" s="362"/>
    </row>
    <row r="42" spans="1:7">
      <c r="D42" s="362"/>
      <c r="E42" s="362"/>
      <c r="F42" s="362"/>
      <c r="G42" s="362"/>
    </row>
    <row r="43" spans="1:7">
      <c r="D43" s="362"/>
      <c r="E43" s="362"/>
      <c r="F43" s="362"/>
      <c r="G43" s="362"/>
    </row>
  </sheetData>
  <mergeCells count="1">
    <mergeCell ref="A1:G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95E2A-D3F7-44E2-81AC-6308BF92687C}">
  <dimension ref="A1:C205"/>
  <sheetViews>
    <sheetView workbookViewId="0"/>
  </sheetViews>
  <sheetFormatPr defaultRowHeight="15"/>
  <cols>
    <col min="1" max="1" width="42.7109375" customWidth="1"/>
    <col min="2" max="2" width="21.7109375" customWidth="1"/>
    <col min="3" max="3" width="26" customWidth="1"/>
    <col min="4" max="4" width="28.28515625" customWidth="1"/>
  </cols>
  <sheetData>
    <row r="1" spans="1:3">
      <c r="A1" s="408" t="s">
        <v>4074</v>
      </c>
      <c r="B1" s="408" t="s">
        <v>4075</v>
      </c>
      <c r="C1" s="408" t="s">
        <v>4076</v>
      </c>
    </row>
    <row r="2" spans="1:3">
      <c r="A2" s="408" t="s">
        <v>2880</v>
      </c>
      <c r="B2" s="408"/>
      <c r="C2" s="408" t="s">
        <v>4079</v>
      </c>
    </row>
    <row r="3" spans="1:3">
      <c r="A3" s="408" t="s">
        <v>2841</v>
      </c>
      <c r="B3" s="408"/>
      <c r="C3" s="408" t="s">
        <v>4080</v>
      </c>
    </row>
    <row r="4" spans="1:3">
      <c r="A4" s="408" t="s">
        <v>4064</v>
      </c>
      <c r="B4" s="408"/>
      <c r="C4" s="408" t="s">
        <v>4083</v>
      </c>
    </row>
    <row r="5" spans="1:3">
      <c r="A5" s="408" t="s">
        <v>4064</v>
      </c>
      <c r="B5" s="408"/>
      <c r="C5" s="408" t="s">
        <v>4083</v>
      </c>
    </row>
    <row r="6" spans="1:3">
      <c r="A6" s="408" t="s">
        <v>4035</v>
      </c>
      <c r="B6" s="408"/>
      <c r="C6" s="408" t="s">
        <v>4085</v>
      </c>
    </row>
    <row r="7" spans="1:3">
      <c r="A7" s="408" t="s">
        <v>4086</v>
      </c>
      <c r="B7" s="408"/>
      <c r="C7" s="408" t="s">
        <v>4087</v>
      </c>
    </row>
    <row r="8" spans="1:3">
      <c r="A8" s="408" t="s">
        <v>2769</v>
      </c>
      <c r="B8" s="408"/>
      <c r="C8" s="408" t="s">
        <v>4089</v>
      </c>
    </row>
    <row r="9" spans="1:3">
      <c r="A9" s="408" t="s">
        <v>4090</v>
      </c>
      <c r="B9" s="408"/>
      <c r="C9" s="408" t="s">
        <v>4092</v>
      </c>
    </row>
    <row r="10" spans="1:3">
      <c r="A10" s="408" t="s">
        <v>4093</v>
      </c>
      <c r="B10" s="408"/>
      <c r="C10" s="408" t="s">
        <v>4095</v>
      </c>
    </row>
    <row r="11" spans="1:3">
      <c r="A11" s="408" t="s">
        <v>4096</v>
      </c>
      <c r="B11" s="408"/>
      <c r="C11" s="408" t="s">
        <v>4098</v>
      </c>
    </row>
    <row r="12" spans="1:3">
      <c r="A12" s="408" t="s">
        <v>2883</v>
      </c>
      <c r="B12" s="408"/>
      <c r="C12" s="408" t="s">
        <v>4099</v>
      </c>
    </row>
    <row r="13" spans="1:3">
      <c r="A13" s="408" t="s">
        <v>2901</v>
      </c>
      <c r="B13" s="408"/>
      <c r="C13" s="408" t="s">
        <v>4100</v>
      </c>
    </row>
    <row r="14" spans="1:3">
      <c r="A14" s="408" t="s">
        <v>4101</v>
      </c>
      <c r="B14" s="408"/>
      <c r="C14" s="408" t="s">
        <v>4102</v>
      </c>
    </row>
    <row r="15" spans="1:3">
      <c r="A15" s="408" t="s">
        <v>2881</v>
      </c>
      <c r="B15" s="408"/>
      <c r="C15" s="408" t="s">
        <v>4103</v>
      </c>
    </row>
    <row r="16" spans="1:3">
      <c r="A16" s="408" t="s">
        <v>2900</v>
      </c>
      <c r="B16" s="408"/>
      <c r="C16" s="408" t="s">
        <v>4105</v>
      </c>
    </row>
    <row r="17" spans="1:3">
      <c r="A17" s="408" t="s">
        <v>4106</v>
      </c>
      <c r="B17" s="408"/>
      <c r="C17" s="408" t="s">
        <v>4107</v>
      </c>
    </row>
    <row r="18" spans="1:3">
      <c r="A18" s="408" t="s">
        <v>4108</v>
      </c>
      <c r="B18" s="408"/>
      <c r="C18" s="408" t="s">
        <v>4109</v>
      </c>
    </row>
    <row r="19" spans="1:3">
      <c r="A19" s="408" t="s">
        <v>4110</v>
      </c>
      <c r="B19" s="408"/>
      <c r="C19" s="408" t="s">
        <v>4111</v>
      </c>
    </row>
    <row r="20" spans="1:3">
      <c r="A20" s="408" t="s">
        <v>4112</v>
      </c>
      <c r="B20" s="408"/>
      <c r="C20" s="408" t="s">
        <v>1283</v>
      </c>
    </row>
    <row r="21" spans="1:3">
      <c r="A21" s="408" t="s">
        <v>4113</v>
      </c>
      <c r="B21" s="408"/>
      <c r="C21" s="408" t="s">
        <v>4114</v>
      </c>
    </row>
    <row r="22" spans="1:3">
      <c r="A22" s="408" t="s">
        <v>4115</v>
      </c>
      <c r="B22" s="408"/>
      <c r="C22" s="408" t="s">
        <v>4116</v>
      </c>
    </row>
    <row r="23" spans="1:3">
      <c r="A23" s="408" t="s">
        <v>3541</v>
      </c>
      <c r="B23" s="408" t="s">
        <v>5513</v>
      </c>
      <c r="C23" s="408" t="s">
        <v>4117</v>
      </c>
    </row>
    <row r="24" spans="1:3">
      <c r="A24" s="408" t="s">
        <v>2862</v>
      </c>
      <c r="B24" s="408"/>
      <c r="C24" s="408" t="s">
        <v>4119</v>
      </c>
    </row>
    <row r="25" spans="1:3">
      <c r="A25" s="408" t="s">
        <v>4120</v>
      </c>
      <c r="B25" s="408" t="s">
        <v>15252</v>
      </c>
      <c r="C25" s="408" t="s">
        <v>4121</v>
      </c>
    </row>
    <row r="26" spans="1:3">
      <c r="A26" s="408" t="s">
        <v>2467</v>
      </c>
      <c r="B26" s="408" t="s">
        <v>15253</v>
      </c>
      <c r="C26" s="408" t="s">
        <v>4121</v>
      </c>
    </row>
    <row r="27" spans="1:3">
      <c r="A27" s="408" t="s">
        <v>2432</v>
      </c>
      <c r="B27" s="408" t="s">
        <v>15254</v>
      </c>
      <c r="C27" s="408" t="s">
        <v>4123</v>
      </c>
    </row>
    <row r="28" spans="1:3">
      <c r="A28" s="408" t="s">
        <v>2377</v>
      </c>
      <c r="B28" s="408"/>
      <c r="C28" s="408" t="s">
        <v>4124</v>
      </c>
    </row>
    <row r="29" spans="1:3">
      <c r="A29" s="408" t="s">
        <v>2459</v>
      </c>
      <c r="B29" s="408" t="s">
        <v>4125</v>
      </c>
      <c r="C29" s="408" t="s">
        <v>4125</v>
      </c>
    </row>
    <row r="30" spans="1:3">
      <c r="A30" s="408" t="s">
        <v>2510</v>
      </c>
      <c r="B30" s="408" t="s">
        <v>4126</v>
      </c>
      <c r="C30" s="408" t="s">
        <v>4126</v>
      </c>
    </row>
    <row r="31" spans="1:3">
      <c r="A31" s="408" t="s">
        <v>2614</v>
      </c>
      <c r="B31" s="408" t="s">
        <v>4128</v>
      </c>
      <c r="C31" s="408" t="s">
        <v>4128</v>
      </c>
    </row>
    <row r="32" spans="1:3">
      <c r="A32" s="408" t="s">
        <v>2311</v>
      </c>
      <c r="B32" s="408" t="s">
        <v>15255</v>
      </c>
      <c r="C32" s="408" t="s">
        <v>4129</v>
      </c>
    </row>
    <row r="33" spans="1:3">
      <c r="A33" s="408" t="s">
        <v>2293</v>
      </c>
      <c r="B33" s="408" t="s">
        <v>15256</v>
      </c>
      <c r="C33" s="408" t="s">
        <v>4121</v>
      </c>
    </row>
    <row r="34" spans="1:3">
      <c r="A34" s="408" t="s">
        <v>2346</v>
      </c>
      <c r="B34" s="408" t="s">
        <v>15257</v>
      </c>
      <c r="C34" s="408" t="s">
        <v>4121</v>
      </c>
    </row>
    <row r="35" spans="1:3">
      <c r="A35" s="408" t="s">
        <v>2593</v>
      </c>
      <c r="B35" s="408" t="s">
        <v>15258</v>
      </c>
      <c r="C35" s="408" t="s">
        <v>4131</v>
      </c>
    </row>
    <row r="36" spans="1:3">
      <c r="A36" s="408" t="s">
        <v>2601</v>
      </c>
      <c r="B36" s="408" t="s">
        <v>4132</v>
      </c>
      <c r="C36" s="408" t="s">
        <v>4132</v>
      </c>
    </row>
    <row r="37" spans="1:3">
      <c r="A37" s="408" t="s">
        <v>2618</v>
      </c>
      <c r="B37" s="408" t="s">
        <v>15259</v>
      </c>
      <c r="C37" s="408" t="s">
        <v>4133</v>
      </c>
    </row>
    <row r="38" spans="1:3">
      <c r="A38" s="408" t="s">
        <v>2591</v>
      </c>
      <c r="B38" s="408" t="s">
        <v>4121</v>
      </c>
      <c r="C38" s="408" t="s">
        <v>4134</v>
      </c>
    </row>
    <row r="39" spans="1:3">
      <c r="A39" s="408" t="s">
        <v>2530</v>
      </c>
      <c r="B39" s="408" t="s">
        <v>4121</v>
      </c>
      <c r="C39" s="408" t="s">
        <v>4121</v>
      </c>
    </row>
    <row r="40" spans="1:3">
      <c r="A40" s="408" t="s">
        <v>613</v>
      </c>
      <c r="B40" s="408" t="s">
        <v>4136</v>
      </c>
      <c r="C40" s="408" t="s">
        <v>4136</v>
      </c>
    </row>
    <row r="41" spans="1:3">
      <c r="A41" s="408" t="s">
        <v>2532</v>
      </c>
      <c r="B41" s="408" t="s">
        <v>15260</v>
      </c>
      <c r="C41" s="408" t="s">
        <v>4137</v>
      </c>
    </row>
    <row r="42" spans="1:3">
      <c r="A42" s="408" t="s">
        <v>4138</v>
      </c>
      <c r="B42" s="408" t="s">
        <v>4139</v>
      </c>
      <c r="C42" s="408" t="s">
        <v>4139</v>
      </c>
    </row>
    <row r="43" spans="1:3">
      <c r="A43" s="408" t="s">
        <v>2373</v>
      </c>
      <c r="B43" s="408"/>
      <c r="C43" s="408" t="s">
        <v>4140</v>
      </c>
    </row>
    <row r="44" spans="1:3">
      <c r="A44" s="408" t="s">
        <v>3846</v>
      </c>
      <c r="B44" s="408" t="s">
        <v>15261</v>
      </c>
      <c r="C44" s="408" t="s">
        <v>4121</v>
      </c>
    </row>
    <row r="45" spans="1:3">
      <c r="A45" s="408" t="s">
        <v>2675</v>
      </c>
      <c r="B45" s="408" t="s">
        <v>15262</v>
      </c>
      <c r="C45" s="408" t="s">
        <v>4141</v>
      </c>
    </row>
    <row r="46" spans="1:3">
      <c r="A46" s="408" t="s">
        <v>2687</v>
      </c>
      <c r="B46" s="408" t="s">
        <v>15263</v>
      </c>
      <c r="C46" s="408" t="s">
        <v>4121</v>
      </c>
    </row>
    <row r="47" spans="1:3">
      <c r="A47" s="408" t="s">
        <v>2682</v>
      </c>
      <c r="B47" s="408" t="s">
        <v>15264</v>
      </c>
      <c r="C47" s="408" t="s">
        <v>4121</v>
      </c>
    </row>
    <row r="48" spans="1:3">
      <c r="A48" s="408" t="s">
        <v>2297</v>
      </c>
      <c r="B48" s="408" t="s">
        <v>15265</v>
      </c>
      <c r="C48" s="408" t="s">
        <v>4121</v>
      </c>
    </row>
    <row r="49" spans="1:3">
      <c r="A49" s="408" t="s">
        <v>2471</v>
      </c>
      <c r="B49" s="408" t="s">
        <v>4142</v>
      </c>
      <c r="C49" s="408" t="s">
        <v>4142</v>
      </c>
    </row>
    <row r="50" spans="1:3">
      <c r="A50" s="408" t="s">
        <v>2328</v>
      </c>
      <c r="B50" s="408"/>
      <c r="C50" s="408" t="s">
        <v>4143</v>
      </c>
    </row>
    <row r="51" spans="1:3">
      <c r="A51" s="408" t="s">
        <v>4144</v>
      </c>
      <c r="B51" s="408" t="s">
        <v>4145</v>
      </c>
      <c r="C51" s="408" t="s">
        <v>4145</v>
      </c>
    </row>
    <row r="52" spans="1:3">
      <c r="A52" s="408" t="s">
        <v>4146</v>
      </c>
      <c r="B52" s="408" t="s">
        <v>4147</v>
      </c>
      <c r="C52" s="408" t="s">
        <v>4147</v>
      </c>
    </row>
    <row r="53" spans="1:3">
      <c r="A53" s="408" t="s">
        <v>643</v>
      </c>
      <c r="B53" s="408" t="s">
        <v>4148</v>
      </c>
      <c r="C53" s="408" t="s">
        <v>4148</v>
      </c>
    </row>
    <row r="54" spans="1:3">
      <c r="A54" s="408" t="s">
        <v>793</v>
      </c>
      <c r="B54" s="408" t="s">
        <v>4149</v>
      </c>
      <c r="C54" s="408" t="s">
        <v>4149</v>
      </c>
    </row>
    <row r="55" spans="1:3">
      <c r="A55" s="408" t="s">
        <v>2924</v>
      </c>
      <c r="B55" s="408" t="s">
        <v>4151</v>
      </c>
    </row>
    <row r="56" spans="1:3">
      <c r="A56" s="408" t="s">
        <v>4152</v>
      </c>
      <c r="B56" s="408" t="s">
        <v>15266</v>
      </c>
      <c r="C56" s="408" t="s">
        <v>4121</v>
      </c>
    </row>
    <row r="57" spans="1:3">
      <c r="A57" s="408" t="s">
        <v>2206</v>
      </c>
      <c r="B57" s="408"/>
      <c r="C57" s="408" t="s">
        <v>4155</v>
      </c>
    </row>
    <row r="58" spans="1:3">
      <c r="A58" s="408" t="s">
        <v>2451</v>
      </c>
      <c r="B58" s="408" t="s">
        <v>15267</v>
      </c>
      <c r="C58" s="408" t="s">
        <v>4121</v>
      </c>
    </row>
    <row r="59" spans="1:3">
      <c r="A59" s="408" t="s">
        <v>1971</v>
      </c>
      <c r="B59" s="408" t="s">
        <v>4157</v>
      </c>
      <c r="C59" s="408" t="s">
        <v>4157</v>
      </c>
    </row>
    <row r="60" spans="1:3">
      <c r="A60" s="408" t="s">
        <v>2315</v>
      </c>
      <c r="B60" s="408" t="s">
        <v>4158</v>
      </c>
      <c r="C60" s="408" t="s">
        <v>4158</v>
      </c>
    </row>
    <row r="61" spans="1:3">
      <c r="A61" s="408" t="s">
        <v>2586</v>
      </c>
      <c r="B61" s="408" t="s">
        <v>15268</v>
      </c>
      <c r="C61" s="408" t="s">
        <v>4159</v>
      </c>
    </row>
    <row r="62" spans="1:3">
      <c r="A62" s="408" t="s">
        <v>2631</v>
      </c>
      <c r="B62" s="408" t="s">
        <v>15269</v>
      </c>
      <c r="C62" s="408" t="s">
        <v>4161</v>
      </c>
    </row>
    <row r="63" spans="1:3">
      <c r="A63" s="408" t="s">
        <v>218</v>
      </c>
      <c r="B63" s="408"/>
      <c r="C63" s="408" t="s">
        <v>4162</v>
      </c>
    </row>
    <row r="64" spans="1:3">
      <c r="A64" s="408" t="s">
        <v>2115</v>
      </c>
      <c r="B64" s="408" t="s">
        <v>15270</v>
      </c>
      <c r="C64" s="408" t="s">
        <v>4163</v>
      </c>
    </row>
    <row r="65" spans="1:3">
      <c r="A65" s="408" t="s">
        <v>2480</v>
      </c>
      <c r="B65" s="408"/>
      <c r="C65" s="408" t="s">
        <v>4164</v>
      </c>
    </row>
    <row r="66" spans="1:3">
      <c r="A66" s="408" t="s">
        <v>2429</v>
      </c>
      <c r="B66" s="408" t="s">
        <v>15271</v>
      </c>
      <c r="C66" s="408" t="s">
        <v>4165</v>
      </c>
    </row>
    <row r="67" spans="1:3">
      <c r="A67" s="408" t="s">
        <v>2598</v>
      </c>
      <c r="B67" s="408" t="s">
        <v>15272</v>
      </c>
      <c r="C67" s="408" t="s">
        <v>4166</v>
      </c>
    </row>
    <row r="68" spans="1:3">
      <c r="A68" s="408" t="s">
        <v>52</v>
      </c>
      <c r="B68" s="408" t="s">
        <v>15273</v>
      </c>
      <c r="C68" s="408" t="s">
        <v>4168</v>
      </c>
    </row>
    <row r="69" spans="1:3">
      <c r="A69" s="408" t="s">
        <v>2415</v>
      </c>
      <c r="B69" s="408" t="s">
        <v>15274</v>
      </c>
      <c r="C69" s="408" t="s">
        <v>4170</v>
      </c>
    </row>
    <row r="70" spans="1:3">
      <c r="A70" s="408" t="s">
        <v>2668</v>
      </c>
      <c r="B70" s="408" t="s">
        <v>4171</v>
      </c>
      <c r="C70" s="408" t="s">
        <v>4171</v>
      </c>
    </row>
    <row r="71" spans="1:3">
      <c r="A71" s="408" t="s">
        <v>2338</v>
      </c>
      <c r="B71" s="408" t="s">
        <v>15275</v>
      </c>
      <c r="C71" s="408" t="s">
        <v>4172</v>
      </c>
    </row>
    <row r="72" spans="1:3">
      <c r="A72" s="408" t="s">
        <v>2400</v>
      </c>
      <c r="B72" s="408" t="s">
        <v>15276</v>
      </c>
      <c r="C72" s="408" t="s">
        <v>4173</v>
      </c>
    </row>
    <row r="73" spans="1:3">
      <c r="A73" s="408" t="s">
        <v>62</v>
      </c>
      <c r="B73" s="408" t="s">
        <v>4758</v>
      </c>
      <c r="C73" s="408" t="s">
        <v>4758</v>
      </c>
    </row>
    <row r="74" spans="1:3">
      <c r="A74" s="408" t="s">
        <v>2420</v>
      </c>
      <c r="B74" s="408" t="s">
        <v>4174</v>
      </c>
      <c r="C74" s="408" t="s">
        <v>4174</v>
      </c>
    </row>
    <row r="75" spans="1:3">
      <c r="A75" s="408" t="s">
        <v>1466</v>
      </c>
      <c r="B75" s="408"/>
      <c r="C75" s="408" t="s">
        <v>4175</v>
      </c>
    </row>
    <row r="76" spans="1:3">
      <c r="A76" s="408" t="s">
        <v>2365</v>
      </c>
      <c r="B76" s="408" t="s">
        <v>15277</v>
      </c>
      <c r="C76" s="408" t="s">
        <v>4176</v>
      </c>
    </row>
    <row r="77" spans="1:3">
      <c r="A77" s="408" t="s">
        <v>2562</v>
      </c>
      <c r="B77" s="408" t="s">
        <v>4177</v>
      </c>
      <c r="C77" s="408" t="s">
        <v>4177</v>
      </c>
    </row>
    <row r="78" spans="1:3">
      <c r="A78" s="408" t="s">
        <v>960</v>
      </c>
      <c r="B78" s="408" t="s">
        <v>15278</v>
      </c>
      <c r="C78" s="408" t="s">
        <v>4121</v>
      </c>
    </row>
    <row r="79" spans="1:3">
      <c r="A79" s="408" t="s">
        <v>2308</v>
      </c>
      <c r="B79" s="408" t="s">
        <v>15279</v>
      </c>
      <c r="C79" s="408" t="s">
        <v>4178</v>
      </c>
    </row>
    <row r="80" spans="1:3">
      <c r="A80" s="408" t="s">
        <v>1308</v>
      </c>
      <c r="B80" s="408" t="s">
        <v>15280</v>
      </c>
      <c r="C80" s="408" t="s">
        <v>4121</v>
      </c>
    </row>
    <row r="81" spans="1:3">
      <c r="A81" s="408" t="s">
        <v>4180</v>
      </c>
      <c r="B81" s="408" t="s">
        <v>15281</v>
      </c>
      <c r="C81" s="408" t="s">
        <v>4182</v>
      </c>
    </row>
    <row r="82" spans="1:3">
      <c r="A82" s="408" t="s">
        <v>2438</v>
      </c>
      <c r="B82" s="408" t="s">
        <v>4183</v>
      </c>
      <c r="C82" s="408" t="s">
        <v>4183</v>
      </c>
    </row>
    <row r="83" spans="1:3">
      <c r="A83" s="408" t="s">
        <v>2641</v>
      </c>
      <c r="B83" s="408"/>
      <c r="C83" s="408" t="s">
        <v>4184</v>
      </c>
    </row>
    <row r="84" spans="1:3">
      <c r="A84" s="408" t="s">
        <v>501</v>
      </c>
      <c r="B84" s="408" t="s">
        <v>4185</v>
      </c>
      <c r="C84" s="408" t="s">
        <v>4185</v>
      </c>
    </row>
    <row r="85" spans="1:3">
      <c r="A85" s="408" t="s">
        <v>2455</v>
      </c>
      <c r="B85" s="408" t="s">
        <v>15282</v>
      </c>
      <c r="C85" s="408" t="s">
        <v>4186</v>
      </c>
    </row>
    <row r="86" spans="1:3">
      <c r="A86" s="408" t="s">
        <v>2610</v>
      </c>
      <c r="B86" s="408"/>
      <c r="C86" s="408" t="s">
        <v>4187</v>
      </c>
    </row>
    <row r="87" spans="1:3">
      <c r="A87" s="408" t="s">
        <v>2424</v>
      </c>
      <c r="B87" s="408" t="s">
        <v>15283</v>
      </c>
      <c r="C87" s="408" t="s">
        <v>4188</v>
      </c>
    </row>
    <row r="88" spans="1:3">
      <c r="A88" s="408" t="s">
        <v>2446</v>
      </c>
      <c r="B88" s="408" t="s">
        <v>15284</v>
      </c>
      <c r="C88" s="408" t="s">
        <v>4189</v>
      </c>
    </row>
    <row r="89" spans="1:3">
      <c r="A89" s="408" t="s">
        <v>2537</v>
      </c>
      <c r="B89" s="408"/>
      <c r="C89" s="408" t="s">
        <v>4190</v>
      </c>
    </row>
    <row r="90" spans="1:3">
      <c r="A90" s="408" t="s">
        <v>2649</v>
      </c>
      <c r="B90" s="408" t="s">
        <v>15285</v>
      </c>
      <c r="C90" s="408" t="s">
        <v>4191</v>
      </c>
    </row>
    <row r="91" spans="1:3">
      <c r="A91" s="408" t="s">
        <v>2693</v>
      </c>
      <c r="B91" s="408" t="s">
        <v>4192</v>
      </c>
      <c r="C91" s="408" t="s">
        <v>4192</v>
      </c>
    </row>
    <row r="92" spans="1:3">
      <c r="A92" s="408" t="s">
        <v>2495</v>
      </c>
      <c r="B92" s="408" t="s">
        <v>15286</v>
      </c>
      <c r="C92" s="408" t="s">
        <v>4193</v>
      </c>
    </row>
    <row r="93" spans="1:3">
      <c r="A93" s="408" t="s">
        <v>2488</v>
      </c>
      <c r="B93" s="408" t="s">
        <v>15287</v>
      </c>
      <c r="C93" s="408" t="s">
        <v>4194</v>
      </c>
    </row>
    <row r="94" spans="1:3">
      <c r="A94" s="408" t="s">
        <v>2553</v>
      </c>
      <c r="B94" s="408" t="s">
        <v>15288</v>
      </c>
      <c r="C94" s="408" t="s">
        <v>4195</v>
      </c>
    </row>
    <row r="95" spans="1:3">
      <c r="A95" s="408" t="s">
        <v>2405</v>
      </c>
      <c r="B95" s="408" t="s">
        <v>15289</v>
      </c>
      <c r="C95" s="408" t="s">
        <v>4196</v>
      </c>
    </row>
    <row r="96" spans="1:3">
      <c r="A96" s="408" t="s">
        <v>2485</v>
      </c>
      <c r="B96" s="408" t="s">
        <v>15290</v>
      </c>
      <c r="C96" s="408" t="s">
        <v>4197</v>
      </c>
    </row>
    <row r="97" spans="1:3">
      <c r="A97" s="408" t="s">
        <v>929</v>
      </c>
      <c r="B97" s="408"/>
      <c r="C97" s="408" t="s">
        <v>4198</v>
      </c>
    </row>
    <row r="98" spans="1:3">
      <c r="A98" s="408" t="s">
        <v>2664</v>
      </c>
      <c r="B98" s="408" t="s">
        <v>15291</v>
      </c>
      <c r="C98" s="408" t="s">
        <v>4121</v>
      </c>
    </row>
    <row r="99" spans="1:3">
      <c r="A99" s="408" t="s">
        <v>1118</v>
      </c>
      <c r="B99" s="408" t="s">
        <v>15292</v>
      </c>
      <c r="C99" s="408" t="s">
        <v>4121</v>
      </c>
    </row>
    <row r="100" spans="1:3">
      <c r="A100" s="408" t="s">
        <v>2369</v>
      </c>
      <c r="B100" s="408" t="s">
        <v>15293</v>
      </c>
      <c r="C100" s="408" t="s">
        <v>4121</v>
      </c>
    </row>
    <row r="101" spans="1:3">
      <c r="A101" s="408" t="s">
        <v>2194</v>
      </c>
      <c r="B101" s="408" t="s">
        <v>15294</v>
      </c>
      <c r="C101" s="408" t="s">
        <v>4199</v>
      </c>
    </row>
    <row r="102" spans="1:3">
      <c r="A102" s="408" t="s">
        <v>2558</v>
      </c>
      <c r="B102" s="408" t="s">
        <v>15295</v>
      </c>
      <c r="C102" s="408" t="s">
        <v>4200</v>
      </c>
    </row>
    <row r="103" spans="1:3">
      <c r="A103" s="408" t="s">
        <v>2396</v>
      </c>
      <c r="B103" s="408" t="s">
        <v>4201</v>
      </c>
      <c r="C103" s="408" t="s">
        <v>4201</v>
      </c>
    </row>
    <row r="104" spans="1:3">
      <c r="A104" s="408" t="s">
        <v>2548</v>
      </c>
      <c r="B104" s="408" t="s">
        <v>15296</v>
      </c>
      <c r="C104" s="408" t="s">
        <v>4202</v>
      </c>
    </row>
    <row r="105" spans="1:3">
      <c r="A105" s="408" t="s">
        <v>4203</v>
      </c>
      <c r="B105" s="408"/>
      <c r="C105" s="408" t="s">
        <v>4204</v>
      </c>
    </row>
    <row r="106" spans="1:3">
      <c r="A106" s="408" t="s">
        <v>2638</v>
      </c>
      <c r="B106" s="408" t="s">
        <v>15297</v>
      </c>
      <c r="C106" s="408" t="s">
        <v>4205</v>
      </c>
    </row>
    <row r="107" spans="1:3">
      <c r="A107" s="408" t="s">
        <v>2697</v>
      </c>
      <c r="B107" s="408" t="s">
        <v>15298</v>
      </c>
      <c r="C107" s="408" t="s">
        <v>4206</v>
      </c>
    </row>
    <row r="108" spans="1:3">
      <c r="A108" s="408" t="s">
        <v>2464</v>
      </c>
      <c r="B108" s="408" t="s">
        <v>15299</v>
      </c>
      <c r="C108" s="408" t="s">
        <v>4207</v>
      </c>
    </row>
    <row r="109" spans="1:3">
      <c r="A109" s="408" t="s">
        <v>2646</v>
      </c>
      <c r="B109" s="408"/>
      <c r="C109" s="408" t="s">
        <v>4208</v>
      </c>
    </row>
    <row r="110" spans="1:3">
      <c r="A110" s="408" t="s">
        <v>2659</v>
      </c>
      <c r="B110" s="408" t="s">
        <v>15300</v>
      </c>
      <c r="C110" s="408" t="s">
        <v>4209</v>
      </c>
    </row>
    <row r="111" spans="1:3">
      <c r="A111" s="408" t="s">
        <v>2324</v>
      </c>
      <c r="B111" s="408" t="s">
        <v>15301</v>
      </c>
      <c r="C111" s="408" t="s">
        <v>4210</v>
      </c>
    </row>
    <row r="112" spans="1:3">
      <c r="A112" s="408" t="s">
        <v>1337</v>
      </c>
      <c r="B112" s="408" t="s">
        <v>15302</v>
      </c>
      <c r="C112" s="408" t="s">
        <v>4211</v>
      </c>
    </row>
    <row r="113" spans="1:3">
      <c r="A113" s="408" t="s">
        <v>2697</v>
      </c>
      <c r="B113" s="408" t="s">
        <v>15298</v>
      </c>
      <c r="C113" s="408" t="s">
        <v>4206</v>
      </c>
    </row>
    <row r="114" spans="1:3">
      <c r="A114" s="408" t="s">
        <v>2333</v>
      </c>
      <c r="B114" s="408" t="s">
        <v>4212</v>
      </c>
      <c r="C114" s="408" t="s">
        <v>4212</v>
      </c>
    </row>
    <row r="115" spans="1:3">
      <c r="A115" s="408" t="s">
        <v>1939</v>
      </c>
      <c r="B115" s="408" t="s">
        <v>15303</v>
      </c>
      <c r="C115" s="408" t="s">
        <v>4213</v>
      </c>
    </row>
    <row r="116" spans="1:3">
      <c r="A116" s="408" t="s">
        <v>761</v>
      </c>
      <c r="B116" s="408" t="s">
        <v>14979</v>
      </c>
      <c r="C116" s="408" t="s">
        <v>4214</v>
      </c>
    </row>
    <row r="117" spans="1:3">
      <c r="A117" s="408" t="s">
        <v>2626</v>
      </c>
      <c r="B117" s="408" t="s">
        <v>15304</v>
      </c>
      <c r="C117" s="408" t="s">
        <v>4121</v>
      </c>
    </row>
    <row r="118" spans="1:3">
      <c r="A118" s="408" t="s">
        <v>1635</v>
      </c>
      <c r="B118" s="408" t="s">
        <v>15305</v>
      </c>
      <c r="C118" s="408" t="s">
        <v>4215</v>
      </c>
    </row>
    <row r="119" spans="1:3">
      <c r="A119" s="408" t="s">
        <v>669</v>
      </c>
      <c r="B119" s="408" t="s">
        <v>15306</v>
      </c>
      <c r="C119" s="408" t="s">
        <v>4216</v>
      </c>
    </row>
    <row r="120" spans="1:3">
      <c r="A120" s="408" t="s">
        <v>2256</v>
      </c>
      <c r="B120" s="408" t="s">
        <v>15047</v>
      </c>
      <c r="C120" s="408" t="s">
        <v>4217</v>
      </c>
    </row>
    <row r="121" spans="1:3">
      <c r="A121" s="408" t="s">
        <v>1202</v>
      </c>
      <c r="B121" s="408" t="s">
        <v>15307</v>
      </c>
      <c r="C121" s="408" t="s">
        <v>4121</v>
      </c>
    </row>
    <row r="122" spans="1:3">
      <c r="A122" s="408" t="s">
        <v>2566</v>
      </c>
      <c r="B122" s="408" t="s">
        <v>15308</v>
      </c>
      <c r="C122" s="408" t="s">
        <v>4218</v>
      </c>
    </row>
    <row r="123" spans="1:3">
      <c r="A123" s="408" t="s">
        <v>2672</v>
      </c>
      <c r="B123" s="408" t="s">
        <v>15037</v>
      </c>
      <c r="C123" s="408" t="s">
        <v>4219</v>
      </c>
    </row>
    <row r="124" spans="1:3">
      <c r="A124" s="408" t="s">
        <v>2475</v>
      </c>
      <c r="B124" s="408" t="s">
        <v>15309</v>
      </c>
      <c r="C124" s="408" t="s">
        <v>4220</v>
      </c>
    </row>
    <row r="125" spans="1:3">
      <c r="A125" s="408" t="s">
        <v>23</v>
      </c>
      <c r="B125" s="408" t="s">
        <v>15310</v>
      </c>
      <c r="C125" s="408" t="s">
        <v>4221</v>
      </c>
    </row>
    <row r="126" spans="1:3">
      <c r="A126" s="408" t="s">
        <v>2289</v>
      </c>
      <c r="B126" s="408" t="s">
        <v>15311</v>
      </c>
      <c r="C126" s="408" t="s">
        <v>4222</v>
      </c>
    </row>
    <row r="127" spans="1:3">
      <c r="A127" s="408" t="s">
        <v>783</v>
      </c>
      <c r="B127" s="408" t="s">
        <v>15312</v>
      </c>
      <c r="C127" s="408" t="s">
        <v>4223</v>
      </c>
    </row>
    <row r="128" spans="1:3">
      <c r="A128" s="408" t="s">
        <v>2523</v>
      </c>
      <c r="B128" s="408" t="s">
        <v>15313</v>
      </c>
      <c r="C128" s="408" t="s">
        <v>4224</v>
      </c>
    </row>
    <row r="129" spans="1:3">
      <c r="A129" s="408" t="s">
        <v>2392</v>
      </c>
      <c r="B129" s="408" t="s">
        <v>15314</v>
      </c>
      <c r="C129" s="408" t="s">
        <v>4225</v>
      </c>
    </row>
    <row r="130" spans="1:3">
      <c r="A130" s="408" t="s">
        <v>1649</v>
      </c>
      <c r="B130" s="408" t="s">
        <v>14832</v>
      </c>
      <c r="C130" s="408" t="s">
        <v>4226</v>
      </c>
    </row>
    <row r="131" spans="1:3">
      <c r="A131" s="408" t="s">
        <v>2410</v>
      </c>
      <c r="B131" s="408" t="s">
        <v>4227</v>
      </c>
      <c r="C131" s="408" t="s">
        <v>4227</v>
      </c>
    </row>
    <row r="132" spans="1:3">
      <c r="A132" s="408" t="s">
        <v>1583</v>
      </c>
      <c r="B132" s="408" t="s">
        <v>14973</v>
      </c>
      <c r="C132" s="408" t="s">
        <v>4228</v>
      </c>
    </row>
    <row r="133" spans="1:3">
      <c r="A133" s="408" t="s">
        <v>2514</v>
      </c>
      <c r="B133" s="408" t="s">
        <v>4229</v>
      </c>
      <c r="C133" s="408" t="s">
        <v>4229</v>
      </c>
    </row>
    <row r="134" spans="1:3">
      <c r="A134" s="408" t="s">
        <v>2356</v>
      </c>
      <c r="B134" s="408" t="s">
        <v>15315</v>
      </c>
      <c r="C134" s="408" t="s">
        <v>4230</v>
      </c>
    </row>
    <row r="135" spans="1:3">
      <c r="A135" s="408" t="s">
        <v>2432</v>
      </c>
      <c r="B135" s="408" t="s">
        <v>15254</v>
      </c>
      <c r="C135" s="408" t="s">
        <v>4123</v>
      </c>
    </row>
    <row r="136" spans="1:3">
      <c r="A136" s="408" t="s">
        <v>1470</v>
      </c>
      <c r="B136" s="408" t="s">
        <v>14969</v>
      </c>
      <c r="C136" s="408" t="s">
        <v>4231</v>
      </c>
    </row>
    <row r="137" spans="1:3">
      <c r="A137" s="408" t="s">
        <v>4232</v>
      </c>
      <c r="B137" s="408"/>
      <c r="C137" s="408" t="s">
        <v>4233</v>
      </c>
    </row>
    <row r="138" spans="1:3">
      <c r="A138" s="408" t="s">
        <v>2052</v>
      </c>
      <c r="B138" s="408" t="s">
        <v>4234</v>
      </c>
      <c r="C138" s="408" t="s">
        <v>4234</v>
      </c>
    </row>
    <row r="139" spans="1:3">
      <c r="A139" s="408" t="s">
        <v>4235</v>
      </c>
      <c r="B139" s="408"/>
      <c r="C139" s="408" t="s">
        <v>4236</v>
      </c>
    </row>
    <row r="140" spans="1:3">
      <c r="A140" s="408" t="s">
        <v>4237</v>
      </c>
      <c r="B140" s="408"/>
      <c r="C140" s="408" t="s">
        <v>4238</v>
      </c>
    </row>
    <row r="141" spans="1:3">
      <c r="A141" s="408" t="s">
        <v>2914</v>
      </c>
      <c r="B141" s="408"/>
      <c r="C141" s="408" t="s">
        <v>4239</v>
      </c>
    </row>
    <row r="142" spans="1:3">
      <c r="A142" s="408" t="s">
        <v>4240</v>
      </c>
      <c r="B142" s="408"/>
      <c r="C142" s="408" t="s">
        <v>4241</v>
      </c>
    </row>
    <row r="143" spans="1:3">
      <c r="A143" s="408" t="s">
        <v>2950</v>
      </c>
      <c r="B143" s="408"/>
      <c r="C143" s="408" t="s">
        <v>4242</v>
      </c>
    </row>
    <row r="144" spans="1:3">
      <c r="A144" s="408" t="s">
        <v>2859</v>
      </c>
      <c r="B144" s="408"/>
      <c r="C144" s="408" t="s">
        <v>4243</v>
      </c>
    </row>
    <row r="145" spans="1:3">
      <c r="A145" s="408" t="s">
        <v>4244</v>
      </c>
      <c r="B145" s="408"/>
      <c r="C145" s="408" t="s">
        <v>4245</v>
      </c>
    </row>
    <row r="146" spans="1:3">
      <c r="A146" s="408" t="s">
        <v>3069</v>
      </c>
      <c r="B146" s="408"/>
      <c r="C146" s="408" t="s">
        <v>4246</v>
      </c>
    </row>
    <row r="147" spans="1:3">
      <c r="A147" s="408" t="s">
        <v>4247</v>
      </c>
      <c r="B147" s="408"/>
      <c r="C147" s="408" t="s">
        <v>4248</v>
      </c>
    </row>
    <row r="148" spans="1:3">
      <c r="A148" s="408" t="s">
        <v>2843</v>
      </c>
      <c r="B148" s="408"/>
      <c r="C148" s="408" t="s">
        <v>4249</v>
      </c>
    </row>
    <row r="149" spans="1:3">
      <c r="A149" s="408" t="s">
        <v>2871</v>
      </c>
      <c r="B149" s="408"/>
      <c r="C149" s="408" t="s">
        <v>4250</v>
      </c>
    </row>
    <row r="150" spans="1:3">
      <c r="A150" s="408" t="s">
        <v>2864</v>
      </c>
      <c r="B150" s="408"/>
      <c r="C150" s="408" t="s">
        <v>4251</v>
      </c>
    </row>
    <row r="151" spans="1:3">
      <c r="A151" s="408" t="s">
        <v>4252</v>
      </c>
      <c r="B151" s="408"/>
      <c r="C151" s="408" t="s">
        <v>4253</v>
      </c>
    </row>
    <row r="152" spans="1:3">
      <c r="A152" s="408" t="s">
        <v>2866</v>
      </c>
      <c r="B152" s="408"/>
      <c r="C152" s="408" t="s">
        <v>4254</v>
      </c>
    </row>
    <row r="153" spans="1:3">
      <c r="A153" s="408" t="s">
        <v>3734</v>
      </c>
      <c r="B153" s="408"/>
      <c r="C153" s="408" t="s">
        <v>4255</v>
      </c>
    </row>
    <row r="154" spans="1:3">
      <c r="A154" s="408" t="s">
        <v>2918</v>
      </c>
      <c r="B154" s="408"/>
      <c r="C154" s="408" t="s">
        <v>4256</v>
      </c>
    </row>
    <row r="155" spans="1:3">
      <c r="A155" s="408" t="s">
        <v>2956</v>
      </c>
      <c r="B155" s="408"/>
      <c r="C155" s="408" t="s">
        <v>4257</v>
      </c>
    </row>
    <row r="156" spans="1:3">
      <c r="A156" s="408" t="s">
        <v>2878</v>
      </c>
      <c r="B156" s="408"/>
      <c r="C156" s="408" t="s">
        <v>4258</v>
      </c>
    </row>
    <row r="157" spans="1:3">
      <c r="A157" s="408" t="s">
        <v>2888</v>
      </c>
      <c r="B157" s="408"/>
      <c r="C157" s="408" t="s">
        <v>4259</v>
      </c>
    </row>
    <row r="158" spans="1:3">
      <c r="A158" s="408" t="s">
        <v>2867</v>
      </c>
      <c r="B158" s="408"/>
      <c r="C158" s="408" t="s">
        <v>4260</v>
      </c>
    </row>
    <row r="159" spans="1:3">
      <c r="A159" s="408" t="s">
        <v>4261</v>
      </c>
      <c r="B159" s="408"/>
      <c r="C159" s="408" t="s">
        <v>4262</v>
      </c>
    </row>
    <row r="160" spans="1:3">
      <c r="A160" s="408" t="s">
        <v>2885</v>
      </c>
      <c r="B160" s="408"/>
      <c r="C160" s="408" t="s">
        <v>4263</v>
      </c>
    </row>
    <row r="161" spans="1:3">
      <c r="A161" s="408" t="s">
        <v>2850</v>
      </c>
      <c r="B161" s="408"/>
      <c r="C161" s="408" t="s">
        <v>4264</v>
      </c>
    </row>
    <row r="162" spans="1:3">
      <c r="A162" s="408" t="s">
        <v>4265</v>
      </c>
      <c r="B162" s="408"/>
      <c r="C162" s="408" t="s">
        <v>4266</v>
      </c>
    </row>
    <row r="163" spans="1:3">
      <c r="A163" s="408" t="s">
        <v>2873</v>
      </c>
      <c r="B163" s="408"/>
      <c r="C163" s="408" t="s">
        <v>4267</v>
      </c>
    </row>
    <row r="164" spans="1:3">
      <c r="A164" s="408" t="s">
        <v>2854</v>
      </c>
      <c r="B164" s="408"/>
      <c r="C164" s="408" t="s">
        <v>4268</v>
      </c>
    </row>
    <row r="165" spans="1:3">
      <c r="A165" s="408" t="s">
        <v>2863</v>
      </c>
      <c r="B165" s="408"/>
      <c r="C165" s="408" t="s">
        <v>4269</v>
      </c>
    </row>
    <row r="166" spans="1:3">
      <c r="A166" s="408" t="s">
        <v>4270</v>
      </c>
      <c r="B166" s="408"/>
      <c r="C166" s="408"/>
    </row>
    <row r="167" spans="1:3">
      <c r="A167" s="408" t="s">
        <v>2884</v>
      </c>
      <c r="B167" s="408"/>
      <c r="C167" s="408" t="s">
        <v>4271</v>
      </c>
    </row>
    <row r="168" spans="1:3">
      <c r="A168" s="408" t="s">
        <v>2877</v>
      </c>
      <c r="B168" s="408"/>
      <c r="C168" s="408" t="s">
        <v>4272</v>
      </c>
    </row>
    <row r="169" spans="1:3">
      <c r="A169" s="408" t="s">
        <v>4273</v>
      </c>
      <c r="B169" s="408"/>
      <c r="C169" s="408" t="s">
        <v>4274</v>
      </c>
    </row>
    <row r="170" spans="1:3">
      <c r="A170" s="408" t="s">
        <v>2875</v>
      </c>
      <c r="B170" s="408"/>
      <c r="C170" s="408" t="s">
        <v>4275</v>
      </c>
    </row>
    <row r="171" spans="1:3">
      <c r="A171" s="408" t="s">
        <v>2876</v>
      </c>
      <c r="B171" s="408"/>
      <c r="C171" s="408" t="s">
        <v>4276</v>
      </c>
    </row>
    <row r="172" spans="1:3">
      <c r="A172" s="408" t="s">
        <v>2896</v>
      </c>
      <c r="B172" s="408"/>
      <c r="C172" s="408" t="s">
        <v>4277</v>
      </c>
    </row>
    <row r="173" spans="1:3">
      <c r="A173" s="408" t="s">
        <v>4278</v>
      </c>
      <c r="B173" s="408"/>
      <c r="C173" s="408" t="s">
        <v>4279</v>
      </c>
    </row>
    <row r="174" spans="1:3">
      <c r="A174" s="408" t="s">
        <v>2889</v>
      </c>
      <c r="B174" s="408"/>
      <c r="C174" s="408" t="s">
        <v>4280</v>
      </c>
    </row>
    <row r="175" spans="1:3">
      <c r="A175" s="408" t="s">
        <v>4281</v>
      </c>
      <c r="B175" s="408" t="s">
        <v>4282</v>
      </c>
      <c r="C175" s="408" t="s">
        <v>4282</v>
      </c>
    </row>
    <row r="176" spans="1:3">
      <c r="A176" s="408" t="s">
        <v>4283</v>
      </c>
      <c r="B176" s="408" t="s">
        <v>4284</v>
      </c>
      <c r="C176" s="408" t="s">
        <v>4284</v>
      </c>
    </row>
    <row r="177" spans="1:3">
      <c r="A177" s="408" t="s">
        <v>4285</v>
      </c>
      <c r="B177" s="408"/>
      <c r="C177" s="408" t="s">
        <v>4286</v>
      </c>
    </row>
    <row r="178" spans="1:3">
      <c r="A178" s="408" t="s">
        <v>2879</v>
      </c>
      <c r="B178" s="408"/>
      <c r="C178" s="408" t="s">
        <v>4287</v>
      </c>
    </row>
    <row r="179" spans="1:3">
      <c r="A179" s="408" t="s">
        <v>2825</v>
      </c>
      <c r="B179" s="408"/>
      <c r="C179" s="408" t="s">
        <v>4288</v>
      </c>
    </row>
    <row r="180" spans="1:3">
      <c r="A180" s="408" t="s">
        <v>2895</v>
      </c>
      <c r="B180" s="408"/>
      <c r="C180" s="408" t="s">
        <v>4289</v>
      </c>
    </row>
    <row r="181" spans="1:3">
      <c r="A181" s="408" t="s">
        <v>4290</v>
      </c>
      <c r="B181" s="408"/>
      <c r="C181" s="408" t="s">
        <v>4291</v>
      </c>
    </row>
    <row r="182" spans="1:3">
      <c r="A182" s="408" t="s">
        <v>2938</v>
      </c>
      <c r="B182" s="408"/>
      <c r="C182" s="408" t="s">
        <v>4292</v>
      </c>
    </row>
    <row r="183" spans="1:3">
      <c r="A183" s="408" t="s">
        <v>3042</v>
      </c>
      <c r="B183" s="408"/>
      <c r="C183" s="408" t="s">
        <v>4293</v>
      </c>
    </row>
    <row r="184" spans="1:3">
      <c r="A184" s="408" t="s">
        <v>2899</v>
      </c>
      <c r="B184" s="408"/>
      <c r="C184" s="408" t="s">
        <v>4294</v>
      </c>
    </row>
    <row r="185" spans="1:3">
      <c r="A185" s="408" t="s">
        <v>2913</v>
      </c>
      <c r="B185" s="408" t="s">
        <v>4295</v>
      </c>
      <c r="C185" s="408" t="s">
        <v>4295</v>
      </c>
    </row>
    <row r="186" spans="1:3">
      <c r="A186" s="408" t="s">
        <v>2909</v>
      </c>
      <c r="B186" s="408"/>
      <c r="C186" s="408" t="s">
        <v>4296</v>
      </c>
    </row>
    <row r="187" spans="1:3">
      <c r="A187" s="408" t="s">
        <v>2890</v>
      </c>
      <c r="B187" s="408"/>
      <c r="C187" s="408" t="s">
        <v>4297</v>
      </c>
    </row>
    <row r="188" spans="1:3">
      <c r="A188" s="408" t="s">
        <v>4298</v>
      </c>
      <c r="B188" s="408" t="s">
        <v>4299</v>
      </c>
      <c r="C188" s="408" t="s">
        <v>4299</v>
      </c>
    </row>
    <row r="189" spans="1:3">
      <c r="A189" s="408" t="s">
        <v>4113</v>
      </c>
      <c r="B189" s="408" t="s">
        <v>4300</v>
      </c>
      <c r="C189" s="408" t="s">
        <v>4300</v>
      </c>
    </row>
    <row r="190" spans="1:3">
      <c r="A190" s="408" t="s">
        <v>4301</v>
      </c>
      <c r="B190" s="408"/>
      <c r="C190" s="408" t="s">
        <v>4302</v>
      </c>
    </row>
    <row r="191" spans="1:3">
      <c r="A191" s="408" t="s">
        <v>2886</v>
      </c>
      <c r="B191" s="408"/>
      <c r="C191" s="408" t="s">
        <v>4303</v>
      </c>
    </row>
    <row r="192" spans="1:3">
      <c r="A192" s="408" t="s">
        <v>2894</v>
      </c>
      <c r="B192" s="408"/>
      <c r="C192" s="408" t="s">
        <v>4304</v>
      </c>
    </row>
    <row r="193" spans="1:3">
      <c r="A193" s="408" t="s">
        <v>4305</v>
      </c>
      <c r="B193" s="408"/>
      <c r="C193" s="408" t="s">
        <v>4306</v>
      </c>
    </row>
    <row r="194" spans="1:3">
      <c r="A194" s="408" t="s">
        <v>2893</v>
      </c>
      <c r="B194" s="408" t="s">
        <v>4307</v>
      </c>
      <c r="C194" s="408" t="s">
        <v>4307</v>
      </c>
    </row>
    <row r="195" spans="1:3">
      <c r="A195" s="408" t="s">
        <v>4308</v>
      </c>
      <c r="B195" s="408" t="s">
        <v>4309</v>
      </c>
      <c r="C195" s="408" t="s">
        <v>4309</v>
      </c>
    </row>
    <row r="196" spans="1:3">
      <c r="A196" s="408" t="s">
        <v>4310</v>
      </c>
      <c r="B196" s="408" t="s">
        <v>4311</v>
      </c>
      <c r="C196" s="408" t="s">
        <v>4311</v>
      </c>
    </row>
    <row r="197" spans="1:3">
      <c r="A197" s="408" t="s">
        <v>4312</v>
      </c>
      <c r="B197" s="408" t="s">
        <v>4313</v>
      </c>
      <c r="C197" s="408" t="s">
        <v>4313</v>
      </c>
    </row>
    <row r="198" spans="1:3">
      <c r="A198" s="408" t="s">
        <v>4314</v>
      </c>
      <c r="B198" s="408"/>
      <c r="C198" s="408" t="s">
        <v>4315</v>
      </c>
    </row>
    <row r="199" spans="1:3">
      <c r="A199" s="408" t="s">
        <v>4316</v>
      </c>
      <c r="B199" s="408"/>
      <c r="C199" s="408"/>
    </row>
    <row r="200" spans="1:3">
      <c r="A200" s="408" t="s">
        <v>3044</v>
      </c>
      <c r="B200" s="408" t="s">
        <v>4317</v>
      </c>
      <c r="C200" s="408" t="s">
        <v>4317</v>
      </c>
    </row>
    <row r="201" spans="1:3">
      <c r="A201" s="408" t="s">
        <v>4318</v>
      </c>
      <c r="B201" s="408" t="s">
        <v>4319</v>
      </c>
      <c r="C201" s="408" t="s">
        <v>4319</v>
      </c>
    </row>
    <row r="202" spans="1:3">
      <c r="A202" s="408" t="s">
        <v>4320</v>
      </c>
      <c r="B202" s="408" t="s">
        <v>4321</v>
      </c>
      <c r="C202" s="408" t="s">
        <v>4321</v>
      </c>
    </row>
    <row r="203" spans="1:3">
      <c r="A203" s="408" t="s">
        <v>2944</v>
      </c>
      <c r="B203" s="408" t="s">
        <v>4322</v>
      </c>
      <c r="C203" s="408" t="s">
        <v>4322</v>
      </c>
    </row>
    <row r="204" spans="1:3">
      <c r="A204" s="408" t="s">
        <v>4323</v>
      </c>
      <c r="B204" s="408" t="s">
        <v>4324</v>
      </c>
      <c r="C204" s="408" t="s">
        <v>4324</v>
      </c>
    </row>
    <row r="205" spans="1:3">
      <c r="A205" s="408" t="s">
        <v>4325</v>
      </c>
      <c r="B205" s="408" t="s">
        <v>4326</v>
      </c>
      <c r="C205" s="408" t="s">
        <v>4326</v>
      </c>
    </row>
  </sheetData>
  <pageMargins left="0.511811024" right="0.511811024" top="0.78740157499999996" bottom="0.78740157499999996" header="0.31496062000000002" footer="0.3149606200000000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04706-09C7-4A57-99A5-704FE426A9B5}">
  <dimension ref="A1:H165"/>
  <sheetViews>
    <sheetView topLeftCell="A125" workbookViewId="0">
      <selection activeCell="A125" sqref="A125"/>
    </sheetView>
  </sheetViews>
  <sheetFormatPr defaultRowHeight="15"/>
  <cols>
    <col min="1" max="1" width="53.7109375" style="24" bestFit="1" customWidth="1"/>
    <col min="2" max="2" width="23" style="24" bestFit="1" customWidth="1"/>
    <col min="3" max="3" width="47.5703125" style="24" bestFit="1" customWidth="1"/>
    <col min="4" max="4" width="16.7109375" style="24" bestFit="1" customWidth="1"/>
    <col min="5" max="5" width="19.85546875" style="24" bestFit="1" customWidth="1"/>
    <col min="6" max="6" width="18.28515625" style="24" bestFit="1" customWidth="1"/>
    <col min="7" max="7" width="56" style="24" bestFit="1" customWidth="1"/>
  </cols>
  <sheetData>
    <row r="1" spans="1:7">
      <c r="A1" s="388" t="s">
        <v>15316</v>
      </c>
      <c r="B1" s="388" t="s">
        <v>2835</v>
      </c>
      <c r="C1" s="388" t="s">
        <v>15317</v>
      </c>
      <c r="D1" s="388" t="s">
        <v>8926</v>
      </c>
      <c r="E1" s="388" t="s">
        <v>15318</v>
      </c>
      <c r="F1" s="388" t="s">
        <v>8926</v>
      </c>
      <c r="G1" s="388" t="s">
        <v>15319</v>
      </c>
    </row>
    <row r="2" spans="1:7">
      <c r="A2" s="376" t="s">
        <v>15320</v>
      </c>
      <c r="B2" s="376" t="s">
        <v>15321</v>
      </c>
      <c r="C2" s="381" t="s">
        <v>15322</v>
      </c>
      <c r="D2" s="376" t="s">
        <v>15323</v>
      </c>
      <c r="E2" s="381" t="s">
        <v>15324</v>
      </c>
      <c r="F2" s="376" t="s">
        <v>15325</v>
      </c>
      <c r="G2" s="376" t="s">
        <v>15326</v>
      </c>
    </row>
    <row r="3" spans="1:7">
      <c r="A3" s="389" t="s">
        <v>15327</v>
      </c>
      <c r="B3" s="389" t="s">
        <v>15328</v>
      </c>
      <c r="C3" s="112" t="s">
        <v>15329</v>
      </c>
      <c r="D3" s="386"/>
      <c r="E3" s="390"/>
      <c r="F3" s="386"/>
      <c r="G3" s="386" t="s">
        <v>15330</v>
      </c>
    </row>
    <row r="4" spans="1:7">
      <c r="A4" s="391" t="s">
        <v>15331</v>
      </c>
      <c r="B4" s="391" t="s">
        <v>15332</v>
      </c>
      <c r="C4" s="374" t="s">
        <v>15333</v>
      </c>
      <c r="D4" s="370" t="s">
        <v>15334</v>
      </c>
      <c r="E4" s="374"/>
      <c r="F4" s="370"/>
      <c r="G4" s="370" t="s">
        <v>15335</v>
      </c>
    </row>
    <row r="5" spans="1:7">
      <c r="A5" s="389" t="s">
        <v>15336</v>
      </c>
      <c r="B5" s="389" t="s">
        <v>15337</v>
      </c>
      <c r="C5" s="112" t="s">
        <v>15338</v>
      </c>
      <c r="D5" s="386" t="s">
        <v>15339</v>
      </c>
      <c r="E5" s="112"/>
      <c r="F5" s="386"/>
      <c r="G5" s="386" t="s">
        <v>15330</v>
      </c>
    </row>
    <row r="6" spans="1:7">
      <c r="A6" s="391" t="s">
        <v>15340</v>
      </c>
      <c r="B6" s="391" t="s">
        <v>15341</v>
      </c>
      <c r="C6" s="375" t="s">
        <v>15342</v>
      </c>
      <c r="D6" s="370" t="s">
        <v>15343</v>
      </c>
      <c r="E6" s="374"/>
      <c r="F6" s="370"/>
      <c r="G6" s="413" t="s">
        <v>15335</v>
      </c>
    </row>
    <row r="7" spans="1:7">
      <c r="A7" s="392" t="s">
        <v>15344</v>
      </c>
      <c r="B7" s="392" t="s">
        <v>15345</v>
      </c>
      <c r="C7" s="381" t="s">
        <v>15346</v>
      </c>
      <c r="D7" s="376" t="s">
        <v>15347</v>
      </c>
      <c r="E7" s="381" t="s">
        <v>15348</v>
      </c>
      <c r="F7" s="376">
        <v>999797593</v>
      </c>
      <c r="G7" s="376" t="s">
        <v>15349</v>
      </c>
    </row>
    <row r="8" spans="1:7">
      <c r="A8" s="389" t="s">
        <v>15350</v>
      </c>
      <c r="B8" s="386" t="s">
        <v>15351</v>
      </c>
      <c r="C8" s="112" t="s">
        <v>15352</v>
      </c>
      <c r="D8" s="386" t="s">
        <v>15353</v>
      </c>
      <c r="E8" s="112" t="s">
        <v>15354</v>
      </c>
      <c r="F8" s="386" t="s">
        <v>15355</v>
      </c>
      <c r="G8" s="386" t="s">
        <v>15356</v>
      </c>
    </row>
    <row r="9" spans="1:7">
      <c r="A9" s="392" t="s">
        <v>15357</v>
      </c>
      <c r="B9" s="376" t="s">
        <v>15358</v>
      </c>
      <c r="C9" s="381" t="s">
        <v>15359</v>
      </c>
      <c r="D9" s="376" t="s">
        <v>15339</v>
      </c>
      <c r="E9" s="381" t="s">
        <v>15360</v>
      </c>
      <c r="F9" s="376" t="s">
        <v>15358</v>
      </c>
      <c r="G9" s="376" t="s">
        <v>15361</v>
      </c>
    </row>
    <row r="10" spans="1:7">
      <c r="A10" s="391" t="s">
        <v>15362</v>
      </c>
      <c r="B10" s="391" t="s">
        <v>15332</v>
      </c>
      <c r="C10" s="374" t="s">
        <v>15333</v>
      </c>
      <c r="D10" s="370" t="s">
        <v>15363</v>
      </c>
      <c r="E10" s="375"/>
      <c r="F10" s="370"/>
      <c r="G10" s="413" t="s">
        <v>15335</v>
      </c>
    </row>
    <row r="11" spans="1:7">
      <c r="A11" s="391" t="s">
        <v>15364</v>
      </c>
      <c r="B11" s="391" t="s">
        <v>15365</v>
      </c>
      <c r="C11" s="375" t="s">
        <v>15366</v>
      </c>
      <c r="D11" s="370" t="s">
        <v>15367</v>
      </c>
      <c r="E11" s="374"/>
      <c r="F11" s="370"/>
      <c r="G11" s="370" t="s">
        <v>15335</v>
      </c>
    </row>
    <row r="12" spans="1:7">
      <c r="A12" s="392" t="s">
        <v>15368</v>
      </c>
      <c r="B12" s="392" t="s">
        <v>15369</v>
      </c>
      <c r="C12" s="381" t="s">
        <v>15370</v>
      </c>
      <c r="D12" s="376" t="s">
        <v>15339</v>
      </c>
      <c r="E12" s="387" t="s">
        <v>13752</v>
      </c>
      <c r="F12" s="414">
        <v>998531689</v>
      </c>
      <c r="G12" s="376" t="s">
        <v>15371</v>
      </c>
    </row>
    <row r="13" spans="1:7">
      <c r="A13" s="392" t="s">
        <v>15372</v>
      </c>
      <c r="B13" s="392" t="s">
        <v>15373</v>
      </c>
      <c r="C13" s="381" t="s">
        <v>15374</v>
      </c>
      <c r="D13" s="376" t="s">
        <v>15375</v>
      </c>
      <c r="E13" s="376" t="s">
        <v>15376</v>
      </c>
      <c r="F13" s="392" t="s">
        <v>15373</v>
      </c>
      <c r="G13" s="376" t="s">
        <v>15377</v>
      </c>
    </row>
    <row r="14" spans="1:7">
      <c r="A14" s="391" t="s">
        <v>15378</v>
      </c>
      <c r="B14" s="391" t="s">
        <v>15379</v>
      </c>
      <c r="C14" s="374" t="s">
        <v>9121</v>
      </c>
      <c r="D14" s="370" t="s">
        <v>15339</v>
      </c>
      <c r="E14" s="375"/>
      <c r="F14" s="370"/>
      <c r="G14" s="413" t="s">
        <v>15335</v>
      </c>
    </row>
    <row r="15" spans="1:7">
      <c r="A15" s="380" t="s">
        <v>15380</v>
      </c>
      <c r="B15" s="380" t="s">
        <v>15381</v>
      </c>
      <c r="C15" s="379" t="s">
        <v>15382</v>
      </c>
      <c r="D15" s="380" t="s">
        <v>15383</v>
      </c>
      <c r="E15" s="379"/>
      <c r="F15" s="380"/>
      <c r="G15" s="380" t="s">
        <v>15384</v>
      </c>
    </row>
    <row r="16" spans="1:7">
      <c r="A16" s="392" t="s">
        <v>15385</v>
      </c>
      <c r="B16" s="392" t="s">
        <v>15386</v>
      </c>
      <c r="C16" s="381" t="s">
        <v>15387</v>
      </c>
      <c r="D16" s="376" t="s">
        <v>15388</v>
      </c>
      <c r="E16" s="381" t="s">
        <v>15389</v>
      </c>
      <c r="F16" s="392" t="s">
        <v>15386</v>
      </c>
      <c r="G16" s="376" t="s">
        <v>15390</v>
      </c>
    </row>
    <row r="17" spans="1:8">
      <c r="A17" s="378" t="s">
        <v>15391</v>
      </c>
      <c r="B17" s="378" t="s">
        <v>15392</v>
      </c>
      <c r="C17" s="393" t="s">
        <v>15393</v>
      </c>
      <c r="D17" s="378" t="s">
        <v>15394</v>
      </c>
      <c r="E17" s="394" t="s">
        <v>15395</v>
      </c>
      <c r="F17" s="378">
        <v>999777143</v>
      </c>
      <c r="G17" s="378" t="s">
        <v>15396</v>
      </c>
    </row>
    <row r="18" spans="1:8">
      <c r="A18" s="386" t="s">
        <v>15397</v>
      </c>
      <c r="B18" s="386" t="s">
        <v>15398</v>
      </c>
      <c r="C18" s="112" t="s">
        <v>15399</v>
      </c>
      <c r="D18" s="386" t="s">
        <v>15400</v>
      </c>
      <c r="E18" s="112"/>
      <c r="F18" s="386"/>
      <c r="G18" s="386" t="s">
        <v>15330</v>
      </c>
    </row>
    <row r="19" spans="1:8">
      <c r="A19" s="391" t="s">
        <v>15401</v>
      </c>
      <c r="B19" s="391" t="s">
        <v>15402</v>
      </c>
      <c r="C19" s="374" t="s">
        <v>15403</v>
      </c>
      <c r="D19" s="370" t="s">
        <v>15402</v>
      </c>
      <c r="E19" s="374"/>
      <c r="F19" s="370"/>
      <c r="G19" s="370" t="s">
        <v>15335</v>
      </c>
    </row>
    <row r="20" spans="1:8">
      <c r="A20" s="392" t="s">
        <v>15404</v>
      </c>
      <c r="B20" s="392" t="s">
        <v>15405</v>
      </c>
      <c r="C20" s="387" t="s">
        <v>15406</v>
      </c>
      <c r="D20" s="376" t="s">
        <v>15339</v>
      </c>
      <c r="E20" s="387" t="s">
        <v>15407</v>
      </c>
      <c r="F20" s="376">
        <v>998695238</v>
      </c>
      <c r="G20" s="376" t="s">
        <v>15408</v>
      </c>
    </row>
    <row r="21" spans="1:8">
      <c r="A21" s="391" t="s">
        <v>15409</v>
      </c>
      <c r="B21" s="391" t="s">
        <v>15410</v>
      </c>
      <c r="C21" s="374" t="s">
        <v>15411</v>
      </c>
      <c r="D21" s="370" t="s">
        <v>15412</v>
      </c>
      <c r="E21" s="374"/>
      <c r="F21" s="370"/>
      <c r="G21" s="370" t="s">
        <v>15335</v>
      </c>
    </row>
    <row r="22" spans="1:8">
      <c r="A22" s="392" t="s">
        <v>15413</v>
      </c>
      <c r="B22" s="392" t="s">
        <v>15414</v>
      </c>
      <c r="C22" s="381" t="s">
        <v>15415</v>
      </c>
      <c r="D22" s="376" t="s">
        <v>15416</v>
      </c>
      <c r="E22" s="387" t="s">
        <v>15417</v>
      </c>
      <c r="F22" s="392" t="s">
        <v>15414</v>
      </c>
      <c r="G22" s="376" t="s">
        <v>15418</v>
      </c>
    </row>
    <row r="23" spans="1:8">
      <c r="A23" s="385" t="s">
        <v>15419</v>
      </c>
      <c r="B23" s="385" t="s">
        <v>15420</v>
      </c>
      <c r="C23" s="394" t="s">
        <v>15421</v>
      </c>
      <c r="D23" s="378" t="s">
        <v>15422</v>
      </c>
      <c r="E23" s="394" t="s">
        <v>15423</v>
      </c>
      <c r="F23" s="378" t="s">
        <v>15424</v>
      </c>
      <c r="G23" s="378" t="s">
        <v>15425</v>
      </c>
      <c r="H23" t="s">
        <v>15426</v>
      </c>
    </row>
    <row r="24" spans="1:8">
      <c r="A24" s="395" t="s">
        <v>15427</v>
      </c>
      <c r="B24" s="395" t="s">
        <v>15428</v>
      </c>
      <c r="C24" s="379" t="s">
        <v>15429</v>
      </c>
      <c r="D24" s="380" t="s">
        <v>15428</v>
      </c>
      <c r="E24" s="379"/>
      <c r="F24" s="380"/>
      <c r="G24" s="380"/>
    </row>
    <row r="25" spans="1:8">
      <c r="A25" s="380" t="s">
        <v>15430</v>
      </c>
      <c r="B25" s="395" t="s">
        <v>15431</v>
      </c>
      <c r="C25" s="379" t="s">
        <v>15432</v>
      </c>
      <c r="D25" s="380" t="s">
        <v>15433</v>
      </c>
      <c r="E25" s="379"/>
      <c r="F25" s="380"/>
      <c r="G25" s="380"/>
    </row>
    <row r="26" spans="1:8">
      <c r="A26" s="389" t="s">
        <v>15434</v>
      </c>
      <c r="B26" s="389" t="s">
        <v>15435</v>
      </c>
      <c r="C26" s="112" t="s">
        <v>15436</v>
      </c>
      <c r="D26" s="386" t="s">
        <v>15437</v>
      </c>
      <c r="E26" s="112"/>
      <c r="F26" s="386"/>
      <c r="G26" s="386" t="s">
        <v>15330</v>
      </c>
    </row>
    <row r="27" spans="1:8" ht="23.25">
      <c r="A27" s="392" t="s">
        <v>15438</v>
      </c>
      <c r="B27" s="392" t="s">
        <v>15439</v>
      </c>
      <c r="C27" s="387" t="s">
        <v>15440</v>
      </c>
      <c r="D27" s="376" t="s">
        <v>15441</v>
      </c>
      <c r="E27" s="381" t="s">
        <v>15442</v>
      </c>
      <c r="F27" s="376" t="s">
        <v>15441</v>
      </c>
      <c r="G27" s="396" t="s">
        <v>15443</v>
      </c>
    </row>
    <row r="28" spans="1:8">
      <c r="A28" s="392" t="s">
        <v>15444</v>
      </c>
      <c r="B28" s="392" t="s">
        <v>15445</v>
      </c>
      <c r="C28" s="387" t="s">
        <v>15446</v>
      </c>
      <c r="D28" s="376" t="s">
        <v>8926</v>
      </c>
      <c r="E28" s="381" t="s">
        <v>15447</v>
      </c>
      <c r="F28" s="376" t="s">
        <v>5087</v>
      </c>
      <c r="G28" s="376"/>
    </row>
    <row r="29" spans="1:8">
      <c r="A29" s="392" t="s">
        <v>15448</v>
      </c>
      <c r="B29" s="392" t="s">
        <v>15449</v>
      </c>
      <c r="C29" s="387" t="s">
        <v>15450</v>
      </c>
      <c r="D29" s="376" t="s">
        <v>15451</v>
      </c>
      <c r="E29" s="392" t="s">
        <v>15452</v>
      </c>
      <c r="F29" s="392" t="s">
        <v>15449</v>
      </c>
      <c r="G29" s="376" t="s">
        <v>15453</v>
      </c>
    </row>
    <row r="30" spans="1:8">
      <c r="A30" s="392" t="s">
        <v>15454</v>
      </c>
      <c r="B30" s="392" t="s">
        <v>15455</v>
      </c>
      <c r="C30" s="387" t="s">
        <v>15456</v>
      </c>
      <c r="D30" s="376" t="s">
        <v>15457</v>
      </c>
      <c r="E30" s="376" t="s">
        <v>15458</v>
      </c>
      <c r="F30" s="376" t="s">
        <v>15459</v>
      </c>
      <c r="G30" s="376" t="s">
        <v>15460</v>
      </c>
    </row>
    <row r="31" spans="1:8">
      <c r="A31" s="391" t="s">
        <v>15461</v>
      </c>
      <c r="B31" s="391" t="s">
        <v>15462</v>
      </c>
      <c r="C31" s="375" t="s">
        <v>15463</v>
      </c>
      <c r="D31" s="370" t="s">
        <v>15464</v>
      </c>
      <c r="E31" s="374"/>
      <c r="F31" s="370"/>
      <c r="G31" s="370" t="s">
        <v>15335</v>
      </c>
    </row>
    <row r="32" spans="1:8">
      <c r="A32" s="392" t="s">
        <v>15465</v>
      </c>
      <c r="B32" s="392" t="s">
        <v>15466</v>
      </c>
      <c r="C32" s="381" t="s">
        <v>15467</v>
      </c>
      <c r="D32" s="376" t="s">
        <v>15383</v>
      </c>
      <c r="E32" s="381" t="s">
        <v>15468</v>
      </c>
      <c r="F32" s="415" t="s">
        <v>15469</v>
      </c>
      <c r="G32" s="376" t="s">
        <v>15470</v>
      </c>
    </row>
    <row r="33" spans="1:8">
      <c r="A33" s="376" t="s">
        <v>15471</v>
      </c>
      <c r="B33" s="392" t="s">
        <v>15472</v>
      </c>
      <c r="C33" s="381" t="s">
        <v>15473</v>
      </c>
      <c r="D33" s="376" t="s">
        <v>15339</v>
      </c>
      <c r="E33" s="381" t="s">
        <v>15474</v>
      </c>
      <c r="F33" s="392" t="s">
        <v>15472</v>
      </c>
      <c r="G33" s="376" t="s">
        <v>15475</v>
      </c>
    </row>
    <row r="34" spans="1:8">
      <c r="A34" s="370" t="s">
        <v>15476</v>
      </c>
      <c r="B34" s="391" t="s">
        <v>15477</v>
      </c>
      <c r="C34" s="374" t="s">
        <v>15478</v>
      </c>
      <c r="D34" s="370" t="s">
        <v>15339</v>
      </c>
      <c r="E34" s="374"/>
      <c r="F34" s="370"/>
      <c r="G34" s="370" t="s">
        <v>15335</v>
      </c>
    </row>
    <row r="35" spans="1:8">
      <c r="A35" s="389" t="s">
        <v>15479</v>
      </c>
      <c r="B35" s="389" t="s">
        <v>15480</v>
      </c>
      <c r="C35" s="112" t="s">
        <v>15481</v>
      </c>
      <c r="D35" s="386" t="s">
        <v>15482</v>
      </c>
      <c r="E35" s="390"/>
      <c r="F35" s="386"/>
      <c r="G35" s="386" t="s">
        <v>15483</v>
      </c>
    </row>
    <row r="36" spans="1:8">
      <c r="A36" s="385" t="s">
        <v>15484</v>
      </c>
      <c r="B36" s="385" t="s">
        <v>15485</v>
      </c>
      <c r="C36" s="394" t="s">
        <v>15486</v>
      </c>
      <c r="D36" s="378" t="s">
        <v>15339</v>
      </c>
      <c r="E36" s="394" t="s">
        <v>15487</v>
      </c>
      <c r="F36" s="416" t="s">
        <v>15485</v>
      </c>
      <c r="G36" s="378" t="s">
        <v>15488</v>
      </c>
    </row>
    <row r="37" spans="1:8">
      <c r="A37" s="391" t="s">
        <v>15489</v>
      </c>
      <c r="B37" s="391" t="s">
        <v>15490</v>
      </c>
      <c r="C37" s="375" t="s">
        <v>15491</v>
      </c>
      <c r="D37" s="370" t="s">
        <v>15339</v>
      </c>
      <c r="E37" s="375"/>
      <c r="F37" s="370"/>
      <c r="G37" s="370" t="s">
        <v>15335</v>
      </c>
    </row>
    <row r="38" spans="1:8">
      <c r="A38" s="389" t="s">
        <v>15492</v>
      </c>
      <c r="B38" s="389" t="s">
        <v>15493</v>
      </c>
      <c r="C38" s="112" t="s">
        <v>15494</v>
      </c>
      <c r="D38" s="386" t="s">
        <v>15339</v>
      </c>
      <c r="E38" s="112"/>
      <c r="F38" s="386"/>
      <c r="G38" s="386" t="s">
        <v>15356</v>
      </c>
    </row>
    <row r="39" spans="1:8">
      <c r="A39" s="380" t="s">
        <v>15495</v>
      </c>
      <c r="B39" s="380" t="s">
        <v>15496</v>
      </c>
      <c r="C39" s="379" t="s">
        <v>15497</v>
      </c>
      <c r="D39" s="380" t="s">
        <v>15498</v>
      </c>
      <c r="E39" s="379"/>
      <c r="F39" s="380"/>
      <c r="G39" s="380"/>
    </row>
    <row r="40" spans="1:8">
      <c r="A40" s="376" t="s">
        <v>15499</v>
      </c>
      <c r="B40" s="376" t="s">
        <v>15500</v>
      </c>
      <c r="C40" s="387" t="s">
        <v>15501</v>
      </c>
      <c r="D40" s="376" t="s">
        <v>15502</v>
      </c>
      <c r="E40" s="387" t="s">
        <v>15503</v>
      </c>
      <c r="F40" s="376" t="s">
        <v>15504</v>
      </c>
      <c r="G40" s="376" t="s">
        <v>15505</v>
      </c>
    </row>
    <row r="41" spans="1:8">
      <c r="A41" s="386" t="s">
        <v>15506</v>
      </c>
      <c r="B41" s="386" t="s">
        <v>15507</v>
      </c>
      <c r="C41" s="112" t="s">
        <v>15508</v>
      </c>
      <c r="D41" s="386" t="s">
        <v>15509</v>
      </c>
      <c r="E41" s="112"/>
      <c r="F41" s="386"/>
      <c r="G41" s="386" t="s">
        <v>15356</v>
      </c>
    </row>
    <row r="42" spans="1:8">
      <c r="A42" s="378" t="s">
        <v>15510</v>
      </c>
      <c r="B42" s="378" t="s">
        <v>15511</v>
      </c>
      <c r="C42" s="394" t="s">
        <v>15512</v>
      </c>
      <c r="D42" s="378" t="s">
        <v>15339</v>
      </c>
      <c r="E42" s="393" t="s">
        <v>15513</v>
      </c>
      <c r="F42" s="416" t="s">
        <v>15511</v>
      </c>
      <c r="G42" s="378" t="s">
        <v>15514</v>
      </c>
    </row>
    <row r="43" spans="1:8">
      <c r="A43" s="395" t="s">
        <v>15515</v>
      </c>
      <c r="B43" s="395" t="s">
        <v>15516</v>
      </c>
      <c r="C43" s="379" t="s">
        <v>15517</v>
      </c>
      <c r="D43" s="380" t="s">
        <v>15518</v>
      </c>
      <c r="E43" s="380" t="s">
        <v>15519</v>
      </c>
      <c r="F43" s="380" t="s">
        <v>15518</v>
      </c>
      <c r="G43" s="380" t="s">
        <v>15520</v>
      </c>
      <c r="H43" t="s">
        <v>15521</v>
      </c>
    </row>
    <row r="44" spans="1:8">
      <c r="A44" s="385" t="s">
        <v>15522</v>
      </c>
      <c r="B44" s="385" t="s">
        <v>15523</v>
      </c>
      <c r="C44" s="394" t="s">
        <v>15524</v>
      </c>
      <c r="D44" s="385" t="s">
        <v>15523</v>
      </c>
      <c r="E44" s="397" t="s">
        <v>15525</v>
      </c>
      <c r="F44" s="385" t="s">
        <v>15523</v>
      </c>
      <c r="G44" s="385" t="s">
        <v>15526</v>
      </c>
    </row>
    <row r="45" spans="1:8">
      <c r="A45" s="391" t="s">
        <v>15527</v>
      </c>
      <c r="B45" s="391" t="s">
        <v>15528</v>
      </c>
      <c r="C45" s="374" t="s">
        <v>15529</v>
      </c>
      <c r="D45" s="370" t="s">
        <v>15530</v>
      </c>
      <c r="E45" s="374"/>
      <c r="F45" s="370"/>
      <c r="G45" s="370" t="s">
        <v>15531</v>
      </c>
    </row>
    <row r="46" spans="1:8">
      <c r="A46" s="392" t="s">
        <v>15532</v>
      </c>
      <c r="B46" s="392" t="s">
        <v>15533</v>
      </c>
      <c r="C46" s="387" t="s">
        <v>15534</v>
      </c>
      <c r="D46" s="376" t="s">
        <v>15383</v>
      </c>
      <c r="E46" s="376" t="s">
        <v>15535</v>
      </c>
      <c r="F46" s="392" t="s">
        <v>15533</v>
      </c>
      <c r="G46" s="376" t="s">
        <v>15536</v>
      </c>
    </row>
    <row r="47" spans="1:8">
      <c r="A47" s="391" t="s">
        <v>15537</v>
      </c>
      <c r="B47" s="391" t="s">
        <v>15538</v>
      </c>
      <c r="C47" s="375" t="s">
        <v>15539</v>
      </c>
      <c r="D47" s="370" t="s">
        <v>15540</v>
      </c>
      <c r="E47" s="374"/>
      <c r="F47" s="370"/>
      <c r="G47" s="370" t="s">
        <v>15335</v>
      </c>
    </row>
    <row r="48" spans="1:8">
      <c r="A48" s="391" t="s">
        <v>15541</v>
      </c>
      <c r="B48" s="391" t="s">
        <v>15542</v>
      </c>
      <c r="C48" s="374" t="s">
        <v>15543</v>
      </c>
      <c r="D48" s="370" t="s">
        <v>15383</v>
      </c>
      <c r="E48" s="374"/>
      <c r="F48" s="370"/>
      <c r="G48" s="370" t="s">
        <v>15335</v>
      </c>
    </row>
    <row r="49" spans="1:7">
      <c r="A49" s="386" t="s">
        <v>15544</v>
      </c>
      <c r="B49" s="386" t="s">
        <v>15545</v>
      </c>
      <c r="C49" s="390" t="s">
        <v>15546</v>
      </c>
      <c r="D49" s="386" t="s">
        <v>15547</v>
      </c>
      <c r="E49" s="112"/>
      <c r="F49" s="386"/>
      <c r="G49" s="386" t="s">
        <v>15356</v>
      </c>
    </row>
    <row r="50" spans="1:7">
      <c r="A50" s="370" t="s">
        <v>15548</v>
      </c>
      <c r="B50" s="370" t="s">
        <v>15549</v>
      </c>
      <c r="C50" s="375" t="s">
        <v>15550</v>
      </c>
      <c r="D50" s="370" t="s">
        <v>15339</v>
      </c>
      <c r="E50" s="375"/>
      <c r="F50" s="370"/>
      <c r="G50" s="370" t="s">
        <v>15335</v>
      </c>
    </row>
    <row r="51" spans="1:7">
      <c r="A51" s="392" t="s">
        <v>15551</v>
      </c>
      <c r="B51" s="392" t="s">
        <v>15552</v>
      </c>
      <c r="C51" s="387" t="s">
        <v>15553</v>
      </c>
      <c r="D51" s="376" t="s">
        <v>15383</v>
      </c>
      <c r="E51" s="381" t="s">
        <v>15554</v>
      </c>
      <c r="F51" s="392" t="s">
        <v>15552</v>
      </c>
      <c r="G51" s="376" t="s">
        <v>15555</v>
      </c>
    </row>
    <row r="52" spans="1:7">
      <c r="A52" s="391" t="s">
        <v>15556</v>
      </c>
      <c r="B52" s="391" t="s">
        <v>15557</v>
      </c>
      <c r="C52" s="374" t="s">
        <v>9612</v>
      </c>
      <c r="D52" s="370" t="s">
        <v>15339</v>
      </c>
      <c r="E52" s="374"/>
      <c r="F52" s="370"/>
      <c r="G52" s="370" t="s">
        <v>15335</v>
      </c>
    </row>
    <row r="53" spans="1:7">
      <c r="A53" s="389" t="s">
        <v>15558</v>
      </c>
      <c r="B53" s="389" t="s">
        <v>15559</v>
      </c>
      <c r="C53" s="112" t="s">
        <v>15560</v>
      </c>
      <c r="D53" s="386" t="s">
        <v>15339</v>
      </c>
      <c r="E53" s="390"/>
      <c r="F53" s="386"/>
      <c r="G53" s="386" t="s">
        <v>15561</v>
      </c>
    </row>
    <row r="54" spans="1:7" ht="23.25">
      <c r="A54" s="380" t="s">
        <v>15562</v>
      </c>
      <c r="B54" s="380" t="s">
        <v>15563</v>
      </c>
      <c r="C54" s="383" t="s">
        <v>15564</v>
      </c>
      <c r="D54" s="380" t="s">
        <v>15565</v>
      </c>
      <c r="E54" s="379" t="s">
        <v>15566</v>
      </c>
      <c r="F54" s="380" t="s">
        <v>15565</v>
      </c>
      <c r="G54" s="398" t="s">
        <v>15567</v>
      </c>
    </row>
    <row r="55" spans="1:7">
      <c r="A55" s="376" t="s">
        <v>15568</v>
      </c>
      <c r="B55" s="376">
        <v>34452947</v>
      </c>
      <c r="C55" s="381" t="s">
        <v>15569</v>
      </c>
      <c r="D55" s="376" t="s">
        <v>15570</v>
      </c>
      <c r="E55" s="381" t="s">
        <v>15571</v>
      </c>
      <c r="F55" s="376">
        <v>998291832</v>
      </c>
      <c r="G55" s="376" t="s">
        <v>15572</v>
      </c>
    </row>
    <row r="56" spans="1:7">
      <c r="A56" s="392" t="s">
        <v>15573</v>
      </c>
      <c r="B56" s="392" t="s">
        <v>15574</v>
      </c>
      <c r="C56" s="387" t="s">
        <v>15575</v>
      </c>
      <c r="D56" s="376" t="s">
        <v>15576</v>
      </c>
      <c r="E56" s="381" t="s">
        <v>15577</v>
      </c>
      <c r="F56" s="392" t="s">
        <v>15574</v>
      </c>
      <c r="G56" s="376" t="s">
        <v>15578</v>
      </c>
    </row>
    <row r="57" spans="1:7">
      <c r="A57" s="370" t="s">
        <v>15579</v>
      </c>
      <c r="B57" s="370" t="s">
        <v>15580</v>
      </c>
      <c r="C57" s="375" t="s">
        <v>15581</v>
      </c>
      <c r="D57" s="370" t="s">
        <v>15383</v>
      </c>
      <c r="E57" s="374"/>
      <c r="F57" s="370"/>
      <c r="G57" s="370" t="s">
        <v>15335</v>
      </c>
    </row>
    <row r="58" spans="1:7">
      <c r="A58" s="376" t="s">
        <v>15582</v>
      </c>
      <c r="B58" s="376" t="s">
        <v>15583</v>
      </c>
      <c r="C58" s="387" t="s">
        <v>15584</v>
      </c>
      <c r="D58" s="376" t="s">
        <v>15383</v>
      </c>
      <c r="E58" s="381" t="s">
        <v>15585</v>
      </c>
      <c r="F58" s="376" t="s">
        <v>15583</v>
      </c>
      <c r="G58" s="376" t="s">
        <v>15586</v>
      </c>
    </row>
    <row r="59" spans="1:7">
      <c r="A59" s="391" t="s">
        <v>15587</v>
      </c>
      <c r="B59" s="391" t="s">
        <v>15588</v>
      </c>
      <c r="C59" s="375" t="s">
        <v>15589</v>
      </c>
      <c r="D59" s="370" t="s">
        <v>15383</v>
      </c>
      <c r="E59" s="374" t="s">
        <v>15590</v>
      </c>
      <c r="F59" s="370">
        <v>35999073960</v>
      </c>
      <c r="G59" s="370" t="s">
        <v>15591</v>
      </c>
    </row>
    <row r="60" spans="1:7">
      <c r="A60" s="370" t="s">
        <v>15592</v>
      </c>
      <c r="B60" s="370" t="s">
        <v>15593</v>
      </c>
      <c r="C60" s="374" t="s">
        <v>15594</v>
      </c>
      <c r="D60" s="370" t="s">
        <v>15595</v>
      </c>
      <c r="E60" s="374"/>
      <c r="F60" s="370"/>
      <c r="G60" s="370" t="s">
        <v>15335</v>
      </c>
    </row>
    <row r="61" spans="1:7">
      <c r="A61" s="376" t="s">
        <v>15596</v>
      </c>
      <c r="B61" s="376" t="s">
        <v>15597</v>
      </c>
      <c r="C61" s="381" t="s">
        <v>15598</v>
      </c>
      <c r="D61" s="376" t="s">
        <v>15599</v>
      </c>
      <c r="E61" s="381" t="s">
        <v>15600</v>
      </c>
      <c r="F61" s="415" t="s">
        <v>15599</v>
      </c>
      <c r="G61" s="376"/>
    </row>
    <row r="62" spans="1:7">
      <c r="A62" s="370" t="s">
        <v>15601</v>
      </c>
      <c r="B62" s="370" t="s">
        <v>15602</v>
      </c>
      <c r="C62" s="374" t="s">
        <v>15603</v>
      </c>
      <c r="D62" s="370" t="s">
        <v>15339</v>
      </c>
      <c r="E62" s="374"/>
      <c r="F62" s="370"/>
      <c r="G62" s="370" t="s">
        <v>15335</v>
      </c>
    </row>
    <row r="63" spans="1:7">
      <c r="A63" s="370" t="s">
        <v>15604</v>
      </c>
      <c r="B63" s="370" t="s">
        <v>15605</v>
      </c>
      <c r="C63" s="374" t="s">
        <v>15606</v>
      </c>
      <c r="D63" s="370" t="s">
        <v>15339</v>
      </c>
      <c r="E63" s="374"/>
      <c r="F63" s="370"/>
      <c r="G63" s="370" t="s">
        <v>15335</v>
      </c>
    </row>
    <row r="64" spans="1:7">
      <c r="A64" s="386" t="s">
        <v>15607</v>
      </c>
      <c r="B64" s="386" t="s">
        <v>15608</v>
      </c>
      <c r="C64" s="112" t="s">
        <v>15609</v>
      </c>
      <c r="D64" s="386" t="s">
        <v>15610</v>
      </c>
      <c r="E64" s="390"/>
      <c r="F64" s="386"/>
      <c r="G64" s="386" t="s">
        <v>15611</v>
      </c>
    </row>
    <row r="65" spans="1:7">
      <c r="A65" s="392" t="s">
        <v>15612</v>
      </c>
      <c r="B65" s="392" t="s">
        <v>15613</v>
      </c>
      <c r="C65" s="387" t="s">
        <v>15614</v>
      </c>
      <c r="D65" s="376" t="s">
        <v>15615</v>
      </c>
      <c r="E65" s="381" t="s">
        <v>15616</v>
      </c>
      <c r="F65" s="376" t="s">
        <v>15617</v>
      </c>
      <c r="G65" s="376" t="s">
        <v>15618</v>
      </c>
    </row>
    <row r="66" spans="1:7">
      <c r="A66" s="392" t="s">
        <v>15619</v>
      </c>
      <c r="B66" s="392" t="s">
        <v>15620</v>
      </c>
      <c r="C66" s="387" t="s">
        <v>15621</v>
      </c>
      <c r="D66" s="376" t="s">
        <v>15622</v>
      </c>
      <c r="E66" s="381" t="s">
        <v>15623</v>
      </c>
      <c r="F66" s="392" t="s">
        <v>15620</v>
      </c>
      <c r="G66" s="376" t="s">
        <v>15624</v>
      </c>
    </row>
    <row r="67" spans="1:7">
      <c r="A67" s="392" t="s">
        <v>15625</v>
      </c>
      <c r="B67" s="392" t="s">
        <v>15626</v>
      </c>
      <c r="C67" s="387" t="s">
        <v>15627</v>
      </c>
      <c r="D67" s="376" t="s">
        <v>15628</v>
      </c>
      <c r="E67" s="376" t="s">
        <v>15417</v>
      </c>
      <c r="F67" s="392" t="s">
        <v>15626</v>
      </c>
      <c r="G67" s="376" t="s">
        <v>15629</v>
      </c>
    </row>
    <row r="68" spans="1:7">
      <c r="A68" s="391" t="s">
        <v>15630</v>
      </c>
      <c r="B68" s="391" t="s">
        <v>15631</v>
      </c>
      <c r="C68" s="374" t="s">
        <v>15632</v>
      </c>
      <c r="D68" s="370" t="s">
        <v>15633</v>
      </c>
      <c r="E68" s="374"/>
      <c r="F68" s="370"/>
      <c r="G68" s="370" t="s">
        <v>15335</v>
      </c>
    </row>
    <row r="69" spans="1:7">
      <c r="A69" s="370" t="s">
        <v>15634</v>
      </c>
      <c r="B69" s="370" t="s">
        <v>15635</v>
      </c>
      <c r="C69" s="375" t="s">
        <v>15636</v>
      </c>
      <c r="D69" s="370" t="s">
        <v>15339</v>
      </c>
      <c r="E69" s="375"/>
      <c r="F69" s="370"/>
      <c r="G69" s="370" t="s">
        <v>15335</v>
      </c>
    </row>
    <row r="70" spans="1:7" ht="23.25">
      <c r="A70" s="370" t="s">
        <v>965</v>
      </c>
      <c r="B70" s="370" t="s">
        <v>15637</v>
      </c>
      <c r="C70" s="374" t="s">
        <v>15638</v>
      </c>
      <c r="D70" s="370" t="s">
        <v>15639</v>
      </c>
      <c r="E70" s="375" t="s">
        <v>15640</v>
      </c>
      <c r="F70" s="370" t="s">
        <v>15637</v>
      </c>
      <c r="G70" s="425" t="s">
        <v>15641</v>
      </c>
    </row>
    <row r="71" spans="1:7">
      <c r="A71" s="376" t="s">
        <v>15642</v>
      </c>
      <c r="B71" s="376" t="s">
        <v>15643</v>
      </c>
      <c r="C71" s="381" t="s">
        <v>15644</v>
      </c>
      <c r="D71" s="376" t="s">
        <v>15645</v>
      </c>
      <c r="E71" s="381" t="s">
        <v>15646</v>
      </c>
      <c r="F71" s="376" t="s">
        <v>15643</v>
      </c>
      <c r="G71" s="376" t="s">
        <v>15647</v>
      </c>
    </row>
    <row r="72" spans="1:7">
      <c r="A72" s="370" t="s">
        <v>15648</v>
      </c>
      <c r="B72" s="370" t="s">
        <v>15649</v>
      </c>
      <c r="C72" s="374" t="s">
        <v>15650</v>
      </c>
      <c r="D72" s="370" t="s">
        <v>15339</v>
      </c>
      <c r="E72" s="374"/>
      <c r="F72" s="370"/>
      <c r="G72" s="370"/>
    </row>
    <row r="73" spans="1:7">
      <c r="A73" s="376" t="s">
        <v>15651</v>
      </c>
      <c r="B73" s="376" t="s">
        <v>15652</v>
      </c>
      <c r="C73" s="381" t="s">
        <v>15653</v>
      </c>
      <c r="D73" s="359"/>
      <c r="E73" s="376" t="s">
        <v>15654</v>
      </c>
      <c r="F73" s="359" t="s">
        <v>15655</v>
      </c>
      <c r="G73" s="376" t="s">
        <v>15656</v>
      </c>
    </row>
    <row r="74" spans="1:7">
      <c r="A74" s="386" t="s">
        <v>15657</v>
      </c>
      <c r="B74" s="386" t="s">
        <v>15658</v>
      </c>
      <c r="C74" s="390" t="s">
        <v>15339</v>
      </c>
      <c r="D74" s="386" t="s">
        <v>15339</v>
      </c>
      <c r="E74" s="390"/>
      <c r="F74" s="386"/>
      <c r="G74" s="386"/>
    </row>
    <row r="75" spans="1:7">
      <c r="A75" s="378" t="s">
        <v>15659</v>
      </c>
      <c r="B75" s="378" t="s">
        <v>15660</v>
      </c>
      <c r="C75" s="394" t="s">
        <v>15661</v>
      </c>
      <c r="D75" s="378" t="s">
        <v>15339</v>
      </c>
      <c r="E75" s="393"/>
      <c r="F75" s="378"/>
      <c r="G75" s="378" t="s">
        <v>15662</v>
      </c>
    </row>
    <row r="76" spans="1:7">
      <c r="A76" s="376" t="s">
        <v>15663</v>
      </c>
      <c r="B76" s="376" t="s">
        <v>15664</v>
      </c>
      <c r="C76" s="381" t="s">
        <v>15665</v>
      </c>
      <c r="D76" s="376" t="s">
        <v>15339</v>
      </c>
      <c r="E76" s="381" t="s">
        <v>15666</v>
      </c>
      <c r="F76" s="415" t="s">
        <v>15664</v>
      </c>
      <c r="G76" s="376" t="s">
        <v>15667</v>
      </c>
    </row>
    <row r="77" spans="1:7">
      <c r="A77" s="370" t="s">
        <v>15668</v>
      </c>
      <c r="B77" s="370" t="s">
        <v>15669</v>
      </c>
      <c r="C77" s="374" t="s">
        <v>15670</v>
      </c>
      <c r="D77" s="370" t="s">
        <v>15339</v>
      </c>
      <c r="E77" s="375"/>
      <c r="F77" s="370"/>
      <c r="G77" s="370" t="s">
        <v>15335</v>
      </c>
    </row>
    <row r="78" spans="1:7">
      <c r="A78" s="378" t="s">
        <v>15671</v>
      </c>
      <c r="B78" s="378" t="s">
        <v>15672</v>
      </c>
      <c r="C78" s="394" t="s">
        <v>15673</v>
      </c>
      <c r="D78" s="378" t="s">
        <v>15674</v>
      </c>
      <c r="E78" s="394" t="s">
        <v>15675</v>
      </c>
      <c r="F78" s="378" t="s">
        <v>15672</v>
      </c>
      <c r="G78" s="378" t="s">
        <v>15641</v>
      </c>
    </row>
    <row r="79" spans="1:7">
      <c r="A79" s="370" t="s">
        <v>15676</v>
      </c>
      <c r="B79" s="370" t="s">
        <v>15677</v>
      </c>
      <c r="C79" s="374" t="s">
        <v>15678</v>
      </c>
      <c r="D79" s="370" t="s">
        <v>15679</v>
      </c>
      <c r="E79" s="374"/>
      <c r="F79" s="370"/>
      <c r="G79" s="370" t="s">
        <v>15335</v>
      </c>
    </row>
    <row r="80" spans="1:7">
      <c r="A80" s="380" t="s">
        <v>15680</v>
      </c>
      <c r="B80" s="380" t="s">
        <v>15681</v>
      </c>
      <c r="C80" s="379" t="s">
        <v>15682</v>
      </c>
      <c r="D80" s="380" t="s">
        <v>15339</v>
      </c>
      <c r="E80" s="379"/>
      <c r="F80" s="380"/>
      <c r="G80" s="380"/>
    </row>
    <row r="81" spans="1:7">
      <c r="A81" s="370" t="s">
        <v>15683</v>
      </c>
      <c r="B81" s="370" t="s">
        <v>15684</v>
      </c>
      <c r="C81" s="374" t="s">
        <v>15685</v>
      </c>
      <c r="D81" s="370" t="s">
        <v>15686</v>
      </c>
      <c r="E81" s="375"/>
      <c r="F81" s="370"/>
      <c r="G81" s="370" t="s">
        <v>15335</v>
      </c>
    </row>
    <row r="82" spans="1:7">
      <c r="A82" s="389" t="s">
        <v>15687</v>
      </c>
      <c r="B82" s="389" t="s">
        <v>15688</v>
      </c>
      <c r="C82" s="112" t="s">
        <v>15689</v>
      </c>
      <c r="D82" s="386" t="s">
        <v>15690</v>
      </c>
      <c r="E82" s="112"/>
      <c r="F82" s="386"/>
      <c r="G82" s="386"/>
    </row>
    <row r="83" spans="1:7">
      <c r="A83" s="372" t="s">
        <v>15691</v>
      </c>
      <c r="B83" s="384" t="s">
        <v>15692</v>
      </c>
      <c r="C83" s="61" t="s">
        <v>15693</v>
      </c>
      <c r="D83" s="369" t="s">
        <v>15694</v>
      </c>
      <c r="E83" s="373"/>
      <c r="F83" s="369"/>
      <c r="G83" s="369"/>
    </row>
    <row r="84" spans="1:7">
      <c r="A84" s="386" t="s">
        <v>15695</v>
      </c>
      <c r="B84" s="389" t="s">
        <v>15696</v>
      </c>
      <c r="C84" s="112" t="s">
        <v>15697</v>
      </c>
      <c r="D84" s="386" t="s">
        <v>15698</v>
      </c>
      <c r="E84" s="112"/>
      <c r="F84" s="386"/>
      <c r="G84" s="386"/>
    </row>
    <row r="85" spans="1:7">
      <c r="A85" s="385" t="s">
        <v>15699</v>
      </c>
      <c r="B85" s="385" t="s">
        <v>15700</v>
      </c>
      <c r="C85" s="393" t="s">
        <v>15701</v>
      </c>
      <c r="D85" s="378" t="s">
        <v>15339</v>
      </c>
      <c r="E85" s="394"/>
      <c r="F85" s="378"/>
      <c r="G85" s="378" t="s">
        <v>15702</v>
      </c>
    </row>
    <row r="86" spans="1:7">
      <c r="A86" s="391" t="s">
        <v>15703</v>
      </c>
      <c r="B86" s="391" t="s">
        <v>15704</v>
      </c>
      <c r="C86" s="374" t="s">
        <v>15705</v>
      </c>
      <c r="D86" s="370" t="s">
        <v>15339</v>
      </c>
      <c r="E86" s="374"/>
      <c r="F86" s="370"/>
      <c r="G86" s="370" t="s">
        <v>15335</v>
      </c>
    </row>
    <row r="87" spans="1:7">
      <c r="A87" s="391" t="s">
        <v>15706</v>
      </c>
      <c r="B87" s="391" t="s">
        <v>15707</v>
      </c>
      <c r="C87" s="375" t="s">
        <v>15708</v>
      </c>
      <c r="D87" s="370" t="s">
        <v>15339</v>
      </c>
      <c r="E87" s="375"/>
      <c r="F87" s="370"/>
      <c r="G87" s="370" t="s">
        <v>15335</v>
      </c>
    </row>
    <row r="88" spans="1:7">
      <c r="A88" s="380" t="s">
        <v>15709</v>
      </c>
      <c r="B88" s="380" t="s">
        <v>15710</v>
      </c>
      <c r="C88" s="379" t="s">
        <v>15711</v>
      </c>
      <c r="D88" s="380">
        <v>999443433</v>
      </c>
      <c r="E88" s="379"/>
      <c r="F88" s="380"/>
      <c r="G88" s="380"/>
    </row>
    <row r="89" spans="1:7">
      <c r="A89" s="392" t="s">
        <v>15712</v>
      </c>
      <c r="B89" s="392" t="s">
        <v>15459</v>
      </c>
      <c r="C89" s="381" t="s">
        <v>15713</v>
      </c>
      <c r="D89" s="376" t="s">
        <v>15383</v>
      </c>
      <c r="E89" s="381" t="s">
        <v>15714</v>
      </c>
      <c r="F89" s="376">
        <v>999930005</v>
      </c>
      <c r="G89" s="376" t="s">
        <v>15715</v>
      </c>
    </row>
    <row r="90" spans="1:7">
      <c r="A90" s="380" t="s">
        <v>15716</v>
      </c>
      <c r="B90" s="395" t="s">
        <v>15485</v>
      </c>
      <c r="C90" s="379" t="s">
        <v>15486</v>
      </c>
      <c r="D90" s="380" t="s">
        <v>15717</v>
      </c>
      <c r="E90" s="379"/>
      <c r="F90" s="380"/>
      <c r="G90" s="380" t="s">
        <v>15718</v>
      </c>
    </row>
    <row r="91" spans="1:7">
      <c r="A91" s="376" t="s">
        <v>15719</v>
      </c>
      <c r="B91" s="376" t="s">
        <v>15720</v>
      </c>
      <c r="C91" s="381" t="s">
        <v>15721</v>
      </c>
      <c r="D91" s="376"/>
      <c r="E91" s="387" t="s">
        <v>15722</v>
      </c>
      <c r="F91" s="376"/>
      <c r="G91" s="381" t="s">
        <v>15723</v>
      </c>
    </row>
    <row r="92" spans="1:7">
      <c r="A92" s="392" t="s">
        <v>15724</v>
      </c>
      <c r="B92" s="392" t="s">
        <v>15725</v>
      </c>
      <c r="C92" s="381" t="s">
        <v>15726</v>
      </c>
      <c r="D92" s="376" t="s">
        <v>15383</v>
      </c>
      <c r="E92" s="381" t="s">
        <v>15727</v>
      </c>
      <c r="F92" s="376" t="s">
        <v>5523</v>
      </c>
      <c r="G92" s="376" t="s">
        <v>15728</v>
      </c>
    </row>
    <row r="93" spans="1:7">
      <c r="A93" s="389" t="s">
        <v>15729</v>
      </c>
      <c r="B93" s="389" t="s">
        <v>15730</v>
      </c>
      <c r="C93" s="112" t="s">
        <v>15731</v>
      </c>
      <c r="D93" s="386" t="s">
        <v>15732</v>
      </c>
      <c r="E93" s="112"/>
      <c r="F93" s="386"/>
      <c r="G93" s="386" t="s">
        <v>15733</v>
      </c>
    </row>
    <row r="94" spans="1:7">
      <c r="A94" s="391" t="s">
        <v>15734</v>
      </c>
      <c r="B94" s="391" t="s">
        <v>15735</v>
      </c>
      <c r="C94" s="374" t="s">
        <v>15736</v>
      </c>
      <c r="D94" s="370" t="s">
        <v>15339</v>
      </c>
      <c r="E94" s="374"/>
      <c r="F94" s="370"/>
      <c r="G94" s="370" t="s">
        <v>15335</v>
      </c>
    </row>
    <row r="95" spans="1:7">
      <c r="A95" s="391" t="s">
        <v>15737</v>
      </c>
      <c r="B95" s="391" t="s">
        <v>15738</v>
      </c>
      <c r="C95" s="374" t="s">
        <v>15739</v>
      </c>
      <c r="D95" s="370" t="s">
        <v>15740</v>
      </c>
      <c r="E95" s="375"/>
      <c r="F95" s="370"/>
      <c r="G95" s="370" t="s">
        <v>15335</v>
      </c>
    </row>
    <row r="96" spans="1:7">
      <c r="A96" s="391" t="s">
        <v>15741</v>
      </c>
      <c r="B96" s="391" t="s">
        <v>15742</v>
      </c>
      <c r="C96" s="374" t="s">
        <v>15743</v>
      </c>
      <c r="D96" s="370" t="s">
        <v>15744</v>
      </c>
      <c r="E96" s="374"/>
      <c r="F96" s="370"/>
      <c r="G96" s="370" t="s">
        <v>15335</v>
      </c>
    </row>
    <row r="97" spans="1:8">
      <c r="A97" s="372" t="s">
        <v>15745</v>
      </c>
      <c r="B97" s="384" t="s">
        <v>15746</v>
      </c>
      <c r="C97" s="61" t="s">
        <v>15747</v>
      </c>
      <c r="D97" s="369"/>
      <c r="E97" s="61" t="s">
        <v>13886</v>
      </c>
      <c r="F97" s="369"/>
      <c r="G97" s="369"/>
    </row>
    <row r="98" spans="1:8" s="1" customFormat="1">
      <c r="A98" s="385" t="s">
        <v>15748</v>
      </c>
      <c r="B98" s="385" t="s">
        <v>15749</v>
      </c>
      <c r="C98" s="393" t="s">
        <v>15750</v>
      </c>
      <c r="D98" s="378" t="s">
        <v>15339</v>
      </c>
      <c r="E98" s="393" t="s">
        <v>15751</v>
      </c>
      <c r="F98" s="378" t="s">
        <v>15752</v>
      </c>
      <c r="G98" s="378" t="s">
        <v>15702</v>
      </c>
      <c r="H98" s="1" t="s">
        <v>15753</v>
      </c>
    </row>
    <row r="99" spans="1:8">
      <c r="A99" s="391" t="s">
        <v>15754</v>
      </c>
      <c r="B99" s="391" t="s">
        <v>15755</v>
      </c>
      <c r="C99" s="374" t="s">
        <v>15756</v>
      </c>
      <c r="D99" s="370" t="s">
        <v>15757</v>
      </c>
      <c r="E99" s="375"/>
      <c r="F99" s="370"/>
      <c r="G99" s="370" t="s">
        <v>15335</v>
      </c>
    </row>
    <row r="100" spans="1:8">
      <c r="A100" s="392" t="s">
        <v>15758</v>
      </c>
      <c r="B100" s="392" t="s">
        <v>15759</v>
      </c>
      <c r="C100" s="381" t="s">
        <v>15760</v>
      </c>
      <c r="D100" s="376" t="s">
        <v>15383</v>
      </c>
      <c r="E100" s="381" t="s">
        <v>15761</v>
      </c>
      <c r="F100" s="392" t="s">
        <v>15759</v>
      </c>
      <c r="G100" s="376"/>
    </row>
    <row r="101" spans="1:8">
      <c r="A101" s="399" t="s">
        <v>15762</v>
      </c>
      <c r="B101" s="391" t="s">
        <v>15763</v>
      </c>
      <c r="C101" s="375" t="s">
        <v>15764</v>
      </c>
      <c r="D101" s="370" t="s">
        <v>15765</v>
      </c>
      <c r="E101" s="375"/>
      <c r="F101" s="370"/>
      <c r="G101" s="370" t="s">
        <v>15335</v>
      </c>
    </row>
    <row r="102" spans="1:8">
      <c r="A102" s="372" t="s">
        <v>15766</v>
      </c>
      <c r="B102" s="384" t="s">
        <v>15767</v>
      </c>
      <c r="C102" s="373" t="s">
        <v>15339</v>
      </c>
      <c r="D102" s="369" t="s">
        <v>15339</v>
      </c>
      <c r="E102" s="373"/>
      <c r="F102" s="369"/>
      <c r="G102" s="369" t="s">
        <v>15639</v>
      </c>
    </row>
    <row r="103" spans="1:8">
      <c r="A103" s="370" t="s">
        <v>15768</v>
      </c>
      <c r="B103" s="370" t="s">
        <v>15769</v>
      </c>
      <c r="C103" s="375" t="s">
        <v>15770</v>
      </c>
      <c r="D103" s="370" t="s">
        <v>15771</v>
      </c>
      <c r="E103" s="374"/>
      <c r="F103" s="370"/>
      <c r="G103" s="370" t="s">
        <v>15335</v>
      </c>
    </row>
    <row r="104" spans="1:8">
      <c r="A104" s="370" t="s">
        <v>15772</v>
      </c>
      <c r="B104" s="370" t="s">
        <v>15773</v>
      </c>
      <c r="C104" s="374" t="s">
        <v>15774</v>
      </c>
      <c r="D104" s="370" t="s">
        <v>15775</v>
      </c>
      <c r="E104" s="374"/>
      <c r="F104" s="370"/>
      <c r="G104" s="370" t="s">
        <v>15335</v>
      </c>
    </row>
    <row r="105" spans="1:8">
      <c r="A105" s="370" t="s">
        <v>15776</v>
      </c>
      <c r="B105" s="370" t="s">
        <v>15777</v>
      </c>
      <c r="C105" s="374" t="s">
        <v>15778</v>
      </c>
      <c r="D105" s="382" t="s">
        <v>15779</v>
      </c>
      <c r="E105" s="374"/>
      <c r="F105" s="382"/>
      <c r="G105" s="370" t="s">
        <v>15335</v>
      </c>
    </row>
    <row r="106" spans="1:8">
      <c r="A106" s="370" t="s">
        <v>15780</v>
      </c>
      <c r="B106" s="370" t="s">
        <v>15781</v>
      </c>
      <c r="C106" s="374" t="s">
        <v>15782</v>
      </c>
      <c r="D106" s="370">
        <v>991960227</v>
      </c>
      <c r="E106" s="374"/>
      <c r="F106" s="370"/>
      <c r="G106" s="370" t="s">
        <v>15335</v>
      </c>
    </row>
    <row r="107" spans="1:8">
      <c r="A107" s="371" t="s">
        <v>15783</v>
      </c>
      <c r="B107" s="369" t="s">
        <v>15784</v>
      </c>
      <c r="C107" s="61" t="s">
        <v>15785</v>
      </c>
      <c r="D107" s="369" t="s">
        <v>15339</v>
      </c>
      <c r="E107" s="373"/>
      <c r="F107" s="369"/>
      <c r="G107" s="369" t="s">
        <v>15786</v>
      </c>
    </row>
    <row r="108" spans="1:8">
      <c r="A108" s="386" t="s">
        <v>15787</v>
      </c>
      <c r="B108" s="386" t="s">
        <v>15788</v>
      </c>
      <c r="C108" s="112" t="s">
        <v>15789</v>
      </c>
      <c r="D108" s="386" t="s">
        <v>15339</v>
      </c>
      <c r="E108" s="390"/>
      <c r="F108" s="386"/>
      <c r="G108" s="386"/>
    </row>
    <row r="109" spans="1:8">
      <c r="A109" s="380" t="s">
        <v>15790</v>
      </c>
      <c r="B109" s="380" t="s">
        <v>15791</v>
      </c>
      <c r="C109" s="383" t="s">
        <v>15339</v>
      </c>
      <c r="D109" s="380" t="s">
        <v>15339</v>
      </c>
      <c r="E109" s="383" t="s">
        <v>15792</v>
      </c>
      <c r="F109" s="380"/>
      <c r="G109" s="380" t="s">
        <v>15793</v>
      </c>
    </row>
    <row r="110" spans="1:8">
      <c r="A110" s="391" t="s">
        <v>15794</v>
      </c>
      <c r="B110" s="391" t="s">
        <v>15795</v>
      </c>
      <c r="C110" s="375" t="s">
        <v>9839</v>
      </c>
      <c r="D110" s="377" t="s">
        <v>15796</v>
      </c>
      <c r="E110" s="374"/>
      <c r="F110" s="377"/>
      <c r="G110" s="400" t="s">
        <v>15335</v>
      </c>
    </row>
    <row r="111" spans="1:8">
      <c r="A111" s="391" t="s">
        <v>15797</v>
      </c>
      <c r="B111" s="391" t="s">
        <v>15798</v>
      </c>
      <c r="C111" s="374" t="s">
        <v>15799</v>
      </c>
      <c r="D111" s="370" t="s">
        <v>15800</v>
      </c>
      <c r="E111" s="374"/>
      <c r="F111" s="370"/>
      <c r="G111" s="370" t="s">
        <v>15335</v>
      </c>
    </row>
    <row r="112" spans="1:8">
      <c r="A112" s="372" t="s">
        <v>15801</v>
      </c>
      <c r="B112" s="384" t="s">
        <v>15802</v>
      </c>
      <c r="C112" s="401" t="s">
        <v>15803</v>
      </c>
      <c r="D112" s="372" t="s">
        <v>15383</v>
      </c>
      <c r="E112" s="372"/>
      <c r="F112" s="372"/>
      <c r="G112" s="372"/>
    </row>
    <row r="113" spans="1:7">
      <c r="A113" s="392" t="s">
        <v>15804</v>
      </c>
      <c r="B113" s="392" t="s">
        <v>15805</v>
      </c>
      <c r="C113" s="381" t="s">
        <v>15806</v>
      </c>
      <c r="D113" s="376" t="s">
        <v>15807</v>
      </c>
      <c r="E113" s="381" t="s">
        <v>15348</v>
      </c>
      <c r="F113" s="376">
        <v>992524444</v>
      </c>
      <c r="G113" s="376" t="s">
        <v>15667</v>
      </c>
    </row>
    <row r="114" spans="1:7">
      <c r="A114" s="391" t="s">
        <v>15808</v>
      </c>
      <c r="B114" s="391" t="s">
        <v>15809</v>
      </c>
      <c r="C114" s="374" t="s">
        <v>15810</v>
      </c>
      <c r="D114" s="370" t="s">
        <v>15339</v>
      </c>
      <c r="E114" s="374"/>
      <c r="F114" s="370"/>
      <c r="G114" s="370" t="s">
        <v>15335</v>
      </c>
    </row>
    <row r="115" spans="1:7">
      <c r="A115" s="392" t="s">
        <v>15811</v>
      </c>
      <c r="B115" s="376" t="s">
        <v>15812</v>
      </c>
      <c r="C115" s="387" t="s">
        <v>15813</v>
      </c>
      <c r="D115" s="376" t="s">
        <v>15814</v>
      </c>
      <c r="E115" s="381" t="s">
        <v>15815</v>
      </c>
      <c r="F115" s="376" t="s">
        <v>15816</v>
      </c>
      <c r="G115" s="376"/>
    </row>
    <row r="116" spans="1:7">
      <c r="A116" s="378" t="s">
        <v>15817</v>
      </c>
      <c r="B116" s="378" t="s">
        <v>15818</v>
      </c>
      <c r="C116" s="394" t="s">
        <v>15819</v>
      </c>
      <c r="D116" s="378" t="s">
        <v>15339</v>
      </c>
      <c r="E116" s="393" t="s">
        <v>15820</v>
      </c>
      <c r="F116" s="416" t="s">
        <v>15818</v>
      </c>
      <c r="G116" s="378" t="s">
        <v>15821</v>
      </c>
    </row>
    <row r="117" spans="1:7">
      <c r="A117" s="380" t="s">
        <v>15822</v>
      </c>
      <c r="B117" s="380" t="s">
        <v>15823</v>
      </c>
      <c r="C117" s="379" t="s">
        <v>15824</v>
      </c>
      <c r="D117" s="380" t="s">
        <v>15825</v>
      </c>
      <c r="E117" s="379"/>
      <c r="F117" s="380"/>
      <c r="G117" s="380"/>
    </row>
    <row r="118" spans="1:7">
      <c r="A118" s="370" t="s">
        <v>15826</v>
      </c>
      <c r="B118" s="370" t="s">
        <v>15827</v>
      </c>
      <c r="C118" s="374" t="s">
        <v>15828</v>
      </c>
      <c r="D118" s="370" t="s">
        <v>15829</v>
      </c>
      <c r="E118" s="374"/>
      <c r="F118" s="370"/>
      <c r="G118" s="370" t="s">
        <v>15335</v>
      </c>
    </row>
    <row r="119" spans="1:7">
      <c r="A119" s="376" t="s">
        <v>15830</v>
      </c>
      <c r="B119" s="376" t="s">
        <v>15831</v>
      </c>
      <c r="C119" s="381" t="s">
        <v>15832</v>
      </c>
      <c r="D119" s="376" t="s">
        <v>15833</v>
      </c>
      <c r="E119" s="387" t="s">
        <v>13679</v>
      </c>
      <c r="F119" s="376" t="s">
        <v>15834</v>
      </c>
      <c r="G119" s="376"/>
    </row>
    <row r="120" spans="1:7">
      <c r="A120" s="380" t="s">
        <v>15835</v>
      </c>
      <c r="B120" s="380">
        <v>34451292</v>
      </c>
      <c r="C120" s="379" t="s">
        <v>15836</v>
      </c>
      <c r="D120" s="380" t="s">
        <v>15837</v>
      </c>
      <c r="E120" s="379"/>
      <c r="F120" s="380"/>
      <c r="G120" s="380" t="s">
        <v>15838</v>
      </c>
    </row>
    <row r="121" spans="1:7">
      <c r="A121" s="371" t="s">
        <v>15839</v>
      </c>
      <c r="B121" s="369" t="s">
        <v>15840</v>
      </c>
      <c r="C121" s="373" t="s">
        <v>15841</v>
      </c>
      <c r="D121" s="369" t="s">
        <v>15339</v>
      </c>
      <c r="E121" s="373"/>
      <c r="F121" s="369"/>
      <c r="G121" s="369" t="s">
        <v>15842</v>
      </c>
    </row>
    <row r="122" spans="1:7">
      <c r="A122" s="376" t="s">
        <v>15843</v>
      </c>
      <c r="B122" s="376" t="s">
        <v>15844</v>
      </c>
      <c r="C122" s="381" t="s">
        <v>15845</v>
      </c>
      <c r="D122" s="376" t="s">
        <v>15339</v>
      </c>
      <c r="E122" s="381" t="s">
        <v>15846</v>
      </c>
      <c r="F122" s="376">
        <v>998899662</v>
      </c>
      <c r="G122" s="376" t="s">
        <v>15667</v>
      </c>
    </row>
    <row r="123" spans="1:7">
      <c r="A123" s="371" t="s">
        <v>15847</v>
      </c>
      <c r="B123" s="369" t="s">
        <v>15848</v>
      </c>
      <c r="C123" s="61" t="s">
        <v>15849</v>
      </c>
      <c r="D123" s="369" t="s">
        <v>15339</v>
      </c>
      <c r="E123" s="373"/>
      <c r="F123" s="369"/>
      <c r="G123" s="369"/>
    </row>
    <row r="124" spans="1:7">
      <c r="A124" s="376" t="s">
        <v>15850</v>
      </c>
      <c r="B124" s="376" t="s">
        <v>15851</v>
      </c>
      <c r="C124" s="381" t="s">
        <v>15852</v>
      </c>
      <c r="D124" s="359"/>
      <c r="E124" s="376" t="s">
        <v>15853</v>
      </c>
      <c r="F124" s="376" t="s">
        <v>15851</v>
      </c>
      <c r="G124" s="376" t="s">
        <v>15854</v>
      </c>
    </row>
    <row r="125" spans="1:7">
      <c r="A125" s="370" t="s">
        <v>15855</v>
      </c>
      <c r="B125" s="370" t="s">
        <v>15856</v>
      </c>
      <c r="C125" s="374" t="s">
        <v>15857</v>
      </c>
      <c r="D125" s="370" t="s">
        <v>15858</v>
      </c>
      <c r="E125" s="370"/>
      <c r="F125" s="370"/>
      <c r="G125" s="370" t="s">
        <v>15335</v>
      </c>
    </row>
    <row r="126" spans="1:7">
      <c r="A126" s="380" t="s">
        <v>15859</v>
      </c>
      <c r="B126" s="380" t="s">
        <v>15860</v>
      </c>
      <c r="C126" s="379" t="s">
        <v>15861</v>
      </c>
      <c r="D126" s="380" t="s">
        <v>15862</v>
      </c>
      <c r="E126" s="380"/>
      <c r="F126" s="380"/>
      <c r="G126" s="380"/>
    </row>
    <row r="127" spans="1:7" ht="23.25">
      <c r="A127" s="378" t="s">
        <v>15863</v>
      </c>
      <c r="B127" s="378" t="s">
        <v>15864</v>
      </c>
      <c r="C127" s="394" t="s">
        <v>15865</v>
      </c>
      <c r="D127" s="378" t="s">
        <v>15866</v>
      </c>
      <c r="E127" s="394" t="s">
        <v>15867</v>
      </c>
      <c r="F127" s="378" t="s">
        <v>15866</v>
      </c>
      <c r="G127" s="402" t="s">
        <v>15868</v>
      </c>
    </row>
    <row r="128" spans="1:7" ht="34.5">
      <c r="A128" s="392" t="s">
        <v>15869</v>
      </c>
      <c r="B128" s="392" t="s">
        <v>15870</v>
      </c>
      <c r="C128" s="387" t="s">
        <v>15871</v>
      </c>
      <c r="D128" s="376" t="s">
        <v>15872</v>
      </c>
      <c r="E128" s="381" t="s">
        <v>15873</v>
      </c>
      <c r="F128" s="392" t="s">
        <v>15870</v>
      </c>
      <c r="G128" s="396" t="s">
        <v>15874</v>
      </c>
    </row>
    <row r="129" spans="1:7">
      <c r="A129" s="372" t="s">
        <v>15875</v>
      </c>
      <c r="B129" s="384" t="s">
        <v>15876</v>
      </c>
      <c r="C129" s="61" t="s">
        <v>15877</v>
      </c>
      <c r="D129" s="369" t="s">
        <v>15339</v>
      </c>
      <c r="E129" s="373"/>
      <c r="F129" s="369"/>
      <c r="G129" s="369" t="s">
        <v>15733</v>
      </c>
    </row>
    <row r="130" spans="1:7">
      <c r="A130" s="380" t="s">
        <v>15878</v>
      </c>
      <c r="B130" s="380" t="s">
        <v>15879</v>
      </c>
      <c r="C130" s="379" t="s">
        <v>15880</v>
      </c>
      <c r="D130" s="380" t="s">
        <v>15881</v>
      </c>
      <c r="E130" s="379"/>
      <c r="F130" s="380"/>
      <c r="G130" s="380"/>
    </row>
    <row r="133" spans="1:7">
      <c r="A133" s="417"/>
      <c r="B133" s="20" t="s">
        <v>15882</v>
      </c>
    </row>
    <row r="134" spans="1:7">
      <c r="A134" s="403"/>
      <c r="B134" s="20" t="s">
        <v>15883</v>
      </c>
    </row>
    <row r="135" spans="1:7">
      <c r="A135" s="404"/>
      <c r="B135" s="20" t="s">
        <v>15884</v>
      </c>
    </row>
    <row r="136" spans="1:7">
      <c r="A136" s="405"/>
      <c r="B136" s="20" t="s">
        <v>7429</v>
      </c>
    </row>
    <row r="137" spans="1:7">
      <c r="A137" s="406"/>
      <c r="B137" s="20" t="s">
        <v>15885</v>
      </c>
    </row>
    <row r="139" spans="1:7">
      <c r="A139" s="59" t="s">
        <v>15886</v>
      </c>
      <c r="B139" s="59"/>
      <c r="C139" s="59"/>
    </row>
    <row r="140" spans="1:7">
      <c r="A140" s="59" t="s">
        <v>15887</v>
      </c>
      <c r="B140" s="59"/>
      <c r="C140" s="59"/>
    </row>
    <row r="141" spans="1:7">
      <c r="A141" s="59"/>
      <c r="B141" s="59"/>
      <c r="C141" s="59"/>
    </row>
    <row r="142" spans="1:7">
      <c r="A142" s="59" t="s">
        <v>15888</v>
      </c>
      <c r="B142" s="59"/>
      <c r="C142" s="59"/>
    </row>
    <row r="143" spans="1:7">
      <c r="A143" s="59" t="s">
        <v>15889</v>
      </c>
      <c r="B143" s="59"/>
      <c r="C143" s="59"/>
    </row>
    <row r="144" spans="1:7">
      <c r="A144" s="59" t="s">
        <v>15890</v>
      </c>
      <c r="B144" s="59">
        <v>34452917</v>
      </c>
      <c r="C144" s="59" t="s">
        <v>15891</v>
      </c>
    </row>
    <row r="145" spans="1:3">
      <c r="A145" s="59" t="s">
        <v>15892</v>
      </c>
      <c r="B145" s="407" t="s">
        <v>15893</v>
      </c>
      <c r="C145" s="59" t="s">
        <v>15894</v>
      </c>
    </row>
    <row r="146" spans="1:3">
      <c r="A146" s="59" t="s">
        <v>15895</v>
      </c>
      <c r="B146" s="407" t="s">
        <v>15896</v>
      </c>
      <c r="C146" s="59"/>
    </row>
    <row r="147" spans="1:3">
      <c r="A147" s="59" t="s">
        <v>15897</v>
      </c>
      <c r="B147" s="407" t="s">
        <v>15896</v>
      </c>
      <c r="C147" s="59"/>
    </row>
    <row r="148" spans="1:3">
      <c r="A148" s="59" t="s">
        <v>15898</v>
      </c>
      <c r="B148" s="24" t="s">
        <v>4958</v>
      </c>
      <c r="C148" s="59"/>
    </row>
    <row r="149" spans="1:3">
      <c r="A149" s="24" t="s">
        <v>15899</v>
      </c>
      <c r="B149" s="59" t="s">
        <v>15900</v>
      </c>
      <c r="C149" s="59"/>
    </row>
    <row r="150" spans="1:3">
      <c r="A150" s="59" t="s">
        <v>15901</v>
      </c>
      <c r="B150" s="407" t="s">
        <v>15902</v>
      </c>
      <c r="C150" s="59"/>
    </row>
    <row r="151" spans="1:3">
      <c r="A151" s="59" t="s">
        <v>15903</v>
      </c>
      <c r="B151" s="407" t="s">
        <v>15904</v>
      </c>
      <c r="C151" s="59"/>
    </row>
    <row r="152" spans="1:3">
      <c r="A152" s="59" t="s">
        <v>15905</v>
      </c>
      <c r="B152" s="407" t="s">
        <v>15906</v>
      </c>
      <c r="C152" s="59"/>
    </row>
    <row r="153" spans="1:3">
      <c r="A153" s="59" t="s">
        <v>15907</v>
      </c>
      <c r="B153" s="407" t="s">
        <v>15908</v>
      </c>
      <c r="C153" s="59"/>
    </row>
    <row r="154" spans="1:3">
      <c r="A154" s="59" t="s">
        <v>15909</v>
      </c>
      <c r="B154" s="407" t="s">
        <v>15910</v>
      </c>
      <c r="C154" s="59"/>
    </row>
    <row r="155" spans="1:3">
      <c r="A155" s="59"/>
      <c r="B155" s="59"/>
      <c r="C155" s="59"/>
    </row>
    <row r="156" spans="1:3">
      <c r="A156" s="59"/>
      <c r="B156" s="59"/>
      <c r="C156" s="59"/>
    </row>
    <row r="157" spans="1:3">
      <c r="A157" s="59"/>
      <c r="B157" s="59"/>
      <c r="C157" s="59"/>
    </row>
    <row r="158" spans="1:3">
      <c r="A158" s="59"/>
      <c r="B158" s="59"/>
      <c r="C158" s="59"/>
    </row>
    <row r="159" spans="1:3">
      <c r="A159" s="59"/>
      <c r="B159" s="59"/>
      <c r="C159" s="59"/>
    </row>
    <row r="160" spans="1:3">
      <c r="A160" s="59"/>
      <c r="B160" s="59"/>
      <c r="C160" s="59"/>
    </row>
    <row r="161" spans="1:3">
      <c r="A161" s="59"/>
      <c r="B161" s="59"/>
      <c r="C161" s="59"/>
    </row>
    <row r="162" spans="1:3">
      <c r="A162" s="59"/>
      <c r="B162" s="59"/>
      <c r="C162" s="59"/>
    </row>
    <row r="163" spans="1:3">
      <c r="A163" s="59"/>
      <c r="B163" s="59"/>
      <c r="C163" s="59"/>
    </row>
    <row r="164" spans="1:3">
      <c r="A164" s="59"/>
      <c r="B164" s="59"/>
      <c r="C164" s="59"/>
    </row>
    <row r="165" spans="1:3">
      <c r="A165" s="59"/>
      <c r="B165" s="59"/>
      <c r="C165" s="59"/>
    </row>
  </sheetData>
  <hyperlinks>
    <hyperlink ref="C2" r:id="rId1" xr:uid="{5DB3C139-6A49-44F5-8793-EA59568D7C31}"/>
    <hyperlink ref="C3" r:id="rId2" xr:uid="{A5B697BD-629E-4492-A8B2-A8034994E350}"/>
    <hyperlink ref="C4" r:id="rId3" xr:uid="{524B3F67-20DB-4719-86CE-577810D748B4}"/>
    <hyperlink ref="C5" r:id="rId4" xr:uid="{E70A47A6-9ACD-46FA-992D-3944A88A08BB}"/>
    <hyperlink ref="C7" r:id="rId5" xr:uid="{39B508BA-39CB-4ECF-B7D8-D7350B01D2D1}"/>
    <hyperlink ref="C8" r:id="rId6" xr:uid="{6B895410-4430-436A-9194-99A0688EAEA0}"/>
    <hyperlink ref="C9" r:id="rId7" xr:uid="{249423B1-6BC3-4B76-9747-6B0BFF2C7F99}"/>
    <hyperlink ref="C10" r:id="rId8" xr:uid="{1214C661-B0EC-4FEE-A01C-4ABE75219A59}"/>
    <hyperlink ref="C12" r:id="rId9" xr:uid="{B1D30EC2-B6A5-49B9-BE21-F8E74B03D001}"/>
    <hyperlink ref="C13" r:id="rId10" xr:uid="{C13B068D-BB1B-4B70-9ECC-667DC758668F}"/>
    <hyperlink ref="C14" r:id="rId11" xr:uid="{3C402E61-742D-4CC4-A319-DB47CC74F685}"/>
    <hyperlink ref="C15" r:id="rId12" xr:uid="{464D8EC3-3FE7-4247-8275-75B339187170}"/>
    <hyperlink ref="C16" r:id="rId13" xr:uid="{1BE1D3ED-BEED-4B58-9B86-4ABBD637EE7D}"/>
    <hyperlink ref="C18" r:id="rId14" xr:uid="{580B1353-6B75-4547-A555-A4DE42752A36}"/>
    <hyperlink ref="C19" r:id="rId15" xr:uid="{2D0671AE-5172-4D3D-9BC9-CEAABBB7330F}"/>
    <hyperlink ref="C21" r:id="rId16" xr:uid="{92B4A0E3-D730-402E-B387-8F8F11FD9514}"/>
    <hyperlink ref="C22" r:id="rId17" xr:uid="{0844121B-FF5D-4AAC-BBC8-8836AA44E886}"/>
    <hyperlink ref="C23" r:id="rId18" xr:uid="{A0A70A60-90FC-4BFB-8C8E-7FC1C072AC13}"/>
    <hyperlink ref="C24" r:id="rId19" xr:uid="{ADCEE261-0979-4E07-BE7E-949BEDDF6190}"/>
    <hyperlink ref="C25" r:id="rId20" xr:uid="{FAE97E8F-A2E5-4C39-8EB1-0749CE0856A9}"/>
    <hyperlink ref="C26" r:id="rId21" xr:uid="{53F8ADC3-B4C7-4C71-BA0D-062191337D24}"/>
    <hyperlink ref="C32" r:id="rId22" xr:uid="{BD640F2E-ABD4-45F8-BD70-EA4428926558}"/>
    <hyperlink ref="C33" r:id="rId23" xr:uid="{A6E932FC-A042-44AF-8E62-9AADC28D34A1}"/>
    <hyperlink ref="C34" r:id="rId24" xr:uid="{562EB02F-44BF-49E6-99DA-DBCBC07152C7}"/>
    <hyperlink ref="C35" r:id="rId25" xr:uid="{284645CD-5FE6-4F17-BF6E-C0639AC0A2FB}"/>
    <hyperlink ref="C36" r:id="rId26" xr:uid="{C43312E7-E750-4662-B0F3-6BC7B9A9D933}"/>
    <hyperlink ref="C38" r:id="rId27" xr:uid="{B31D0C31-1901-48D6-8648-0D858CF6E7CA}"/>
    <hyperlink ref="C39" r:id="rId28" xr:uid="{97CAFBCE-8D4A-4A0B-A919-82A0D92A22A5}"/>
    <hyperlink ref="C41" r:id="rId29" xr:uid="{E38C5BA0-9506-41C1-BC0C-54F0B486DA21}"/>
    <hyperlink ref="C42" r:id="rId30" xr:uid="{00EAA6A9-03D3-4286-B076-B9EAFCDB50A5}"/>
    <hyperlink ref="C43" r:id="rId31" xr:uid="{A314B38F-6206-4A0E-AE04-E5E2D2937653}"/>
    <hyperlink ref="C44" r:id="rId32" xr:uid="{3A6E2F12-9196-49FB-90BE-87EE7E2A89AD}"/>
    <hyperlink ref="C45" r:id="rId33" xr:uid="{D3CB6F80-FD15-4455-A2BD-3369195CD1F1}"/>
    <hyperlink ref="C48" r:id="rId34" xr:uid="{21BDC779-F332-4C59-A62A-8B29B64B75F0}"/>
    <hyperlink ref="C52" r:id="rId35" xr:uid="{C866F256-32F2-4427-B534-3ED49AB12BD4}"/>
    <hyperlink ref="C53" r:id="rId36" xr:uid="{21BFAC7B-D3FA-4109-BC16-3DB0C2D25783}"/>
    <hyperlink ref="C55" r:id="rId37" xr:uid="{D29563E0-A25A-4CB6-BCEB-7E2BF747FEA7}"/>
    <hyperlink ref="C60" r:id="rId38" xr:uid="{A84ECA61-A4B7-41E0-8DFC-78B4B8E82AA1}"/>
    <hyperlink ref="C61" r:id="rId39" xr:uid="{AFD21DA0-34E7-4D65-8D63-0EAC4B76DC6D}"/>
    <hyperlink ref="C62" r:id="rId40" xr:uid="{9A01A8A6-1F25-445D-9A3D-7E6C6C3C3DE3}"/>
    <hyperlink ref="C63" r:id="rId41" xr:uid="{1EB8DE20-A801-4FBD-8D03-627692E1040E}"/>
    <hyperlink ref="C64" r:id="rId42" xr:uid="{8B104A73-3FCB-47F6-A9BC-C9C0E5DD3575}"/>
    <hyperlink ref="C68" r:id="rId43" xr:uid="{86EBAA1F-FBC1-488E-8508-BDA85D448FA4}"/>
    <hyperlink ref="C70" r:id="rId44" xr:uid="{B0095D9A-0157-4342-8FED-4CC02C788DC7}"/>
    <hyperlink ref="C71" r:id="rId45" xr:uid="{332266DC-11FC-4F7C-83F4-57EDD3329AA8}"/>
    <hyperlink ref="C72" r:id="rId46" xr:uid="{F2AD9CC4-119E-41DF-A1F7-2BEA518D87AE}"/>
    <hyperlink ref="C73" r:id="rId47" xr:uid="{EA23EA52-41EB-4053-8753-3D067375A17A}"/>
    <hyperlink ref="C75" r:id="rId48" xr:uid="{D25216DF-A250-4A16-9CDE-73197B2466B6}"/>
    <hyperlink ref="C76" r:id="rId49" xr:uid="{A6C2169F-ABB1-45F9-B213-A47E9D0A03FC}"/>
    <hyperlink ref="C77" r:id="rId50" xr:uid="{F2E11D0C-C25F-4165-82E5-472A3D62125E}"/>
    <hyperlink ref="C78" r:id="rId51" xr:uid="{917F7DD7-2E64-4AA0-93BB-80DB7A2C0BA9}"/>
    <hyperlink ref="C79" r:id="rId52" xr:uid="{0F59F332-360A-4C1D-B234-2E511CB32EC7}"/>
    <hyperlink ref="C80" r:id="rId53" xr:uid="{1BE08E1B-2649-46A3-A9D4-B33F6D387F4C}"/>
    <hyperlink ref="C81" r:id="rId54" xr:uid="{F6751566-9B8F-4B2E-A593-F4839D69CE18}"/>
    <hyperlink ref="C82" r:id="rId55" xr:uid="{00C75BCE-6925-4B5D-AE8E-BDA160B46758}"/>
    <hyperlink ref="C83" r:id="rId56" xr:uid="{F053C140-B278-4056-8F97-348219B14BD3}"/>
    <hyperlink ref="C84" r:id="rId57" xr:uid="{B6E2664B-A530-4A9A-8DA3-ACFEF41CD9BC}"/>
    <hyperlink ref="C86" r:id="rId58" xr:uid="{6664EDFB-AE3A-41C8-9CCA-1CFFDB63CBE8}"/>
    <hyperlink ref="C88" r:id="rId59" xr:uid="{A00111C6-E5F3-4AD4-B34C-655F17B5FBA0}"/>
    <hyperlink ref="C89" r:id="rId60" xr:uid="{07F5C397-007A-4A8C-A10D-49F8F7E81B4D}"/>
    <hyperlink ref="C90" r:id="rId61" xr:uid="{D151C7BE-0694-43E2-8212-EA1B72B276B2}"/>
    <hyperlink ref="C91" r:id="rId62" xr:uid="{513DA4BE-F076-432C-AA03-2850AC696CB9}"/>
    <hyperlink ref="C92" r:id="rId63" xr:uid="{E18E054C-93D5-4930-B6E1-771374AA4264}"/>
    <hyperlink ref="C93" r:id="rId64" xr:uid="{4568E2BB-0910-4880-99E8-F1F624A49F21}"/>
    <hyperlink ref="C94" r:id="rId65" xr:uid="{DEF41904-38F3-484E-96A2-D6CD69C1AE09}"/>
    <hyperlink ref="C95" r:id="rId66" xr:uid="{0E942E5E-9988-4342-B6AE-17419E07AB3D}"/>
    <hyperlink ref="C96" r:id="rId67" xr:uid="{CAF51E42-1D0B-4D1F-B312-EE8DAF09142E}"/>
    <hyperlink ref="C97" r:id="rId68" xr:uid="{C87A3F18-7C74-435B-AA9B-34CAE8823174}"/>
    <hyperlink ref="C99" r:id="rId69" xr:uid="{7AC83169-7EE6-41B0-8A34-BFA0D6033071}"/>
    <hyperlink ref="C100" r:id="rId70" xr:uid="{13D0955C-B3EA-41DB-9FFF-699D38BBBDBC}"/>
    <hyperlink ref="C104" r:id="rId71" xr:uid="{198119FB-8181-4BDF-AF9C-5B9483C0A801}"/>
    <hyperlink ref="C105" r:id="rId72" xr:uid="{B6EC0024-A6BB-47A1-8A0F-A3D9F62C25E7}"/>
    <hyperlink ref="C106" r:id="rId73" xr:uid="{E4A93C92-02C5-44AE-94DC-2CD9B4900E6F}"/>
    <hyperlink ref="C107" r:id="rId74" xr:uid="{421EDE7E-BF74-409B-94BB-1A3F7085A9D3}"/>
    <hyperlink ref="C108" r:id="rId75" xr:uid="{9240AA01-8733-4B6C-B469-20B19A3D982A}"/>
    <hyperlink ref="D110" r:id="rId76" xr:uid="{8358E0F2-A89E-43BB-980C-702B60CBDB36}"/>
    <hyperlink ref="C111" r:id="rId77" xr:uid="{BBD36CB1-54D5-4109-A5E4-72D5C69261AF}"/>
    <hyperlink ref="C113" r:id="rId78" xr:uid="{2D5B135B-6826-4DE6-B642-A487225662C6}"/>
    <hyperlink ref="C114" r:id="rId79" xr:uid="{E8C46192-AC6F-4ACB-89C5-C75911F7DC70}"/>
    <hyperlink ref="C116" r:id="rId80" xr:uid="{60FB6CCC-9986-451D-ACF4-16F1B028E539}"/>
    <hyperlink ref="C117" r:id="rId81" xr:uid="{0FCDD8DA-D919-43BF-AA2B-3FB2FF18BFFF}"/>
    <hyperlink ref="C118" r:id="rId82" xr:uid="{C509233C-2447-4B8B-8981-65EC57A2DEBF}"/>
    <hyperlink ref="C119" r:id="rId83" xr:uid="{84C79831-1D0A-43A2-8796-BDA328AA477C}"/>
    <hyperlink ref="C120" r:id="rId84" xr:uid="{B8FF3F21-56A4-4EF1-8429-4492F57658B4}"/>
    <hyperlink ref="C122" r:id="rId85" xr:uid="{01BD8C6C-2018-4DA0-90B0-2F2DB3E1A37A}"/>
    <hyperlink ref="C123" r:id="rId86" xr:uid="{B8A53F96-9E54-467D-B8DD-A8FCCAE122B0}"/>
    <hyperlink ref="C124" r:id="rId87" xr:uid="{47EDF376-007C-4CCA-BC5B-AF5F0D4DE67F}"/>
    <hyperlink ref="C125" r:id="rId88" xr:uid="{8A9E0165-CEAC-435F-AF18-42DE36BD13B7}"/>
    <hyperlink ref="C126" r:id="rId89" xr:uid="{63B04BAC-B94E-40B1-BEE5-331043EBB96F}"/>
    <hyperlink ref="C127" r:id="rId90" xr:uid="{FB56B7BB-3D37-43BF-BE07-18CF1C5AC386}"/>
    <hyperlink ref="C129" r:id="rId91" xr:uid="{3399BC76-2182-4EA8-8E39-1716CEFE0DD4}"/>
    <hyperlink ref="C130" r:id="rId92" xr:uid="{E5211D99-1954-45F0-9DE6-6B03427F77F4}"/>
    <hyperlink ref="G91" r:id="rId93" xr:uid="{5526592E-EC06-4C8A-9CD2-583AD082FB06}"/>
    <hyperlink ref="B145" r:id="rId94" xr:uid="{25AF9A00-C98A-40AA-8ECE-5D25D0B64211}"/>
    <hyperlink ref="B146" r:id="rId95" xr:uid="{92EE4B77-965A-44D3-8FBD-60DC3AB19458}"/>
    <hyperlink ref="B147" r:id="rId96" xr:uid="{7BE473F0-08D5-402E-B774-C9990CFED980}"/>
    <hyperlink ref="B150" r:id="rId97" xr:uid="{5B28577F-6C8C-48F4-AB0B-0E181F1626A5}"/>
    <hyperlink ref="B151" r:id="rId98" xr:uid="{9DACE43F-FC74-4B81-9B1F-1CEF7A421840}"/>
    <hyperlink ref="B152" r:id="rId99" xr:uid="{56321EB2-3B5F-48AC-A8D5-7BF37A3EC40C}"/>
    <hyperlink ref="B154" r:id="rId100" xr:uid="{085E9B55-4B6A-4EB9-9094-4E502FB528A6}"/>
    <hyperlink ref="B153" r:id="rId101" xr:uid="{64A8A767-C043-41DC-8538-386EAFD55968}"/>
  </hyperlink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50</vt:i4>
      </vt:variant>
    </vt:vector>
  </HeadingPairs>
  <TitlesOfParts>
    <vt:vector size="50" baseType="lpstr">
      <vt:lpstr>Controle de Clientes C. BM</vt:lpstr>
      <vt:lpstr>Planilha4</vt:lpstr>
      <vt:lpstr>Relação de Clientes CBM</vt:lpstr>
      <vt:lpstr>Planilha3</vt:lpstr>
      <vt:lpstr>Cliente cancelado contactado</vt:lpstr>
      <vt:lpstr>Cliente sem comodato cadastrado</vt:lpstr>
      <vt:lpstr>Clientes cancelados contactados</vt:lpstr>
      <vt:lpstr>Opa suite melhorias</vt:lpstr>
      <vt:lpstr>Indique e ganhe</vt:lpstr>
      <vt:lpstr>Clientes com telefone</vt:lpstr>
      <vt:lpstr>Contrato vigente Borda da Mata</vt:lpstr>
      <vt:lpstr>Leads</vt:lpstr>
      <vt:lpstr>Cliente contactado promoção (2)</vt:lpstr>
      <vt:lpstr>Resumo dos Numeros</vt:lpstr>
      <vt:lpstr>Clientes Via 01</vt:lpstr>
      <vt:lpstr>Planilha1</vt:lpstr>
      <vt:lpstr>Cancelamentos</vt:lpstr>
      <vt:lpstr>Prevenção de cancelamentos</vt:lpstr>
      <vt:lpstr>Telefone</vt:lpstr>
      <vt:lpstr>Loja Sabado</vt:lpstr>
      <vt:lpstr>Upgrade de Planos</vt:lpstr>
      <vt:lpstr>Clientes Via 01 Inconfidentes </vt:lpstr>
      <vt:lpstr>Cancelamentos Inconfidentes </vt:lpstr>
      <vt:lpstr>Contrato vigente Inconfidentes</vt:lpstr>
      <vt:lpstr>Upgrade Planos Inconfidentes</vt:lpstr>
      <vt:lpstr>Plano 200 megas  Inconfidentes</vt:lpstr>
      <vt:lpstr>Plano 300 mega Inconfidentes </vt:lpstr>
      <vt:lpstr>Plano 400 megas Inconfidentes</vt:lpstr>
      <vt:lpstr>Plano 500 megas Inconfidentes</vt:lpstr>
      <vt:lpstr>Plano 700 megas Inconfidentes</vt:lpstr>
      <vt:lpstr>Plano 300 megas-500 megas liber</vt:lpstr>
      <vt:lpstr>Atendimentos</vt:lpstr>
      <vt:lpstr>Rafael comissão</vt:lpstr>
      <vt:lpstr>Tv 200 megas pra cima</vt:lpstr>
      <vt:lpstr>Tv 79,90</vt:lpstr>
      <vt:lpstr>Plantão </vt:lpstr>
      <vt:lpstr>Clientes com Deco</vt:lpstr>
      <vt:lpstr>Copa do Mundo</vt:lpstr>
      <vt:lpstr>boletos Dezembro</vt:lpstr>
      <vt:lpstr>Indicação Premiada</vt:lpstr>
      <vt:lpstr>Pesquisa de Mercado</vt:lpstr>
      <vt:lpstr>Clientes Migração Conexão Bm</vt:lpstr>
      <vt:lpstr>Escolas</vt:lpstr>
      <vt:lpstr>Isentos</vt:lpstr>
      <vt:lpstr>Markenting</vt:lpstr>
      <vt:lpstr>Sinval</vt:lpstr>
      <vt:lpstr>Principais reclamações</vt:lpstr>
      <vt:lpstr>Recebimentos loja</vt:lpstr>
      <vt:lpstr>lista de cancelados</vt:lpstr>
      <vt:lpstr>Empresas (Prospecção)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Moura</dc:creator>
  <cp:keywords/>
  <dc:description/>
  <cp:lastModifiedBy>Carlos Moura</cp:lastModifiedBy>
  <cp:revision/>
  <dcterms:created xsi:type="dcterms:W3CDTF">2020-12-01T19:50:20Z</dcterms:created>
  <dcterms:modified xsi:type="dcterms:W3CDTF">2024-11-25T12:26:24Z</dcterms:modified>
  <cp:category/>
  <cp:contentStatus/>
</cp:coreProperties>
</file>